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840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도계동" sheetId="6" state="visible" r:id="rId6"/>
    <sheet xmlns:r="http://schemas.openxmlformats.org/officeDocument/2006/relationships" name="동읍" sheetId="7" state="visible" r:id="rId7"/>
    <sheet xmlns:r="http://schemas.openxmlformats.org/officeDocument/2006/relationships" name="동정동" sheetId="8" state="visible" r:id="rId8"/>
    <sheet xmlns:r="http://schemas.openxmlformats.org/officeDocument/2006/relationships" name="명곡동" sheetId="9" state="visible" r:id="rId9"/>
    <sheet xmlns:r="http://schemas.openxmlformats.org/officeDocument/2006/relationships" name="명서동" sheetId="10" state="visible" r:id="rId10"/>
    <sheet xmlns:r="http://schemas.openxmlformats.org/officeDocument/2006/relationships" name="봉곡동" sheetId="11" state="visible" r:id="rId11"/>
    <sheet xmlns:r="http://schemas.openxmlformats.org/officeDocument/2006/relationships" name="봉림동" sheetId="12" state="visible" r:id="rId12"/>
    <sheet xmlns:r="http://schemas.openxmlformats.org/officeDocument/2006/relationships" name="북면" sheetId="13" state="visible" r:id="rId13"/>
    <sheet xmlns:r="http://schemas.openxmlformats.org/officeDocument/2006/relationships" name="서상동" sheetId="14" state="visible" r:id="rId14"/>
    <sheet xmlns:r="http://schemas.openxmlformats.org/officeDocument/2006/relationships" name="소계동" sheetId="15" state="visible" r:id="rId15"/>
    <sheet xmlns:r="http://schemas.openxmlformats.org/officeDocument/2006/relationships" name="중동" sheetId="16" state="visible" r:id="rId16"/>
    <sheet xmlns:r="http://schemas.openxmlformats.org/officeDocument/2006/relationships" name="팔용동" sheetId="17" state="visible" r:id="rId17"/>
    <sheet xmlns:r="http://schemas.openxmlformats.org/officeDocument/2006/relationships" name="양식" sheetId="18" state="visible" r:id="rId1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'단지추출_가격표용'!$A$3:$U$112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'도계동'!$1:$3</definedName>
    <definedName name="_xlnm.Print_Area" localSheetId="5">'도계동'!$A$1:$U$6</definedName>
    <definedName name="_xlnm.Print_Titles" localSheetId="6">'동읍'!$1:$3</definedName>
    <definedName name="_xlnm.Print_Area" localSheetId="6">'동읍'!$A$1:$U$6</definedName>
    <definedName name="_xlnm.Print_Titles" localSheetId="7">'동정동'!$1:$3</definedName>
    <definedName name="_xlnm.Print_Area" localSheetId="7">'동정동'!$A$1:$U$6</definedName>
    <definedName name="_xlnm.Print_Titles" localSheetId="8">'명곡동'!$1:$3</definedName>
    <definedName name="_xlnm.Print_Area" localSheetId="8">'명곡동'!$A$1:$U$6</definedName>
    <definedName name="_xlnm.Print_Titles" localSheetId="9">'명서동'!$1:$3</definedName>
    <definedName name="_xlnm.Print_Area" localSheetId="9">'명서동'!$A$1:$U$6</definedName>
    <definedName name="_xlnm.Print_Titles" localSheetId="10">'봉곡동'!$1:$3</definedName>
    <definedName name="_xlnm.Print_Area" localSheetId="10">'봉곡동'!$A$1:$U$6</definedName>
    <definedName name="_xlnm.Print_Titles" localSheetId="11">'봉림동'!$1:$3</definedName>
    <definedName name="_xlnm.Print_Area" localSheetId="11">'봉림동'!$A$1:$U$6</definedName>
    <definedName name="_xlnm.Print_Titles" localSheetId="12">'북면'!$1:$3</definedName>
    <definedName name="_xlnm.Print_Area" localSheetId="12">'북면'!$A$1:$U$6</definedName>
    <definedName name="_xlnm.Print_Titles" localSheetId="13">'서상동'!$1:$3</definedName>
    <definedName name="_xlnm.Print_Area" localSheetId="13">'서상동'!$A$1:$U$6</definedName>
    <definedName name="_xlnm.Print_Titles" localSheetId="14">'소계동'!$1:$3</definedName>
    <definedName name="_xlnm.Print_Area" localSheetId="14">'소계동'!$A$1:$U$6</definedName>
    <definedName name="_xlnm.Print_Titles" localSheetId="15">'중동'!$1:$3</definedName>
    <definedName name="_xlnm.Print_Area" localSheetId="15">'중동'!$A$1:$U$6</definedName>
    <definedName name="_xlnm.Print_Titles" localSheetId="16">'팔용동'!$1:$3</definedName>
    <definedName name="_xlnm.Print_Area" localSheetId="16">'팔용동'!$A$1:$U$6</definedName>
    <definedName name="_xlnm.Print_Titles" localSheetId="17">'양식'!$1:$3</definedName>
    <definedName name="_xlnm.Print_Area" localSheetId="17">'양식'!$A$1:$U$6</definedName>
  </definedNames>
  <calcPr calcId="191029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67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42" activePane="bottomRight" state="frozen"/>
      <selection activeCell="U15" sqref="U15"/>
      <selection pane="topRight" activeCell="U15" sqref="U15"/>
      <selection pane="bottomLeft" activeCell="U15" sqref="U15"/>
      <selection pane="bottomRight" activeCell="I170" sqref="I170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4">
      <c r="A1" s="24" t="inlineStr">
        <is>
          <t>창원시 의창구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도계동 한마음코아</t>
        </is>
      </c>
      <c r="B4" s="76" t="inlineStr">
        <is>
          <t>92.08.</t>
        </is>
      </c>
      <c r="C4" s="130" t="n">
        <v>225</v>
      </c>
      <c r="D4" s="131" t="n">
        <v>64</v>
      </c>
      <c r="E4" s="132" t="n">
        <v>19</v>
      </c>
      <c r="F4" s="131" t="n">
        <v>49.4</v>
      </c>
      <c r="G4" s="17" t="n">
        <v>15</v>
      </c>
      <c r="H4" s="133" t="n">
        <v>225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1</v>
      </c>
      <c r="S4" s="121" t="inlineStr">
        <is>
          <t>복</t>
        </is>
      </c>
      <c r="T4" s="5" t="n">
        <v>63</v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동읍 창원한양립스더퍼스트</t>
        </is>
      </c>
      <c r="B5" s="76" t="inlineStr">
        <is>
          <t>23.12.</t>
        </is>
      </c>
      <c r="C5" s="130" t="n">
        <v>515</v>
      </c>
      <c r="D5" s="131" t="n">
        <v>94.59999999999999</v>
      </c>
      <c r="E5" s="132" t="n">
        <v>29</v>
      </c>
      <c r="F5" s="131" t="n">
        <v>68.8</v>
      </c>
      <c r="G5" s="17" t="n">
        <v>21</v>
      </c>
      <c r="H5" s="133" t="n">
        <v>263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n">
        <v>94</v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동읍 창원한양립스더퍼스트</t>
        </is>
      </c>
      <c r="B6" s="76" t="inlineStr">
        <is>
          <t>23.12.</t>
        </is>
      </c>
      <c r="C6" s="130" t="n">
        <v>515</v>
      </c>
      <c r="D6" s="131" t="n">
        <v>99</v>
      </c>
      <c r="E6" s="132" t="n">
        <v>30</v>
      </c>
      <c r="F6" s="131" t="n">
        <v>70.90000000000001</v>
      </c>
      <c r="G6" s="17" t="n">
        <v>21</v>
      </c>
      <c r="H6" s="133" t="n">
        <v>146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동읍 창원한양립스더퍼스트</t>
        </is>
      </c>
      <c r="B7" s="76" t="inlineStr">
        <is>
          <t>23.12.</t>
        </is>
      </c>
      <c r="C7" s="130" t="n">
        <v>515</v>
      </c>
      <c r="D7" s="131" t="n">
        <v>116.3</v>
      </c>
      <c r="E7" s="132" t="n">
        <v>35</v>
      </c>
      <c r="F7" s="131" t="n">
        <v>84.90000000000001</v>
      </c>
      <c r="G7" s="17" t="n">
        <v>26</v>
      </c>
      <c r="H7" s="133" t="n">
        <v>106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116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동읍 삼진</t>
        </is>
      </c>
      <c r="B8" s="76" t="inlineStr">
        <is>
          <t>89.03.</t>
        </is>
      </c>
      <c r="C8" s="130" t="n">
        <v>325</v>
      </c>
      <c r="D8" s="131" t="n">
        <v>48.8</v>
      </c>
      <c r="E8" s="132" t="n">
        <v>15</v>
      </c>
      <c r="F8" s="131" t="n">
        <v>42.6</v>
      </c>
      <c r="G8" s="17" t="n">
        <v>13</v>
      </c>
      <c r="H8" s="133" t="n">
        <v>50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1</v>
      </c>
      <c r="S8" s="121" t="inlineStr">
        <is>
          <t>계</t>
        </is>
      </c>
      <c r="T8" s="5" t="n">
        <v>48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동읍 삼진</t>
        </is>
      </c>
      <c r="B9" s="76" t="inlineStr">
        <is>
          <t>89.03.</t>
        </is>
      </c>
      <c r="C9" s="130" t="n">
        <v>325</v>
      </c>
      <c r="D9" s="131" t="n">
        <v>55.7</v>
      </c>
      <c r="E9" s="132" t="n">
        <v>17</v>
      </c>
      <c r="F9" s="131" t="n">
        <v>49.6</v>
      </c>
      <c r="G9" s="17" t="n">
        <v>15</v>
      </c>
      <c r="H9" s="133" t="n">
        <v>70</v>
      </c>
      <c r="I9" s="134" t="n">
        <v>6500</v>
      </c>
      <c r="J9" s="134" t="inlineStr">
        <is>
          <t>5</t>
        </is>
      </c>
      <c r="K9" s="134" t="n">
        <v>3500</v>
      </c>
      <c r="L9" s="134" t="inlineStr">
        <is>
          <t>5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계</t>
        </is>
      </c>
      <c r="T9" s="5" t="n">
        <v>55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동읍 삼진</t>
        </is>
      </c>
      <c r="B10" s="76" t="inlineStr">
        <is>
          <t>89.03.</t>
        </is>
      </c>
      <c r="C10" s="130" t="n">
        <v>325</v>
      </c>
      <c r="D10" s="131" t="n">
        <v>58.7</v>
      </c>
      <c r="E10" s="132" t="n">
        <v>18</v>
      </c>
      <c r="F10" s="131" t="n">
        <v>52.2</v>
      </c>
      <c r="G10" s="17" t="n">
        <v>16</v>
      </c>
      <c r="H10" s="133" t="n">
        <v>200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2</v>
      </c>
      <c r="R10" s="121" t="n">
        <v>1</v>
      </c>
      <c r="S10" s="121" t="inlineStr">
        <is>
          <t>계</t>
        </is>
      </c>
      <c r="T10" s="5" t="n">
        <v>58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동읍 삼진</t>
        </is>
      </c>
      <c r="B11" s="76" t="inlineStr">
        <is>
          <t>89.03.</t>
        </is>
      </c>
      <c r="C11" s="130" t="n">
        <v>325</v>
      </c>
      <c r="D11" s="131" t="n">
        <v>69.3</v>
      </c>
      <c r="E11" s="132" t="n">
        <v>21</v>
      </c>
      <c r="F11" s="131" t="n">
        <v>56.6</v>
      </c>
      <c r="G11" s="17" t="n">
        <v>17</v>
      </c>
      <c r="H11" s="133" t="n">
        <v>5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69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동읍 동읍대한</t>
        </is>
      </c>
      <c r="B12" s="76" t="inlineStr">
        <is>
          <t>97.02.</t>
        </is>
      </c>
      <c r="C12" s="130" t="n">
        <v>275</v>
      </c>
      <c r="D12" s="131" t="n">
        <v>76.8</v>
      </c>
      <c r="E12" s="132" t="n">
        <v>23</v>
      </c>
      <c r="F12" s="131" t="n">
        <v>59.9</v>
      </c>
      <c r="G12" s="17" t="n">
        <v>18</v>
      </c>
      <c r="H12" s="133" t="n">
        <v>121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76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동읍 동읍대한</t>
        </is>
      </c>
      <c r="B13" s="76" t="inlineStr">
        <is>
          <t>97.02.</t>
        </is>
      </c>
      <c r="C13" s="130" t="n">
        <v>275</v>
      </c>
      <c r="D13" s="131" t="n">
        <v>101.3</v>
      </c>
      <c r="E13" s="132" t="n">
        <v>31</v>
      </c>
      <c r="F13" s="131" t="n">
        <v>79</v>
      </c>
      <c r="G13" s="17" t="n">
        <v>24</v>
      </c>
      <c r="H13" s="133" t="n">
        <v>40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101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동읍 동읍대한</t>
        </is>
      </c>
      <c r="B14" s="76" t="inlineStr">
        <is>
          <t>97.02.</t>
        </is>
      </c>
      <c r="C14" s="130" t="n">
        <v>275</v>
      </c>
      <c r="D14" s="131" t="n">
        <v>108.9</v>
      </c>
      <c r="E14" s="132" t="n">
        <v>33</v>
      </c>
      <c r="F14" s="131" t="n">
        <v>85</v>
      </c>
      <c r="G14" s="17" t="n">
        <v>26</v>
      </c>
      <c r="H14" s="133" t="n">
        <v>114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108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동읍 우성전원</t>
        </is>
      </c>
      <c r="B15" s="76" t="inlineStr">
        <is>
          <t>91.12.</t>
        </is>
      </c>
      <c r="C15" s="130" t="n">
        <v>220</v>
      </c>
      <c r="D15" s="131" t="n">
        <v>65.59999999999999</v>
      </c>
      <c r="E15" s="132" t="n">
        <v>20</v>
      </c>
      <c r="F15" s="131" t="n">
        <v>59.4</v>
      </c>
      <c r="G15" s="17" t="n">
        <v>18</v>
      </c>
      <c r="H15" s="133" t="n">
        <v>6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2</v>
      </c>
      <c r="R15" s="121" t="n">
        <v>1</v>
      </c>
      <c r="S15" s="121" t="inlineStr">
        <is>
          <t>계</t>
        </is>
      </c>
      <c r="T15" s="5" t="n">
        <v>65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동읍 우성전원</t>
        </is>
      </c>
      <c r="B16" s="76" t="inlineStr">
        <is>
          <t>91.12.</t>
        </is>
      </c>
      <c r="C16" s="130" t="n">
        <v>220</v>
      </c>
      <c r="D16" s="131" t="n">
        <v>72.59999999999999</v>
      </c>
      <c r="E16" s="132" t="n">
        <v>22</v>
      </c>
      <c r="F16" s="131" t="n">
        <v>66.40000000000001</v>
      </c>
      <c r="G16" s="17" t="n">
        <v>20</v>
      </c>
      <c r="H16" s="133" t="n">
        <v>78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72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동읍 우성전원</t>
        </is>
      </c>
      <c r="B17" s="76" t="inlineStr">
        <is>
          <t>91.12.</t>
        </is>
      </c>
      <c r="C17" s="130" t="n">
        <v>220</v>
      </c>
      <c r="D17" s="131" t="n">
        <v>75.8</v>
      </c>
      <c r="E17" s="132" t="n">
        <v>23</v>
      </c>
      <c r="F17" s="131" t="n">
        <v>69.59999999999999</v>
      </c>
      <c r="G17" s="17" t="n">
        <v>21</v>
      </c>
      <c r="H17" s="133" t="n">
        <v>72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계</t>
        </is>
      </c>
      <c r="T17" s="5" t="n">
        <v>75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동읍 우성전원</t>
        </is>
      </c>
      <c r="B18" s="76" t="inlineStr">
        <is>
          <t>91.12.</t>
        </is>
      </c>
      <c r="C18" s="130" t="n">
        <v>220</v>
      </c>
      <c r="D18" s="131" t="n">
        <v>81.7</v>
      </c>
      <c r="E18" s="132" t="n">
        <v>25</v>
      </c>
      <c r="F18" s="131" t="n">
        <v>75.40000000000001</v>
      </c>
      <c r="G18" s="17" t="n">
        <v>23</v>
      </c>
      <c r="H18" s="133" t="n">
        <v>40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n">
        <v>81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동읍 우성전원</t>
        </is>
      </c>
      <c r="B19" s="76" t="inlineStr">
        <is>
          <t>91.12.</t>
        </is>
      </c>
      <c r="C19" s="130" t="n">
        <v>220</v>
      </c>
      <c r="D19" s="131" t="n">
        <v>85.59999999999999</v>
      </c>
      <c r="E19" s="132" t="n">
        <v>26</v>
      </c>
      <c r="F19" s="131" t="n">
        <v>79.3</v>
      </c>
      <c r="G19" s="17" t="n">
        <v>24</v>
      </c>
      <c r="H19" s="133" t="n">
        <v>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1</v>
      </c>
      <c r="S19" s="121" t="inlineStr">
        <is>
          <t>계</t>
        </is>
      </c>
      <c r="T19" s="5" t="inlineStr">
        <is>
          <t>85B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동읍 우성전원</t>
        </is>
      </c>
      <c r="B20" s="76" t="inlineStr">
        <is>
          <t>91.12.</t>
        </is>
      </c>
      <c r="C20" s="130" t="n">
        <v>220</v>
      </c>
      <c r="D20" s="131" t="n">
        <v>86.59999999999999</v>
      </c>
      <c r="E20" s="132" t="n">
        <v>26</v>
      </c>
      <c r="F20" s="131" t="n">
        <v>80.40000000000001</v>
      </c>
      <c r="G20" s="17" t="n">
        <v>24</v>
      </c>
      <c r="H20" s="133" t="n">
        <v>6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1</v>
      </c>
      <c r="S20" s="121" t="inlineStr">
        <is>
          <t>계</t>
        </is>
      </c>
      <c r="T20" s="5" t="inlineStr">
        <is>
          <t>86C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동읍 우성전원</t>
        </is>
      </c>
      <c r="B21" s="76" t="inlineStr">
        <is>
          <t>91.12.</t>
        </is>
      </c>
      <c r="C21" s="130" t="n">
        <v>220</v>
      </c>
      <c r="D21" s="131" t="n">
        <v>87.40000000000001</v>
      </c>
      <c r="E21" s="132" t="n">
        <v>26</v>
      </c>
      <c r="F21" s="131" t="n">
        <v>81.2</v>
      </c>
      <c r="G21" s="17" t="n">
        <v>25</v>
      </c>
      <c r="H21" s="133" t="n">
        <v>6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1</v>
      </c>
      <c r="S21" s="121" t="inlineStr">
        <is>
          <t>계</t>
        </is>
      </c>
      <c r="T21" s="5" t="inlineStr">
        <is>
          <t>87A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동읍 우성전원</t>
        </is>
      </c>
      <c r="B22" s="76" t="inlineStr">
        <is>
          <t>91.12.</t>
        </is>
      </c>
      <c r="C22" s="130" t="n">
        <v>220</v>
      </c>
      <c r="D22" s="131" t="n">
        <v>93.7</v>
      </c>
      <c r="E22" s="132" t="n">
        <v>28</v>
      </c>
      <c r="F22" s="131" t="n">
        <v>81.2</v>
      </c>
      <c r="G22" s="17" t="n">
        <v>25</v>
      </c>
      <c r="H22" s="133" t="n">
        <v>6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93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동정동 동정오성</t>
        </is>
      </c>
      <c r="B23" s="76" t="inlineStr">
        <is>
          <t>96.03.</t>
        </is>
      </c>
      <c r="C23" s="130" t="n">
        <v>254</v>
      </c>
      <c r="D23" s="131" t="n">
        <v>56.2</v>
      </c>
      <c r="E23" s="132" t="n">
        <v>17</v>
      </c>
      <c r="F23" s="131" t="n">
        <v>41.8</v>
      </c>
      <c r="G23" s="17" t="n">
        <v>13</v>
      </c>
      <c r="H23" s="133" t="n">
        <v>32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56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동정동 동정오성</t>
        </is>
      </c>
      <c r="B24" s="76" t="inlineStr">
        <is>
          <t>96.03.</t>
        </is>
      </c>
      <c r="C24" s="130" t="n">
        <v>254</v>
      </c>
      <c r="D24" s="131" t="n">
        <v>67</v>
      </c>
      <c r="E24" s="132" t="n">
        <v>20</v>
      </c>
      <c r="F24" s="131" t="n">
        <v>53.3</v>
      </c>
      <c r="G24" s="17" t="n">
        <v>16</v>
      </c>
      <c r="H24" s="133" t="n">
        <v>1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67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동정동 동정오성</t>
        </is>
      </c>
      <c r="B25" s="76" t="inlineStr">
        <is>
          <t>96.03.</t>
        </is>
      </c>
      <c r="C25" s="130" t="n">
        <v>254</v>
      </c>
      <c r="D25" s="131" t="n">
        <v>73.7</v>
      </c>
      <c r="E25" s="132" t="n">
        <v>22</v>
      </c>
      <c r="F25" s="131" t="n">
        <v>60</v>
      </c>
      <c r="G25" s="17" t="n">
        <v>18</v>
      </c>
      <c r="H25" s="133" t="n">
        <v>109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73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동정동 동정오성</t>
        </is>
      </c>
      <c r="B26" s="76" t="inlineStr">
        <is>
          <t>96.03.</t>
        </is>
      </c>
      <c r="C26" s="130" t="n">
        <v>254</v>
      </c>
      <c r="D26" s="131" t="n">
        <v>96.59999999999999</v>
      </c>
      <c r="E26" s="132" t="n">
        <v>29</v>
      </c>
      <c r="F26" s="131" t="n">
        <v>84.7</v>
      </c>
      <c r="G26" s="17" t="n">
        <v>26</v>
      </c>
      <c r="H26" s="133" t="n">
        <v>112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96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동정동 동정흥한웰가</t>
        </is>
      </c>
      <c r="B27" s="76" t="inlineStr">
        <is>
          <t>04.12.</t>
        </is>
      </c>
      <c r="C27" s="130" t="n">
        <v>418</v>
      </c>
      <c r="D27" s="131" t="n">
        <v>105</v>
      </c>
      <c r="E27" s="132" t="n">
        <v>32</v>
      </c>
      <c r="F27" s="131" t="n">
        <v>84.90000000000001</v>
      </c>
      <c r="G27" s="17" t="n">
        <v>26</v>
      </c>
      <c r="H27" s="133" t="n">
        <v>311</v>
      </c>
      <c r="I27" s="134" t="n">
        <v>34800</v>
      </c>
      <c r="J27" s="134" t="inlineStr">
        <is>
          <t>중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105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동정동 동정흥한웰가</t>
        </is>
      </c>
      <c r="B28" s="76" t="inlineStr">
        <is>
          <t>04.12.</t>
        </is>
      </c>
      <c r="C28" s="130" t="n">
        <v>418</v>
      </c>
      <c r="D28" s="131" t="n">
        <v>144.7</v>
      </c>
      <c r="E28" s="132" t="n">
        <v>44</v>
      </c>
      <c r="F28" s="131" t="n">
        <v>117</v>
      </c>
      <c r="G28" s="17" t="n">
        <v>35</v>
      </c>
      <c r="H28" s="133" t="n">
        <v>107</v>
      </c>
      <c r="I28" s="134" t="n">
        <v>44000</v>
      </c>
      <c r="J28" s="134" t="inlineStr">
        <is>
          <t>고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144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명곡동 창원명곡A-1블록신혼희망타운</t>
        </is>
      </c>
      <c r="B29" s="76" t="inlineStr">
        <is>
          <t>24.10.</t>
        </is>
      </c>
      <c r="C29" s="130" t="n">
        <v>395</v>
      </c>
      <c r="D29" s="131" t="n">
        <v>78.90000000000001</v>
      </c>
      <c r="E29" s="132" t="n">
        <v>24</v>
      </c>
      <c r="F29" s="131" t="n">
        <v>55.9</v>
      </c>
      <c r="G29" s="17" t="n">
        <v>17</v>
      </c>
      <c r="H29" s="133" t="n">
        <v>172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2</v>
      </c>
      <c r="R29" s="121" t="n">
        <v>2</v>
      </c>
      <c r="S29" s="121" t="inlineStr">
        <is>
          <t>계</t>
        </is>
      </c>
      <c r="T29" s="5" t="inlineStr">
        <is>
          <t>78A2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명곡동 창원명곡A-1블록신혼희망타운</t>
        </is>
      </c>
      <c r="B30" s="76" t="inlineStr">
        <is>
          <t>24.10.</t>
        </is>
      </c>
      <c r="C30" s="130" t="n">
        <v>395</v>
      </c>
      <c r="D30" s="131" t="n">
        <v>78.90000000000001</v>
      </c>
      <c r="E30" s="132" t="n">
        <v>24</v>
      </c>
      <c r="F30" s="131" t="n">
        <v>55.9</v>
      </c>
      <c r="G30" s="17" t="n">
        <v>17</v>
      </c>
      <c r="H30" s="133" t="n">
        <v>61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2</v>
      </c>
      <c r="S30" s="121" t="inlineStr">
        <is>
          <t>계</t>
        </is>
      </c>
      <c r="T30" s="5" t="inlineStr">
        <is>
          <t>78B2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명곡동 창원명곡A-1블록신혼희망타운</t>
        </is>
      </c>
      <c r="B31" s="76" t="inlineStr">
        <is>
          <t>24.10.</t>
        </is>
      </c>
      <c r="C31" s="130" t="n">
        <v>395</v>
      </c>
      <c r="D31" s="131" t="n">
        <v>78.59999999999999</v>
      </c>
      <c r="E31" s="132" t="n">
        <v>24</v>
      </c>
      <c r="F31" s="131" t="n">
        <v>55.7</v>
      </c>
      <c r="G31" s="17" t="n">
        <v>17</v>
      </c>
      <c r="H31" s="133" t="n">
        <v>20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2</v>
      </c>
      <c r="S31" s="121" t="inlineStr">
        <is>
          <t>계</t>
        </is>
      </c>
      <c r="T31" s="5" t="inlineStr">
        <is>
          <t>78A1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명곡동 창원명곡A-1블록신혼희망타운</t>
        </is>
      </c>
      <c r="B32" s="76" t="inlineStr">
        <is>
          <t>24.10.</t>
        </is>
      </c>
      <c r="C32" s="130" t="n">
        <v>395</v>
      </c>
      <c r="D32" s="131" t="n">
        <v>78.5</v>
      </c>
      <c r="E32" s="132" t="n">
        <v>24</v>
      </c>
      <c r="F32" s="131" t="n">
        <v>55.6</v>
      </c>
      <c r="G32" s="17" t="n">
        <v>17</v>
      </c>
      <c r="H32" s="133" t="n">
        <v>10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2</v>
      </c>
      <c r="S32" s="121" t="inlineStr">
        <is>
          <t>계</t>
        </is>
      </c>
      <c r="T32" s="5" t="inlineStr">
        <is>
          <t>78B1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명서동 두산위브</t>
        </is>
      </c>
      <c r="B33" s="76" t="inlineStr">
        <is>
          <t>10.06.</t>
        </is>
      </c>
      <c r="C33" s="130" t="n">
        <v>1522</v>
      </c>
      <c r="D33" s="131" t="n">
        <v>113.1</v>
      </c>
      <c r="E33" s="132" t="n">
        <v>34</v>
      </c>
      <c r="F33" s="131" t="n">
        <v>85</v>
      </c>
      <c r="G33" s="17" t="n">
        <v>26</v>
      </c>
      <c r="H33" s="133" t="n">
        <v>294</v>
      </c>
      <c r="I33" s="134" t="n">
        <v>53000</v>
      </c>
      <c r="J33" s="134" t="inlineStr">
        <is>
          <t>중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113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명서동 두산위브</t>
        </is>
      </c>
      <c r="B34" s="76" t="inlineStr">
        <is>
          <t>10.06.</t>
        </is>
      </c>
      <c r="C34" s="130" t="n">
        <v>1522</v>
      </c>
      <c r="D34" s="131" t="n">
        <v>128.4</v>
      </c>
      <c r="E34" s="132" t="n">
        <v>39</v>
      </c>
      <c r="F34" s="131" t="n">
        <v>103.8</v>
      </c>
      <c r="G34" s="17" t="n">
        <v>31</v>
      </c>
      <c r="H34" s="133" t="n">
        <v>120</v>
      </c>
      <c r="I34" s="134" t="n">
        <v>63000</v>
      </c>
      <c r="J34" s="134" t="inlineStr">
        <is>
          <t>15</t>
        </is>
      </c>
      <c r="K34" s="134" t="n">
        <v>45000</v>
      </c>
      <c r="L34" s="134" t="inlineStr">
        <is>
          <t>고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복</t>
        </is>
      </c>
      <c r="T34" s="5" t="inlineStr">
        <is>
          <t>128C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명서동 두산위브</t>
        </is>
      </c>
      <c r="B35" s="76" t="inlineStr">
        <is>
          <t>10.06.</t>
        </is>
      </c>
      <c r="C35" s="130" t="n">
        <v>1522</v>
      </c>
      <c r="D35" s="131" t="n">
        <v>128.2</v>
      </c>
      <c r="E35" s="132" t="n">
        <v>39</v>
      </c>
      <c r="F35" s="131" t="n">
        <v>103.6</v>
      </c>
      <c r="G35" s="17" t="n">
        <v>31</v>
      </c>
      <c r="H35" s="133" t="n">
        <v>112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128B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명서동 두산위브</t>
        </is>
      </c>
      <c r="B36" s="76" t="inlineStr">
        <is>
          <t>10.06.</t>
        </is>
      </c>
      <c r="C36" s="130" t="n">
        <v>1522</v>
      </c>
      <c r="D36" s="131" t="n">
        <v>128.2</v>
      </c>
      <c r="E36" s="132" t="n">
        <v>39</v>
      </c>
      <c r="F36" s="131" t="n">
        <v>103.5</v>
      </c>
      <c r="G36" s="17" t="n">
        <v>31</v>
      </c>
      <c r="H36" s="133" t="n">
        <v>56</v>
      </c>
      <c r="I36" s="134" t="n">
        <v>51000</v>
      </c>
      <c r="J36" s="134" t="inlineStr">
        <is>
          <t>7</t>
        </is>
      </c>
      <c r="K36" s="134" t="n">
        <v>42000</v>
      </c>
      <c r="L36" s="134" t="inlineStr">
        <is>
          <t>7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복</t>
        </is>
      </c>
      <c r="T36" s="5" t="inlineStr">
        <is>
          <t>128A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명서동 두산위브</t>
        </is>
      </c>
      <c r="B37" s="76" t="inlineStr">
        <is>
          <t>10.06.</t>
        </is>
      </c>
      <c r="C37" s="130" t="n">
        <v>1522</v>
      </c>
      <c r="D37" s="131" t="n">
        <v>145.4</v>
      </c>
      <c r="E37" s="132" t="n">
        <v>44</v>
      </c>
      <c r="F37" s="131" t="n">
        <v>118.2</v>
      </c>
      <c r="G37" s="17" t="n">
        <v>36</v>
      </c>
      <c r="H37" s="133" t="n">
        <v>30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inlineStr">
        <is>
          <t>145B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명서동 두산위브</t>
        </is>
      </c>
      <c r="B38" s="76" t="inlineStr">
        <is>
          <t>10.06.</t>
        </is>
      </c>
      <c r="C38" s="130" t="n">
        <v>1522</v>
      </c>
      <c r="D38" s="131" t="n">
        <v>145</v>
      </c>
      <c r="E38" s="132" t="n">
        <v>44</v>
      </c>
      <c r="F38" s="131" t="n">
        <v>117.3</v>
      </c>
      <c r="G38" s="17" t="n">
        <v>35</v>
      </c>
      <c r="H38" s="133" t="n">
        <v>27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4</v>
      </c>
      <c r="R38" s="121" t="n">
        <v>2</v>
      </c>
      <c r="S38" s="121" t="inlineStr">
        <is>
          <t>계</t>
        </is>
      </c>
      <c r="T38" s="5" t="inlineStr">
        <is>
          <t>145A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명서동 두산위브</t>
        </is>
      </c>
      <c r="B39" s="76" t="inlineStr">
        <is>
          <t>10.06.</t>
        </is>
      </c>
      <c r="C39" s="130" t="n">
        <v>1522</v>
      </c>
      <c r="D39" s="131" t="n">
        <v>151.9</v>
      </c>
      <c r="E39" s="132" t="n">
        <v>46</v>
      </c>
      <c r="F39" s="131" t="n">
        <v>126</v>
      </c>
      <c r="G39" s="17" t="n">
        <v>38</v>
      </c>
      <c r="H39" s="133" t="n">
        <v>58</v>
      </c>
      <c r="I39" s="134" t="n">
        <v>65000</v>
      </c>
      <c r="J39" s="134" t="inlineStr">
        <is>
          <t>6</t>
        </is>
      </c>
      <c r="K39" s="134" t="n">
        <v>47000</v>
      </c>
      <c r="L39" s="134" t="inlineStr">
        <is>
          <t>중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복</t>
        </is>
      </c>
      <c r="T39" s="5" t="inlineStr">
        <is>
          <t>151A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명서동 두산위브</t>
        </is>
      </c>
      <c r="B40" s="76" t="inlineStr">
        <is>
          <t>10.06.</t>
        </is>
      </c>
      <c r="C40" s="130" t="n">
        <v>1522</v>
      </c>
      <c r="D40" s="131" t="n">
        <v>151</v>
      </c>
      <c r="E40" s="132" t="n">
        <v>46</v>
      </c>
      <c r="F40" s="131" t="n">
        <v>126.1</v>
      </c>
      <c r="G40" s="17" t="n">
        <v>38</v>
      </c>
      <c r="H40" s="133" t="n">
        <v>56</v>
      </c>
      <c r="I40" s="134" t="n">
        <v>68500</v>
      </c>
      <c r="J40" s="134" t="inlineStr">
        <is>
          <t>고</t>
        </is>
      </c>
      <c r="K40" s="134" t="n">
        <v>50000</v>
      </c>
      <c r="L40" s="134" t="inlineStr">
        <is>
          <t>12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복</t>
        </is>
      </c>
      <c r="T40" s="5" t="inlineStr">
        <is>
          <t>151B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명서동 두산위브</t>
        </is>
      </c>
      <c r="B41" s="76" t="inlineStr">
        <is>
          <t>10.06.</t>
        </is>
      </c>
      <c r="C41" s="130" t="n">
        <v>1522</v>
      </c>
      <c r="D41" s="131" t="n">
        <v>165.2</v>
      </c>
      <c r="E41" s="132" t="n">
        <v>50</v>
      </c>
      <c r="F41" s="131" t="n">
        <v>137.9</v>
      </c>
      <c r="G41" s="17" t="n">
        <v>42</v>
      </c>
      <c r="H41" s="133" t="n">
        <v>203</v>
      </c>
      <c r="I41" s="134" t="n">
        <v>62000</v>
      </c>
      <c r="J41" s="134" t="inlineStr">
        <is>
          <t>고</t>
        </is>
      </c>
      <c r="K41" s="134" t="n">
        <v>50000</v>
      </c>
      <c r="L41" s="134" t="inlineStr">
        <is>
          <t>고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inlineStr">
        <is>
          <t>165A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명서동 두산위브</t>
        </is>
      </c>
      <c r="B42" s="76" t="inlineStr">
        <is>
          <t>10.06.</t>
        </is>
      </c>
      <c r="C42" s="130" t="n">
        <v>1522</v>
      </c>
      <c r="D42" s="131" t="n">
        <v>165.2</v>
      </c>
      <c r="E42" s="132" t="n">
        <v>50</v>
      </c>
      <c r="F42" s="131" t="n">
        <v>138</v>
      </c>
      <c r="G42" s="17" t="n">
        <v>42</v>
      </c>
      <c r="H42" s="133" t="n">
        <v>196</v>
      </c>
      <c r="I42" s="134" t="n">
        <v>67000</v>
      </c>
      <c r="J42" s="134" t="inlineStr">
        <is>
          <t>고</t>
        </is>
      </c>
      <c r="K42" s="134" t="n">
        <v>49000</v>
      </c>
      <c r="L42" s="134" t="inlineStr">
        <is>
          <t>중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inlineStr">
        <is>
          <t>165B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명서동 두산위브</t>
        </is>
      </c>
      <c r="B43" s="76" t="inlineStr">
        <is>
          <t>10.06.</t>
        </is>
      </c>
      <c r="C43" s="130" t="n">
        <v>1522</v>
      </c>
      <c r="D43" s="131" t="n">
        <v>195.7</v>
      </c>
      <c r="E43" s="132" t="n">
        <v>59</v>
      </c>
      <c r="F43" s="131" t="n">
        <v>167.5</v>
      </c>
      <c r="G43" s="17" t="n">
        <v>51</v>
      </c>
      <c r="H43" s="133" t="n">
        <v>118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inlineStr">
        <is>
          <t>195A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명서동 두산위브</t>
        </is>
      </c>
      <c r="B44" s="76" t="inlineStr">
        <is>
          <t>10.06.</t>
        </is>
      </c>
      <c r="C44" s="130" t="n">
        <v>1522</v>
      </c>
      <c r="D44" s="131" t="n">
        <v>198.2</v>
      </c>
      <c r="E44" s="132" t="n">
        <v>60</v>
      </c>
      <c r="F44" s="131" t="n">
        <v>168.2</v>
      </c>
      <c r="G44" s="17" t="n">
        <v>51</v>
      </c>
      <c r="H44" s="133" t="n">
        <v>110</v>
      </c>
      <c r="I44" s="134" t="n">
        <v>75000</v>
      </c>
      <c r="J44" s="134" t="inlineStr">
        <is>
          <t>9</t>
        </is>
      </c>
      <c r="K44" s="134" t="n">
        <v>55000</v>
      </c>
      <c r="L44" s="134" t="inlineStr">
        <is>
          <t>9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inlineStr">
        <is>
          <t>198B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명서동 두산위브</t>
        </is>
      </c>
      <c r="B45" s="76" t="inlineStr">
        <is>
          <t>10.06.</t>
        </is>
      </c>
      <c r="C45" s="130" t="n">
        <v>1522</v>
      </c>
      <c r="D45" s="131" t="n">
        <v>225.4</v>
      </c>
      <c r="E45" s="132" t="n">
        <v>68</v>
      </c>
      <c r="F45" s="131" t="n">
        <v>189.4</v>
      </c>
      <c r="G45" s="17" t="n">
        <v>57</v>
      </c>
      <c r="H45" s="133" t="n">
        <v>142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3</v>
      </c>
      <c r="S45" s="121" t="inlineStr">
        <is>
          <t>계</t>
        </is>
      </c>
      <c r="T45" s="5" t="n">
        <v>225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봉곡동 늘푸른마을코오롱</t>
        </is>
      </c>
      <c r="B46" s="76" t="inlineStr">
        <is>
          <t>99.11.</t>
        </is>
      </c>
      <c r="C46" s="130" t="n">
        <v>426</v>
      </c>
      <c r="D46" s="131" t="n">
        <v>77.5</v>
      </c>
      <c r="E46" s="132" t="n">
        <v>23</v>
      </c>
      <c r="F46" s="131" t="n">
        <v>59.4</v>
      </c>
      <c r="G46" s="17" t="n">
        <v>18</v>
      </c>
      <c r="H46" s="133" t="n">
        <v>43</v>
      </c>
      <c r="I46" s="134" t="n">
        <v>23000</v>
      </c>
      <c r="J46" s="134" t="inlineStr">
        <is>
          <t>중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계</t>
        </is>
      </c>
      <c r="T46" s="5" t="n">
        <v>77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봉곡동 늘푸른마을코오롱</t>
        </is>
      </c>
      <c r="B47" s="76" t="inlineStr">
        <is>
          <t>99.11.</t>
        </is>
      </c>
      <c r="C47" s="130" t="n">
        <v>426</v>
      </c>
      <c r="D47" s="131" t="n">
        <v>77.90000000000001</v>
      </c>
      <c r="E47" s="132" t="n">
        <v>24</v>
      </c>
      <c r="F47" s="131" t="n">
        <v>59.7</v>
      </c>
      <c r="G47" s="17" t="n">
        <v>18</v>
      </c>
      <c r="H47" s="133" t="n">
        <v>1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1</v>
      </c>
      <c r="S47" s="121" t="inlineStr">
        <is>
          <t>복</t>
        </is>
      </c>
      <c r="T47" s="5" t="n">
        <v>77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봉곡동 늘푸른마을코오롱</t>
        </is>
      </c>
      <c r="B48" s="76" t="inlineStr">
        <is>
          <t>99.11.</t>
        </is>
      </c>
      <c r="C48" s="130" t="n">
        <v>426</v>
      </c>
      <c r="D48" s="131" t="n">
        <v>103.4</v>
      </c>
      <c r="E48" s="132" t="n">
        <v>31</v>
      </c>
      <c r="F48" s="131" t="n">
        <v>84.40000000000001</v>
      </c>
      <c r="G48" s="17" t="n">
        <v>26</v>
      </c>
      <c r="H48" s="133" t="n">
        <v>382</v>
      </c>
      <c r="I48" s="134" t="n">
        <v>29000</v>
      </c>
      <c r="J48" s="134" t="inlineStr">
        <is>
          <t>고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103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봉림동 엘에이치피닉스포레</t>
        </is>
      </c>
      <c r="B49" s="76" t="inlineStr">
        <is>
          <t>11.10.</t>
        </is>
      </c>
      <c r="C49" s="130" t="n">
        <v>507</v>
      </c>
      <c r="D49" s="131" t="n">
        <v>108.4</v>
      </c>
      <c r="E49" s="132" t="n">
        <v>33</v>
      </c>
      <c r="F49" s="131" t="n">
        <v>85</v>
      </c>
      <c r="G49" s="17" t="n">
        <v>26</v>
      </c>
      <c r="H49" s="133" t="n">
        <v>150</v>
      </c>
      <c r="I49" s="134" t="n">
        <v>42000</v>
      </c>
      <c r="J49" s="134" t="inlineStr">
        <is>
          <t>5</t>
        </is>
      </c>
      <c r="K49" s="134" t="n">
        <v>36000</v>
      </c>
      <c r="L49" s="134" t="inlineStr">
        <is>
          <t>10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108A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봉림동 엘에이치피닉스포레</t>
        </is>
      </c>
      <c r="B50" s="76" t="inlineStr">
        <is>
          <t>11.10.</t>
        </is>
      </c>
      <c r="C50" s="130" t="n">
        <v>507</v>
      </c>
      <c r="D50" s="131" t="n">
        <v>108.3</v>
      </c>
      <c r="E50" s="132" t="n">
        <v>33</v>
      </c>
      <c r="F50" s="131" t="n">
        <v>84.90000000000001</v>
      </c>
      <c r="G50" s="17" t="n">
        <v>26</v>
      </c>
      <c r="H50" s="133" t="n">
        <v>141</v>
      </c>
      <c r="I50" s="134" t="n">
        <v>45000</v>
      </c>
      <c r="J50" s="134" t="inlineStr">
        <is>
          <t>13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108B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봉림동 엘에이치피닉스포레</t>
        </is>
      </c>
      <c r="B51" s="76" t="inlineStr">
        <is>
          <t>11.10.</t>
        </is>
      </c>
      <c r="C51" s="130" t="n">
        <v>507</v>
      </c>
      <c r="D51" s="131" t="n">
        <v>129.8</v>
      </c>
      <c r="E51" s="132" t="n">
        <v>39</v>
      </c>
      <c r="F51" s="131" t="n">
        <v>101.8</v>
      </c>
      <c r="G51" s="17" t="n">
        <v>31</v>
      </c>
      <c r="H51" s="133" t="n">
        <v>30</v>
      </c>
      <c r="I51" s="134" t="n"/>
      <c r="J51" s="134" t="n"/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129A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봉림동 엘에이치피닉스포레</t>
        </is>
      </c>
      <c r="B52" s="76" t="inlineStr">
        <is>
          <t>11.10.</t>
        </is>
      </c>
      <c r="C52" s="130" t="n">
        <v>507</v>
      </c>
      <c r="D52" s="131" t="n">
        <v>129.7</v>
      </c>
      <c r="E52" s="132" t="n">
        <v>39</v>
      </c>
      <c r="F52" s="131" t="n">
        <v>101.6</v>
      </c>
      <c r="G52" s="17" t="n">
        <v>31</v>
      </c>
      <c r="H52" s="133" t="n">
        <v>30</v>
      </c>
      <c r="I52" s="134" t="n">
        <v>57000</v>
      </c>
      <c r="J52" s="134" t="inlineStr">
        <is>
          <t>13</t>
        </is>
      </c>
      <c r="K52" s="134" t="n">
        <v>45000</v>
      </c>
      <c r="L52" s="134" t="inlineStr">
        <is>
          <t>13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129B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봉림동 엘에이치피닉스포레</t>
        </is>
      </c>
      <c r="B53" s="76" t="inlineStr">
        <is>
          <t>11.10.</t>
        </is>
      </c>
      <c r="C53" s="130" t="n">
        <v>507</v>
      </c>
      <c r="D53" s="131" t="n">
        <v>155.5</v>
      </c>
      <c r="E53" s="132" t="n">
        <v>47</v>
      </c>
      <c r="F53" s="131" t="n">
        <v>121.9</v>
      </c>
      <c r="G53" s="17" t="n">
        <v>37</v>
      </c>
      <c r="H53" s="133" t="n">
        <v>48</v>
      </c>
      <c r="I53" s="134" t="n">
        <v>58000</v>
      </c>
      <c r="J53" s="134" t="inlineStr">
        <is>
          <t>5</t>
        </is>
      </c>
      <c r="K53" s="134" t="n">
        <v>45000</v>
      </c>
      <c r="L53" s="134" t="inlineStr">
        <is>
          <t>12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4</v>
      </c>
      <c r="R53" s="121" t="n">
        <v>2</v>
      </c>
      <c r="S53" s="121" t="inlineStr">
        <is>
          <t>계</t>
        </is>
      </c>
      <c r="T53" s="5" t="inlineStr">
        <is>
          <t>155A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봉림동 엘에이치피닉스포레</t>
        </is>
      </c>
      <c r="B54" s="76" t="inlineStr">
        <is>
          <t>11.10.</t>
        </is>
      </c>
      <c r="C54" s="130" t="n">
        <v>507</v>
      </c>
      <c r="D54" s="131" t="n">
        <v>155.5</v>
      </c>
      <c r="E54" s="132" t="n">
        <v>47</v>
      </c>
      <c r="F54" s="131" t="n">
        <v>121.9</v>
      </c>
      <c r="G54" s="17" t="n">
        <v>37</v>
      </c>
      <c r="H54" s="133" t="n">
        <v>28</v>
      </c>
      <c r="I54" s="134" t="n">
        <v>58000</v>
      </c>
      <c r="J54" s="134" t="inlineStr">
        <is>
          <t>5</t>
        </is>
      </c>
      <c r="K54" s="134" t="n">
        <v>45000</v>
      </c>
      <c r="L54" s="134" t="inlineStr">
        <is>
          <t>12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inlineStr">
        <is>
          <t>155B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봉림동 엘에이치피닉스포레</t>
        </is>
      </c>
      <c r="B55" s="76" t="inlineStr">
        <is>
          <t>11.10.</t>
        </is>
      </c>
      <c r="C55" s="130" t="n">
        <v>507</v>
      </c>
      <c r="D55" s="131" t="n">
        <v>155.4</v>
      </c>
      <c r="E55" s="132" t="n">
        <v>47</v>
      </c>
      <c r="F55" s="131" t="n">
        <v>121.8</v>
      </c>
      <c r="G55" s="17" t="n">
        <v>37</v>
      </c>
      <c r="H55" s="133" t="n">
        <v>28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inlineStr">
        <is>
          <t>155C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봉림동 엘에이치피닉스포레</t>
        </is>
      </c>
      <c r="B56" s="76" t="inlineStr">
        <is>
          <t>11.10.</t>
        </is>
      </c>
      <c r="C56" s="130" t="n">
        <v>507</v>
      </c>
      <c r="D56" s="131" t="n">
        <v>171.3</v>
      </c>
      <c r="E56" s="132" t="n">
        <v>52</v>
      </c>
      <c r="F56" s="131" t="n">
        <v>134.3</v>
      </c>
      <c r="G56" s="17" t="n">
        <v>41</v>
      </c>
      <c r="H56" s="133" t="n">
        <v>2</v>
      </c>
      <c r="I56" s="134" t="n">
        <v>80000</v>
      </c>
      <c r="J56" s="134" t="inlineStr">
        <is>
          <t>고</t>
        </is>
      </c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inlineStr">
        <is>
          <t>171B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봉림동 엘에이치피닉스포레</t>
        </is>
      </c>
      <c r="B57" s="76" t="inlineStr">
        <is>
          <t>11.10.</t>
        </is>
      </c>
      <c r="C57" s="130" t="n">
        <v>507</v>
      </c>
      <c r="D57" s="131" t="n">
        <v>171.3</v>
      </c>
      <c r="E57" s="132" t="n">
        <v>52</v>
      </c>
      <c r="F57" s="131" t="n">
        <v>134.3</v>
      </c>
      <c r="G57" s="17" t="n">
        <v>41</v>
      </c>
      <c r="H57" s="133" t="n">
        <v>2</v>
      </c>
      <c r="I57" s="134" t="n">
        <v>80000</v>
      </c>
      <c r="J57" s="134" t="inlineStr">
        <is>
          <t>고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4</v>
      </c>
      <c r="R57" s="121" t="n">
        <v>2</v>
      </c>
      <c r="S57" s="121" t="inlineStr">
        <is>
          <t>계</t>
        </is>
      </c>
      <c r="T57" s="5" t="inlineStr">
        <is>
          <t>171C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봉림동 엘에이치피닉스포레</t>
        </is>
      </c>
      <c r="B58" s="76" t="inlineStr">
        <is>
          <t>11.10.</t>
        </is>
      </c>
      <c r="C58" s="130" t="n">
        <v>507</v>
      </c>
      <c r="D58" s="131" t="n">
        <v>172.2</v>
      </c>
      <c r="E58" s="132" t="n">
        <v>52</v>
      </c>
      <c r="F58" s="131" t="n">
        <v>135</v>
      </c>
      <c r="G58" s="17" t="n">
        <v>41</v>
      </c>
      <c r="H58" s="133" t="n">
        <v>48</v>
      </c>
      <c r="I58" s="134" t="n">
        <v>68000</v>
      </c>
      <c r="J58" s="134" t="inlineStr">
        <is>
          <t>5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inlineStr">
        <is>
          <t>172A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북면 창원무동동원로얄듀크</t>
        </is>
      </c>
      <c r="B59" s="76" t="inlineStr">
        <is>
          <t>23.12.</t>
        </is>
      </c>
      <c r="C59" s="130" t="n">
        <v>525</v>
      </c>
      <c r="D59" s="131" t="n">
        <v>83.2</v>
      </c>
      <c r="E59" s="132" t="n">
        <v>25</v>
      </c>
      <c r="F59" s="131" t="n">
        <v>63.6</v>
      </c>
      <c r="G59" s="17" t="n">
        <v>19</v>
      </c>
      <c r="H59" s="133" t="n">
        <v>35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83A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북면 창원무동동원로얄듀크</t>
        </is>
      </c>
      <c r="B60" s="76" t="inlineStr">
        <is>
          <t>23.12.</t>
        </is>
      </c>
      <c r="C60" s="130" t="n">
        <v>525</v>
      </c>
      <c r="D60" s="131" t="n">
        <v>84.09999999999999</v>
      </c>
      <c r="E60" s="132" t="n">
        <v>25</v>
      </c>
      <c r="F60" s="131" t="n">
        <v>63.8</v>
      </c>
      <c r="G60" s="17" t="n">
        <v>19</v>
      </c>
      <c r="H60" s="133" t="n">
        <v>137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84B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북면 창원무동동원로얄듀크</t>
        </is>
      </c>
      <c r="B61" s="76" t="inlineStr">
        <is>
          <t>23.12.</t>
        </is>
      </c>
      <c r="C61" s="130" t="n">
        <v>525</v>
      </c>
      <c r="D61" s="131" t="n">
        <v>98.8</v>
      </c>
      <c r="E61" s="132" t="n">
        <v>30</v>
      </c>
      <c r="F61" s="131" t="n">
        <v>75.8</v>
      </c>
      <c r="G61" s="17" t="n">
        <v>23</v>
      </c>
      <c r="H61" s="133" t="n">
        <v>353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98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북면 창원무동코아루파크</t>
        </is>
      </c>
      <c r="B62" s="76" t="inlineStr">
        <is>
          <t>18.02.</t>
        </is>
      </c>
      <c r="C62" s="130" t="n">
        <v>253</v>
      </c>
      <c r="D62" s="131" t="n">
        <v>98.3</v>
      </c>
      <c r="E62" s="132" t="n">
        <v>30</v>
      </c>
      <c r="F62" s="131" t="n">
        <v>74.2</v>
      </c>
      <c r="G62" s="17" t="n">
        <v>22</v>
      </c>
      <c r="H62" s="133" t="n">
        <v>253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98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북면 창원무동휴먼빌2단지</t>
        </is>
      </c>
      <c r="B63" s="76" t="inlineStr">
        <is>
          <t>13.06.</t>
        </is>
      </c>
      <c r="C63" s="130" t="n">
        <v>315</v>
      </c>
      <c r="D63" s="131" t="n">
        <v>80.3</v>
      </c>
      <c r="E63" s="132" t="n">
        <v>24</v>
      </c>
      <c r="F63" s="131" t="n">
        <v>60</v>
      </c>
      <c r="G63" s="17" t="n">
        <v>18</v>
      </c>
      <c r="H63" s="133" t="n">
        <v>27</v>
      </c>
      <c r="I63" s="134" t="n">
        <v>18500</v>
      </c>
      <c r="J63" s="134" t="inlineStr">
        <is>
          <t>중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80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북면 창원무동휴먼빌2단지</t>
        </is>
      </c>
      <c r="B64" s="76" t="inlineStr">
        <is>
          <t>13.06.</t>
        </is>
      </c>
      <c r="C64" s="130" t="n">
        <v>315</v>
      </c>
      <c r="D64" s="131" t="n">
        <v>113.8</v>
      </c>
      <c r="E64" s="132" t="n">
        <v>34</v>
      </c>
      <c r="F64" s="131" t="n">
        <v>85</v>
      </c>
      <c r="G64" s="17" t="n">
        <v>26</v>
      </c>
      <c r="H64" s="133" t="n">
        <v>178</v>
      </c>
      <c r="I64" s="134" t="n">
        <v>23000</v>
      </c>
      <c r="J64" s="134" t="inlineStr">
        <is>
          <t>고</t>
        </is>
      </c>
      <c r="K64" s="134" t="n">
        <v>20000</v>
      </c>
      <c r="L64" s="134" t="inlineStr">
        <is>
          <t>고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inlineStr">
        <is>
          <t>113A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북면 창원무동휴먼빌2단지</t>
        </is>
      </c>
      <c r="B65" s="76" t="inlineStr">
        <is>
          <t>13.06.</t>
        </is>
      </c>
      <c r="C65" s="130" t="n">
        <v>315</v>
      </c>
      <c r="D65" s="131" t="n">
        <v>113.5</v>
      </c>
      <c r="E65" s="132" t="n">
        <v>34</v>
      </c>
      <c r="F65" s="131" t="n">
        <v>85</v>
      </c>
      <c r="G65" s="17" t="n">
        <v>26</v>
      </c>
      <c r="H65" s="133" t="n">
        <v>110</v>
      </c>
      <c r="I65" s="134" t="n">
        <v>24500</v>
      </c>
      <c r="J65" s="134" t="inlineStr">
        <is>
          <t>고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113B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북면 창원무동센텀파라디아</t>
        </is>
      </c>
      <c r="B66" s="76" t="inlineStr">
        <is>
          <t>18.03.</t>
        </is>
      </c>
      <c r="C66" s="130" t="n">
        <v>1034</v>
      </c>
      <c r="D66" s="131" t="n">
        <v>84</v>
      </c>
      <c r="E66" s="132" t="n">
        <v>25</v>
      </c>
      <c r="F66" s="131" t="n">
        <v>60</v>
      </c>
      <c r="G66" s="17" t="n">
        <v>18</v>
      </c>
      <c r="H66" s="133" t="n">
        <v>604</v>
      </c>
      <c r="I66" s="134" t="n">
        <v>20400</v>
      </c>
      <c r="J66" s="134" t="inlineStr">
        <is>
          <t>중</t>
        </is>
      </c>
      <c r="K66" s="134" t="n">
        <v>20000</v>
      </c>
      <c r="L66" s="134" t="inlineStr">
        <is>
          <t>고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84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북면 창원무동센텀파라디아</t>
        </is>
      </c>
      <c r="B67" s="76" t="inlineStr">
        <is>
          <t>18.03.</t>
        </is>
      </c>
      <c r="C67" s="130" t="n">
        <v>1034</v>
      </c>
      <c r="D67" s="131" t="n">
        <v>98.40000000000001</v>
      </c>
      <c r="E67" s="132" t="n">
        <v>30</v>
      </c>
      <c r="F67" s="131" t="n">
        <v>73</v>
      </c>
      <c r="G67" s="17" t="n">
        <v>22</v>
      </c>
      <c r="H67" s="133" t="n">
        <v>166</v>
      </c>
      <c r="I67" s="134" t="n">
        <v>25500</v>
      </c>
      <c r="J67" s="134" t="inlineStr">
        <is>
          <t>중</t>
        </is>
      </c>
      <c r="K67" s="134" t="n">
        <v>23000</v>
      </c>
      <c r="L67" s="134" t="inlineStr">
        <is>
          <t>중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98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북면 창원무동센텀파라디아</t>
        </is>
      </c>
      <c r="B68" s="76" t="inlineStr">
        <is>
          <t>18.03.</t>
        </is>
      </c>
      <c r="C68" s="130" t="n">
        <v>1034</v>
      </c>
      <c r="D68" s="131" t="n">
        <v>113.3</v>
      </c>
      <c r="E68" s="132" t="n">
        <v>34</v>
      </c>
      <c r="F68" s="131" t="n">
        <v>85</v>
      </c>
      <c r="G68" s="17" t="n">
        <v>26</v>
      </c>
      <c r="H68" s="133" t="n">
        <v>176</v>
      </c>
      <c r="I68" s="134" t="n">
        <v>29500</v>
      </c>
      <c r="J68" s="134" t="inlineStr">
        <is>
          <t>고</t>
        </is>
      </c>
      <c r="K68" s="134" t="n">
        <v>26000</v>
      </c>
      <c r="L68" s="134" t="inlineStr">
        <is>
          <t>고</t>
        </is>
      </c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113A</t>
        </is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북면 창원무동센텀파라디아</t>
        </is>
      </c>
      <c r="B69" s="76" t="inlineStr">
        <is>
          <t>18.03.</t>
        </is>
      </c>
      <c r="C69" s="130" t="n">
        <v>1034</v>
      </c>
      <c r="D69" s="131" t="n">
        <v>122</v>
      </c>
      <c r="E69" s="132" t="n">
        <v>37</v>
      </c>
      <c r="F69" s="131" t="n">
        <v>85</v>
      </c>
      <c r="G69" s="17" t="n">
        <v>26</v>
      </c>
      <c r="H69" s="133" t="n">
        <v>88</v>
      </c>
      <c r="I69" s="134" t="n">
        <v>34500</v>
      </c>
      <c r="J69" s="134" t="inlineStr">
        <is>
          <t>고</t>
        </is>
      </c>
      <c r="K69" s="134" t="n">
        <v>25000</v>
      </c>
      <c r="L69" s="134" t="inlineStr">
        <is>
          <t>고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121B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북면 춘광2차</t>
        </is>
      </c>
      <c r="B70" s="76" t="inlineStr">
        <is>
          <t>95.12.</t>
        </is>
      </c>
      <c r="C70" s="130" t="n">
        <v>218</v>
      </c>
      <c r="D70" s="131" t="n">
        <v>51.8</v>
      </c>
      <c r="E70" s="132" t="n">
        <v>16</v>
      </c>
      <c r="F70" s="131" t="n">
        <v>39.4</v>
      </c>
      <c r="G70" s="17" t="n">
        <v>12</v>
      </c>
      <c r="H70" s="133" t="n">
        <v>25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복</t>
        </is>
      </c>
      <c r="T70" s="5" t="n">
        <v>51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북면 춘광2차</t>
        </is>
      </c>
      <c r="B71" s="76" t="inlineStr">
        <is>
          <t>95.12.</t>
        </is>
      </c>
      <c r="C71" s="130" t="n">
        <v>218</v>
      </c>
      <c r="D71" s="131" t="n">
        <v>76.09999999999999</v>
      </c>
      <c r="E71" s="132" t="n">
        <v>23</v>
      </c>
      <c r="F71" s="131" t="n">
        <v>57.9</v>
      </c>
      <c r="G71" s="17" t="n">
        <v>18</v>
      </c>
      <c r="H71" s="133" t="n">
        <v>105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1</v>
      </c>
      <c r="S71" s="121" t="inlineStr">
        <is>
          <t>복</t>
        </is>
      </c>
      <c r="T71" s="5" t="n">
        <v>76</v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북면 춘광2차</t>
        </is>
      </c>
      <c r="B72" s="76" t="inlineStr">
        <is>
          <t>95.12.</t>
        </is>
      </c>
      <c r="C72" s="130" t="n">
        <v>218</v>
      </c>
      <c r="D72" s="131" t="n">
        <v>78.59999999999999</v>
      </c>
      <c r="E72" s="132" t="n">
        <v>24</v>
      </c>
      <c r="F72" s="131" t="n">
        <v>59.8</v>
      </c>
      <c r="G72" s="17" t="n">
        <v>18</v>
      </c>
      <c r="H72" s="133" t="n">
        <v>88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1</v>
      </c>
      <c r="S72" s="121" t="inlineStr">
        <is>
          <t>복</t>
        </is>
      </c>
      <c r="T72" s="5" t="n">
        <v>78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북면 창원감계힐스테이트1차</t>
        </is>
      </c>
      <c r="B73" s="76" t="inlineStr">
        <is>
          <t>14.03.</t>
        </is>
      </c>
      <c r="C73" s="130" t="n">
        <v>1082</v>
      </c>
      <c r="D73" s="131" t="n">
        <v>95.59999999999999</v>
      </c>
      <c r="E73" s="132" t="n">
        <v>29</v>
      </c>
      <c r="F73" s="131" t="n">
        <v>68.8</v>
      </c>
      <c r="G73" s="17" t="n">
        <v>21</v>
      </c>
      <c r="H73" s="133" t="n">
        <v>74</v>
      </c>
      <c r="I73" s="134" t="n">
        <v>32000</v>
      </c>
      <c r="J73" s="134" t="inlineStr">
        <is>
          <t>15</t>
        </is>
      </c>
      <c r="K73" s="134" t="n">
        <v>26000</v>
      </c>
      <c r="L73" s="134" t="inlineStr">
        <is>
          <t>고</t>
        </is>
      </c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inlineStr">
        <is>
          <t>95A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북면 창원감계힐스테이트1차</t>
        </is>
      </c>
      <c r="B74" s="76" t="inlineStr">
        <is>
          <t>14.03.</t>
        </is>
      </c>
      <c r="C74" s="130" t="n">
        <v>1082</v>
      </c>
      <c r="D74" s="131" t="n">
        <v>95.8</v>
      </c>
      <c r="E74" s="132" t="n">
        <v>29</v>
      </c>
      <c r="F74" s="131" t="n">
        <v>68.40000000000001</v>
      </c>
      <c r="G74" s="17" t="n">
        <v>21</v>
      </c>
      <c r="H74" s="133" t="n">
        <v>44</v>
      </c>
      <c r="I74" s="134" t="n">
        <v>32000</v>
      </c>
      <c r="J74" s="134" t="inlineStr">
        <is>
          <t>고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inlineStr">
        <is>
          <t>95B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북면 창원감계힐스테이트1차</t>
        </is>
      </c>
      <c r="B75" s="76" t="inlineStr">
        <is>
          <t>14.03.</t>
        </is>
      </c>
      <c r="C75" s="130" t="n">
        <v>1082</v>
      </c>
      <c r="D75" s="131" t="n">
        <v>114.7</v>
      </c>
      <c r="E75" s="132" t="n">
        <v>35</v>
      </c>
      <c r="F75" s="131" t="n">
        <v>85</v>
      </c>
      <c r="G75" s="17" t="n">
        <v>26</v>
      </c>
      <c r="H75" s="133" t="n">
        <v>377</v>
      </c>
      <c r="I75" s="134" t="n">
        <v>31000</v>
      </c>
      <c r="J75" s="134" t="inlineStr">
        <is>
          <t>고</t>
        </is>
      </c>
      <c r="K75" s="134" t="n">
        <v>24000</v>
      </c>
      <c r="L75" s="134" t="inlineStr">
        <is>
          <t>중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114A</t>
        </is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북면 창원감계힐스테이트1차</t>
        </is>
      </c>
      <c r="B76" s="76" t="inlineStr">
        <is>
          <t>14.03.</t>
        </is>
      </c>
      <c r="C76" s="130" t="n">
        <v>1082</v>
      </c>
      <c r="D76" s="131" t="n">
        <v>115.3</v>
      </c>
      <c r="E76" s="132" t="n">
        <v>35</v>
      </c>
      <c r="F76" s="131" t="n">
        <v>84.90000000000001</v>
      </c>
      <c r="G76" s="17" t="n">
        <v>26</v>
      </c>
      <c r="H76" s="133" t="n">
        <v>459</v>
      </c>
      <c r="I76" s="134" t="n">
        <v>29000</v>
      </c>
      <c r="J76" s="134" t="inlineStr">
        <is>
          <t>17</t>
        </is>
      </c>
      <c r="K76" s="134" t="n">
        <v>27000</v>
      </c>
      <c r="L76" s="134" t="inlineStr">
        <is>
          <t>7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inlineStr">
        <is>
          <t>115B</t>
        </is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북면 창원감계힐스테이트1차</t>
        </is>
      </c>
      <c r="B77" s="76" t="inlineStr">
        <is>
          <t>14.03.</t>
        </is>
      </c>
      <c r="C77" s="130" t="n">
        <v>1082</v>
      </c>
      <c r="D77" s="131" t="n">
        <v>132.2</v>
      </c>
      <c r="E77" s="132" t="n">
        <v>40</v>
      </c>
      <c r="F77" s="131" t="n">
        <v>101.9</v>
      </c>
      <c r="G77" s="17" t="n">
        <v>31</v>
      </c>
      <c r="H77" s="133" t="n">
        <v>128</v>
      </c>
      <c r="I77" s="134" t="n"/>
      <c r="J77" s="134" t="n"/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n">
        <v>132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북면 창원동전월드메르디앙</t>
        </is>
      </c>
      <c r="B78" s="76" t="inlineStr">
        <is>
          <t>16.10.</t>
        </is>
      </c>
      <c r="C78" s="130" t="n">
        <v>217</v>
      </c>
      <c r="D78" s="131" t="n">
        <v>86.7</v>
      </c>
      <c r="E78" s="132" t="n">
        <v>26</v>
      </c>
      <c r="F78" s="131" t="n">
        <v>67.59999999999999</v>
      </c>
      <c r="G78" s="17" t="n">
        <v>20</v>
      </c>
      <c r="H78" s="133" t="n">
        <v>77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86A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북면 창원동전월드메르디앙</t>
        </is>
      </c>
      <c r="B79" s="76" t="inlineStr">
        <is>
          <t>16.10.</t>
        </is>
      </c>
      <c r="C79" s="130" t="n">
        <v>217</v>
      </c>
      <c r="D79" s="131" t="n">
        <v>86.7</v>
      </c>
      <c r="E79" s="132" t="n">
        <v>26</v>
      </c>
      <c r="F79" s="131" t="n">
        <v>67.59999999999999</v>
      </c>
      <c r="G79" s="17" t="n">
        <v>20</v>
      </c>
      <c r="H79" s="133" t="n">
        <v>1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86B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북면 창원동전월드메르디앙</t>
        </is>
      </c>
      <c r="B80" s="76" t="inlineStr">
        <is>
          <t>16.10.</t>
        </is>
      </c>
      <c r="C80" s="130" t="n">
        <v>217</v>
      </c>
      <c r="D80" s="131" t="n">
        <v>89.59999999999999</v>
      </c>
      <c r="E80" s="132" t="n">
        <v>27</v>
      </c>
      <c r="F80" s="131" t="n">
        <v>69.59999999999999</v>
      </c>
      <c r="G80" s="17" t="n">
        <v>21</v>
      </c>
      <c r="H80" s="133" t="n">
        <v>7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inlineStr">
        <is>
          <t>89B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북면 창원동전월드메르디앙</t>
        </is>
      </c>
      <c r="B81" s="76" t="inlineStr">
        <is>
          <t>16.10.</t>
        </is>
      </c>
      <c r="C81" s="130" t="n">
        <v>217</v>
      </c>
      <c r="D81" s="131" t="n">
        <v>90.2</v>
      </c>
      <c r="E81" s="132" t="n">
        <v>27</v>
      </c>
      <c r="F81" s="131" t="n">
        <v>69.3</v>
      </c>
      <c r="G81" s="17" t="n">
        <v>21</v>
      </c>
      <c r="H81" s="133" t="n">
        <v>20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90A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북면 창원동전월드메르디앙</t>
        </is>
      </c>
      <c r="B82" s="76" t="inlineStr">
        <is>
          <t>16.10.</t>
        </is>
      </c>
      <c r="C82" s="130" t="n">
        <v>217</v>
      </c>
      <c r="D82" s="131" t="n">
        <v>100.6</v>
      </c>
      <c r="E82" s="132" t="n">
        <v>30</v>
      </c>
      <c r="F82" s="131" t="n">
        <v>78.7</v>
      </c>
      <c r="G82" s="17" t="n">
        <v>24</v>
      </c>
      <c r="H82" s="133" t="n">
        <v>112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n">
        <v>100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북면 창원감계힐스테이트4차</t>
        </is>
      </c>
      <c r="B83" s="76" t="inlineStr">
        <is>
          <t>17.04.</t>
        </is>
      </c>
      <c r="C83" s="130" t="n">
        <v>1665</v>
      </c>
      <c r="D83" s="131" t="n">
        <v>85.7</v>
      </c>
      <c r="E83" s="132" t="n">
        <v>26</v>
      </c>
      <c r="F83" s="131" t="n">
        <v>59.9</v>
      </c>
      <c r="G83" s="17" t="n">
        <v>18</v>
      </c>
      <c r="H83" s="133" t="n">
        <v>164</v>
      </c>
      <c r="I83" s="134" t="n">
        <v>23000</v>
      </c>
      <c r="J83" s="134" t="inlineStr">
        <is>
          <t>중</t>
        </is>
      </c>
      <c r="K83" s="134" t="n">
        <v>22000</v>
      </c>
      <c r="L83" s="134" t="inlineStr">
        <is>
          <t>17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inlineStr">
        <is>
          <t>85A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북면 창원감계힐스테이트4차</t>
        </is>
      </c>
      <c r="B84" s="76" t="inlineStr">
        <is>
          <t>17.04.</t>
        </is>
      </c>
      <c r="C84" s="130" t="n">
        <v>1665</v>
      </c>
      <c r="D84" s="131" t="n">
        <v>85.40000000000001</v>
      </c>
      <c r="E84" s="132" t="n">
        <v>26</v>
      </c>
      <c r="F84" s="131" t="n">
        <v>59</v>
      </c>
      <c r="G84" s="17" t="n">
        <v>18</v>
      </c>
      <c r="H84" s="133" t="n">
        <v>93</v>
      </c>
      <c r="I84" s="134" t="n">
        <v>24000</v>
      </c>
      <c r="J84" s="134" t="inlineStr">
        <is>
          <t>중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inlineStr">
        <is>
          <t>85B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북면 창원감계힐스테이트4차</t>
        </is>
      </c>
      <c r="B85" s="76" t="inlineStr">
        <is>
          <t>17.04.</t>
        </is>
      </c>
      <c r="C85" s="130" t="n">
        <v>1665</v>
      </c>
      <c r="D85" s="131" t="n">
        <v>95.3</v>
      </c>
      <c r="E85" s="132" t="n">
        <v>29</v>
      </c>
      <c r="F85" s="131" t="n">
        <v>69</v>
      </c>
      <c r="G85" s="17" t="n">
        <v>21</v>
      </c>
      <c r="H85" s="133" t="n">
        <v>380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inlineStr">
        <is>
          <t>95A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북면 창원감계힐스테이트4차</t>
        </is>
      </c>
      <c r="B86" s="76" t="inlineStr">
        <is>
          <t>17.04.</t>
        </is>
      </c>
      <c r="C86" s="130" t="n">
        <v>1665</v>
      </c>
      <c r="D86" s="131" t="n">
        <v>95.8</v>
      </c>
      <c r="E86" s="132" t="n">
        <v>29</v>
      </c>
      <c r="F86" s="131" t="n">
        <v>68.7</v>
      </c>
      <c r="G86" s="17" t="n">
        <v>21</v>
      </c>
      <c r="H86" s="133" t="n">
        <v>95</v>
      </c>
      <c r="I86" s="134" t="n">
        <v>27500</v>
      </c>
      <c r="J86" s="134" t="inlineStr">
        <is>
          <t>고</t>
        </is>
      </c>
      <c r="K86" s="134" t="n">
        <v>25000</v>
      </c>
      <c r="L86" s="134" t="inlineStr">
        <is>
          <t>중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inlineStr">
        <is>
          <t>95B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북면 창원감계힐스테이트4차</t>
        </is>
      </c>
      <c r="B87" s="76" t="inlineStr">
        <is>
          <t>17.04.</t>
        </is>
      </c>
      <c r="C87" s="130" t="n">
        <v>1665</v>
      </c>
      <c r="D87" s="131" t="n">
        <v>108.1</v>
      </c>
      <c r="E87" s="132" t="n">
        <v>33</v>
      </c>
      <c r="F87" s="131" t="n">
        <v>79</v>
      </c>
      <c r="G87" s="17" t="n">
        <v>24</v>
      </c>
      <c r="H87" s="133" t="n">
        <v>143</v>
      </c>
      <c r="I87" s="134" t="n">
        <v>34000</v>
      </c>
      <c r="J87" s="134" t="inlineStr">
        <is>
          <t>고</t>
        </is>
      </c>
      <c r="K87" s="134" t="n">
        <v>26000</v>
      </c>
      <c r="L87" s="134" t="inlineStr">
        <is>
          <t>15</t>
        </is>
      </c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inlineStr">
        <is>
          <t>108A</t>
        </is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북면 창원감계힐스테이트4차</t>
        </is>
      </c>
      <c r="B88" s="76" t="inlineStr">
        <is>
          <t>17.04.</t>
        </is>
      </c>
      <c r="C88" s="130" t="n">
        <v>1665</v>
      </c>
      <c r="D88" s="131" t="n">
        <v>108.3</v>
      </c>
      <c r="E88" s="132" t="n">
        <v>33</v>
      </c>
      <c r="F88" s="131" t="n">
        <v>78.90000000000001</v>
      </c>
      <c r="G88" s="17" t="n">
        <v>24</v>
      </c>
      <c r="H88" s="133" t="n">
        <v>142</v>
      </c>
      <c r="I88" s="134" t="n">
        <v>32000</v>
      </c>
      <c r="J88" s="134" t="inlineStr">
        <is>
          <t>고</t>
        </is>
      </c>
      <c r="K88" s="134" t="n">
        <v>28000</v>
      </c>
      <c r="L88" s="134" t="inlineStr">
        <is>
          <t>고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inlineStr">
        <is>
          <t>108B</t>
        </is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북면 창원감계힐스테이트4차</t>
        </is>
      </c>
      <c r="B89" s="76" t="inlineStr">
        <is>
          <t>17.04.</t>
        </is>
      </c>
      <c r="C89" s="130" t="n">
        <v>1665</v>
      </c>
      <c r="D89" s="131" t="n">
        <v>115.7</v>
      </c>
      <c r="E89" s="132" t="n">
        <v>35</v>
      </c>
      <c r="F89" s="131" t="n">
        <v>85</v>
      </c>
      <c r="G89" s="17" t="n">
        <v>26</v>
      </c>
      <c r="H89" s="133" t="n">
        <v>514</v>
      </c>
      <c r="I89" s="134" t="n">
        <v>33000</v>
      </c>
      <c r="J89" s="134" t="inlineStr">
        <is>
          <t>중</t>
        </is>
      </c>
      <c r="K89" s="134" t="n">
        <v>26000</v>
      </c>
      <c r="L89" s="134" t="inlineStr">
        <is>
          <t>중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n">
        <v>115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북면 창원감계힐스테이트4차</t>
        </is>
      </c>
      <c r="B90" s="76" t="inlineStr">
        <is>
          <t>17.04.</t>
        </is>
      </c>
      <c r="C90" s="130" t="n">
        <v>1665</v>
      </c>
      <c r="D90" s="131" t="n">
        <v>131.8</v>
      </c>
      <c r="E90" s="132" t="n">
        <v>40</v>
      </c>
      <c r="F90" s="131" t="n">
        <v>101.9</v>
      </c>
      <c r="G90" s="17" t="n">
        <v>31</v>
      </c>
      <c r="H90" s="133" t="n">
        <v>134</v>
      </c>
      <c r="I90" s="134" t="n">
        <v>44500</v>
      </c>
      <c r="J90" s="134" t="inlineStr">
        <is>
          <t>고</t>
        </is>
      </c>
      <c r="K90" s="134" t="n">
        <v>33000</v>
      </c>
      <c r="L90" s="134" t="inlineStr">
        <is>
          <t>고</t>
        </is>
      </c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4</v>
      </c>
      <c r="R90" s="121" t="n">
        <v>2</v>
      </c>
      <c r="S90" s="121" t="inlineStr">
        <is>
          <t>계</t>
        </is>
      </c>
      <c r="T90" s="5" t="n">
        <v>131</v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북면 대호</t>
        </is>
      </c>
      <c r="B91" s="76" t="inlineStr">
        <is>
          <t>98.06.</t>
        </is>
      </c>
      <c r="C91" s="130" t="n">
        <v>294</v>
      </c>
      <c r="D91" s="131" t="n">
        <v>69.40000000000001</v>
      </c>
      <c r="E91" s="132" t="n">
        <v>21</v>
      </c>
      <c r="F91" s="131" t="n">
        <v>59.8</v>
      </c>
      <c r="G91" s="17" t="n">
        <v>18</v>
      </c>
      <c r="H91" s="133" t="n">
        <v>174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1</v>
      </c>
      <c r="S91" s="121" t="inlineStr">
        <is>
          <t>계</t>
        </is>
      </c>
      <c r="T91" s="5" t="inlineStr">
        <is>
          <t>69B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북면 대호</t>
        </is>
      </c>
      <c r="B92" s="76" t="inlineStr">
        <is>
          <t>98.06.</t>
        </is>
      </c>
      <c r="C92" s="130" t="n">
        <v>294</v>
      </c>
      <c r="D92" s="131" t="n">
        <v>69.2</v>
      </c>
      <c r="E92" s="132" t="n">
        <v>21</v>
      </c>
      <c r="F92" s="131" t="n">
        <v>59.7</v>
      </c>
      <c r="G92" s="17" t="n">
        <v>18</v>
      </c>
      <c r="H92" s="133" t="n">
        <v>120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2</v>
      </c>
      <c r="R92" s="121" t="n">
        <v>1</v>
      </c>
      <c r="S92" s="121" t="inlineStr">
        <is>
          <t>계</t>
        </is>
      </c>
      <c r="T92" s="5" t="inlineStr">
        <is>
          <t>69A</t>
        </is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북면 창원감계아내에코프리미엄</t>
        </is>
      </c>
      <c r="B93" s="76" t="inlineStr">
        <is>
          <t>14.09.</t>
        </is>
      </c>
      <c r="C93" s="130" t="n">
        <v>812</v>
      </c>
      <c r="D93" s="131" t="n">
        <v>111.8</v>
      </c>
      <c r="E93" s="132" t="n">
        <v>34</v>
      </c>
      <c r="F93" s="131" t="n">
        <v>85</v>
      </c>
      <c r="G93" s="17" t="n">
        <v>26</v>
      </c>
      <c r="H93" s="133" t="n">
        <v>442</v>
      </c>
      <c r="I93" s="134" t="n">
        <v>30000</v>
      </c>
      <c r="J93" s="134" t="inlineStr">
        <is>
          <t>고</t>
        </is>
      </c>
      <c r="K93" s="134" t="n">
        <v>27000</v>
      </c>
      <c r="L93" s="134" t="inlineStr">
        <is>
          <t>고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111A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북면 창원감계아내에코프리미엄</t>
        </is>
      </c>
      <c r="B94" s="76" t="inlineStr">
        <is>
          <t>14.09.</t>
        </is>
      </c>
      <c r="C94" s="130" t="n">
        <v>812</v>
      </c>
      <c r="D94" s="131" t="n">
        <v>111.3</v>
      </c>
      <c r="E94" s="132" t="n">
        <v>34</v>
      </c>
      <c r="F94" s="131" t="n">
        <v>84.8</v>
      </c>
      <c r="G94" s="17" t="n">
        <v>26</v>
      </c>
      <c r="H94" s="133" t="n">
        <v>213</v>
      </c>
      <c r="I94" s="134" t="n">
        <v>31000</v>
      </c>
      <c r="J94" s="134" t="inlineStr">
        <is>
          <t>고</t>
        </is>
      </c>
      <c r="K94" s="134" t="n">
        <v>27000</v>
      </c>
      <c r="L94" s="134" t="inlineStr">
        <is>
          <t>중</t>
        </is>
      </c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111C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북면 창원감계아내에코프리미엄</t>
        </is>
      </c>
      <c r="B95" s="76" t="inlineStr">
        <is>
          <t>14.09.</t>
        </is>
      </c>
      <c r="C95" s="130" t="n">
        <v>812</v>
      </c>
      <c r="D95" s="131" t="n">
        <v>111.3</v>
      </c>
      <c r="E95" s="132" t="n">
        <v>34</v>
      </c>
      <c r="F95" s="131" t="n">
        <v>85</v>
      </c>
      <c r="G95" s="17" t="n">
        <v>26</v>
      </c>
      <c r="H95" s="133" t="n">
        <v>157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111B</t>
        </is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북면 창원무동STX칸2차</t>
        </is>
      </c>
      <c r="B96" s="76" t="inlineStr">
        <is>
          <t>15.01.</t>
        </is>
      </c>
      <c r="C96" s="130" t="n">
        <v>231</v>
      </c>
      <c r="D96" s="131" t="n">
        <v>84.3</v>
      </c>
      <c r="E96" s="132" t="n">
        <v>25</v>
      </c>
      <c r="F96" s="131" t="n">
        <v>60</v>
      </c>
      <c r="G96" s="17" t="n">
        <v>18</v>
      </c>
      <c r="H96" s="133" t="n">
        <v>24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84A</t>
        </is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북면 창원무동STX칸2차</t>
        </is>
      </c>
      <c r="B97" s="76" t="inlineStr">
        <is>
          <t>15.01.</t>
        </is>
      </c>
      <c r="C97" s="130" t="n">
        <v>231</v>
      </c>
      <c r="D97" s="131" t="n">
        <v>113.1</v>
      </c>
      <c r="E97" s="132" t="n">
        <v>34</v>
      </c>
      <c r="F97" s="131" t="n">
        <v>85</v>
      </c>
      <c r="G97" s="17" t="n">
        <v>26</v>
      </c>
      <c r="H97" s="133" t="n">
        <v>104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inlineStr">
        <is>
          <t>113A</t>
        </is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북면 창원무동STX칸2차</t>
        </is>
      </c>
      <c r="B98" s="76" t="inlineStr">
        <is>
          <t>15.01.</t>
        </is>
      </c>
      <c r="C98" s="130" t="n">
        <v>231</v>
      </c>
      <c r="D98" s="131" t="n">
        <v>113.8</v>
      </c>
      <c r="E98" s="132" t="n">
        <v>34</v>
      </c>
      <c r="F98" s="131" t="n">
        <v>85</v>
      </c>
      <c r="G98" s="17" t="n">
        <v>26</v>
      </c>
      <c r="H98" s="133" t="n">
        <v>103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113B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북면 창원감계푸르지오</t>
        </is>
      </c>
      <c r="B99" s="76" t="inlineStr">
        <is>
          <t>17.02.</t>
        </is>
      </c>
      <c r="C99" s="130" t="n">
        <v>583</v>
      </c>
      <c r="D99" s="131" t="n">
        <v>85.8</v>
      </c>
      <c r="E99" s="132" t="n">
        <v>26</v>
      </c>
      <c r="F99" s="131" t="n">
        <v>60</v>
      </c>
      <c r="G99" s="17" t="n">
        <v>18</v>
      </c>
      <c r="H99" s="133" t="n">
        <v>67</v>
      </c>
      <c r="I99" s="134" t="n">
        <v>23000</v>
      </c>
      <c r="J99" s="134" t="inlineStr">
        <is>
          <t>고</t>
        </is>
      </c>
      <c r="K99" s="134" t="n">
        <v>22000</v>
      </c>
      <c r="L99" s="134" t="inlineStr">
        <is>
          <t>고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n">
        <v>85</v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북면 창원감계푸르지오</t>
        </is>
      </c>
      <c r="B100" s="76" t="inlineStr">
        <is>
          <t>17.02.</t>
        </is>
      </c>
      <c r="C100" s="130" t="n">
        <v>583</v>
      </c>
      <c r="D100" s="131" t="n">
        <v>97.90000000000001</v>
      </c>
      <c r="E100" s="132" t="n">
        <v>30</v>
      </c>
      <c r="F100" s="131" t="n">
        <v>72.90000000000001</v>
      </c>
      <c r="G100" s="17" t="n">
        <v>22</v>
      </c>
      <c r="H100" s="133" t="n">
        <v>262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97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북면 창원감계푸르지오</t>
        </is>
      </c>
      <c r="B101" s="76" t="inlineStr">
        <is>
          <t>17.02.</t>
        </is>
      </c>
      <c r="C101" s="130" t="n">
        <v>583</v>
      </c>
      <c r="D101" s="131" t="n">
        <v>113.4</v>
      </c>
      <c r="E101" s="132" t="n">
        <v>34</v>
      </c>
      <c r="F101" s="131" t="n">
        <v>84.90000000000001</v>
      </c>
      <c r="G101" s="17" t="n">
        <v>26</v>
      </c>
      <c r="H101" s="133" t="n">
        <v>254</v>
      </c>
      <c r="I101" s="134" t="n">
        <v>35000</v>
      </c>
      <c r="J101" s="134" t="inlineStr">
        <is>
          <t>중</t>
        </is>
      </c>
      <c r="K101" s="134" t="n">
        <v>26000</v>
      </c>
      <c r="L101" s="134" t="inlineStr">
        <is>
          <t>13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4</v>
      </c>
      <c r="R101" s="121" t="n">
        <v>2</v>
      </c>
      <c r="S101" s="121" t="inlineStr">
        <is>
          <t>계</t>
        </is>
      </c>
      <c r="T101" s="5" t="n">
        <v>113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북면 창원감계힐스테이트3차</t>
        </is>
      </c>
      <c r="B102" s="76" t="inlineStr">
        <is>
          <t>14.12.</t>
        </is>
      </c>
      <c r="C102" s="130" t="n">
        <v>630</v>
      </c>
      <c r="D102" s="131" t="n">
        <v>115</v>
      </c>
      <c r="E102" s="132" t="n">
        <v>35</v>
      </c>
      <c r="F102" s="131" t="n">
        <v>84.8</v>
      </c>
      <c r="G102" s="17" t="n">
        <v>26</v>
      </c>
      <c r="H102" s="133" t="n">
        <v>274</v>
      </c>
      <c r="I102" s="134" t="n">
        <v>33000</v>
      </c>
      <c r="J102" s="134" t="inlineStr">
        <is>
          <t>12</t>
        </is>
      </c>
      <c r="K102" s="134" t="n">
        <v>28000</v>
      </c>
      <c r="L102" s="134" t="inlineStr">
        <is>
          <t>중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inlineStr">
        <is>
          <t>114A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북면 창원감계힐스테이트3차</t>
        </is>
      </c>
      <c r="B103" s="76" t="inlineStr">
        <is>
          <t>14.12.</t>
        </is>
      </c>
      <c r="C103" s="130" t="n">
        <v>630</v>
      </c>
      <c r="D103" s="131" t="n">
        <v>114.7</v>
      </c>
      <c r="E103" s="132" t="n">
        <v>35</v>
      </c>
      <c r="F103" s="131" t="n">
        <v>84.8</v>
      </c>
      <c r="G103" s="17" t="n">
        <v>26</v>
      </c>
      <c r="H103" s="133" t="n">
        <v>145</v>
      </c>
      <c r="I103" s="134" t="n">
        <v>29500</v>
      </c>
      <c r="J103" s="134" t="inlineStr">
        <is>
          <t>18</t>
        </is>
      </c>
      <c r="K103" s="134" t="n">
        <v>28000</v>
      </c>
      <c r="L103" s="134" t="inlineStr">
        <is>
          <t>고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inlineStr">
        <is>
          <t>114B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북면 창원감계힐스테이트3차</t>
        </is>
      </c>
      <c r="B104" s="76" t="inlineStr">
        <is>
          <t>14.12.</t>
        </is>
      </c>
      <c r="C104" s="130" t="n">
        <v>630</v>
      </c>
      <c r="D104" s="131" t="n">
        <v>114.6</v>
      </c>
      <c r="E104" s="132" t="n">
        <v>35</v>
      </c>
      <c r="F104" s="131" t="n">
        <v>84.7</v>
      </c>
      <c r="G104" s="17" t="n">
        <v>26</v>
      </c>
      <c r="H104" s="133" t="n">
        <v>145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inlineStr">
        <is>
          <t>114C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북면 창원감계힐스테이트3차</t>
        </is>
      </c>
      <c r="B105" s="76" t="inlineStr">
        <is>
          <t>14.12.</t>
        </is>
      </c>
      <c r="C105" s="130" t="n">
        <v>630</v>
      </c>
      <c r="D105" s="131" t="n">
        <v>132.2</v>
      </c>
      <c r="E105" s="132" t="n">
        <v>40</v>
      </c>
      <c r="F105" s="131" t="n">
        <v>101.7</v>
      </c>
      <c r="G105" s="17" t="n">
        <v>31</v>
      </c>
      <c r="H105" s="133" t="n">
        <v>66</v>
      </c>
      <c r="I105" s="134" t="n">
        <v>48000</v>
      </c>
      <c r="J105" s="134" t="inlineStr">
        <is>
          <t>고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4</v>
      </c>
      <c r="R105" s="121" t="n">
        <v>2</v>
      </c>
      <c r="S105" s="121" t="inlineStr">
        <is>
          <t>계</t>
        </is>
      </c>
      <c r="T105" s="5" t="n">
        <v>132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북면 창원무동휴먼빌1단지</t>
        </is>
      </c>
      <c r="B106" s="76" t="inlineStr">
        <is>
          <t>13.06.</t>
        </is>
      </c>
      <c r="C106" s="130" t="n">
        <v>546</v>
      </c>
      <c r="D106" s="131" t="n">
        <v>80.3</v>
      </c>
      <c r="E106" s="132" t="n">
        <v>24</v>
      </c>
      <c r="F106" s="131" t="n">
        <v>60</v>
      </c>
      <c r="G106" s="17" t="n">
        <v>18</v>
      </c>
      <c r="H106" s="133" t="n">
        <v>54</v>
      </c>
      <c r="I106" s="134" t="n">
        <v>19000</v>
      </c>
      <c r="J106" s="134" t="inlineStr">
        <is>
          <t>고</t>
        </is>
      </c>
      <c r="K106" s="134" t="n">
        <v>17500</v>
      </c>
      <c r="L106" s="134" t="inlineStr">
        <is>
          <t>고</t>
        </is>
      </c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n">
        <v>80</v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북면 창원무동휴먼빌1단지</t>
        </is>
      </c>
      <c r="B107" s="76" t="inlineStr">
        <is>
          <t>13.06.</t>
        </is>
      </c>
      <c r="C107" s="130" t="n">
        <v>546</v>
      </c>
      <c r="D107" s="131" t="n">
        <v>113.8</v>
      </c>
      <c r="E107" s="132" t="n">
        <v>34</v>
      </c>
      <c r="F107" s="131" t="n">
        <v>85</v>
      </c>
      <c r="G107" s="17" t="n">
        <v>26</v>
      </c>
      <c r="H107" s="133" t="n">
        <v>359</v>
      </c>
      <c r="I107" s="134" t="n">
        <v>22000</v>
      </c>
      <c r="J107" s="134" t="inlineStr">
        <is>
          <t>고</t>
        </is>
      </c>
      <c r="K107" s="134" t="n">
        <v>20000</v>
      </c>
      <c r="L107" s="134" t="inlineStr">
        <is>
          <t>고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2</v>
      </c>
      <c r="S107" s="121" t="inlineStr">
        <is>
          <t>계</t>
        </is>
      </c>
      <c r="T107" s="5" t="inlineStr">
        <is>
          <t>113A</t>
        </is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북면 창원무동휴먼빌1단지</t>
        </is>
      </c>
      <c r="B108" s="76" t="inlineStr">
        <is>
          <t>13.06.</t>
        </is>
      </c>
      <c r="C108" s="130" t="n">
        <v>546</v>
      </c>
      <c r="D108" s="131" t="n">
        <v>113.5</v>
      </c>
      <c r="E108" s="132" t="n">
        <v>34</v>
      </c>
      <c r="F108" s="131" t="n">
        <v>85</v>
      </c>
      <c r="G108" s="17" t="n">
        <v>26</v>
      </c>
      <c r="H108" s="133" t="n">
        <v>133</v>
      </c>
      <c r="I108" s="134" t="n">
        <v>24000</v>
      </c>
      <c r="J108" s="134" t="inlineStr">
        <is>
          <t>고</t>
        </is>
      </c>
      <c r="K108" s="134" t="n">
        <v>21000</v>
      </c>
      <c r="L108" s="134" t="inlineStr">
        <is>
          <t>중</t>
        </is>
      </c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inlineStr">
        <is>
          <t>113B</t>
        </is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북면 창원무동지구휴먼빌3단지</t>
        </is>
      </c>
      <c r="B109" s="76" t="inlineStr">
        <is>
          <t>14.12.</t>
        </is>
      </c>
      <c r="C109" s="130" t="n">
        <v>451</v>
      </c>
      <c r="D109" s="131" t="n">
        <v>81.7</v>
      </c>
      <c r="E109" s="132" t="n">
        <v>25</v>
      </c>
      <c r="F109" s="131" t="n">
        <v>60</v>
      </c>
      <c r="G109" s="17" t="n">
        <v>18</v>
      </c>
      <c r="H109" s="133" t="n">
        <v>117</v>
      </c>
      <c r="I109" s="134" t="n">
        <v>19500</v>
      </c>
      <c r="J109" s="134" t="inlineStr">
        <is>
          <t>중</t>
        </is>
      </c>
      <c r="K109" s="134" t="n">
        <v>19000</v>
      </c>
      <c r="L109" s="134" t="inlineStr">
        <is>
          <t>중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81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북면 창원무동지구휴먼빌3단지</t>
        </is>
      </c>
      <c r="B110" s="76" t="inlineStr">
        <is>
          <t>14.12.</t>
        </is>
      </c>
      <c r="C110" s="130" t="n">
        <v>451</v>
      </c>
      <c r="D110" s="131" t="n">
        <v>115.5</v>
      </c>
      <c r="E110" s="132" t="n">
        <v>35</v>
      </c>
      <c r="F110" s="131" t="n">
        <v>85</v>
      </c>
      <c r="G110" s="17" t="n">
        <v>26</v>
      </c>
      <c r="H110" s="133" t="n">
        <v>212</v>
      </c>
      <c r="I110" s="134" t="n">
        <v>28000</v>
      </c>
      <c r="J110" s="134" t="inlineStr">
        <is>
          <t>중</t>
        </is>
      </c>
      <c r="K110" s="134" t="n">
        <v>18000</v>
      </c>
      <c r="L110" s="134" t="inlineStr">
        <is>
          <t>중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inlineStr">
        <is>
          <t>115A</t>
        </is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북면 창원무동지구휴먼빌3단지</t>
        </is>
      </c>
      <c r="B111" s="76" t="inlineStr">
        <is>
          <t>14.12.</t>
        </is>
      </c>
      <c r="C111" s="130" t="n">
        <v>451</v>
      </c>
      <c r="D111" s="131" t="n">
        <v>115.6</v>
      </c>
      <c r="E111" s="132" t="n">
        <v>35</v>
      </c>
      <c r="F111" s="131" t="n">
        <v>85</v>
      </c>
      <c r="G111" s="17" t="n">
        <v>26</v>
      </c>
      <c r="H111" s="133" t="n">
        <v>122</v>
      </c>
      <c r="I111" s="134" t="n">
        <v>25500</v>
      </c>
      <c r="J111" s="134" t="inlineStr">
        <is>
          <t>중</t>
        </is>
      </c>
      <c r="K111" s="134" t="n">
        <v>20000</v>
      </c>
      <c r="L111" s="134" t="inlineStr">
        <is>
          <t>고</t>
        </is>
      </c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inlineStr">
        <is>
          <t>115B</t>
        </is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북면 감계휴먼빌</t>
        </is>
      </c>
      <c r="B112" s="76" t="inlineStr">
        <is>
          <t>14.03.</t>
        </is>
      </c>
      <c r="C112" s="130" t="n">
        <v>697</v>
      </c>
      <c r="D112" s="131" t="n">
        <v>81.3</v>
      </c>
      <c r="E112" s="132" t="n">
        <v>25</v>
      </c>
      <c r="F112" s="131" t="n">
        <v>60</v>
      </c>
      <c r="G112" s="17" t="n">
        <v>18</v>
      </c>
      <c r="H112" s="133" t="n">
        <v>134</v>
      </c>
      <c r="I112" s="134" t="n">
        <v>23500</v>
      </c>
      <c r="J112" s="134" t="inlineStr">
        <is>
          <t>고</t>
        </is>
      </c>
      <c r="K112" s="134" t="n">
        <v>23000</v>
      </c>
      <c r="L112" s="134" t="inlineStr">
        <is>
          <t>고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2</v>
      </c>
      <c r="S112" s="121" t="inlineStr">
        <is>
          <t>계</t>
        </is>
      </c>
      <c r="T112" s="5" t="n">
        <v>81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북면 감계휴먼빌</t>
        </is>
      </c>
      <c r="B113" s="76" t="inlineStr">
        <is>
          <t>14.03.</t>
        </is>
      </c>
      <c r="C113" s="130" t="n">
        <v>697</v>
      </c>
      <c r="D113" s="131" t="n">
        <v>114.8</v>
      </c>
      <c r="E113" s="132" t="n">
        <v>35</v>
      </c>
      <c r="F113" s="131" t="n">
        <v>84.90000000000001</v>
      </c>
      <c r="G113" s="17" t="n">
        <v>26</v>
      </c>
      <c r="H113" s="133" t="n">
        <v>297</v>
      </c>
      <c r="I113" s="134" t="n">
        <v>27500</v>
      </c>
      <c r="J113" s="134" t="inlineStr">
        <is>
          <t>10</t>
        </is>
      </c>
      <c r="K113" s="134" t="n">
        <v>25000</v>
      </c>
      <c r="L113" s="134" t="inlineStr">
        <is>
          <t>13</t>
        </is>
      </c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2</v>
      </c>
      <c r="S113" s="121" t="inlineStr">
        <is>
          <t>계</t>
        </is>
      </c>
      <c r="T113" s="5" t="inlineStr">
        <is>
          <t>114B</t>
        </is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북면 감계휴먼빌</t>
        </is>
      </c>
      <c r="B114" s="76" t="inlineStr">
        <is>
          <t>14.03.</t>
        </is>
      </c>
      <c r="C114" s="130" t="n">
        <v>697</v>
      </c>
      <c r="D114" s="131" t="n">
        <v>114.8</v>
      </c>
      <c r="E114" s="132" t="n">
        <v>35</v>
      </c>
      <c r="F114" s="131" t="n">
        <v>85</v>
      </c>
      <c r="G114" s="17" t="n">
        <v>26</v>
      </c>
      <c r="H114" s="133" t="n">
        <v>266</v>
      </c>
      <c r="I114" s="134" t="n">
        <v>28000</v>
      </c>
      <c r="J114" s="134" t="inlineStr">
        <is>
          <t>고</t>
        </is>
      </c>
      <c r="K114" s="134" t="n">
        <v>27000</v>
      </c>
      <c r="L114" s="134" t="inlineStr">
        <is>
          <t>중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inlineStr">
        <is>
          <t>114A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북면 창원무동STX칸1차</t>
        </is>
      </c>
      <c r="B115" s="76" t="inlineStr">
        <is>
          <t>15.01.</t>
        </is>
      </c>
      <c r="C115" s="130" t="n">
        <v>854</v>
      </c>
      <c r="D115" s="131" t="n">
        <v>83.5</v>
      </c>
      <c r="E115" s="132" t="n">
        <v>25</v>
      </c>
      <c r="F115" s="131" t="n">
        <v>60</v>
      </c>
      <c r="G115" s="17" t="n">
        <v>18</v>
      </c>
      <c r="H115" s="133" t="n">
        <v>43</v>
      </c>
      <c r="I115" s="134" t="n">
        <v>20000</v>
      </c>
      <c r="J115" s="134" t="inlineStr">
        <is>
          <t>8</t>
        </is>
      </c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inlineStr">
        <is>
          <t>83A</t>
        </is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북면 창원무동STX칸1차</t>
        </is>
      </c>
      <c r="B116" s="76" t="inlineStr">
        <is>
          <t>15.01.</t>
        </is>
      </c>
      <c r="C116" s="130" t="n">
        <v>854</v>
      </c>
      <c r="D116" s="131" t="n">
        <v>84.09999999999999</v>
      </c>
      <c r="E116" s="132" t="n">
        <v>25</v>
      </c>
      <c r="F116" s="131" t="n">
        <v>60</v>
      </c>
      <c r="G116" s="17" t="n">
        <v>18</v>
      </c>
      <c r="H116" s="133" t="n">
        <v>44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inlineStr">
        <is>
          <t>84B</t>
        </is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북면 창원무동STX칸1차</t>
        </is>
      </c>
      <c r="B117" s="76" t="inlineStr">
        <is>
          <t>15.01.</t>
        </is>
      </c>
      <c r="C117" s="130" t="n">
        <v>854</v>
      </c>
      <c r="D117" s="131" t="n">
        <v>112.6</v>
      </c>
      <c r="E117" s="132" t="n">
        <v>34</v>
      </c>
      <c r="F117" s="131" t="n">
        <v>85</v>
      </c>
      <c r="G117" s="17" t="n">
        <v>26</v>
      </c>
      <c r="H117" s="133" t="n">
        <v>449</v>
      </c>
      <c r="I117" s="134" t="n">
        <v>22000</v>
      </c>
      <c r="J117" s="134" t="inlineStr">
        <is>
          <t>11</t>
        </is>
      </c>
      <c r="K117" s="134" t="n">
        <v>19000</v>
      </c>
      <c r="L117" s="134" t="inlineStr">
        <is>
          <t>고</t>
        </is>
      </c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inlineStr">
        <is>
          <t>112A</t>
        </is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북면 창원무동STX칸1차</t>
        </is>
      </c>
      <c r="B118" s="76" t="inlineStr">
        <is>
          <t>15.01.</t>
        </is>
      </c>
      <c r="C118" s="130" t="n">
        <v>854</v>
      </c>
      <c r="D118" s="131" t="n">
        <v>113.3</v>
      </c>
      <c r="E118" s="132" t="n">
        <v>34</v>
      </c>
      <c r="F118" s="131" t="n">
        <v>85</v>
      </c>
      <c r="G118" s="17" t="n">
        <v>26</v>
      </c>
      <c r="H118" s="133" t="n">
        <v>318</v>
      </c>
      <c r="I118" s="134" t="n">
        <v>24000</v>
      </c>
      <c r="J118" s="134" t="inlineStr">
        <is>
          <t>고</t>
        </is>
      </c>
      <c r="K118" s="134" t="n">
        <v>20000</v>
      </c>
      <c r="L118" s="134" t="inlineStr">
        <is>
          <t>고</t>
        </is>
      </c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113B</t>
        </is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북면 창원감계힐스테이트2차</t>
        </is>
      </c>
      <c r="B119" s="76" t="inlineStr">
        <is>
          <t>17.10.</t>
        </is>
      </c>
      <c r="C119" s="130" t="n">
        <v>836</v>
      </c>
      <c r="D119" s="131" t="n">
        <v>85.59999999999999</v>
      </c>
      <c r="E119" s="132" t="n">
        <v>26</v>
      </c>
      <c r="F119" s="131" t="n">
        <v>59.3</v>
      </c>
      <c r="G119" s="17" t="n">
        <v>18</v>
      </c>
      <c r="H119" s="133" t="n">
        <v>147</v>
      </c>
      <c r="I119" s="134" t="n">
        <v>25000</v>
      </c>
      <c r="J119" s="134" t="inlineStr">
        <is>
          <t>고</t>
        </is>
      </c>
      <c r="K119" s="134" t="n">
        <v>23000</v>
      </c>
      <c r="L119" s="134" t="inlineStr">
        <is>
          <t>고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85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북면 창원감계힐스테이트2차</t>
        </is>
      </c>
      <c r="B120" s="76" t="inlineStr">
        <is>
          <t>17.10.</t>
        </is>
      </c>
      <c r="C120" s="130" t="n">
        <v>836</v>
      </c>
      <c r="D120" s="131" t="n">
        <v>95.7</v>
      </c>
      <c r="E120" s="132" t="n">
        <v>29</v>
      </c>
      <c r="F120" s="131" t="n">
        <v>70.09999999999999</v>
      </c>
      <c r="G120" s="17" t="n">
        <v>21</v>
      </c>
      <c r="H120" s="133" t="n">
        <v>215</v>
      </c>
      <c r="I120" s="134" t="n">
        <v>30500</v>
      </c>
      <c r="J120" s="134" t="inlineStr">
        <is>
          <t>중</t>
        </is>
      </c>
      <c r="K120" s="134" t="n">
        <v>26000</v>
      </c>
      <c r="L120" s="134" t="inlineStr">
        <is>
          <t>고</t>
        </is>
      </c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n">
        <v>95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북면 창원감계힐스테이트2차</t>
        </is>
      </c>
      <c r="B121" s="76" t="inlineStr">
        <is>
          <t>17.10.</t>
        </is>
      </c>
      <c r="C121" s="130" t="n">
        <v>836</v>
      </c>
      <c r="D121" s="131" t="n">
        <v>112.1</v>
      </c>
      <c r="E121" s="132" t="n">
        <v>34</v>
      </c>
      <c r="F121" s="131" t="n">
        <v>84.90000000000001</v>
      </c>
      <c r="G121" s="17" t="n">
        <v>26</v>
      </c>
      <c r="H121" s="133" t="n">
        <v>284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4</v>
      </c>
      <c r="R121" s="121" t="n">
        <v>2</v>
      </c>
      <c r="S121" s="121" t="inlineStr">
        <is>
          <t>계</t>
        </is>
      </c>
      <c r="T121" s="5" t="inlineStr">
        <is>
          <t>112A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북면 창원감계힐스테이트2차</t>
        </is>
      </c>
      <c r="B122" s="76" t="inlineStr">
        <is>
          <t>17.10.</t>
        </is>
      </c>
      <c r="C122" s="130" t="n">
        <v>836</v>
      </c>
      <c r="D122" s="131" t="n">
        <v>112.1</v>
      </c>
      <c r="E122" s="132" t="n">
        <v>34</v>
      </c>
      <c r="F122" s="131" t="n">
        <v>84.09999999999999</v>
      </c>
      <c r="G122" s="17" t="n">
        <v>25</v>
      </c>
      <c r="H122" s="133" t="n">
        <v>101</v>
      </c>
      <c r="I122" s="134" t="n">
        <v>38000</v>
      </c>
      <c r="J122" s="134" t="inlineStr">
        <is>
          <t>중</t>
        </is>
      </c>
      <c r="K122" s="134" t="n">
        <v>29000</v>
      </c>
      <c r="L122" s="134" t="inlineStr">
        <is>
          <t>중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inlineStr">
        <is>
          <t>112B</t>
        </is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북면 창원감계힐스테이트2차</t>
        </is>
      </c>
      <c r="B123" s="76" t="inlineStr">
        <is>
          <t>17.10.</t>
        </is>
      </c>
      <c r="C123" s="130" t="n">
        <v>836</v>
      </c>
      <c r="D123" s="131" t="n">
        <v>132.1</v>
      </c>
      <c r="E123" s="132" t="n">
        <v>40</v>
      </c>
      <c r="F123" s="131" t="n">
        <v>101.4</v>
      </c>
      <c r="G123" s="17" t="n">
        <v>31</v>
      </c>
      <c r="H123" s="133" t="n">
        <v>89</v>
      </c>
      <c r="I123" s="134" t="n">
        <v>49000</v>
      </c>
      <c r="J123" s="134" t="inlineStr">
        <is>
          <t>중</t>
        </is>
      </c>
      <c r="K123" s="134" t="n">
        <v>32000</v>
      </c>
      <c r="L123" s="134" t="inlineStr">
        <is>
          <t>6</t>
        </is>
      </c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4</v>
      </c>
      <c r="R123" s="121" t="n">
        <v>2</v>
      </c>
      <c r="S123" s="121" t="inlineStr">
        <is>
          <t>계</t>
        </is>
      </c>
      <c r="T123" s="5" t="n">
        <v>132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북면 창원감계아내에코프리미엄2차</t>
        </is>
      </c>
      <c r="B124" s="76" t="inlineStr">
        <is>
          <t>19.01.</t>
        </is>
      </c>
      <c r="C124" s="130" t="n">
        <v>1393</v>
      </c>
      <c r="D124" s="131" t="n">
        <v>85.09999999999999</v>
      </c>
      <c r="E124" s="132" t="n">
        <v>26</v>
      </c>
      <c r="F124" s="131" t="n">
        <v>59.9</v>
      </c>
      <c r="G124" s="17" t="n">
        <v>18</v>
      </c>
      <c r="H124" s="133" t="n">
        <v>408</v>
      </c>
      <c r="I124" s="134" t="n">
        <v>27000</v>
      </c>
      <c r="J124" s="134" t="inlineStr">
        <is>
          <t>고</t>
        </is>
      </c>
      <c r="K124" s="134" t="n">
        <v>23000</v>
      </c>
      <c r="L124" s="134" t="inlineStr">
        <is>
          <t>15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85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북면 창원감계아내에코프리미엄2차</t>
        </is>
      </c>
      <c r="B125" s="76" t="inlineStr">
        <is>
          <t>19.01.</t>
        </is>
      </c>
      <c r="C125" s="130" t="n">
        <v>1393</v>
      </c>
      <c r="D125" s="131" t="n">
        <v>97.59999999999999</v>
      </c>
      <c r="E125" s="132" t="n">
        <v>30</v>
      </c>
      <c r="F125" s="131" t="n">
        <v>70.59999999999999</v>
      </c>
      <c r="G125" s="17" t="n">
        <v>21</v>
      </c>
      <c r="H125" s="133" t="n">
        <v>174</v>
      </c>
      <c r="I125" s="134" t="n">
        <v>32000</v>
      </c>
      <c r="J125" s="134" t="inlineStr">
        <is>
          <t>고</t>
        </is>
      </c>
      <c r="K125" s="134" t="n">
        <v>25000</v>
      </c>
      <c r="L125" s="134" t="inlineStr">
        <is>
          <t>고</t>
        </is>
      </c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97A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북면 창원감계아내에코프리미엄2차</t>
        </is>
      </c>
      <c r="B126" s="76" t="inlineStr">
        <is>
          <t>19.01.</t>
        </is>
      </c>
      <c r="C126" s="130" t="n">
        <v>1393</v>
      </c>
      <c r="D126" s="131" t="n">
        <v>97.8</v>
      </c>
      <c r="E126" s="132" t="n">
        <v>30</v>
      </c>
      <c r="F126" s="131" t="n">
        <v>70.90000000000001</v>
      </c>
      <c r="G126" s="17" t="n">
        <v>21</v>
      </c>
      <c r="H126" s="133" t="n">
        <v>172</v>
      </c>
      <c r="I126" s="134" t="n">
        <v>33000</v>
      </c>
      <c r="J126" s="134" t="inlineStr">
        <is>
          <t>고</t>
        </is>
      </c>
      <c r="K126" s="134" t="n">
        <v>28000</v>
      </c>
      <c r="L126" s="134" t="inlineStr">
        <is>
          <t>고</t>
        </is>
      </c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97B</t>
        </is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북면 창원감계아내에코프리미엄2차</t>
        </is>
      </c>
      <c r="B127" s="76" t="inlineStr">
        <is>
          <t>19.01.</t>
        </is>
      </c>
      <c r="C127" s="130" t="n">
        <v>1393</v>
      </c>
      <c r="D127" s="131" t="n">
        <v>112.6</v>
      </c>
      <c r="E127" s="132" t="n">
        <v>34</v>
      </c>
      <c r="F127" s="131" t="n">
        <v>84.5</v>
      </c>
      <c r="G127" s="17" t="n">
        <v>26</v>
      </c>
      <c r="H127" s="133" t="n">
        <v>285</v>
      </c>
      <c r="I127" s="134" t="n">
        <v>36000</v>
      </c>
      <c r="J127" s="134" t="inlineStr">
        <is>
          <t>중</t>
        </is>
      </c>
      <c r="K127" s="134" t="n">
        <v>30000</v>
      </c>
      <c r="L127" s="134" t="inlineStr">
        <is>
          <t>13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inlineStr">
        <is>
          <t>112A</t>
        </is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북면 창원감계아내에코프리미엄2차</t>
        </is>
      </c>
      <c r="B128" s="76" t="inlineStr">
        <is>
          <t>19.01.</t>
        </is>
      </c>
      <c r="C128" s="130" t="n">
        <v>1393</v>
      </c>
      <c r="D128" s="131" t="n">
        <v>113.1</v>
      </c>
      <c r="E128" s="132" t="n">
        <v>34</v>
      </c>
      <c r="F128" s="131" t="n">
        <v>84.90000000000001</v>
      </c>
      <c r="G128" s="17" t="n">
        <v>26</v>
      </c>
      <c r="H128" s="133" t="n">
        <v>354</v>
      </c>
      <c r="I128" s="134" t="n">
        <v>37000</v>
      </c>
      <c r="J128" s="134" t="inlineStr">
        <is>
          <t>고</t>
        </is>
      </c>
      <c r="K128" s="134" t="n">
        <v>30000</v>
      </c>
      <c r="L128" s="134" t="inlineStr">
        <is>
          <t>고</t>
        </is>
      </c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inlineStr">
        <is>
          <t>113B</t>
        </is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서상동 중동대동다숲</t>
        </is>
      </c>
      <c r="B129" s="76" t="inlineStr">
        <is>
          <t>05.12.</t>
        </is>
      </c>
      <c r="C129" s="130" t="n">
        <v>630</v>
      </c>
      <c r="D129" s="131" t="n">
        <v>106.9</v>
      </c>
      <c r="E129" s="132" t="n">
        <v>32</v>
      </c>
      <c r="F129" s="131" t="n">
        <v>84.90000000000001</v>
      </c>
      <c r="G129" s="17" t="n">
        <v>26</v>
      </c>
      <c r="H129" s="133" t="n">
        <v>230</v>
      </c>
      <c r="I129" s="134" t="n">
        <v>36000</v>
      </c>
      <c r="J129" s="134" t="inlineStr">
        <is>
          <t>고</t>
        </is>
      </c>
      <c r="K129" s="134" t="n">
        <v>30000</v>
      </c>
      <c r="L129" s="134" t="inlineStr">
        <is>
          <t>중</t>
        </is>
      </c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106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서상동 중동대동다숲</t>
        </is>
      </c>
      <c r="B130" s="76" t="inlineStr">
        <is>
          <t>05.12.</t>
        </is>
      </c>
      <c r="C130" s="130" t="n">
        <v>630</v>
      </c>
      <c r="D130" s="131" t="n">
        <v>112.8</v>
      </c>
      <c r="E130" s="132" t="n">
        <v>34</v>
      </c>
      <c r="F130" s="131" t="n">
        <v>84.90000000000001</v>
      </c>
      <c r="G130" s="17" t="n">
        <v>26</v>
      </c>
      <c r="H130" s="133" t="n">
        <v>192</v>
      </c>
      <c r="I130" s="134" t="n">
        <v>38000</v>
      </c>
      <c r="J130" s="134" t="inlineStr">
        <is>
          <t>중</t>
        </is>
      </c>
      <c r="K130" s="134" t="n">
        <v>30000</v>
      </c>
      <c r="L130" s="134" t="inlineStr">
        <is>
          <t>중</t>
        </is>
      </c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112A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서상동 중동대동다숲</t>
        </is>
      </c>
      <c r="B131" s="76" t="inlineStr">
        <is>
          <t>05.12.</t>
        </is>
      </c>
      <c r="C131" s="130" t="n">
        <v>630</v>
      </c>
      <c r="D131" s="131" t="n">
        <v>113.7</v>
      </c>
      <c r="E131" s="132" t="n">
        <v>34</v>
      </c>
      <c r="F131" s="131" t="n">
        <v>85</v>
      </c>
      <c r="G131" s="17" t="n">
        <v>26</v>
      </c>
      <c r="H131" s="133" t="n">
        <v>150</v>
      </c>
      <c r="I131" s="134" t="n">
        <v>39000</v>
      </c>
      <c r="J131" s="134" t="inlineStr">
        <is>
          <t>고</t>
        </is>
      </c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inlineStr">
        <is>
          <t>113B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서상동 중동대동다숲</t>
        </is>
      </c>
      <c r="B132" s="76" t="inlineStr">
        <is>
          <t>05.12.</t>
        </is>
      </c>
      <c r="C132" s="130" t="n">
        <v>630</v>
      </c>
      <c r="D132" s="131" t="n">
        <v>158</v>
      </c>
      <c r="E132" s="132" t="n">
        <v>48</v>
      </c>
      <c r="F132" s="131" t="n">
        <v>131.1</v>
      </c>
      <c r="G132" s="17" t="n">
        <v>40</v>
      </c>
      <c r="H132" s="133" t="n">
        <v>30</v>
      </c>
      <c r="I132" s="134" t="n">
        <v>54000</v>
      </c>
      <c r="J132" s="134" t="inlineStr">
        <is>
          <t>고</t>
        </is>
      </c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4</v>
      </c>
      <c r="R132" s="121" t="n">
        <v>2</v>
      </c>
      <c r="S132" s="121" t="inlineStr">
        <is>
          <t>계</t>
        </is>
      </c>
      <c r="T132" s="5" t="n">
        <v>158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서상동 중동대동다숲</t>
        </is>
      </c>
      <c r="B133" s="76" t="inlineStr">
        <is>
          <t>05.12.</t>
        </is>
      </c>
      <c r="C133" s="130" t="n">
        <v>630</v>
      </c>
      <c r="D133" s="131" t="n">
        <v>182</v>
      </c>
      <c r="E133" s="132" t="n">
        <v>55</v>
      </c>
      <c r="F133" s="131" t="n">
        <v>151.9</v>
      </c>
      <c r="G133" s="17" t="n">
        <v>46</v>
      </c>
      <c r="H133" s="133" t="n">
        <v>28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4</v>
      </c>
      <c r="R133" s="121" t="n">
        <v>2</v>
      </c>
      <c r="S133" s="121" t="inlineStr">
        <is>
          <t>계</t>
        </is>
      </c>
      <c r="T133" s="5" t="n">
        <v>181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소계동 소계럭키</t>
        </is>
      </c>
      <c r="B134" s="76" t="inlineStr">
        <is>
          <t>91.03.</t>
        </is>
      </c>
      <c r="C134" s="130" t="n">
        <v>243</v>
      </c>
      <c r="D134" s="131" t="n">
        <v>65.8</v>
      </c>
      <c r="E134" s="132" t="n">
        <v>20</v>
      </c>
      <c r="F134" s="131" t="n">
        <v>49.8</v>
      </c>
      <c r="G134" s="17" t="n">
        <v>15</v>
      </c>
      <c r="H134" s="133" t="n">
        <v>21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2</v>
      </c>
      <c r="R134" s="121" t="n">
        <v>1</v>
      </c>
      <c r="S134" s="121" t="inlineStr">
        <is>
          <t>복</t>
        </is>
      </c>
      <c r="T134" s="5" t="n">
        <v>65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소계동 소계럭키</t>
        </is>
      </c>
      <c r="B135" s="76" t="inlineStr">
        <is>
          <t>91.03.</t>
        </is>
      </c>
      <c r="C135" s="130" t="n">
        <v>243</v>
      </c>
      <c r="D135" s="131" t="n">
        <v>71.40000000000001</v>
      </c>
      <c r="E135" s="132" t="n">
        <v>22</v>
      </c>
      <c r="F135" s="131" t="n">
        <v>54.1</v>
      </c>
      <c r="G135" s="17" t="n">
        <v>16</v>
      </c>
      <c r="H135" s="133" t="n">
        <v>90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1</v>
      </c>
      <c r="S135" s="121" t="inlineStr">
        <is>
          <t>복</t>
        </is>
      </c>
      <c r="T135" s="5" t="n">
        <v>71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소계동 소계럭키</t>
        </is>
      </c>
      <c r="B136" s="76" t="inlineStr">
        <is>
          <t>91.03.</t>
        </is>
      </c>
      <c r="C136" s="130" t="n">
        <v>243</v>
      </c>
      <c r="D136" s="131" t="n">
        <v>79.3</v>
      </c>
      <c r="E136" s="132" t="n">
        <v>24</v>
      </c>
      <c r="F136" s="131" t="n">
        <v>60</v>
      </c>
      <c r="G136" s="17" t="n">
        <v>18</v>
      </c>
      <c r="H136" s="133" t="n">
        <v>132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1</v>
      </c>
      <c r="S136" s="121" t="inlineStr">
        <is>
          <t>복</t>
        </is>
      </c>
      <c r="T136" s="5" t="n">
        <v>79</v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중동 창원중동유니시티1단지</t>
        </is>
      </c>
      <c r="B137" s="76" t="inlineStr">
        <is>
          <t>19.06.</t>
        </is>
      </c>
      <c r="C137" s="130" t="n">
        <v>1803</v>
      </c>
      <c r="D137" s="131" t="n">
        <v>83.8</v>
      </c>
      <c r="E137" s="132" t="n">
        <v>25</v>
      </c>
      <c r="F137" s="131" t="n">
        <v>60</v>
      </c>
      <c r="G137" s="17" t="n">
        <v>18</v>
      </c>
      <c r="H137" s="133" t="n">
        <v>162</v>
      </c>
      <c r="I137" s="134" t="n">
        <v>58000</v>
      </c>
      <c r="J137" s="134" t="inlineStr">
        <is>
          <t>5</t>
        </is>
      </c>
      <c r="K137" s="134" t="n">
        <v>35000</v>
      </c>
      <c r="L137" s="134" t="inlineStr">
        <is>
          <t>9</t>
        </is>
      </c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n">
        <v>83</v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중동 창원중동유니시티1단지</t>
        </is>
      </c>
      <c r="B138" s="76" t="inlineStr">
        <is>
          <t>19.06.</t>
        </is>
      </c>
      <c r="C138" s="130" t="n">
        <v>1803</v>
      </c>
      <c r="D138" s="131" t="n">
        <v>100.8</v>
      </c>
      <c r="E138" s="132" t="n">
        <v>30</v>
      </c>
      <c r="F138" s="131" t="n">
        <v>72.90000000000001</v>
      </c>
      <c r="G138" s="17" t="n">
        <v>22</v>
      </c>
      <c r="H138" s="133" t="n">
        <v>182</v>
      </c>
      <c r="I138" s="134" t="n">
        <v>72000</v>
      </c>
      <c r="J138" s="134" t="inlineStr">
        <is>
          <t>중</t>
        </is>
      </c>
      <c r="K138" s="134" t="n">
        <v>40000</v>
      </c>
      <c r="L138" s="134" t="inlineStr">
        <is>
          <t>28</t>
        </is>
      </c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100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중동 창원중동유니시티1단지</t>
        </is>
      </c>
      <c r="B139" s="76" t="inlineStr">
        <is>
          <t>19.06.</t>
        </is>
      </c>
      <c r="C139" s="130" t="n">
        <v>1803</v>
      </c>
      <c r="D139" s="131" t="n">
        <v>116.8</v>
      </c>
      <c r="E139" s="132" t="n">
        <v>35</v>
      </c>
      <c r="F139" s="131" t="n">
        <v>84.09999999999999</v>
      </c>
      <c r="G139" s="17" t="n">
        <v>25</v>
      </c>
      <c r="H139" s="133" t="n">
        <v>269</v>
      </c>
      <c r="I139" s="134" t="n">
        <v>79000</v>
      </c>
      <c r="J139" s="134" t="inlineStr">
        <is>
          <t>27</t>
        </is>
      </c>
      <c r="K139" s="134" t="n">
        <v>48000</v>
      </c>
      <c r="L139" s="134" t="inlineStr">
        <is>
          <t>12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inlineStr">
        <is>
          <t>116B</t>
        </is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중동 창원중동유니시티1단지</t>
        </is>
      </c>
      <c r="B140" s="76" t="inlineStr">
        <is>
          <t>19.06.</t>
        </is>
      </c>
      <c r="C140" s="130" t="n">
        <v>1803</v>
      </c>
      <c r="D140" s="131" t="n">
        <v>117.1</v>
      </c>
      <c r="E140" s="132" t="n">
        <v>35</v>
      </c>
      <c r="F140" s="131" t="n">
        <v>84.40000000000001</v>
      </c>
      <c r="G140" s="17" t="n">
        <v>26</v>
      </c>
      <c r="H140" s="133" t="n">
        <v>506</v>
      </c>
      <c r="I140" s="134" t="n">
        <v>85000</v>
      </c>
      <c r="J140" s="134" t="inlineStr">
        <is>
          <t>고</t>
        </is>
      </c>
      <c r="K140" s="134" t="n">
        <v>45000</v>
      </c>
      <c r="L140" s="134" t="inlineStr">
        <is>
          <t>고</t>
        </is>
      </c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117A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중동 창원중동유니시티1단지</t>
        </is>
      </c>
      <c r="B141" s="76" t="inlineStr">
        <is>
          <t>19.06.</t>
        </is>
      </c>
      <c r="C141" s="130" t="n">
        <v>1803</v>
      </c>
      <c r="D141" s="131" t="n">
        <v>136.5</v>
      </c>
      <c r="E141" s="132" t="n">
        <v>41</v>
      </c>
      <c r="F141" s="131" t="n">
        <v>99.2</v>
      </c>
      <c r="G141" s="17" t="n">
        <v>30</v>
      </c>
      <c r="H141" s="133" t="n">
        <v>474</v>
      </c>
      <c r="I141" s="134" t="n">
        <v>95000</v>
      </c>
      <c r="J141" s="134" t="inlineStr">
        <is>
          <t>고</t>
        </is>
      </c>
      <c r="K141" s="134" t="n">
        <v>50000</v>
      </c>
      <c r="L141" s="134" t="inlineStr">
        <is>
          <t>18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n">
        <v>136</v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중동 창원중동유니시티1단지</t>
        </is>
      </c>
      <c r="B142" s="76" t="inlineStr">
        <is>
          <t>19.06.</t>
        </is>
      </c>
      <c r="C142" s="130" t="n">
        <v>1803</v>
      </c>
      <c r="D142" s="131" t="n">
        <v>158.6</v>
      </c>
      <c r="E142" s="132" t="n">
        <v>48</v>
      </c>
      <c r="F142" s="131" t="n">
        <v>115.7</v>
      </c>
      <c r="G142" s="17" t="n">
        <v>35</v>
      </c>
      <c r="H142" s="133" t="n">
        <v>128</v>
      </c>
      <c r="I142" s="134" t="n">
        <v>152000</v>
      </c>
      <c r="J142" s="134" t="inlineStr">
        <is>
          <t>고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4</v>
      </c>
      <c r="R142" s="121" t="n">
        <v>2</v>
      </c>
      <c r="S142" s="121" t="inlineStr">
        <is>
          <t>계</t>
        </is>
      </c>
      <c r="T142" s="5" t="n">
        <v>158</v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중동 창원중동유니시티1단지</t>
        </is>
      </c>
      <c r="B143" s="76" t="inlineStr">
        <is>
          <t>19.06.</t>
        </is>
      </c>
      <c r="C143" s="130" t="n">
        <v>1803</v>
      </c>
      <c r="D143" s="131" t="n">
        <v>185.8</v>
      </c>
      <c r="E143" s="132" t="n">
        <v>56</v>
      </c>
      <c r="F143" s="131" t="n">
        <v>135.9</v>
      </c>
      <c r="G143" s="17" t="n">
        <v>41</v>
      </c>
      <c r="H143" s="133" t="n">
        <v>41</v>
      </c>
      <c r="I143" s="134" t="n">
        <v>180000</v>
      </c>
      <c r="J143" s="134" t="inlineStr">
        <is>
          <t>중</t>
        </is>
      </c>
      <c r="K143" s="134" t="n">
        <v>97000</v>
      </c>
      <c r="L143" s="134" t="inlineStr">
        <is>
          <t>37</t>
        </is>
      </c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계</t>
        </is>
      </c>
      <c r="T143" s="5" t="inlineStr">
        <is>
          <t>185A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중동 창원중동유니시티1단지</t>
        </is>
      </c>
      <c r="B144" s="76" t="inlineStr">
        <is>
          <t>19.06.</t>
        </is>
      </c>
      <c r="C144" s="130" t="n">
        <v>1803</v>
      </c>
      <c r="D144" s="131" t="n">
        <v>186.9</v>
      </c>
      <c r="E144" s="132" t="n">
        <v>57</v>
      </c>
      <c r="F144" s="131" t="n">
        <v>135.8</v>
      </c>
      <c r="G144" s="17" t="n">
        <v>41</v>
      </c>
      <c r="H144" s="133" t="n">
        <v>41</v>
      </c>
      <c r="I144" s="134" t="n"/>
      <c r="J144" s="134" t="n"/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2</v>
      </c>
      <c r="S144" s="121" t="inlineStr">
        <is>
          <t>계</t>
        </is>
      </c>
      <c r="T144" s="5" t="inlineStr">
        <is>
          <t>186B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중동 창원중동유니시티4단지</t>
        </is>
      </c>
      <c r="B145" s="76" t="inlineStr">
        <is>
          <t>19.12.</t>
        </is>
      </c>
      <c r="C145" s="130" t="n">
        <v>1768</v>
      </c>
      <c r="D145" s="131" t="n">
        <v>82.7</v>
      </c>
      <c r="E145" s="132" t="n">
        <v>25</v>
      </c>
      <c r="F145" s="131" t="n">
        <v>60</v>
      </c>
      <c r="G145" s="17" t="n">
        <v>18</v>
      </c>
      <c r="H145" s="133" t="n">
        <v>104</v>
      </c>
      <c r="I145" s="134" t="n">
        <v>66000</v>
      </c>
      <c r="J145" s="134" t="inlineStr">
        <is>
          <t>11</t>
        </is>
      </c>
      <c r="K145" s="134" t="n">
        <v>38000</v>
      </c>
      <c r="L145" s="134" t="inlineStr">
        <is>
          <t>6</t>
        </is>
      </c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n">
        <v>82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중동 창원중동유니시티4단지</t>
        </is>
      </c>
      <c r="B146" s="76" t="inlineStr">
        <is>
          <t>19.12.</t>
        </is>
      </c>
      <c r="C146" s="130" t="n">
        <v>1768</v>
      </c>
      <c r="D146" s="131" t="n">
        <v>99.2</v>
      </c>
      <c r="E146" s="132" t="n">
        <v>30</v>
      </c>
      <c r="F146" s="131" t="n">
        <v>72.90000000000001</v>
      </c>
      <c r="G146" s="17" t="n">
        <v>22</v>
      </c>
      <c r="H146" s="133" t="n">
        <v>104</v>
      </c>
      <c r="I146" s="134" t="n">
        <v>61000</v>
      </c>
      <c r="J146" s="134" t="inlineStr">
        <is>
          <t>중</t>
        </is>
      </c>
      <c r="K146" s="134" t="n">
        <v>42000</v>
      </c>
      <c r="L146" s="134" t="inlineStr">
        <is>
          <t>고</t>
        </is>
      </c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2</v>
      </c>
      <c r="S146" s="121" t="inlineStr">
        <is>
          <t>계</t>
        </is>
      </c>
      <c r="T146" s="5" t="n">
        <v>99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중동 창원중동유니시티4단지</t>
        </is>
      </c>
      <c r="B147" s="76" t="inlineStr">
        <is>
          <t>19.12.</t>
        </is>
      </c>
      <c r="C147" s="130" t="n">
        <v>1768</v>
      </c>
      <c r="D147" s="131" t="n">
        <v>115.7</v>
      </c>
      <c r="E147" s="132" t="n">
        <v>35</v>
      </c>
      <c r="F147" s="131" t="n">
        <v>84.7</v>
      </c>
      <c r="G147" s="17" t="n">
        <v>26</v>
      </c>
      <c r="H147" s="133" t="n">
        <v>686</v>
      </c>
      <c r="I147" s="134" t="n">
        <v>79000</v>
      </c>
      <c r="J147" s="134" t="inlineStr">
        <is>
          <t>21</t>
        </is>
      </c>
      <c r="K147" s="134" t="n">
        <v>43000</v>
      </c>
      <c r="L147" s="134" t="inlineStr">
        <is>
          <t>24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inlineStr">
        <is>
          <t>115A</t>
        </is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중동 창원중동유니시티4단지</t>
        </is>
      </c>
      <c r="B148" s="76" t="inlineStr">
        <is>
          <t>19.12.</t>
        </is>
      </c>
      <c r="C148" s="130" t="n">
        <v>1768</v>
      </c>
      <c r="D148" s="131" t="n">
        <v>115.9</v>
      </c>
      <c r="E148" s="132" t="n">
        <v>35</v>
      </c>
      <c r="F148" s="131" t="n">
        <v>84.8</v>
      </c>
      <c r="G148" s="17" t="n">
        <v>26</v>
      </c>
      <c r="H148" s="133" t="n">
        <v>308</v>
      </c>
      <c r="I148" s="134" t="n">
        <v>79000</v>
      </c>
      <c r="J148" s="134" t="inlineStr">
        <is>
          <t>14</t>
        </is>
      </c>
      <c r="K148" s="134" t="n">
        <v>46000</v>
      </c>
      <c r="L148" s="134" t="inlineStr">
        <is>
          <t>25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115B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중동 창원중동유니시티4단지</t>
        </is>
      </c>
      <c r="B149" s="76" t="inlineStr">
        <is>
          <t>19.12.</t>
        </is>
      </c>
      <c r="C149" s="130" t="n">
        <v>1768</v>
      </c>
      <c r="D149" s="131" t="n">
        <v>135.6</v>
      </c>
      <c r="E149" s="132" t="n">
        <v>41</v>
      </c>
      <c r="F149" s="131" t="n">
        <v>100.3</v>
      </c>
      <c r="G149" s="17" t="n">
        <v>30</v>
      </c>
      <c r="H149" s="133" t="n">
        <v>372</v>
      </c>
      <c r="I149" s="134" t="n">
        <v>100000</v>
      </c>
      <c r="J149" s="134" t="inlineStr">
        <is>
          <t>16</t>
        </is>
      </c>
      <c r="K149" s="134" t="n">
        <v>49000</v>
      </c>
      <c r="L149" s="134" t="inlineStr">
        <is>
          <t>고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n">
        <v>135</v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중동 창원중동유니시티4단지</t>
        </is>
      </c>
      <c r="B150" s="76" t="inlineStr">
        <is>
          <t>19.12.</t>
        </is>
      </c>
      <c r="C150" s="130" t="n">
        <v>1768</v>
      </c>
      <c r="D150" s="131" t="n">
        <v>158.8</v>
      </c>
      <c r="E150" s="132" t="n">
        <v>48</v>
      </c>
      <c r="F150" s="131" t="n">
        <v>117.9</v>
      </c>
      <c r="G150" s="17" t="n">
        <v>36</v>
      </c>
      <c r="H150" s="133" t="n">
        <v>112</v>
      </c>
      <c r="I150" s="134" t="n">
        <v>128000</v>
      </c>
      <c r="J150" s="134" t="inlineStr">
        <is>
          <t>9</t>
        </is>
      </c>
      <c r="K150" s="134" t="n">
        <v>75000</v>
      </c>
      <c r="L150" s="134" t="inlineStr">
        <is>
          <t>29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4</v>
      </c>
      <c r="R150" s="121" t="n">
        <v>2</v>
      </c>
      <c r="S150" s="121" t="inlineStr">
        <is>
          <t>계</t>
        </is>
      </c>
      <c r="T150" s="5" t="n">
        <v>158</v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중동 창원중동유니시티4단지</t>
        </is>
      </c>
      <c r="B151" s="76" t="inlineStr">
        <is>
          <t>19.12.</t>
        </is>
      </c>
      <c r="C151" s="130" t="n">
        <v>1768</v>
      </c>
      <c r="D151" s="131" t="n">
        <v>185.3</v>
      </c>
      <c r="E151" s="132" t="n">
        <v>56</v>
      </c>
      <c r="F151" s="131" t="n">
        <v>137.9</v>
      </c>
      <c r="G151" s="17" t="n">
        <v>42</v>
      </c>
      <c r="H151" s="133" t="n">
        <v>41</v>
      </c>
      <c r="I151" s="134" t="n">
        <v>230000</v>
      </c>
      <c r="J151" s="134" t="inlineStr">
        <is>
          <t>고</t>
        </is>
      </c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4</v>
      </c>
      <c r="R151" s="121" t="n">
        <v>2</v>
      </c>
      <c r="S151" s="121" t="inlineStr">
        <is>
          <t>계</t>
        </is>
      </c>
      <c r="T151" s="5" t="inlineStr">
        <is>
          <t>185A</t>
        </is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중동 창원중동유니시티4단지</t>
        </is>
      </c>
      <c r="B152" s="76" t="inlineStr">
        <is>
          <t>19.12.</t>
        </is>
      </c>
      <c r="C152" s="130" t="n">
        <v>1768</v>
      </c>
      <c r="D152" s="131" t="n">
        <v>185.6</v>
      </c>
      <c r="E152" s="132" t="n">
        <v>56</v>
      </c>
      <c r="F152" s="131" t="n">
        <v>137.2</v>
      </c>
      <c r="G152" s="17" t="n">
        <v>41</v>
      </c>
      <c r="H152" s="133" t="n">
        <v>41</v>
      </c>
      <c r="I152" s="134" t="n">
        <v>190000</v>
      </c>
      <c r="J152" s="134" t="inlineStr">
        <is>
          <t>고</t>
        </is>
      </c>
      <c r="K152" s="134" t="n">
        <v>100000</v>
      </c>
      <c r="L152" s="134" t="inlineStr">
        <is>
          <t>27</t>
        </is>
      </c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4</v>
      </c>
      <c r="R152" s="121" t="n">
        <v>2</v>
      </c>
      <c r="S152" s="121" t="inlineStr">
        <is>
          <t>계</t>
        </is>
      </c>
      <c r="T152" s="5" t="inlineStr">
        <is>
          <t>185B</t>
        </is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중동 창원중동유니시티3단지</t>
        </is>
      </c>
      <c r="B153" s="76" t="inlineStr">
        <is>
          <t>19.12.</t>
        </is>
      </c>
      <c r="C153" s="130" t="n">
        <v>1465</v>
      </c>
      <c r="D153" s="131" t="n">
        <v>84</v>
      </c>
      <c r="E153" s="132" t="n">
        <v>25</v>
      </c>
      <c r="F153" s="131" t="n">
        <v>60</v>
      </c>
      <c r="G153" s="17" t="n">
        <v>18</v>
      </c>
      <c r="H153" s="133" t="n">
        <v>160</v>
      </c>
      <c r="I153" s="134" t="n">
        <v>67000</v>
      </c>
      <c r="J153" s="134" t="inlineStr">
        <is>
          <t>고</t>
        </is>
      </c>
      <c r="K153" s="134" t="n">
        <v>37000</v>
      </c>
      <c r="L153" s="134" t="inlineStr">
        <is>
          <t>5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3</v>
      </c>
      <c r="R153" s="121" t="n">
        <v>2</v>
      </c>
      <c r="S153" s="121" t="inlineStr">
        <is>
          <t>계</t>
        </is>
      </c>
      <c r="T153" s="5" t="n">
        <v>84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중동 창원중동유니시티3단지</t>
        </is>
      </c>
      <c r="B154" s="76" t="inlineStr">
        <is>
          <t>19.12.</t>
        </is>
      </c>
      <c r="C154" s="130" t="n">
        <v>1465</v>
      </c>
      <c r="D154" s="131" t="n">
        <v>100.9</v>
      </c>
      <c r="E154" s="132" t="n">
        <v>31</v>
      </c>
      <c r="F154" s="131" t="n">
        <v>72.90000000000001</v>
      </c>
      <c r="G154" s="17" t="n">
        <v>22</v>
      </c>
      <c r="H154" s="133" t="n">
        <v>50</v>
      </c>
      <c r="I154" s="134" t="n">
        <v>75000</v>
      </c>
      <c r="J154" s="134" t="inlineStr">
        <is>
          <t>고</t>
        </is>
      </c>
      <c r="K154" s="134" t="n">
        <v>45000</v>
      </c>
      <c r="L154" s="134" t="inlineStr">
        <is>
          <t>21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3</v>
      </c>
      <c r="R154" s="121" t="n">
        <v>2</v>
      </c>
      <c r="S154" s="121" t="inlineStr">
        <is>
          <t>계</t>
        </is>
      </c>
      <c r="T154" s="5" t="n">
        <v>100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중동 창원중동유니시티3단지</t>
        </is>
      </c>
      <c r="B155" s="76" t="inlineStr">
        <is>
          <t>19.12.</t>
        </is>
      </c>
      <c r="C155" s="130" t="n">
        <v>1465</v>
      </c>
      <c r="D155" s="131" t="n">
        <v>117.6</v>
      </c>
      <c r="E155" s="132" t="n">
        <v>36</v>
      </c>
      <c r="F155" s="131" t="n">
        <v>84.7</v>
      </c>
      <c r="G155" s="17" t="n">
        <v>26</v>
      </c>
      <c r="H155" s="133" t="n">
        <v>658</v>
      </c>
      <c r="I155" s="134" t="n">
        <v>77000</v>
      </c>
      <c r="J155" s="134" t="inlineStr">
        <is>
          <t>7</t>
        </is>
      </c>
      <c r="K155" s="134" t="n">
        <v>42000</v>
      </c>
      <c r="L155" s="134" t="inlineStr">
        <is>
          <t>15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2</v>
      </c>
      <c r="S155" s="121" t="inlineStr">
        <is>
          <t>계</t>
        </is>
      </c>
      <c r="T155" s="5" t="inlineStr">
        <is>
          <t>117A</t>
        </is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중동 창원중동유니시티3단지</t>
        </is>
      </c>
      <c r="B156" s="76" t="inlineStr">
        <is>
          <t>19.12.</t>
        </is>
      </c>
      <c r="C156" s="130" t="n">
        <v>1465</v>
      </c>
      <c r="D156" s="131" t="n">
        <v>117.9</v>
      </c>
      <c r="E156" s="132" t="n">
        <v>36</v>
      </c>
      <c r="F156" s="131" t="n">
        <v>84.8</v>
      </c>
      <c r="G156" s="17" t="n">
        <v>26</v>
      </c>
      <c r="H156" s="133" t="n">
        <v>273</v>
      </c>
      <c r="I156" s="134" t="n">
        <v>75000</v>
      </c>
      <c r="J156" s="134" t="inlineStr">
        <is>
          <t>35</t>
        </is>
      </c>
      <c r="K156" s="134" t="n">
        <v>44000</v>
      </c>
      <c r="L156" s="134" t="inlineStr">
        <is>
          <t>고</t>
        </is>
      </c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2</v>
      </c>
      <c r="S156" s="121" t="inlineStr">
        <is>
          <t>계</t>
        </is>
      </c>
      <c r="T156" s="5" t="inlineStr">
        <is>
          <t>117B</t>
        </is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중동 창원중동유니시티3단지</t>
        </is>
      </c>
      <c r="B157" s="76" t="inlineStr">
        <is>
          <t>19.12.</t>
        </is>
      </c>
      <c r="C157" s="130" t="n">
        <v>1465</v>
      </c>
      <c r="D157" s="131" t="n">
        <v>137.9</v>
      </c>
      <c r="E157" s="132" t="n">
        <v>42</v>
      </c>
      <c r="F157" s="131" t="n">
        <v>100.3</v>
      </c>
      <c r="G157" s="17" t="n">
        <v>30</v>
      </c>
      <c r="H157" s="133" t="n">
        <v>324</v>
      </c>
      <c r="I157" s="134" t="n">
        <v>93500</v>
      </c>
      <c r="J157" s="134" t="inlineStr">
        <is>
          <t>12</t>
        </is>
      </c>
      <c r="K157" s="134" t="n">
        <v>50000</v>
      </c>
      <c r="L157" s="134" t="inlineStr">
        <is>
          <t>중</t>
        </is>
      </c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3</v>
      </c>
      <c r="R157" s="121" t="n">
        <v>2</v>
      </c>
      <c r="S157" s="121" t="inlineStr">
        <is>
          <t>계</t>
        </is>
      </c>
      <c r="T157" s="5" t="n">
        <v>137</v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중동 창원중동유니시티2단지</t>
        </is>
      </c>
      <c r="B158" s="76" t="inlineStr">
        <is>
          <t>19.06.</t>
        </is>
      </c>
      <c r="C158" s="130" t="n">
        <v>1064</v>
      </c>
      <c r="D158" s="131" t="n">
        <v>85.09999999999999</v>
      </c>
      <c r="E158" s="132" t="n">
        <v>26</v>
      </c>
      <c r="F158" s="131" t="n">
        <v>60</v>
      </c>
      <c r="G158" s="17" t="n">
        <v>18</v>
      </c>
      <c r="H158" s="133" t="n">
        <v>60</v>
      </c>
      <c r="I158" s="134" t="n">
        <v>57000</v>
      </c>
      <c r="J158" s="134" t="inlineStr">
        <is>
          <t>고</t>
        </is>
      </c>
      <c r="K158" s="134" t="n">
        <v>35000</v>
      </c>
      <c r="L158" s="134" t="inlineStr">
        <is>
          <t>고</t>
        </is>
      </c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3</v>
      </c>
      <c r="R158" s="121" t="n">
        <v>2</v>
      </c>
      <c r="S158" s="121" t="inlineStr">
        <is>
          <t>계</t>
        </is>
      </c>
      <c r="T158" s="5" t="n">
        <v>85</v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중동 창원중동유니시티2단지</t>
        </is>
      </c>
      <c r="B159" s="76" t="inlineStr">
        <is>
          <t>19.06.</t>
        </is>
      </c>
      <c r="C159" s="130" t="n">
        <v>1064</v>
      </c>
      <c r="D159" s="131" t="n">
        <v>102.3</v>
      </c>
      <c r="E159" s="132" t="n">
        <v>31</v>
      </c>
      <c r="F159" s="131" t="n">
        <v>72.90000000000001</v>
      </c>
      <c r="G159" s="17" t="n">
        <v>22</v>
      </c>
      <c r="H159" s="133" t="n">
        <v>124</v>
      </c>
      <c r="I159" s="134" t="n">
        <v>72000</v>
      </c>
      <c r="J159" s="134" t="inlineStr">
        <is>
          <t>11</t>
        </is>
      </c>
      <c r="K159" s="134" t="n">
        <v>40000</v>
      </c>
      <c r="L159" s="134" t="inlineStr">
        <is>
          <t>8</t>
        </is>
      </c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2</v>
      </c>
      <c r="S159" s="121" t="inlineStr">
        <is>
          <t>계</t>
        </is>
      </c>
      <c r="T159" s="5" t="n">
        <v>102</v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중동 창원중동유니시티2단지</t>
        </is>
      </c>
      <c r="B160" s="76" t="inlineStr">
        <is>
          <t>19.06.</t>
        </is>
      </c>
      <c r="C160" s="130" t="n">
        <v>1064</v>
      </c>
      <c r="D160" s="131" t="n">
        <v>118.9</v>
      </c>
      <c r="E160" s="132" t="n">
        <v>36</v>
      </c>
      <c r="F160" s="131" t="n">
        <v>84.40000000000001</v>
      </c>
      <c r="G160" s="17" t="n">
        <v>26</v>
      </c>
      <c r="H160" s="133" t="n">
        <v>411</v>
      </c>
      <c r="I160" s="134" t="n">
        <v>80000</v>
      </c>
      <c r="J160" s="134" t="inlineStr">
        <is>
          <t>27</t>
        </is>
      </c>
      <c r="K160" s="134" t="n">
        <v>43000</v>
      </c>
      <c r="L160" s="134" t="inlineStr">
        <is>
          <t>26</t>
        </is>
      </c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2</v>
      </c>
      <c r="S160" s="121" t="inlineStr">
        <is>
          <t>계</t>
        </is>
      </c>
      <c r="T160" s="5" t="inlineStr">
        <is>
          <t>118A</t>
        </is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중동 창원중동유니시티2단지</t>
        </is>
      </c>
      <c r="B161" s="76" t="inlineStr">
        <is>
          <t>19.06.</t>
        </is>
      </c>
      <c r="C161" s="130" t="n">
        <v>1064</v>
      </c>
      <c r="D161" s="131" t="n">
        <v>118.6</v>
      </c>
      <c r="E161" s="132" t="n">
        <v>36</v>
      </c>
      <c r="F161" s="131" t="n">
        <v>84.09999999999999</v>
      </c>
      <c r="G161" s="17" t="n">
        <v>25</v>
      </c>
      <c r="H161" s="133" t="n">
        <v>223</v>
      </c>
      <c r="I161" s="134" t="n">
        <v>79000</v>
      </c>
      <c r="J161" s="134" t="inlineStr">
        <is>
          <t>18</t>
        </is>
      </c>
      <c r="K161" s="134" t="n">
        <v>43000</v>
      </c>
      <c r="L161" s="134" t="inlineStr">
        <is>
          <t>23</t>
        </is>
      </c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3</v>
      </c>
      <c r="R161" s="121" t="n">
        <v>2</v>
      </c>
      <c r="S161" s="121" t="inlineStr">
        <is>
          <t>계</t>
        </is>
      </c>
      <c r="T161" s="5" t="inlineStr">
        <is>
          <t>118B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중동 창원중동유니시티2단지</t>
        </is>
      </c>
      <c r="B162" s="76" t="inlineStr">
        <is>
          <t>19.06.</t>
        </is>
      </c>
      <c r="C162" s="130" t="n">
        <v>1064</v>
      </c>
      <c r="D162" s="131" t="n">
        <v>138.6</v>
      </c>
      <c r="E162" s="132" t="n">
        <v>42</v>
      </c>
      <c r="F162" s="131" t="n">
        <v>99.2</v>
      </c>
      <c r="G162" s="17" t="n">
        <v>30</v>
      </c>
      <c r="H162" s="133" t="n">
        <v>246</v>
      </c>
      <c r="I162" s="134" t="n">
        <v>95000</v>
      </c>
      <c r="J162" s="134" t="inlineStr">
        <is>
          <t>10</t>
        </is>
      </c>
      <c r="K162" s="134" t="n">
        <v>50000</v>
      </c>
      <c r="L162" s="134" t="inlineStr">
        <is>
          <t>10</t>
        </is>
      </c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3</v>
      </c>
      <c r="R162" s="121" t="n">
        <v>2</v>
      </c>
      <c r="S162" s="121" t="inlineStr">
        <is>
          <t>계</t>
        </is>
      </c>
      <c r="T162" s="5" t="n">
        <v>138</v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팔용동 팔용벽산블루밍A단지</t>
        </is>
      </c>
      <c r="B163" s="76" t="inlineStr">
        <is>
          <t>00.01.</t>
        </is>
      </c>
      <c r="C163" s="130" t="n">
        <v>672</v>
      </c>
      <c r="D163" s="131" t="n">
        <v>79.90000000000001</v>
      </c>
      <c r="E163" s="132" t="n">
        <v>24</v>
      </c>
      <c r="F163" s="131" t="n">
        <v>60</v>
      </c>
      <c r="G163" s="17" t="n">
        <v>18</v>
      </c>
      <c r="H163" s="133" t="n">
        <v>592</v>
      </c>
      <c r="I163" s="134" t="n">
        <v>28000</v>
      </c>
      <c r="J163" s="134" t="inlineStr">
        <is>
          <t>14</t>
        </is>
      </c>
      <c r="K163" s="134" t="n">
        <v>25000</v>
      </c>
      <c r="L163" s="134" t="inlineStr">
        <is>
          <t>10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3</v>
      </c>
      <c r="R163" s="121" t="n">
        <v>1</v>
      </c>
      <c r="S163" s="121" t="inlineStr">
        <is>
          <t>계</t>
        </is>
      </c>
      <c r="T163" s="5" t="n">
        <v>79</v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팔용동 팔용벽산블루밍A단지</t>
        </is>
      </c>
      <c r="B164" s="76" t="inlineStr">
        <is>
          <t>00.01.</t>
        </is>
      </c>
      <c r="C164" s="130" t="n">
        <v>672</v>
      </c>
      <c r="D164" s="131" t="n">
        <v>106.9</v>
      </c>
      <c r="E164" s="132" t="n">
        <v>32</v>
      </c>
      <c r="F164" s="131" t="n">
        <v>84.90000000000001</v>
      </c>
      <c r="G164" s="17" t="n">
        <v>26</v>
      </c>
      <c r="H164" s="133" t="n">
        <v>80</v>
      </c>
      <c r="I164" s="134" t="n">
        <v>47000</v>
      </c>
      <c r="J164" s="134" t="inlineStr">
        <is>
          <t>9</t>
        </is>
      </c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3</v>
      </c>
      <c r="R164" s="121" t="n">
        <v>2</v>
      </c>
      <c r="S164" s="121" t="inlineStr">
        <is>
          <t>계</t>
        </is>
      </c>
      <c r="T164" s="5" t="n">
        <v>106</v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팔용동 벽산블루밍B단지</t>
        </is>
      </c>
      <c r="B165" s="76" t="inlineStr">
        <is>
          <t>99.06.</t>
        </is>
      </c>
      <c r="C165" s="130" t="n">
        <v>1650</v>
      </c>
      <c r="D165" s="131" t="n">
        <v>79.8</v>
      </c>
      <c r="E165" s="132" t="n">
        <v>24</v>
      </c>
      <c r="F165" s="131" t="n">
        <v>60</v>
      </c>
      <c r="G165" s="17" t="n">
        <v>18</v>
      </c>
      <c r="H165" s="133" t="n">
        <v>360</v>
      </c>
      <c r="I165" s="134" t="n">
        <v>30000</v>
      </c>
      <c r="J165" s="134" t="inlineStr">
        <is>
          <t>중</t>
        </is>
      </c>
      <c r="K165" s="134" t="n">
        <v>25000</v>
      </c>
      <c r="L165" s="134" t="inlineStr">
        <is>
          <t>5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1</v>
      </c>
      <c r="S165" s="121" t="inlineStr">
        <is>
          <t>계</t>
        </is>
      </c>
      <c r="T165" s="5" t="n">
        <v>79</v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팔용동 벽산블루밍B단지</t>
        </is>
      </c>
      <c r="B166" s="76" t="inlineStr">
        <is>
          <t>99.06.</t>
        </is>
      </c>
      <c r="C166" s="130" t="n">
        <v>1650</v>
      </c>
      <c r="D166" s="131" t="n">
        <v>95.09999999999999</v>
      </c>
      <c r="E166" s="132" t="n">
        <v>29</v>
      </c>
      <c r="F166" s="131" t="n">
        <v>74</v>
      </c>
      <c r="G166" s="17" t="n">
        <v>22</v>
      </c>
      <c r="H166" s="133" t="n">
        <v>570</v>
      </c>
      <c r="I166" s="134" t="n"/>
      <c r="J166" s="134" t="n"/>
      <c r="K166" s="134" t="n"/>
      <c r="L166" s="134" t="n"/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1</v>
      </c>
      <c r="S166" s="121" t="inlineStr">
        <is>
          <t>계</t>
        </is>
      </c>
      <c r="T166" s="5" t="n">
        <v>95</v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팔용동 벽산블루밍B단지</t>
        </is>
      </c>
      <c r="B167" s="76" t="inlineStr">
        <is>
          <t>99.06.</t>
        </is>
      </c>
      <c r="C167" s="130" t="n">
        <v>1650</v>
      </c>
      <c r="D167" s="131" t="n">
        <v>108.1</v>
      </c>
      <c r="E167" s="132" t="n">
        <v>33</v>
      </c>
      <c r="F167" s="131" t="n">
        <v>84.90000000000001</v>
      </c>
      <c r="G167" s="17" t="n">
        <v>26</v>
      </c>
      <c r="H167" s="133" t="n">
        <v>720</v>
      </c>
      <c r="I167" s="134" t="n">
        <v>42000</v>
      </c>
      <c r="J167" s="134" t="inlineStr">
        <is>
          <t>고</t>
        </is>
      </c>
      <c r="K167" s="134" t="n">
        <v>32000</v>
      </c>
      <c r="L167" s="134" t="inlineStr">
        <is>
          <t>16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108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팔용동 벽산블루밍C단지</t>
        </is>
      </c>
      <c r="B168" s="76" t="inlineStr">
        <is>
          <t>99.08.</t>
        </is>
      </c>
      <c r="C168" s="130" t="n">
        <v>594</v>
      </c>
      <c r="D168" s="131" t="n">
        <v>79.59999999999999</v>
      </c>
      <c r="E168" s="132" t="n">
        <v>24</v>
      </c>
      <c r="F168" s="131" t="n">
        <v>60</v>
      </c>
      <c r="G168" s="17" t="n">
        <v>18</v>
      </c>
      <c r="H168" s="133" t="n">
        <v>231</v>
      </c>
      <c r="I168" s="134" t="n">
        <v>30000</v>
      </c>
      <c r="J168" s="134" t="inlineStr">
        <is>
          <t>중</t>
        </is>
      </c>
      <c r="K168" s="134" t="n">
        <v>23000</v>
      </c>
      <c r="L168" s="134" t="inlineStr">
        <is>
          <t>18</t>
        </is>
      </c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1</v>
      </c>
      <c r="S168" s="121" t="inlineStr">
        <is>
          <t>계</t>
        </is>
      </c>
      <c r="T168" s="5" t="n">
        <v>79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팔용동 벽산블루밍C단지</t>
        </is>
      </c>
      <c r="B169" s="76" t="inlineStr">
        <is>
          <t>99.08.</t>
        </is>
      </c>
      <c r="C169" s="130" t="n">
        <v>594</v>
      </c>
      <c r="D169" s="131" t="n">
        <v>94.7</v>
      </c>
      <c r="E169" s="132" t="n">
        <v>29</v>
      </c>
      <c r="F169" s="131" t="n">
        <v>74</v>
      </c>
      <c r="G169" s="17" t="n">
        <v>22</v>
      </c>
      <c r="H169" s="133" t="n">
        <v>87</v>
      </c>
      <c r="I169" s="134" t="n">
        <v>31000</v>
      </c>
      <c r="J169" s="134" t="inlineStr">
        <is>
          <t>고</t>
        </is>
      </c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1</v>
      </c>
      <c r="S169" s="121" t="inlineStr">
        <is>
          <t>계</t>
        </is>
      </c>
      <c r="T169" s="5" t="n">
        <v>94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팔용동 벽산블루밍C단지</t>
        </is>
      </c>
      <c r="B170" s="76" t="inlineStr">
        <is>
          <t>99.08.</t>
        </is>
      </c>
      <c r="C170" s="130" t="n">
        <v>594</v>
      </c>
      <c r="D170" s="131" t="n">
        <v>106.5</v>
      </c>
      <c r="E170" s="132" t="n">
        <v>32</v>
      </c>
      <c r="F170" s="131" t="n">
        <v>84.90000000000001</v>
      </c>
      <c r="G170" s="17" t="n">
        <v>26</v>
      </c>
      <c r="H170" s="133" t="n">
        <v>276</v>
      </c>
      <c r="I170" s="134" t="n">
        <v>33000</v>
      </c>
      <c r="J170" s="134" t="inlineStr">
        <is>
          <t>16</t>
        </is>
      </c>
      <c r="K170" s="134" t="n">
        <v>30000</v>
      </c>
      <c r="L170" s="134" t="inlineStr">
        <is>
          <t>17</t>
        </is>
      </c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3</v>
      </c>
      <c r="R170" s="121" t="n">
        <v>2</v>
      </c>
      <c r="S170" s="121" t="inlineStr">
        <is>
          <t>계</t>
        </is>
      </c>
      <c r="T170" s="5" t="n">
        <v>106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팔용동 힐스테이트아티움시티</t>
        </is>
      </c>
      <c r="B171" s="76" t="inlineStr">
        <is>
          <t>20.05.</t>
        </is>
      </c>
      <c r="C171" s="130" t="n">
        <v>1132</v>
      </c>
      <c r="D171" s="131" t="n">
        <v>112.9</v>
      </c>
      <c r="E171" s="132" t="n">
        <v>34</v>
      </c>
      <c r="F171" s="131" t="n">
        <v>84.90000000000001</v>
      </c>
      <c r="G171" s="17" t="n">
        <v>26</v>
      </c>
      <c r="H171" s="133" t="n">
        <v>378</v>
      </c>
      <c r="I171" s="134" t="n"/>
      <c r="J171" s="134" t="n"/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2</v>
      </c>
      <c r="S171" s="121" t="inlineStr">
        <is>
          <t>계</t>
        </is>
      </c>
      <c r="T171" s="5" t="inlineStr">
        <is>
          <t>112A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팔용동 힐스테이트아티움시티</t>
        </is>
      </c>
      <c r="B172" s="76" t="inlineStr">
        <is>
          <t>20.05.</t>
        </is>
      </c>
      <c r="C172" s="130" t="n">
        <v>1132</v>
      </c>
      <c r="D172" s="131" t="n">
        <v>114.3</v>
      </c>
      <c r="E172" s="132" t="n">
        <v>35</v>
      </c>
      <c r="F172" s="131" t="n">
        <v>84.59999999999999</v>
      </c>
      <c r="G172" s="17" t="n">
        <v>26</v>
      </c>
      <c r="H172" s="133" t="n">
        <v>378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inlineStr">
        <is>
          <t>114C</t>
        </is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팔용동 힐스테이트아티움시티</t>
        </is>
      </c>
      <c r="B173" s="76" t="inlineStr">
        <is>
          <t>20.05.</t>
        </is>
      </c>
      <c r="C173" s="130" t="n">
        <v>1132</v>
      </c>
      <c r="D173" s="131" t="n">
        <v>114.9</v>
      </c>
      <c r="E173" s="132" t="n">
        <v>35</v>
      </c>
      <c r="F173" s="131" t="n">
        <v>84.90000000000001</v>
      </c>
      <c r="G173" s="17" t="n">
        <v>26</v>
      </c>
      <c r="H173" s="133" t="n">
        <v>376</v>
      </c>
      <c r="I173" s="134" t="n"/>
      <c r="J173" s="134" t="n"/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114B</t>
        </is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팔용동 극동</t>
        </is>
      </c>
      <c r="B174" s="76" t="inlineStr">
        <is>
          <t>94.12.</t>
        </is>
      </c>
      <c r="C174" s="130" t="n">
        <v>1059</v>
      </c>
      <c r="D174" s="131" t="n">
        <v>72.90000000000001</v>
      </c>
      <c r="E174" s="132" t="n">
        <v>22</v>
      </c>
      <c r="F174" s="131" t="n">
        <v>49.9</v>
      </c>
      <c r="G174" s="17" t="n">
        <v>15</v>
      </c>
      <c r="H174" s="133" t="n">
        <v>108</v>
      </c>
      <c r="I174" s="134" t="n">
        <v>17500</v>
      </c>
      <c r="J174" s="134" t="inlineStr">
        <is>
          <t>15</t>
        </is>
      </c>
      <c r="K174" s="134" t="n">
        <v>16000</v>
      </c>
      <c r="L174" s="134" t="inlineStr">
        <is>
          <t>15</t>
        </is>
      </c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2</v>
      </c>
      <c r="R174" s="121" t="n">
        <v>1</v>
      </c>
      <c r="S174" s="121" t="inlineStr">
        <is>
          <t>복</t>
        </is>
      </c>
      <c r="T174" s="5" t="n">
        <v>72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팔용동 극동</t>
        </is>
      </c>
      <c r="B175" s="76" t="inlineStr">
        <is>
          <t>94.12.</t>
        </is>
      </c>
      <c r="C175" s="130" t="n">
        <v>1059</v>
      </c>
      <c r="D175" s="131" t="n">
        <v>86.7</v>
      </c>
      <c r="E175" s="132" t="n">
        <v>26</v>
      </c>
      <c r="F175" s="131" t="n">
        <v>59.3</v>
      </c>
      <c r="G175" s="17" t="n">
        <v>18</v>
      </c>
      <c r="H175" s="133" t="n">
        <v>299</v>
      </c>
      <c r="I175" s="134" t="n">
        <v>21500</v>
      </c>
      <c r="J175" s="134" t="inlineStr">
        <is>
          <t>중</t>
        </is>
      </c>
      <c r="K175" s="134" t="n">
        <v>19000</v>
      </c>
      <c r="L175" s="134" t="inlineStr">
        <is>
          <t>중</t>
        </is>
      </c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1</v>
      </c>
      <c r="S175" s="121" t="inlineStr">
        <is>
          <t>복</t>
        </is>
      </c>
      <c r="T175" s="5" t="n">
        <v>86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팔용동 극동</t>
        </is>
      </c>
      <c r="B176" s="76" t="inlineStr">
        <is>
          <t>94.12.</t>
        </is>
      </c>
      <c r="C176" s="130" t="n">
        <v>1059</v>
      </c>
      <c r="D176" s="131" t="n">
        <v>105.5</v>
      </c>
      <c r="E176" s="132" t="n">
        <v>32</v>
      </c>
      <c r="F176" s="131" t="n">
        <v>84.90000000000001</v>
      </c>
      <c r="G176" s="17" t="n">
        <v>26</v>
      </c>
      <c r="H176" s="133" t="n">
        <v>360</v>
      </c>
      <c r="I176" s="134" t="n">
        <v>31500</v>
      </c>
      <c r="J176" s="134" t="inlineStr">
        <is>
          <t>중</t>
        </is>
      </c>
      <c r="K176" s="134" t="n">
        <v>25000</v>
      </c>
      <c r="L176" s="134" t="inlineStr">
        <is>
          <t>중</t>
        </is>
      </c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2</v>
      </c>
      <c r="S176" s="121" t="inlineStr">
        <is>
          <t>계</t>
        </is>
      </c>
      <c r="T176" s="5" t="n">
        <v>105</v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팔용동 극동</t>
        </is>
      </c>
      <c r="B177" s="76" t="inlineStr">
        <is>
          <t>94.12.</t>
        </is>
      </c>
      <c r="C177" s="130" t="n">
        <v>1059</v>
      </c>
      <c r="D177" s="131" t="n">
        <v>135.1</v>
      </c>
      <c r="E177" s="132" t="n">
        <v>41</v>
      </c>
      <c r="F177" s="131" t="n">
        <v>108.7</v>
      </c>
      <c r="G177" s="17" t="n">
        <v>33</v>
      </c>
      <c r="H177" s="133" t="n">
        <v>292</v>
      </c>
      <c r="I177" s="134" t="n">
        <v>34500</v>
      </c>
      <c r="J177" s="134" t="inlineStr">
        <is>
          <t>중</t>
        </is>
      </c>
      <c r="K177" s="134" t="n">
        <v>31000</v>
      </c>
      <c r="L177" s="134" t="inlineStr">
        <is>
          <t>고</t>
        </is>
      </c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4</v>
      </c>
      <c r="R177" s="121" t="n">
        <v>2</v>
      </c>
      <c r="S177" s="121" t="inlineStr">
        <is>
          <t>계</t>
        </is>
      </c>
      <c r="T177" s="5" t="n">
        <v>135</v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팔용동 대동중앙</t>
        </is>
      </c>
      <c r="B178" s="76" t="inlineStr">
        <is>
          <t>93.09.</t>
        </is>
      </c>
      <c r="C178" s="130" t="n">
        <v>1040</v>
      </c>
      <c r="D178" s="131" t="n">
        <v>69.7</v>
      </c>
      <c r="E178" s="132" t="n">
        <v>21</v>
      </c>
      <c r="F178" s="131" t="n">
        <v>59.9</v>
      </c>
      <c r="G178" s="17" t="n">
        <v>18</v>
      </c>
      <c r="H178" s="133" t="n">
        <v>830</v>
      </c>
      <c r="I178" s="134" t="n">
        <v>27000</v>
      </c>
      <c r="J178" s="134" t="inlineStr">
        <is>
          <t>중</t>
        </is>
      </c>
      <c r="K178" s="134" t="n">
        <v>19000</v>
      </c>
      <c r="L178" s="134" t="inlineStr">
        <is>
          <t>10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1</v>
      </c>
      <c r="S178" s="121" t="inlineStr">
        <is>
          <t>계</t>
        </is>
      </c>
      <c r="T178" s="5" t="n">
        <v>69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팔용동 대동중앙</t>
        </is>
      </c>
      <c r="B179" s="76" t="inlineStr">
        <is>
          <t>93.09.</t>
        </is>
      </c>
      <c r="C179" s="130" t="n">
        <v>1040</v>
      </c>
      <c r="D179" s="131" t="n">
        <v>69.40000000000001</v>
      </c>
      <c r="E179" s="132" t="n">
        <v>21</v>
      </c>
      <c r="F179" s="131" t="n">
        <v>59.7</v>
      </c>
      <c r="G179" s="17" t="n">
        <v>18</v>
      </c>
      <c r="H179" s="133" t="n">
        <v>120</v>
      </c>
      <c r="I179" s="134" t="n">
        <v>25000</v>
      </c>
      <c r="J179" s="134" t="inlineStr">
        <is>
          <t>10</t>
        </is>
      </c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1</v>
      </c>
      <c r="S179" s="121" t="inlineStr">
        <is>
          <t>계</t>
        </is>
      </c>
      <c r="T179" s="5" t="inlineStr">
        <is>
          <t>69A</t>
        </is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팔용동 대동중앙</t>
        </is>
      </c>
      <c r="B180" s="76" t="inlineStr">
        <is>
          <t>93.09.</t>
        </is>
      </c>
      <c r="C180" s="130" t="n">
        <v>1040</v>
      </c>
      <c r="D180" s="131" t="n">
        <v>69.7</v>
      </c>
      <c r="E180" s="132" t="n">
        <v>21</v>
      </c>
      <c r="F180" s="131" t="n">
        <v>59.9</v>
      </c>
      <c r="G180" s="17" t="n">
        <v>18</v>
      </c>
      <c r="H180" s="133" t="n">
        <v>90</v>
      </c>
      <c r="I180" s="134" t="n">
        <v>27000</v>
      </c>
      <c r="J180" s="134" t="inlineStr">
        <is>
          <t>중</t>
        </is>
      </c>
      <c r="K180" s="134" t="n">
        <v>19000</v>
      </c>
      <c r="L180" s="134" t="inlineStr">
        <is>
          <t>10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1</v>
      </c>
      <c r="S180" s="121" t="inlineStr">
        <is>
          <t>계</t>
        </is>
      </c>
      <c r="T180" s="5" t="inlineStr">
        <is>
          <t>69B</t>
        </is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  <c r="W181" s="74" t="n"/>
      <c r="X181" s="74" t="n"/>
      <c r="Y181" s="74" t="n"/>
      <c r="Z181" s="74" t="n"/>
      <c r="AA181" s="74" t="n"/>
      <c r="AB181" s="74" t="n"/>
      <c r="AC181" s="74" t="n"/>
      <c r="AD181" s="74" t="n"/>
      <c r="AE181" s="74" t="n"/>
      <c r="AF181" s="74" t="n"/>
      <c r="AG181" s="74" t="n"/>
      <c r="AH181" s="74" t="n"/>
      <c r="AI181" s="74" t="n"/>
      <c r="AJ181" s="74" t="n"/>
      <c r="AK181" s="74" t="n"/>
      <c r="AL181" s="74" t="n"/>
      <c r="AM181" s="74" t="n"/>
      <c r="AN181" s="74" t="n"/>
      <c r="AO181" s="74" t="n"/>
      <c r="AP181" s="74" t="n"/>
      <c r="AQ181" s="74" t="n"/>
      <c r="AR181" s="74" t="n"/>
      <c r="AS181" s="74" t="n"/>
      <c r="AT181" s="74" t="n"/>
      <c r="AU181" s="74" t="n"/>
      <c r="AV181" s="74" t="n"/>
      <c r="AX181" s="138" t="n">
        <v>1994</v>
      </c>
      <c r="AY181" s="138" t="n">
        <v>12</v>
      </c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  <c r="W182" s="74" t="n"/>
      <c r="X182" s="74" t="n"/>
      <c r="Y182" s="74" t="n"/>
      <c r="Z182" s="74" t="n"/>
      <c r="AA182" s="74" t="n"/>
      <c r="AB182" s="74" t="n"/>
      <c r="AC182" s="74" t="n"/>
      <c r="AD182" s="74" t="n"/>
      <c r="AE182" s="74" t="n"/>
      <c r="AF182" s="74" t="n"/>
      <c r="AG182" s="74" t="n"/>
      <c r="AH182" s="74" t="n"/>
      <c r="AI182" s="74" t="n"/>
      <c r="AJ182" s="74" t="n"/>
      <c r="AK182" s="74" t="n"/>
      <c r="AL182" s="74" t="n"/>
      <c r="AM182" s="74" t="n"/>
      <c r="AN182" s="74" t="n"/>
      <c r="AO182" s="74" t="n"/>
      <c r="AP182" s="74" t="n"/>
      <c r="AQ182" s="74" t="n"/>
      <c r="AR182" s="74" t="n"/>
      <c r="AS182" s="74" t="n"/>
      <c r="AT182" s="74" t="n"/>
      <c r="AU182" s="74" t="n"/>
      <c r="AV182" s="74" t="n"/>
      <c r="AX182" s="138" t="n">
        <v>1994</v>
      </c>
      <c r="AY182" s="138" t="n">
        <v>12</v>
      </c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  <c r="W183" s="74" t="n"/>
      <c r="X183" s="74" t="n"/>
      <c r="Y183" s="74" t="n"/>
      <c r="Z183" s="74" t="n"/>
      <c r="AA183" s="74" t="n"/>
      <c r="AB183" s="74" t="n"/>
      <c r="AC183" s="74" t="n"/>
      <c r="AD183" s="74" t="n"/>
      <c r="AE183" s="74" t="n"/>
      <c r="AF183" s="74" t="n"/>
      <c r="AG183" s="74" t="n"/>
      <c r="AH183" s="74" t="n"/>
      <c r="AI183" s="74" t="n"/>
      <c r="AJ183" s="74" t="n"/>
      <c r="AK183" s="74" t="n"/>
      <c r="AL183" s="74" t="n"/>
      <c r="AM183" s="74" t="n"/>
      <c r="AN183" s="74" t="n"/>
      <c r="AO183" s="74" t="n"/>
      <c r="AP183" s="74" t="n"/>
      <c r="AQ183" s="74" t="n"/>
      <c r="AR183" s="74" t="n"/>
      <c r="AS183" s="74" t="n"/>
      <c r="AT183" s="74" t="n"/>
      <c r="AU183" s="74" t="n"/>
      <c r="AV183" s="74" t="n"/>
      <c r="AX183" s="138" t="n">
        <v>1997</v>
      </c>
      <c r="AY183" s="138" t="n">
        <v>7</v>
      </c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  <c r="W184" s="74" t="n"/>
      <c r="X184" s="74" t="n"/>
      <c r="Y184" s="74" t="n"/>
      <c r="Z184" s="74" t="n"/>
      <c r="AA184" s="74" t="n"/>
      <c r="AB184" s="74" t="n"/>
      <c r="AC184" s="74" t="n"/>
      <c r="AD184" s="74" t="n"/>
      <c r="AE184" s="74" t="n"/>
      <c r="AF184" s="74" t="n"/>
      <c r="AG184" s="74" t="n"/>
      <c r="AH184" s="74" t="n"/>
      <c r="AI184" s="74" t="n"/>
      <c r="AJ184" s="74" t="n"/>
      <c r="AK184" s="74" t="n"/>
      <c r="AL184" s="74" t="n"/>
      <c r="AM184" s="74" t="n"/>
      <c r="AN184" s="74" t="n"/>
      <c r="AO184" s="74" t="n"/>
      <c r="AP184" s="74" t="n"/>
      <c r="AQ184" s="74" t="n"/>
      <c r="AR184" s="74" t="n"/>
      <c r="AS184" s="74" t="n"/>
      <c r="AT184" s="74" t="n"/>
      <c r="AU184" s="74" t="n"/>
      <c r="AV184" s="74" t="n"/>
      <c r="AX184" s="138" t="n">
        <v>1997</v>
      </c>
      <c r="AY184" s="138" t="n">
        <v>7</v>
      </c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  <c r="W185" s="74" t="n"/>
      <c r="X185" s="74" t="n"/>
      <c r="Y185" s="74" t="n"/>
      <c r="Z185" s="74" t="n"/>
      <c r="AA185" s="74" t="n"/>
      <c r="AB185" s="74" t="n"/>
      <c r="AC185" s="74" t="n"/>
      <c r="AD185" s="74" t="n"/>
      <c r="AE185" s="74" t="n"/>
      <c r="AF185" s="74" t="n"/>
      <c r="AG185" s="74" t="n"/>
      <c r="AH185" s="74" t="n"/>
      <c r="AI185" s="74" t="n"/>
      <c r="AJ185" s="74" t="n"/>
      <c r="AK185" s="74" t="n"/>
      <c r="AL185" s="74" t="n"/>
      <c r="AM185" s="74" t="n"/>
      <c r="AN185" s="74" t="n"/>
      <c r="AO185" s="74" t="n"/>
      <c r="AP185" s="74" t="n"/>
      <c r="AQ185" s="74" t="n"/>
      <c r="AR185" s="74" t="n"/>
      <c r="AS185" s="74" t="n"/>
      <c r="AT185" s="74" t="n"/>
      <c r="AU185" s="74" t="n"/>
      <c r="AV185" s="74" t="n"/>
      <c r="AX185" s="138" t="n">
        <v>1996</v>
      </c>
      <c r="AY185" s="138" t="n">
        <v>3</v>
      </c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  <c r="W186" s="74" t="n"/>
      <c r="X186" s="74" t="n"/>
      <c r="Y186" s="74" t="n"/>
      <c r="Z186" s="74" t="n"/>
      <c r="AA186" s="74" t="n"/>
      <c r="AB186" s="74" t="n"/>
      <c r="AC186" s="74" t="n"/>
      <c r="AD186" s="74" t="n"/>
      <c r="AE186" s="74" t="n"/>
      <c r="AF186" s="74" t="n"/>
      <c r="AG186" s="74" t="n"/>
      <c r="AH186" s="74" t="n"/>
      <c r="AI186" s="74" t="n"/>
      <c r="AJ186" s="74" t="n"/>
      <c r="AK186" s="74" t="n"/>
      <c r="AL186" s="74" t="n"/>
      <c r="AM186" s="74" t="n"/>
      <c r="AN186" s="74" t="n"/>
      <c r="AO186" s="74" t="n"/>
      <c r="AP186" s="74" t="n"/>
      <c r="AQ186" s="74" t="n"/>
      <c r="AR186" s="74" t="n"/>
      <c r="AS186" s="74" t="n"/>
      <c r="AT186" s="74" t="n"/>
      <c r="AU186" s="74" t="n"/>
      <c r="AV186" s="74" t="n"/>
      <c r="AX186" s="138" t="n">
        <v>1996</v>
      </c>
      <c r="AY186" s="138" t="n">
        <v>3</v>
      </c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  <c r="W187" s="74" t="n"/>
      <c r="X187" s="74" t="n"/>
      <c r="Y187" s="74" t="n"/>
      <c r="Z187" s="74" t="n"/>
      <c r="AA187" s="74" t="n"/>
      <c r="AB187" s="74" t="n"/>
      <c r="AC187" s="74" t="n"/>
      <c r="AD187" s="74" t="n"/>
      <c r="AE187" s="74" t="n"/>
      <c r="AF187" s="74" t="n"/>
      <c r="AG187" s="74" t="n"/>
      <c r="AH187" s="74" t="n"/>
      <c r="AI187" s="74" t="n"/>
      <c r="AJ187" s="74" t="n"/>
      <c r="AK187" s="74" t="n"/>
      <c r="AL187" s="74" t="n"/>
      <c r="AM187" s="74" t="n"/>
      <c r="AN187" s="74" t="n"/>
      <c r="AO187" s="74" t="n"/>
      <c r="AP187" s="74" t="n"/>
      <c r="AQ187" s="74" t="n"/>
      <c r="AR187" s="74" t="n"/>
      <c r="AS187" s="74" t="n"/>
      <c r="AT187" s="74" t="n"/>
      <c r="AU187" s="74" t="n"/>
      <c r="AV187" s="74" t="n"/>
      <c r="AX187" s="138" t="n">
        <v>1995</v>
      </c>
      <c r="AY187" s="138" t="n">
        <v>1</v>
      </c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  <c r="W188" s="74" t="n"/>
      <c r="X188" s="74" t="n"/>
      <c r="Y188" s="74" t="n"/>
      <c r="Z188" s="74" t="n"/>
      <c r="AA188" s="74" t="n"/>
      <c r="AB188" s="74" t="n"/>
      <c r="AC188" s="74" t="n"/>
      <c r="AD188" s="74" t="n"/>
      <c r="AE188" s="74" t="n"/>
      <c r="AF188" s="74" t="n"/>
      <c r="AG188" s="74" t="n"/>
      <c r="AH188" s="74" t="n"/>
      <c r="AI188" s="74" t="n"/>
      <c r="AJ188" s="74" t="n"/>
      <c r="AK188" s="74" t="n"/>
      <c r="AL188" s="74" t="n"/>
      <c r="AM188" s="74" t="n"/>
      <c r="AN188" s="74" t="n"/>
      <c r="AO188" s="74" t="n"/>
      <c r="AP188" s="74" t="n"/>
      <c r="AQ188" s="74" t="n"/>
      <c r="AR188" s="74" t="n"/>
      <c r="AS188" s="74" t="n"/>
      <c r="AT188" s="74" t="n"/>
      <c r="AU188" s="74" t="n"/>
      <c r="AV188" s="74" t="n"/>
      <c r="AX188" s="138" t="n">
        <v>1995</v>
      </c>
      <c r="AY188" s="138" t="n">
        <v>1</v>
      </c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  <c r="W189" s="74" t="n"/>
      <c r="X189" s="74" t="n"/>
      <c r="Y189" s="74" t="n"/>
      <c r="Z189" s="74" t="n"/>
      <c r="AA189" s="74" t="n"/>
      <c r="AB189" s="74" t="n"/>
      <c r="AC189" s="74" t="n"/>
      <c r="AD189" s="74" t="n"/>
      <c r="AE189" s="74" t="n"/>
      <c r="AF189" s="74" t="n"/>
      <c r="AG189" s="74" t="n"/>
      <c r="AH189" s="74" t="n"/>
      <c r="AI189" s="74" t="n"/>
      <c r="AJ189" s="74" t="n"/>
      <c r="AK189" s="74" t="n"/>
      <c r="AL189" s="74" t="n"/>
      <c r="AM189" s="74" t="n"/>
      <c r="AN189" s="74" t="n"/>
      <c r="AO189" s="74" t="n"/>
      <c r="AP189" s="74" t="n"/>
      <c r="AQ189" s="74" t="n"/>
      <c r="AR189" s="74" t="n"/>
      <c r="AS189" s="74" t="n"/>
      <c r="AT189" s="74" t="n"/>
      <c r="AU189" s="74" t="n"/>
      <c r="AV189" s="74" t="n"/>
      <c r="AX189" s="138" t="n">
        <v>1995</v>
      </c>
      <c r="AY189" s="138" t="n">
        <v>1</v>
      </c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  <c r="W190" s="74" t="n"/>
      <c r="X190" s="74" t="n"/>
      <c r="Y190" s="74" t="n"/>
      <c r="Z190" s="74" t="n"/>
      <c r="AA190" s="74" t="n"/>
      <c r="AB190" s="74" t="n"/>
      <c r="AC190" s="74" t="n"/>
      <c r="AD190" s="74" t="n"/>
      <c r="AE190" s="74" t="n"/>
      <c r="AF190" s="74" t="n"/>
      <c r="AG190" s="74" t="n"/>
      <c r="AH190" s="74" t="n"/>
      <c r="AI190" s="74" t="n"/>
      <c r="AJ190" s="74" t="n"/>
      <c r="AK190" s="74" t="n"/>
      <c r="AL190" s="74" t="n"/>
      <c r="AM190" s="74" t="n"/>
      <c r="AN190" s="74" t="n"/>
      <c r="AO190" s="74" t="n"/>
      <c r="AP190" s="74" t="n"/>
      <c r="AQ190" s="74" t="n"/>
      <c r="AR190" s="74" t="n"/>
      <c r="AS190" s="74" t="n"/>
      <c r="AT190" s="74" t="n"/>
      <c r="AU190" s="74" t="n"/>
      <c r="AV190" s="74" t="n"/>
      <c r="AX190" s="138" t="n">
        <v>1998</v>
      </c>
      <c r="AY190" s="138" t="n">
        <v>8</v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8" t="n">
        <v>1998</v>
      </c>
      <c r="AY191" s="138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8" t="n">
        <v>1998</v>
      </c>
      <c r="AY192" s="138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8" t="n">
        <v>1996</v>
      </c>
      <c r="AY193" s="138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8" t="n">
        <v>1996</v>
      </c>
      <c r="AY194" s="138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8" t="n">
        <v>1996</v>
      </c>
      <c r="AY195" s="138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8" t="n">
        <v>1997</v>
      </c>
      <c r="AY196" s="138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8" t="n">
        <v>1997</v>
      </c>
      <c r="AY197" s="138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8" t="n">
        <v>1998</v>
      </c>
      <c r="AY198" s="138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8" t="n">
        <v>1998</v>
      </c>
      <c r="AY199" s="138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8" t="n">
        <v>1998</v>
      </c>
      <c r="AY200" s="138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8" t="n">
        <v>1998</v>
      </c>
      <c r="AY201" s="138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8" t="n">
        <v>1997</v>
      </c>
      <c r="AY202" s="138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8" t="n">
        <v>1997</v>
      </c>
      <c r="AY203" s="138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8" t="n">
        <v>1997</v>
      </c>
      <c r="AY204" s="138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8" t="n">
        <v>1996</v>
      </c>
      <c r="AY205" s="138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8" t="n">
        <v>1996</v>
      </c>
      <c r="AY206" s="138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8" t="n">
        <v>1994</v>
      </c>
      <c r="AY207" s="138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8" t="n">
        <v>1994</v>
      </c>
      <c r="AY208" s="138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8" t="n">
        <v>1984</v>
      </c>
      <c r="AY209" s="138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8" t="n">
        <v>1984</v>
      </c>
      <c r="AY210" s="138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8" t="n">
        <v>1994</v>
      </c>
      <c r="AY211" s="138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8" t="n">
        <v>1994</v>
      </c>
      <c r="AY212" s="138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8" t="n">
        <v>1997</v>
      </c>
      <c r="AY213" s="138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8" t="n">
        <v>1997</v>
      </c>
      <c r="AY214" s="138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8" t="n">
        <v>1997</v>
      </c>
      <c r="AY215" s="138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8" t="n">
        <v>1997</v>
      </c>
      <c r="AY216" s="138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8" t="n">
        <v>1997</v>
      </c>
      <c r="AY217" s="138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8" t="n">
        <v>1997</v>
      </c>
      <c r="AY218" s="138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8" t="n">
        <v>2002</v>
      </c>
      <c r="AY219" s="138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8" t="n">
        <v>2002</v>
      </c>
      <c r="AY220" s="138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8" t="n">
        <v>1990</v>
      </c>
      <c r="AY221" s="138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0" t="e">
        <v>#DIV/0!</v>
      </c>
      <c r="BC228" s="140" t="e">
        <v>#DIV/0!</v>
      </c>
      <c r="BD228" s="140" t="e">
        <v>#DIV/0!</v>
      </c>
      <c r="BE228" s="140" t="e">
        <v>#DIV/0!</v>
      </c>
      <c r="BF228" s="140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0" t="e">
        <v>#DIV/0!</v>
      </c>
      <c r="BC229" s="140" t="e">
        <v>#DIV/0!</v>
      </c>
      <c r="BD229" s="140" t="e">
        <v>#DIV/0!</v>
      </c>
      <c r="BE229" s="140" t="e">
        <v>#DIV/0!</v>
      </c>
      <c r="BF229" s="140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0" t="e">
        <v>#DIV/0!</v>
      </c>
      <c r="BC341" s="140" t="e">
        <v>#DIV/0!</v>
      </c>
      <c r="BD341" s="140" t="e">
        <v>#DIV/0!</v>
      </c>
      <c r="BE341" s="140" t="e">
        <v>#DIV/0!</v>
      </c>
      <c r="BF341" s="140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0" t="e">
        <v>#DIV/0!</v>
      </c>
      <c r="BC343" s="140" t="e">
        <v>#DIV/0!</v>
      </c>
      <c r="BD343" s="140" t="e">
        <v>#DIV/0!</v>
      </c>
      <c r="BE343" s="140" t="e">
        <v>#DIV/0!</v>
      </c>
      <c r="BF343" s="140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2702" operator="lessThan" dxfId="2">
      <formula>15.1</formula>
    </cfRule>
    <cfRule type="cellIs" priority="82703" operator="lessThan" dxfId="6768">
      <formula>18.1</formula>
    </cfRule>
    <cfRule type="cellIs" priority="82704" operator="lessThan" dxfId="6767">
      <formula>21.1</formula>
    </cfRule>
    <cfRule type="cellIs" priority="82705" operator="lessThan" dxfId="6766">
      <formula>24.1</formula>
    </cfRule>
    <cfRule type="cellIs" priority="82706" operator="lessThan" dxfId="1">
      <formula>30</formula>
    </cfRule>
    <cfRule type="cellIs" priority="82707" operator="lessThan" dxfId="6764">
      <formula>34.1</formula>
    </cfRule>
  </conditionalFormatting>
  <conditionalFormatting sqref="Z3">
    <cfRule type="colorScale" priority="8270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2699" operator="greaterThan" dxfId="17">
      <formula>0.9</formula>
    </cfRule>
    <cfRule type="cellIs" priority="82700" operator="greaterThan" dxfId="16">
      <formula>0.85</formula>
    </cfRule>
  </conditionalFormatting>
  <conditionalFormatting sqref="N2">
    <cfRule type="cellIs" priority="82697" operator="greaterThan" dxfId="17">
      <formula>0.9</formula>
    </cfRule>
    <cfRule type="cellIs" priority="82698" operator="greaterThan" dxfId="16">
      <formula>0.85</formula>
    </cfRule>
  </conditionalFormatting>
  <conditionalFormatting sqref="AV4">
    <cfRule type="expression" priority="3185" dxfId="23">
      <formula>AV4="X"</formula>
    </cfRule>
    <cfRule type="expression" priority="3186" dxfId="22">
      <formula>AV4="후보"</formula>
    </cfRule>
  </conditionalFormatting>
  <conditionalFormatting sqref="AC4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">
    <cfRule type="expression" priority="3177" dxfId="3">
      <formula>AND(IF(OR($Q4=1,$Q4=2),1,0),IF($X4&lt;=20,1,0))</formula>
    </cfRule>
    <cfRule type="expression" priority="3178" dxfId="2">
      <formula>AND(IF($Q4=2,1,0),IF($X4&lt;30,1,0))</formula>
    </cfRule>
    <cfRule type="expression" priority="3179" dxfId="1">
      <formula>AND(IF($Q4=3,1,0),IF($X4&lt;30,1,0))</formula>
    </cfRule>
    <cfRule type="expression" priority="3180" dxfId="0">
      <formula>AND(IF($Q4=3,1,IF($Q4=4,1,0)),IF($F4&lt;=85,1,0))</formula>
    </cfRule>
  </conditionalFormatting>
  <conditionalFormatting sqref="X4">
    <cfRule type="expression" priority="3173" dxfId="3">
      <formula>AND(IF(OR($Q4=1,$Q4=2),1,0),IF($X4&lt;=20,1,0))</formula>
    </cfRule>
    <cfRule type="expression" priority="3174" dxfId="2">
      <formula>AND(IF($Q4=2,1,0),IF($X4&lt;30,1,0))</formula>
    </cfRule>
    <cfRule type="expression" priority="3175" dxfId="1">
      <formula>AND(IF($Q4=3,1,0),IF($X4&lt;30,1,0))</formula>
    </cfRule>
    <cfRule type="expression" priority="3176" dxfId="0">
      <formula>AND(IF($Q4=3,1,IF($Q4=4,1,0)),IF($F4&lt;=85,1,0))</formula>
    </cfRule>
  </conditionalFormatting>
  <conditionalFormatting sqref="AI4">
    <cfRule type="expression" priority="3169" dxfId="3">
      <formula>AND(IF(OR($Q4=1,$Q4=2),1,0),IF($X4&lt;=20,1,0))</formula>
    </cfRule>
    <cfRule type="expression" priority="3170" dxfId="2">
      <formula>AND(IF($Q4=2,1,0),IF($X4&lt;30,1,0))</formula>
    </cfRule>
    <cfRule type="expression" priority="3171" dxfId="1">
      <formula>AND(IF($Q4=3,1,0),IF($X4&lt;30,1,0))</formula>
    </cfRule>
    <cfRule type="expression" priority="3172" dxfId="0">
      <formula>AND(IF($Q4=3,1,IF($Q4=4,1,0)),IF($F4&lt;=85,1,0))</formula>
    </cfRule>
  </conditionalFormatting>
  <conditionalFormatting sqref="AV5">
    <cfRule type="expression" priority="3167" dxfId="23">
      <formula>AV5="X"</formula>
    </cfRule>
    <cfRule type="expression" priority="3168" dxfId="22">
      <formula>AV5="후보"</formula>
    </cfRule>
  </conditionalFormatting>
  <conditionalFormatting sqref="AC5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5">
    <cfRule type="expression" priority="3159" dxfId="3">
      <formula>AND(IF(OR($Q5=1,$Q5=2),1,0),IF($X5&lt;=20,1,0))</formula>
    </cfRule>
    <cfRule type="expression" priority="3160" dxfId="2">
      <formula>AND(IF($Q5=2,1,0),IF($X5&lt;30,1,0))</formula>
    </cfRule>
    <cfRule type="expression" priority="3161" dxfId="1">
      <formula>AND(IF($Q5=3,1,0),IF($X5&lt;30,1,0))</formula>
    </cfRule>
    <cfRule type="expression" priority="3162" dxfId="0">
      <formula>AND(IF($Q5=3,1,IF($Q5=4,1,0)),IF($F5&lt;=85,1,0))</formula>
    </cfRule>
  </conditionalFormatting>
  <conditionalFormatting sqref="X5">
    <cfRule type="expression" priority="3155" dxfId="3">
      <formula>AND(IF(OR($Q5=1,$Q5=2),1,0),IF($X5&lt;=20,1,0))</formula>
    </cfRule>
    <cfRule type="expression" priority="3156" dxfId="2">
      <formula>AND(IF($Q5=2,1,0),IF($X5&lt;30,1,0))</formula>
    </cfRule>
    <cfRule type="expression" priority="3157" dxfId="1">
      <formula>AND(IF($Q5=3,1,0),IF($X5&lt;30,1,0))</formula>
    </cfRule>
    <cfRule type="expression" priority="3158" dxfId="0">
      <formula>AND(IF($Q5=3,1,IF($Q5=4,1,0)),IF($F5&lt;=85,1,0))</formula>
    </cfRule>
  </conditionalFormatting>
  <conditionalFormatting sqref="AI5">
    <cfRule type="expression" priority="3151" dxfId="3">
      <formula>AND(IF(OR($Q5=1,$Q5=2),1,0),IF($X5&lt;=20,1,0))</formula>
    </cfRule>
    <cfRule type="expression" priority="3152" dxfId="2">
      <formula>AND(IF($Q5=2,1,0),IF($X5&lt;30,1,0))</formula>
    </cfRule>
    <cfRule type="expression" priority="3153" dxfId="1">
      <formula>AND(IF($Q5=3,1,0),IF($X5&lt;30,1,0))</formula>
    </cfRule>
    <cfRule type="expression" priority="3154" dxfId="0">
      <formula>AND(IF($Q5=3,1,IF($Q5=4,1,0)),IF($F5&lt;=85,1,0))</formula>
    </cfRule>
  </conditionalFormatting>
  <conditionalFormatting sqref="AV6">
    <cfRule type="expression" priority="3149" dxfId="23">
      <formula>AV6="X"</formula>
    </cfRule>
    <cfRule type="expression" priority="3150" dxfId="22">
      <formula>AV6="후보"</formula>
    </cfRule>
  </conditionalFormatting>
  <conditionalFormatting sqref="AC6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6">
    <cfRule type="expression" priority="3141" dxfId="3">
      <formula>AND(IF(OR($Q6=1,$Q6=2),1,0),IF($X6&lt;=20,1,0))</formula>
    </cfRule>
    <cfRule type="expression" priority="3142" dxfId="2">
      <formula>AND(IF($Q6=2,1,0),IF($X6&lt;30,1,0))</formula>
    </cfRule>
    <cfRule type="expression" priority="3143" dxfId="1">
      <formula>AND(IF($Q6=3,1,0),IF($X6&lt;30,1,0))</formula>
    </cfRule>
    <cfRule type="expression" priority="3144" dxfId="0">
      <formula>AND(IF($Q6=3,1,IF($Q6=4,1,0)),IF($F6&lt;=85,1,0))</formula>
    </cfRule>
  </conditionalFormatting>
  <conditionalFormatting sqref="X6">
    <cfRule type="expression" priority="3137" dxfId="3">
      <formula>AND(IF(OR($Q6=1,$Q6=2),1,0),IF($X6&lt;=20,1,0))</formula>
    </cfRule>
    <cfRule type="expression" priority="3138" dxfId="2">
      <formula>AND(IF($Q6=2,1,0),IF($X6&lt;30,1,0))</formula>
    </cfRule>
    <cfRule type="expression" priority="3139" dxfId="1">
      <formula>AND(IF($Q6=3,1,0),IF($X6&lt;30,1,0))</formula>
    </cfRule>
    <cfRule type="expression" priority="3140" dxfId="0">
      <formula>AND(IF($Q6=3,1,IF($Q6=4,1,0)),IF($F6&lt;=85,1,0))</formula>
    </cfRule>
  </conditionalFormatting>
  <conditionalFormatting sqref="AI6">
    <cfRule type="expression" priority="3133" dxfId="3">
      <formula>AND(IF(OR($Q6=1,$Q6=2),1,0),IF($X6&lt;=20,1,0))</formula>
    </cfRule>
    <cfRule type="expression" priority="3134" dxfId="2">
      <formula>AND(IF($Q6=2,1,0),IF($X6&lt;30,1,0))</formula>
    </cfRule>
    <cfRule type="expression" priority="3135" dxfId="1">
      <formula>AND(IF($Q6=3,1,0),IF($X6&lt;30,1,0))</formula>
    </cfRule>
    <cfRule type="expression" priority="3136" dxfId="0">
      <formula>AND(IF($Q6=3,1,IF($Q6=4,1,0)),IF($F6&lt;=85,1,0))</formula>
    </cfRule>
  </conditionalFormatting>
  <conditionalFormatting sqref="AV7">
    <cfRule type="expression" priority="3131" dxfId="23">
      <formula>AV7="X"</formula>
    </cfRule>
    <cfRule type="expression" priority="3132" dxfId="22">
      <formula>AV7="후보"</formula>
    </cfRule>
  </conditionalFormatting>
  <conditionalFormatting sqref="AC7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7">
    <cfRule type="expression" priority="3123" dxfId="3">
      <formula>AND(IF(OR($Q7=1,$Q7=2),1,0),IF($X7&lt;=20,1,0))</formula>
    </cfRule>
    <cfRule type="expression" priority="3124" dxfId="2">
      <formula>AND(IF($Q7=2,1,0),IF($X7&lt;30,1,0))</formula>
    </cfRule>
    <cfRule type="expression" priority="3125" dxfId="1">
      <formula>AND(IF($Q7=3,1,0),IF($X7&lt;30,1,0))</formula>
    </cfRule>
    <cfRule type="expression" priority="3126" dxfId="0">
      <formula>AND(IF($Q7=3,1,IF($Q7=4,1,0)),IF($F7&lt;=85,1,0))</formula>
    </cfRule>
  </conditionalFormatting>
  <conditionalFormatting sqref="X7">
    <cfRule type="expression" priority="3119" dxfId="3">
      <formula>AND(IF(OR($Q7=1,$Q7=2),1,0),IF($X7&lt;=20,1,0))</formula>
    </cfRule>
    <cfRule type="expression" priority="3120" dxfId="2">
      <formula>AND(IF($Q7=2,1,0),IF($X7&lt;30,1,0))</formula>
    </cfRule>
    <cfRule type="expression" priority="3121" dxfId="1">
      <formula>AND(IF($Q7=3,1,0),IF($X7&lt;30,1,0))</formula>
    </cfRule>
    <cfRule type="expression" priority="3122" dxfId="0">
      <formula>AND(IF($Q7=3,1,IF($Q7=4,1,0)),IF($F7&lt;=85,1,0))</formula>
    </cfRule>
  </conditionalFormatting>
  <conditionalFormatting sqref="AI7">
    <cfRule type="expression" priority="3115" dxfId="3">
      <formula>AND(IF(OR($Q7=1,$Q7=2),1,0),IF($X7&lt;=20,1,0))</formula>
    </cfRule>
    <cfRule type="expression" priority="3116" dxfId="2">
      <formula>AND(IF($Q7=2,1,0),IF($X7&lt;30,1,0))</formula>
    </cfRule>
    <cfRule type="expression" priority="3117" dxfId="1">
      <formula>AND(IF($Q7=3,1,0),IF($X7&lt;30,1,0))</formula>
    </cfRule>
    <cfRule type="expression" priority="3118" dxfId="0">
      <formula>AND(IF($Q7=3,1,IF($Q7=4,1,0)),IF($F7&lt;=85,1,0))</formula>
    </cfRule>
  </conditionalFormatting>
  <conditionalFormatting sqref="AV8">
    <cfRule type="expression" priority="3113" dxfId="23">
      <formula>AV8="X"</formula>
    </cfRule>
    <cfRule type="expression" priority="3114" dxfId="22">
      <formula>AV8="후보"</formula>
    </cfRule>
  </conditionalFormatting>
  <conditionalFormatting sqref="AC8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8">
    <cfRule type="expression" priority="3105" dxfId="3">
      <formula>AND(IF(OR($Q8=1,$Q8=2),1,0),IF($X8&lt;=20,1,0))</formula>
    </cfRule>
    <cfRule type="expression" priority="3106" dxfId="2">
      <formula>AND(IF($Q8=2,1,0),IF($X8&lt;30,1,0))</formula>
    </cfRule>
    <cfRule type="expression" priority="3107" dxfId="1">
      <formula>AND(IF($Q8=3,1,0),IF($X8&lt;30,1,0))</formula>
    </cfRule>
    <cfRule type="expression" priority="3108" dxfId="0">
      <formula>AND(IF($Q8=3,1,IF($Q8=4,1,0)),IF($F8&lt;=85,1,0))</formula>
    </cfRule>
  </conditionalFormatting>
  <conditionalFormatting sqref="X8">
    <cfRule type="expression" priority="3101" dxfId="3">
      <formula>AND(IF(OR($Q8=1,$Q8=2),1,0),IF($X8&lt;=20,1,0))</formula>
    </cfRule>
    <cfRule type="expression" priority="3102" dxfId="2">
      <formula>AND(IF($Q8=2,1,0),IF($X8&lt;30,1,0))</formula>
    </cfRule>
    <cfRule type="expression" priority="3103" dxfId="1">
      <formula>AND(IF($Q8=3,1,0),IF($X8&lt;30,1,0))</formula>
    </cfRule>
    <cfRule type="expression" priority="3104" dxfId="0">
      <formula>AND(IF($Q8=3,1,IF($Q8=4,1,0)),IF($F8&lt;=85,1,0))</formula>
    </cfRule>
  </conditionalFormatting>
  <conditionalFormatting sqref="AI8">
    <cfRule type="expression" priority="3097" dxfId="3">
      <formula>AND(IF(OR($Q8=1,$Q8=2),1,0),IF($X8&lt;=20,1,0))</formula>
    </cfRule>
    <cfRule type="expression" priority="3098" dxfId="2">
      <formula>AND(IF($Q8=2,1,0),IF($X8&lt;30,1,0))</formula>
    </cfRule>
    <cfRule type="expression" priority="3099" dxfId="1">
      <formula>AND(IF($Q8=3,1,0),IF($X8&lt;30,1,0))</formula>
    </cfRule>
    <cfRule type="expression" priority="3100" dxfId="0">
      <formula>AND(IF($Q8=3,1,IF($Q8=4,1,0)),IF($F8&lt;=85,1,0))</formula>
    </cfRule>
  </conditionalFormatting>
  <conditionalFormatting sqref="AV9">
    <cfRule type="expression" priority="3095" dxfId="23">
      <formula>AV9="X"</formula>
    </cfRule>
    <cfRule type="expression" priority="3096" dxfId="22">
      <formula>AV9="후보"</formula>
    </cfRule>
  </conditionalFormatting>
  <conditionalFormatting sqref="AC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9">
    <cfRule type="expression" priority="3087" dxfId="3">
      <formula>AND(IF(OR($Q9=1,$Q9=2),1,0),IF($X9&lt;=20,1,0))</formula>
    </cfRule>
    <cfRule type="expression" priority="3088" dxfId="2">
      <formula>AND(IF($Q9=2,1,0),IF($X9&lt;30,1,0))</formula>
    </cfRule>
    <cfRule type="expression" priority="3089" dxfId="1">
      <formula>AND(IF($Q9=3,1,0),IF($X9&lt;30,1,0))</formula>
    </cfRule>
    <cfRule type="expression" priority="3090" dxfId="0">
      <formula>AND(IF($Q9=3,1,IF($Q9=4,1,0)),IF($F9&lt;=85,1,0))</formula>
    </cfRule>
  </conditionalFormatting>
  <conditionalFormatting sqref="X9">
    <cfRule type="expression" priority="3083" dxfId="3">
      <formula>AND(IF(OR($Q9=1,$Q9=2),1,0),IF($X9&lt;=20,1,0))</formula>
    </cfRule>
    <cfRule type="expression" priority="3084" dxfId="2">
      <formula>AND(IF($Q9=2,1,0),IF($X9&lt;30,1,0))</formula>
    </cfRule>
    <cfRule type="expression" priority="3085" dxfId="1">
      <formula>AND(IF($Q9=3,1,0),IF($X9&lt;30,1,0))</formula>
    </cfRule>
    <cfRule type="expression" priority="3086" dxfId="0">
      <formula>AND(IF($Q9=3,1,IF($Q9=4,1,0)),IF($F9&lt;=85,1,0))</formula>
    </cfRule>
  </conditionalFormatting>
  <conditionalFormatting sqref="AI9">
    <cfRule type="expression" priority="3079" dxfId="3">
      <formula>AND(IF(OR($Q9=1,$Q9=2),1,0),IF($X9&lt;=20,1,0))</formula>
    </cfRule>
    <cfRule type="expression" priority="3080" dxfId="2">
      <formula>AND(IF($Q9=2,1,0),IF($X9&lt;30,1,0))</formula>
    </cfRule>
    <cfRule type="expression" priority="3081" dxfId="1">
      <formula>AND(IF($Q9=3,1,0),IF($X9&lt;30,1,0))</formula>
    </cfRule>
    <cfRule type="expression" priority="3082" dxfId="0">
      <formula>AND(IF($Q9=3,1,IF($Q9=4,1,0)),IF($F9&lt;=85,1,0))</formula>
    </cfRule>
  </conditionalFormatting>
  <conditionalFormatting sqref="AV10">
    <cfRule type="expression" priority="3077" dxfId="23">
      <formula>AV10="X"</formula>
    </cfRule>
    <cfRule type="expression" priority="3078" dxfId="22">
      <formula>AV10="후보"</formula>
    </cfRule>
  </conditionalFormatting>
  <conditionalFormatting sqref="AC10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1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10">
    <cfRule type="expression" priority="3069" dxfId="3">
      <formula>AND(IF(OR($Q10=1,$Q10=2),1,0),IF($X10&lt;=20,1,0))</formula>
    </cfRule>
    <cfRule type="expression" priority="3070" dxfId="2">
      <formula>AND(IF($Q10=2,1,0),IF($X10&lt;30,1,0))</formula>
    </cfRule>
    <cfRule type="expression" priority="3071" dxfId="1">
      <formula>AND(IF($Q10=3,1,0),IF($X10&lt;30,1,0))</formula>
    </cfRule>
    <cfRule type="expression" priority="3072" dxfId="0">
      <formula>AND(IF($Q10=3,1,IF($Q10=4,1,0)),IF($F10&lt;=85,1,0))</formula>
    </cfRule>
  </conditionalFormatting>
  <conditionalFormatting sqref="X10">
    <cfRule type="expression" priority="3065" dxfId="3">
      <formula>AND(IF(OR($Q10=1,$Q10=2),1,0),IF($X10&lt;=20,1,0))</formula>
    </cfRule>
    <cfRule type="expression" priority="3066" dxfId="2">
      <formula>AND(IF($Q10=2,1,0),IF($X10&lt;30,1,0))</formula>
    </cfRule>
    <cfRule type="expression" priority="3067" dxfId="1">
      <formula>AND(IF($Q10=3,1,0),IF($X10&lt;30,1,0))</formula>
    </cfRule>
    <cfRule type="expression" priority="3068" dxfId="0">
      <formula>AND(IF($Q10=3,1,IF($Q10=4,1,0)),IF($F10&lt;=85,1,0))</formula>
    </cfRule>
  </conditionalFormatting>
  <conditionalFormatting sqref="AI10">
    <cfRule type="expression" priority="3061" dxfId="3">
      <formula>AND(IF(OR($Q10=1,$Q10=2),1,0),IF($X10&lt;=20,1,0))</formula>
    </cfRule>
    <cfRule type="expression" priority="3062" dxfId="2">
      <formula>AND(IF($Q10=2,1,0),IF($X10&lt;30,1,0))</formula>
    </cfRule>
    <cfRule type="expression" priority="3063" dxfId="1">
      <formula>AND(IF($Q10=3,1,0),IF($X10&lt;30,1,0))</formula>
    </cfRule>
    <cfRule type="expression" priority="3064" dxfId="0">
      <formula>AND(IF($Q10=3,1,IF($Q10=4,1,0)),IF($F10&lt;=85,1,0))</formula>
    </cfRule>
  </conditionalFormatting>
  <conditionalFormatting sqref="AV11">
    <cfRule type="expression" priority="3059" dxfId="23">
      <formula>AV11="X"</formula>
    </cfRule>
    <cfRule type="expression" priority="3060" dxfId="22">
      <formula>AV11="후보"</formula>
    </cfRule>
  </conditionalFormatting>
  <conditionalFormatting sqref="AC11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1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11">
    <cfRule type="expression" priority="3051" dxfId="3">
      <formula>AND(IF(OR($Q11=1,$Q11=2),1,0),IF($X11&lt;=20,1,0))</formula>
    </cfRule>
    <cfRule type="expression" priority="3052" dxfId="2">
      <formula>AND(IF($Q11=2,1,0),IF($X11&lt;30,1,0))</formula>
    </cfRule>
    <cfRule type="expression" priority="3053" dxfId="1">
      <formula>AND(IF($Q11=3,1,0),IF($X11&lt;30,1,0))</formula>
    </cfRule>
    <cfRule type="expression" priority="3054" dxfId="0">
      <formula>AND(IF($Q11=3,1,IF($Q11=4,1,0)),IF($F11&lt;=85,1,0))</formula>
    </cfRule>
  </conditionalFormatting>
  <conditionalFormatting sqref="X11">
    <cfRule type="expression" priority="3047" dxfId="3">
      <formula>AND(IF(OR($Q11=1,$Q11=2),1,0),IF($X11&lt;=20,1,0))</formula>
    </cfRule>
    <cfRule type="expression" priority="3048" dxfId="2">
      <formula>AND(IF($Q11=2,1,0),IF($X11&lt;30,1,0))</formula>
    </cfRule>
    <cfRule type="expression" priority="3049" dxfId="1">
      <formula>AND(IF($Q11=3,1,0),IF($X11&lt;30,1,0))</formula>
    </cfRule>
    <cfRule type="expression" priority="3050" dxfId="0">
      <formula>AND(IF($Q11=3,1,IF($Q11=4,1,0)),IF($F11&lt;=85,1,0))</formula>
    </cfRule>
  </conditionalFormatting>
  <conditionalFormatting sqref="AI11">
    <cfRule type="expression" priority="3043" dxfId="3">
      <formula>AND(IF(OR($Q11=1,$Q11=2),1,0),IF($X11&lt;=20,1,0))</formula>
    </cfRule>
    <cfRule type="expression" priority="3044" dxfId="2">
      <formula>AND(IF($Q11=2,1,0),IF($X11&lt;30,1,0))</formula>
    </cfRule>
    <cfRule type="expression" priority="3045" dxfId="1">
      <formula>AND(IF($Q11=3,1,0),IF($X11&lt;30,1,0))</formula>
    </cfRule>
    <cfRule type="expression" priority="3046" dxfId="0">
      <formula>AND(IF($Q11=3,1,IF($Q11=4,1,0)),IF($F11&lt;=85,1,0))</formula>
    </cfRule>
  </conditionalFormatting>
  <conditionalFormatting sqref="AV12">
    <cfRule type="expression" priority="3041" dxfId="23">
      <formula>AV12="X"</formula>
    </cfRule>
    <cfRule type="expression" priority="3042" dxfId="22">
      <formula>AV12="후보"</formula>
    </cfRule>
  </conditionalFormatting>
  <conditionalFormatting sqref="AC12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1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12">
    <cfRule type="expression" priority="3033" dxfId="3">
      <formula>AND(IF(OR($Q12=1,$Q12=2),1,0),IF($X12&lt;=20,1,0))</formula>
    </cfRule>
    <cfRule type="expression" priority="3034" dxfId="2">
      <formula>AND(IF($Q12=2,1,0),IF($X12&lt;30,1,0))</formula>
    </cfRule>
    <cfRule type="expression" priority="3035" dxfId="1">
      <formula>AND(IF($Q12=3,1,0),IF($X12&lt;30,1,0))</formula>
    </cfRule>
    <cfRule type="expression" priority="3036" dxfId="0">
      <formula>AND(IF($Q12=3,1,IF($Q12=4,1,0)),IF($F12&lt;=85,1,0))</formula>
    </cfRule>
  </conditionalFormatting>
  <conditionalFormatting sqref="X12">
    <cfRule type="expression" priority="3029" dxfId="3">
      <formula>AND(IF(OR($Q12=1,$Q12=2),1,0),IF($X12&lt;=20,1,0))</formula>
    </cfRule>
    <cfRule type="expression" priority="3030" dxfId="2">
      <formula>AND(IF($Q12=2,1,0),IF($X12&lt;30,1,0))</formula>
    </cfRule>
    <cfRule type="expression" priority="3031" dxfId="1">
      <formula>AND(IF($Q12=3,1,0),IF($X12&lt;30,1,0))</formula>
    </cfRule>
    <cfRule type="expression" priority="3032" dxfId="0">
      <formula>AND(IF($Q12=3,1,IF($Q12=4,1,0)),IF($F12&lt;=85,1,0))</formula>
    </cfRule>
  </conditionalFormatting>
  <conditionalFormatting sqref="AI12">
    <cfRule type="expression" priority="3025" dxfId="3">
      <formula>AND(IF(OR($Q12=1,$Q12=2),1,0),IF($X12&lt;=20,1,0))</formula>
    </cfRule>
    <cfRule type="expression" priority="3026" dxfId="2">
      <formula>AND(IF($Q12=2,1,0),IF($X12&lt;30,1,0))</formula>
    </cfRule>
    <cfRule type="expression" priority="3027" dxfId="1">
      <formula>AND(IF($Q12=3,1,0),IF($X12&lt;30,1,0))</formula>
    </cfRule>
    <cfRule type="expression" priority="3028" dxfId="0">
      <formula>AND(IF($Q12=3,1,IF($Q12=4,1,0)),IF($F12&lt;=85,1,0))</formula>
    </cfRule>
  </conditionalFormatting>
  <conditionalFormatting sqref="AV13">
    <cfRule type="expression" priority="3023" dxfId="23">
      <formula>AV13="X"</formula>
    </cfRule>
    <cfRule type="expression" priority="3024" dxfId="22">
      <formula>AV13="후보"</formula>
    </cfRule>
  </conditionalFormatting>
  <conditionalFormatting sqref="AC13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1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13">
    <cfRule type="expression" priority="3015" dxfId="3">
      <formula>AND(IF(OR($Q13=1,$Q13=2),1,0),IF($X13&lt;=20,1,0))</formula>
    </cfRule>
    <cfRule type="expression" priority="3016" dxfId="2">
      <formula>AND(IF($Q13=2,1,0),IF($X13&lt;30,1,0))</formula>
    </cfRule>
    <cfRule type="expression" priority="3017" dxfId="1">
      <formula>AND(IF($Q13=3,1,0),IF($X13&lt;30,1,0))</formula>
    </cfRule>
    <cfRule type="expression" priority="3018" dxfId="0">
      <formula>AND(IF($Q13=3,1,IF($Q13=4,1,0)),IF($F13&lt;=85,1,0))</formula>
    </cfRule>
  </conditionalFormatting>
  <conditionalFormatting sqref="X13">
    <cfRule type="expression" priority="3011" dxfId="3">
      <formula>AND(IF(OR($Q13=1,$Q13=2),1,0),IF($X13&lt;=20,1,0))</formula>
    </cfRule>
    <cfRule type="expression" priority="3012" dxfId="2">
      <formula>AND(IF($Q13=2,1,0),IF($X13&lt;30,1,0))</formula>
    </cfRule>
    <cfRule type="expression" priority="3013" dxfId="1">
      <formula>AND(IF($Q13=3,1,0),IF($X13&lt;30,1,0))</formula>
    </cfRule>
    <cfRule type="expression" priority="3014" dxfId="0">
      <formula>AND(IF($Q13=3,1,IF($Q13=4,1,0)),IF($F13&lt;=85,1,0))</formula>
    </cfRule>
  </conditionalFormatting>
  <conditionalFormatting sqref="AI13">
    <cfRule type="expression" priority="3007" dxfId="3">
      <formula>AND(IF(OR($Q13=1,$Q13=2),1,0),IF($X13&lt;=20,1,0))</formula>
    </cfRule>
    <cfRule type="expression" priority="3008" dxfId="2">
      <formula>AND(IF($Q13=2,1,0),IF($X13&lt;30,1,0))</formula>
    </cfRule>
    <cfRule type="expression" priority="3009" dxfId="1">
      <formula>AND(IF($Q13=3,1,0),IF($X13&lt;30,1,0))</formula>
    </cfRule>
    <cfRule type="expression" priority="3010" dxfId="0">
      <formula>AND(IF($Q13=3,1,IF($Q13=4,1,0)),IF($F13&lt;=85,1,0))</formula>
    </cfRule>
  </conditionalFormatting>
  <conditionalFormatting sqref="AV14">
    <cfRule type="expression" priority="3005" dxfId="23">
      <formula>AV14="X"</formula>
    </cfRule>
    <cfRule type="expression" priority="3006" dxfId="22">
      <formula>AV14="후보"</formula>
    </cfRule>
  </conditionalFormatting>
  <conditionalFormatting sqref="AC14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1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14">
    <cfRule type="expression" priority="2997" dxfId="3">
      <formula>AND(IF(OR($Q14=1,$Q14=2),1,0),IF($X14&lt;=20,1,0))</formula>
    </cfRule>
    <cfRule type="expression" priority="2998" dxfId="2">
      <formula>AND(IF($Q14=2,1,0),IF($X14&lt;30,1,0))</formula>
    </cfRule>
    <cfRule type="expression" priority="2999" dxfId="1">
      <formula>AND(IF($Q14=3,1,0),IF($X14&lt;30,1,0))</formula>
    </cfRule>
    <cfRule type="expression" priority="3000" dxfId="0">
      <formula>AND(IF($Q14=3,1,IF($Q14=4,1,0)),IF($F14&lt;=85,1,0))</formula>
    </cfRule>
  </conditionalFormatting>
  <conditionalFormatting sqref="X14">
    <cfRule type="expression" priority="2993" dxfId="3">
      <formula>AND(IF(OR($Q14=1,$Q14=2),1,0),IF($X14&lt;=20,1,0))</formula>
    </cfRule>
    <cfRule type="expression" priority="2994" dxfId="2">
      <formula>AND(IF($Q14=2,1,0),IF($X14&lt;30,1,0))</formula>
    </cfRule>
    <cfRule type="expression" priority="2995" dxfId="1">
      <formula>AND(IF($Q14=3,1,0),IF($X14&lt;30,1,0))</formula>
    </cfRule>
    <cfRule type="expression" priority="2996" dxfId="0">
      <formula>AND(IF($Q14=3,1,IF($Q14=4,1,0)),IF($F14&lt;=85,1,0))</formula>
    </cfRule>
  </conditionalFormatting>
  <conditionalFormatting sqref="AI14">
    <cfRule type="expression" priority="2989" dxfId="3">
      <formula>AND(IF(OR($Q14=1,$Q14=2),1,0),IF($X14&lt;=20,1,0))</formula>
    </cfRule>
    <cfRule type="expression" priority="2990" dxfId="2">
      <formula>AND(IF($Q14=2,1,0),IF($X14&lt;30,1,0))</formula>
    </cfRule>
    <cfRule type="expression" priority="2991" dxfId="1">
      <formula>AND(IF($Q14=3,1,0),IF($X14&lt;30,1,0))</formula>
    </cfRule>
    <cfRule type="expression" priority="2992" dxfId="0">
      <formula>AND(IF($Q14=3,1,IF($Q14=4,1,0)),IF($F14&lt;=85,1,0))</formula>
    </cfRule>
  </conditionalFormatting>
  <conditionalFormatting sqref="AV15">
    <cfRule type="expression" priority="2987" dxfId="23">
      <formula>AV15="X"</formula>
    </cfRule>
    <cfRule type="expression" priority="2988" dxfId="22">
      <formula>AV15="후보"</formula>
    </cfRule>
  </conditionalFormatting>
  <conditionalFormatting sqref="AC15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1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15">
    <cfRule type="expression" priority="2979" dxfId="3">
      <formula>AND(IF(OR($Q15=1,$Q15=2),1,0),IF($X15&lt;=20,1,0))</formula>
    </cfRule>
    <cfRule type="expression" priority="2980" dxfId="2">
      <formula>AND(IF($Q15=2,1,0),IF($X15&lt;30,1,0))</formula>
    </cfRule>
    <cfRule type="expression" priority="2981" dxfId="1">
      <formula>AND(IF($Q15=3,1,0),IF($X15&lt;30,1,0))</formula>
    </cfRule>
    <cfRule type="expression" priority="2982" dxfId="0">
      <formula>AND(IF($Q15=3,1,IF($Q15=4,1,0)),IF($F15&lt;=85,1,0))</formula>
    </cfRule>
  </conditionalFormatting>
  <conditionalFormatting sqref="X15">
    <cfRule type="expression" priority="2975" dxfId="3">
      <formula>AND(IF(OR($Q15=1,$Q15=2),1,0),IF($X15&lt;=20,1,0))</formula>
    </cfRule>
    <cfRule type="expression" priority="2976" dxfId="2">
      <formula>AND(IF($Q15=2,1,0),IF($X15&lt;30,1,0))</formula>
    </cfRule>
    <cfRule type="expression" priority="2977" dxfId="1">
      <formula>AND(IF($Q15=3,1,0),IF($X15&lt;30,1,0))</formula>
    </cfRule>
    <cfRule type="expression" priority="2978" dxfId="0">
      <formula>AND(IF($Q15=3,1,IF($Q15=4,1,0)),IF($F15&lt;=85,1,0))</formula>
    </cfRule>
  </conditionalFormatting>
  <conditionalFormatting sqref="AI15">
    <cfRule type="expression" priority="2971" dxfId="3">
      <formula>AND(IF(OR($Q15=1,$Q15=2),1,0),IF($X15&lt;=20,1,0))</formula>
    </cfRule>
    <cfRule type="expression" priority="2972" dxfId="2">
      <formula>AND(IF($Q15=2,1,0),IF($X15&lt;30,1,0))</formula>
    </cfRule>
    <cfRule type="expression" priority="2973" dxfId="1">
      <formula>AND(IF($Q15=3,1,0),IF($X15&lt;30,1,0))</formula>
    </cfRule>
    <cfRule type="expression" priority="2974" dxfId="0">
      <formula>AND(IF($Q15=3,1,IF($Q15=4,1,0)),IF($F15&lt;=85,1,0))</formula>
    </cfRule>
  </conditionalFormatting>
  <conditionalFormatting sqref="AV16">
    <cfRule type="expression" priority="2969" dxfId="23">
      <formula>AV16="X"</formula>
    </cfRule>
    <cfRule type="expression" priority="2970" dxfId="22">
      <formula>AV16="후보"</formula>
    </cfRule>
  </conditionalFormatting>
  <conditionalFormatting sqref="AC16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1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16">
    <cfRule type="expression" priority="2961" dxfId="3">
      <formula>AND(IF(OR($Q16=1,$Q16=2),1,0),IF($X16&lt;=20,1,0))</formula>
    </cfRule>
    <cfRule type="expression" priority="2962" dxfId="2">
      <formula>AND(IF($Q16=2,1,0),IF($X16&lt;30,1,0))</formula>
    </cfRule>
    <cfRule type="expression" priority="2963" dxfId="1">
      <formula>AND(IF($Q16=3,1,0),IF($X16&lt;30,1,0))</formula>
    </cfRule>
    <cfRule type="expression" priority="2964" dxfId="0">
      <formula>AND(IF($Q16=3,1,IF($Q16=4,1,0)),IF($F16&lt;=85,1,0))</formula>
    </cfRule>
  </conditionalFormatting>
  <conditionalFormatting sqref="X16">
    <cfRule type="expression" priority="2957" dxfId="3">
      <formula>AND(IF(OR($Q16=1,$Q16=2),1,0),IF($X16&lt;=20,1,0))</formula>
    </cfRule>
    <cfRule type="expression" priority="2958" dxfId="2">
      <formula>AND(IF($Q16=2,1,0),IF($X16&lt;30,1,0))</formula>
    </cfRule>
    <cfRule type="expression" priority="2959" dxfId="1">
      <formula>AND(IF($Q16=3,1,0),IF($X16&lt;30,1,0))</formula>
    </cfRule>
    <cfRule type="expression" priority="2960" dxfId="0">
      <formula>AND(IF($Q16=3,1,IF($Q16=4,1,0)),IF($F16&lt;=85,1,0))</formula>
    </cfRule>
  </conditionalFormatting>
  <conditionalFormatting sqref="AI16">
    <cfRule type="expression" priority="2953" dxfId="3">
      <formula>AND(IF(OR($Q16=1,$Q16=2),1,0),IF($X16&lt;=20,1,0))</formula>
    </cfRule>
    <cfRule type="expression" priority="2954" dxfId="2">
      <formula>AND(IF($Q16=2,1,0),IF($X16&lt;30,1,0))</formula>
    </cfRule>
    <cfRule type="expression" priority="2955" dxfId="1">
      <formula>AND(IF($Q16=3,1,0),IF($X16&lt;30,1,0))</formula>
    </cfRule>
    <cfRule type="expression" priority="2956" dxfId="0">
      <formula>AND(IF($Q16=3,1,IF($Q16=4,1,0)),IF($F16&lt;=85,1,0))</formula>
    </cfRule>
  </conditionalFormatting>
  <conditionalFormatting sqref="AV17">
    <cfRule type="expression" priority="2951" dxfId="23">
      <formula>AV17="X"</formula>
    </cfRule>
    <cfRule type="expression" priority="2952" dxfId="22">
      <formula>AV17="후보"</formula>
    </cfRule>
  </conditionalFormatting>
  <conditionalFormatting sqref="AC17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1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17">
    <cfRule type="expression" priority="2943" dxfId="3">
      <formula>AND(IF(OR($Q17=1,$Q17=2),1,0),IF($X17&lt;=20,1,0))</formula>
    </cfRule>
    <cfRule type="expression" priority="2944" dxfId="2">
      <formula>AND(IF($Q17=2,1,0),IF($X17&lt;30,1,0))</formula>
    </cfRule>
    <cfRule type="expression" priority="2945" dxfId="1">
      <formula>AND(IF($Q17=3,1,0),IF($X17&lt;30,1,0))</formula>
    </cfRule>
    <cfRule type="expression" priority="2946" dxfId="0">
      <formula>AND(IF($Q17=3,1,IF($Q17=4,1,0)),IF($F17&lt;=85,1,0))</formula>
    </cfRule>
  </conditionalFormatting>
  <conditionalFormatting sqref="X17">
    <cfRule type="expression" priority="2939" dxfId="3">
      <formula>AND(IF(OR($Q17=1,$Q17=2),1,0),IF($X17&lt;=20,1,0))</formula>
    </cfRule>
    <cfRule type="expression" priority="2940" dxfId="2">
      <formula>AND(IF($Q17=2,1,0),IF($X17&lt;30,1,0))</formula>
    </cfRule>
    <cfRule type="expression" priority="2941" dxfId="1">
      <formula>AND(IF($Q17=3,1,0),IF($X17&lt;30,1,0))</formula>
    </cfRule>
    <cfRule type="expression" priority="2942" dxfId="0">
      <formula>AND(IF($Q17=3,1,IF($Q17=4,1,0)),IF($F17&lt;=85,1,0))</formula>
    </cfRule>
  </conditionalFormatting>
  <conditionalFormatting sqref="AI17">
    <cfRule type="expression" priority="2935" dxfId="3">
      <formula>AND(IF(OR($Q17=1,$Q17=2),1,0),IF($X17&lt;=20,1,0))</formula>
    </cfRule>
    <cfRule type="expression" priority="2936" dxfId="2">
      <formula>AND(IF($Q17=2,1,0),IF($X17&lt;30,1,0))</formula>
    </cfRule>
    <cfRule type="expression" priority="2937" dxfId="1">
      <formula>AND(IF($Q17=3,1,0),IF($X17&lt;30,1,0))</formula>
    </cfRule>
    <cfRule type="expression" priority="2938" dxfId="0">
      <formula>AND(IF($Q17=3,1,IF($Q17=4,1,0)),IF($F17&lt;=85,1,0))</formula>
    </cfRule>
  </conditionalFormatting>
  <conditionalFormatting sqref="AV18">
    <cfRule type="expression" priority="2933" dxfId="23">
      <formula>AV18="X"</formula>
    </cfRule>
    <cfRule type="expression" priority="2934" dxfId="22">
      <formula>AV18="후보"</formula>
    </cfRule>
  </conditionalFormatting>
  <conditionalFormatting sqref="AC18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1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18">
    <cfRule type="expression" priority="2925" dxfId="3">
      <formula>AND(IF(OR($Q18=1,$Q18=2),1,0),IF($X18&lt;=20,1,0))</formula>
    </cfRule>
    <cfRule type="expression" priority="2926" dxfId="2">
      <formula>AND(IF($Q18=2,1,0),IF($X18&lt;30,1,0))</formula>
    </cfRule>
    <cfRule type="expression" priority="2927" dxfId="1">
      <formula>AND(IF($Q18=3,1,0),IF($X18&lt;30,1,0))</formula>
    </cfRule>
    <cfRule type="expression" priority="2928" dxfId="0">
      <formula>AND(IF($Q18=3,1,IF($Q18=4,1,0)),IF($F18&lt;=85,1,0))</formula>
    </cfRule>
  </conditionalFormatting>
  <conditionalFormatting sqref="X18">
    <cfRule type="expression" priority="2921" dxfId="3">
      <formula>AND(IF(OR($Q18=1,$Q18=2),1,0),IF($X18&lt;=20,1,0))</formula>
    </cfRule>
    <cfRule type="expression" priority="2922" dxfId="2">
      <formula>AND(IF($Q18=2,1,0),IF($X18&lt;30,1,0))</formula>
    </cfRule>
    <cfRule type="expression" priority="2923" dxfId="1">
      <formula>AND(IF($Q18=3,1,0),IF($X18&lt;30,1,0))</formula>
    </cfRule>
    <cfRule type="expression" priority="2924" dxfId="0">
      <formula>AND(IF($Q18=3,1,IF($Q18=4,1,0)),IF($F18&lt;=85,1,0))</formula>
    </cfRule>
  </conditionalFormatting>
  <conditionalFormatting sqref="AI18">
    <cfRule type="expression" priority="2917" dxfId="3">
      <formula>AND(IF(OR($Q18=1,$Q18=2),1,0),IF($X18&lt;=20,1,0))</formula>
    </cfRule>
    <cfRule type="expression" priority="2918" dxfId="2">
      <formula>AND(IF($Q18=2,1,0),IF($X18&lt;30,1,0))</formula>
    </cfRule>
    <cfRule type="expression" priority="2919" dxfId="1">
      <formula>AND(IF($Q18=3,1,0),IF($X18&lt;30,1,0))</formula>
    </cfRule>
    <cfRule type="expression" priority="2920" dxfId="0">
      <formula>AND(IF($Q18=3,1,IF($Q18=4,1,0)),IF($F18&lt;=85,1,0))</formula>
    </cfRule>
  </conditionalFormatting>
  <conditionalFormatting sqref="AV19">
    <cfRule type="expression" priority="2915" dxfId="23">
      <formula>AV19="X"</formula>
    </cfRule>
    <cfRule type="expression" priority="2916" dxfId="22">
      <formula>AV19="후보"</formula>
    </cfRule>
  </conditionalFormatting>
  <conditionalFormatting sqref="AC19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1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19">
    <cfRule type="expression" priority="2907" dxfId="3">
      <formula>AND(IF(OR($Q19=1,$Q19=2),1,0),IF($X19&lt;=20,1,0))</formula>
    </cfRule>
    <cfRule type="expression" priority="2908" dxfId="2">
      <formula>AND(IF($Q19=2,1,0),IF($X19&lt;30,1,0))</formula>
    </cfRule>
    <cfRule type="expression" priority="2909" dxfId="1">
      <formula>AND(IF($Q19=3,1,0),IF($X19&lt;30,1,0))</formula>
    </cfRule>
    <cfRule type="expression" priority="2910" dxfId="0">
      <formula>AND(IF($Q19=3,1,IF($Q19=4,1,0)),IF($F19&lt;=85,1,0))</formula>
    </cfRule>
  </conditionalFormatting>
  <conditionalFormatting sqref="X19">
    <cfRule type="expression" priority="2903" dxfId="3">
      <formula>AND(IF(OR($Q19=1,$Q19=2),1,0),IF($X19&lt;=20,1,0))</formula>
    </cfRule>
    <cfRule type="expression" priority="2904" dxfId="2">
      <formula>AND(IF($Q19=2,1,0),IF($X19&lt;30,1,0))</formula>
    </cfRule>
    <cfRule type="expression" priority="2905" dxfId="1">
      <formula>AND(IF($Q19=3,1,0),IF($X19&lt;30,1,0))</formula>
    </cfRule>
    <cfRule type="expression" priority="2906" dxfId="0">
      <formula>AND(IF($Q19=3,1,IF($Q19=4,1,0)),IF($F19&lt;=85,1,0))</formula>
    </cfRule>
  </conditionalFormatting>
  <conditionalFormatting sqref="AI19">
    <cfRule type="expression" priority="2899" dxfId="3">
      <formula>AND(IF(OR($Q19=1,$Q19=2),1,0),IF($X19&lt;=20,1,0))</formula>
    </cfRule>
    <cfRule type="expression" priority="2900" dxfId="2">
      <formula>AND(IF($Q19=2,1,0),IF($X19&lt;30,1,0))</formula>
    </cfRule>
    <cfRule type="expression" priority="2901" dxfId="1">
      <formula>AND(IF($Q19=3,1,0),IF($X19&lt;30,1,0))</formula>
    </cfRule>
    <cfRule type="expression" priority="2902" dxfId="0">
      <formula>AND(IF($Q19=3,1,IF($Q19=4,1,0)),IF($F19&lt;=85,1,0))</formula>
    </cfRule>
  </conditionalFormatting>
  <conditionalFormatting sqref="AV20">
    <cfRule type="expression" priority="2897" dxfId="23">
      <formula>AV20="X"</formula>
    </cfRule>
    <cfRule type="expression" priority="2898" dxfId="22">
      <formula>AV20="후보"</formula>
    </cfRule>
  </conditionalFormatting>
  <conditionalFormatting sqref="AC20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0">
    <cfRule type="expression" priority="2889" dxfId="3">
      <formula>AND(IF(OR($Q20=1,$Q20=2),1,0),IF($X20&lt;=20,1,0))</formula>
    </cfRule>
    <cfRule type="expression" priority="2890" dxfId="2">
      <formula>AND(IF($Q20=2,1,0),IF($X20&lt;30,1,0))</formula>
    </cfRule>
    <cfRule type="expression" priority="2891" dxfId="1">
      <formula>AND(IF($Q20=3,1,0),IF($X20&lt;30,1,0))</formula>
    </cfRule>
    <cfRule type="expression" priority="2892" dxfId="0">
      <formula>AND(IF($Q20=3,1,IF($Q20=4,1,0)),IF($F20&lt;=85,1,0))</formula>
    </cfRule>
  </conditionalFormatting>
  <conditionalFormatting sqref="X20">
    <cfRule type="expression" priority="2885" dxfId="3">
      <formula>AND(IF(OR($Q20=1,$Q20=2),1,0),IF($X20&lt;=20,1,0))</formula>
    </cfRule>
    <cfRule type="expression" priority="2886" dxfId="2">
      <formula>AND(IF($Q20=2,1,0),IF($X20&lt;30,1,0))</formula>
    </cfRule>
    <cfRule type="expression" priority="2887" dxfId="1">
      <formula>AND(IF($Q20=3,1,0),IF($X20&lt;30,1,0))</formula>
    </cfRule>
    <cfRule type="expression" priority="2888" dxfId="0">
      <formula>AND(IF($Q20=3,1,IF($Q20=4,1,0)),IF($F20&lt;=85,1,0))</formula>
    </cfRule>
  </conditionalFormatting>
  <conditionalFormatting sqref="AI20">
    <cfRule type="expression" priority="2881" dxfId="3">
      <formula>AND(IF(OR($Q20=1,$Q20=2),1,0),IF($X20&lt;=20,1,0))</formula>
    </cfRule>
    <cfRule type="expression" priority="2882" dxfId="2">
      <formula>AND(IF($Q20=2,1,0),IF($X20&lt;30,1,0))</formula>
    </cfRule>
    <cfRule type="expression" priority="2883" dxfId="1">
      <formula>AND(IF($Q20=3,1,0),IF($X20&lt;30,1,0))</formula>
    </cfRule>
    <cfRule type="expression" priority="2884" dxfId="0">
      <formula>AND(IF($Q20=3,1,IF($Q20=4,1,0)),IF($F20&lt;=85,1,0))</formula>
    </cfRule>
  </conditionalFormatting>
  <conditionalFormatting sqref="AV21">
    <cfRule type="expression" priority="2879" dxfId="23">
      <formula>AV21="X"</formula>
    </cfRule>
    <cfRule type="expression" priority="2880" dxfId="22">
      <formula>AV21="후보"</formula>
    </cfRule>
  </conditionalFormatting>
  <conditionalFormatting sqref="AC21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1">
    <cfRule type="expression" priority="2871" dxfId="3">
      <formula>AND(IF(OR($Q21=1,$Q21=2),1,0),IF($X21&lt;=20,1,0))</formula>
    </cfRule>
    <cfRule type="expression" priority="2872" dxfId="2">
      <formula>AND(IF($Q21=2,1,0),IF($X21&lt;30,1,0))</formula>
    </cfRule>
    <cfRule type="expression" priority="2873" dxfId="1">
      <formula>AND(IF($Q21=3,1,0),IF($X21&lt;30,1,0))</formula>
    </cfRule>
    <cfRule type="expression" priority="2874" dxfId="0">
      <formula>AND(IF($Q21=3,1,IF($Q21=4,1,0)),IF($F21&lt;=85,1,0))</formula>
    </cfRule>
  </conditionalFormatting>
  <conditionalFormatting sqref="X21">
    <cfRule type="expression" priority="2867" dxfId="3">
      <formula>AND(IF(OR($Q21=1,$Q21=2),1,0),IF($X21&lt;=20,1,0))</formula>
    </cfRule>
    <cfRule type="expression" priority="2868" dxfId="2">
      <formula>AND(IF($Q21=2,1,0),IF($X21&lt;30,1,0))</formula>
    </cfRule>
    <cfRule type="expression" priority="2869" dxfId="1">
      <formula>AND(IF($Q21=3,1,0),IF($X21&lt;30,1,0))</formula>
    </cfRule>
    <cfRule type="expression" priority="2870" dxfId="0">
      <formula>AND(IF($Q21=3,1,IF($Q21=4,1,0)),IF($F21&lt;=85,1,0))</formula>
    </cfRule>
  </conditionalFormatting>
  <conditionalFormatting sqref="AI21">
    <cfRule type="expression" priority="2863" dxfId="3">
      <formula>AND(IF(OR($Q21=1,$Q21=2),1,0),IF($X21&lt;=20,1,0))</formula>
    </cfRule>
    <cfRule type="expression" priority="2864" dxfId="2">
      <formula>AND(IF($Q21=2,1,0),IF($X21&lt;30,1,0))</formula>
    </cfRule>
    <cfRule type="expression" priority="2865" dxfId="1">
      <formula>AND(IF($Q21=3,1,0),IF($X21&lt;30,1,0))</formula>
    </cfRule>
    <cfRule type="expression" priority="2866" dxfId="0">
      <formula>AND(IF($Q21=3,1,IF($Q21=4,1,0)),IF($F21&lt;=85,1,0))</formula>
    </cfRule>
  </conditionalFormatting>
  <conditionalFormatting sqref="AV22">
    <cfRule type="expression" priority="2861" dxfId="23">
      <formula>AV22="X"</formula>
    </cfRule>
    <cfRule type="expression" priority="2862" dxfId="22">
      <formula>AV22="후보"</formula>
    </cfRule>
  </conditionalFormatting>
  <conditionalFormatting sqref="AC22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2">
    <cfRule type="expression" priority="2853" dxfId="3">
      <formula>AND(IF(OR($Q22=1,$Q22=2),1,0),IF($X22&lt;=20,1,0))</formula>
    </cfRule>
    <cfRule type="expression" priority="2854" dxfId="2">
      <formula>AND(IF($Q22=2,1,0),IF($X22&lt;30,1,0))</formula>
    </cfRule>
    <cfRule type="expression" priority="2855" dxfId="1">
      <formula>AND(IF($Q22=3,1,0),IF($X22&lt;30,1,0))</formula>
    </cfRule>
    <cfRule type="expression" priority="2856" dxfId="0">
      <formula>AND(IF($Q22=3,1,IF($Q22=4,1,0)),IF($F22&lt;=85,1,0))</formula>
    </cfRule>
  </conditionalFormatting>
  <conditionalFormatting sqref="X22">
    <cfRule type="expression" priority="2849" dxfId="3">
      <formula>AND(IF(OR($Q22=1,$Q22=2),1,0),IF($X22&lt;=20,1,0))</formula>
    </cfRule>
    <cfRule type="expression" priority="2850" dxfId="2">
      <formula>AND(IF($Q22=2,1,0),IF($X22&lt;30,1,0))</formula>
    </cfRule>
    <cfRule type="expression" priority="2851" dxfId="1">
      <formula>AND(IF($Q22=3,1,0),IF($X22&lt;30,1,0))</formula>
    </cfRule>
    <cfRule type="expression" priority="2852" dxfId="0">
      <formula>AND(IF($Q22=3,1,IF($Q22=4,1,0)),IF($F22&lt;=85,1,0))</formula>
    </cfRule>
  </conditionalFormatting>
  <conditionalFormatting sqref="AI22">
    <cfRule type="expression" priority="2845" dxfId="3">
      <formula>AND(IF(OR($Q22=1,$Q22=2),1,0),IF($X22&lt;=20,1,0))</formula>
    </cfRule>
    <cfRule type="expression" priority="2846" dxfId="2">
      <formula>AND(IF($Q22=2,1,0),IF($X22&lt;30,1,0))</formula>
    </cfRule>
    <cfRule type="expression" priority="2847" dxfId="1">
      <formula>AND(IF($Q22=3,1,0),IF($X22&lt;30,1,0))</formula>
    </cfRule>
    <cfRule type="expression" priority="2848" dxfId="0">
      <formula>AND(IF($Q22=3,1,IF($Q22=4,1,0)),IF($F22&lt;=85,1,0))</formula>
    </cfRule>
  </conditionalFormatting>
  <conditionalFormatting sqref="AV23">
    <cfRule type="expression" priority="2843" dxfId="23">
      <formula>AV23="X"</formula>
    </cfRule>
    <cfRule type="expression" priority="2844" dxfId="22">
      <formula>AV23="후보"</formula>
    </cfRule>
  </conditionalFormatting>
  <conditionalFormatting sqref="AC2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3">
    <cfRule type="expression" priority="2835" dxfId="3">
      <formula>AND(IF(OR($Q23=1,$Q23=2),1,0),IF($X23&lt;=20,1,0))</formula>
    </cfRule>
    <cfRule type="expression" priority="2836" dxfId="2">
      <formula>AND(IF($Q23=2,1,0),IF($X23&lt;30,1,0))</formula>
    </cfRule>
    <cfRule type="expression" priority="2837" dxfId="1">
      <formula>AND(IF($Q23=3,1,0),IF($X23&lt;30,1,0))</formula>
    </cfRule>
    <cfRule type="expression" priority="2838" dxfId="0">
      <formula>AND(IF($Q23=3,1,IF($Q23=4,1,0)),IF($F23&lt;=85,1,0))</formula>
    </cfRule>
  </conditionalFormatting>
  <conditionalFormatting sqref="X23">
    <cfRule type="expression" priority="2831" dxfId="3">
      <formula>AND(IF(OR($Q23=1,$Q23=2),1,0),IF($X23&lt;=20,1,0))</formula>
    </cfRule>
    <cfRule type="expression" priority="2832" dxfId="2">
      <formula>AND(IF($Q23=2,1,0),IF($X23&lt;30,1,0))</formula>
    </cfRule>
    <cfRule type="expression" priority="2833" dxfId="1">
      <formula>AND(IF($Q23=3,1,0),IF($X23&lt;30,1,0))</formula>
    </cfRule>
    <cfRule type="expression" priority="2834" dxfId="0">
      <formula>AND(IF($Q23=3,1,IF($Q23=4,1,0)),IF($F23&lt;=85,1,0))</formula>
    </cfRule>
  </conditionalFormatting>
  <conditionalFormatting sqref="AI23">
    <cfRule type="expression" priority="2827" dxfId="3">
      <formula>AND(IF(OR($Q23=1,$Q23=2),1,0),IF($X23&lt;=20,1,0))</formula>
    </cfRule>
    <cfRule type="expression" priority="2828" dxfId="2">
      <formula>AND(IF($Q23=2,1,0),IF($X23&lt;30,1,0))</formula>
    </cfRule>
    <cfRule type="expression" priority="2829" dxfId="1">
      <formula>AND(IF($Q23=3,1,0),IF($X23&lt;30,1,0))</formula>
    </cfRule>
    <cfRule type="expression" priority="2830" dxfId="0">
      <formula>AND(IF($Q23=3,1,IF($Q23=4,1,0)),IF($F23&lt;=85,1,0))</formula>
    </cfRule>
  </conditionalFormatting>
  <conditionalFormatting sqref="AV24">
    <cfRule type="expression" priority="2825" dxfId="23">
      <formula>AV24="X"</formula>
    </cfRule>
    <cfRule type="expression" priority="2826" dxfId="22">
      <formula>AV24="후보"</formula>
    </cfRule>
  </conditionalFormatting>
  <conditionalFormatting sqref="AC24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4">
    <cfRule type="expression" priority="2817" dxfId="3">
      <formula>AND(IF(OR($Q24=1,$Q24=2),1,0),IF($X24&lt;=20,1,0))</formula>
    </cfRule>
    <cfRule type="expression" priority="2818" dxfId="2">
      <formula>AND(IF($Q24=2,1,0),IF($X24&lt;30,1,0))</formula>
    </cfRule>
    <cfRule type="expression" priority="2819" dxfId="1">
      <formula>AND(IF($Q24=3,1,0),IF($X24&lt;30,1,0))</formula>
    </cfRule>
    <cfRule type="expression" priority="2820" dxfId="0">
      <formula>AND(IF($Q24=3,1,IF($Q24=4,1,0)),IF($F24&lt;=85,1,0))</formula>
    </cfRule>
  </conditionalFormatting>
  <conditionalFormatting sqref="X24">
    <cfRule type="expression" priority="2813" dxfId="3">
      <formula>AND(IF(OR($Q24=1,$Q24=2),1,0),IF($X24&lt;=20,1,0))</formula>
    </cfRule>
    <cfRule type="expression" priority="2814" dxfId="2">
      <formula>AND(IF($Q24=2,1,0),IF($X24&lt;30,1,0))</formula>
    </cfRule>
    <cfRule type="expression" priority="2815" dxfId="1">
      <formula>AND(IF($Q24=3,1,0),IF($X24&lt;30,1,0))</formula>
    </cfRule>
    <cfRule type="expression" priority="2816" dxfId="0">
      <formula>AND(IF($Q24=3,1,IF($Q24=4,1,0)),IF($F24&lt;=85,1,0))</formula>
    </cfRule>
  </conditionalFormatting>
  <conditionalFormatting sqref="AI24">
    <cfRule type="expression" priority="2809" dxfId="3">
      <formula>AND(IF(OR($Q24=1,$Q24=2),1,0),IF($X24&lt;=20,1,0))</formula>
    </cfRule>
    <cfRule type="expression" priority="2810" dxfId="2">
      <formula>AND(IF($Q24=2,1,0),IF($X24&lt;30,1,0))</formula>
    </cfRule>
    <cfRule type="expression" priority="2811" dxfId="1">
      <formula>AND(IF($Q24=3,1,0),IF($X24&lt;30,1,0))</formula>
    </cfRule>
    <cfRule type="expression" priority="2812" dxfId="0">
      <formula>AND(IF($Q24=3,1,IF($Q24=4,1,0)),IF($F24&lt;=85,1,0))</formula>
    </cfRule>
  </conditionalFormatting>
  <conditionalFormatting sqref="AV25">
    <cfRule type="expression" priority="2807" dxfId="23">
      <formula>AV25="X"</formula>
    </cfRule>
    <cfRule type="expression" priority="2808" dxfId="22">
      <formula>AV25="후보"</formula>
    </cfRule>
  </conditionalFormatting>
  <conditionalFormatting sqref="AC2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5">
    <cfRule type="expression" priority="2799" dxfId="3">
      <formula>AND(IF(OR($Q25=1,$Q25=2),1,0),IF($X25&lt;=20,1,0))</formula>
    </cfRule>
    <cfRule type="expression" priority="2800" dxfId="2">
      <formula>AND(IF($Q25=2,1,0),IF($X25&lt;30,1,0))</formula>
    </cfRule>
    <cfRule type="expression" priority="2801" dxfId="1">
      <formula>AND(IF($Q25=3,1,0),IF($X25&lt;30,1,0))</formula>
    </cfRule>
    <cfRule type="expression" priority="2802" dxfId="0">
      <formula>AND(IF($Q25=3,1,IF($Q25=4,1,0)),IF($F25&lt;=85,1,0))</formula>
    </cfRule>
  </conditionalFormatting>
  <conditionalFormatting sqref="X25">
    <cfRule type="expression" priority="2795" dxfId="3">
      <formula>AND(IF(OR($Q25=1,$Q25=2),1,0),IF($X25&lt;=20,1,0))</formula>
    </cfRule>
    <cfRule type="expression" priority="2796" dxfId="2">
      <formula>AND(IF($Q25=2,1,0),IF($X25&lt;30,1,0))</formula>
    </cfRule>
    <cfRule type="expression" priority="2797" dxfId="1">
      <formula>AND(IF($Q25=3,1,0),IF($X25&lt;30,1,0))</formula>
    </cfRule>
    <cfRule type="expression" priority="2798" dxfId="0">
      <formula>AND(IF($Q25=3,1,IF($Q25=4,1,0)),IF($F25&lt;=85,1,0))</formula>
    </cfRule>
  </conditionalFormatting>
  <conditionalFormatting sqref="AI25">
    <cfRule type="expression" priority="2791" dxfId="3">
      <formula>AND(IF(OR($Q25=1,$Q25=2),1,0),IF($X25&lt;=20,1,0))</formula>
    </cfRule>
    <cfRule type="expression" priority="2792" dxfId="2">
      <formula>AND(IF($Q25=2,1,0),IF($X25&lt;30,1,0))</formula>
    </cfRule>
    <cfRule type="expression" priority="2793" dxfId="1">
      <formula>AND(IF($Q25=3,1,0),IF($X25&lt;30,1,0))</formula>
    </cfRule>
    <cfRule type="expression" priority="2794" dxfId="0">
      <formula>AND(IF($Q25=3,1,IF($Q25=4,1,0)),IF($F25&lt;=85,1,0))</formula>
    </cfRule>
  </conditionalFormatting>
  <conditionalFormatting sqref="AV26">
    <cfRule type="expression" priority="2789" dxfId="23">
      <formula>AV26="X"</formula>
    </cfRule>
    <cfRule type="expression" priority="2790" dxfId="22">
      <formula>AV26="후보"</formula>
    </cfRule>
  </conditionalFormatting>
  <conditionalFormatting sqref="AC26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6">
    <cfRule type="expression" priority="2781" dxfId="3">
      <formula>AND(IF(OR($Q26=1,$Q26=2),1,0),IF($X26&lt;=20,1,0))</formula>
    </cfRule>
    <cfRule type="expression" priority="2782" dxfId="2">
      <formula>AND(IF($Q26=2,1,0),IF($X26&lt;30,1,0))</formula>
    </cfRule>
    <cfRule type="expression" priority="2783" dxfId="1">
      <formula>AND(IF($Q26=3,1,0),IF($X26&lt;30,1,0))</formula>
    </cfRule>
    <cfRule type="expression" priority="2784" dxfId="0">
      <formula>AND(IF($Q26=3,1,IF($Q26=4,1,0)),IF($F26&lt;=85,1,0))</formula>
    </cfRule>
  </conditionalFormatting>
  <conditionalFormatting sqref="X26">
    <cfRule type="expression" priority="2777" dxfId="3">
      <formula>AND(IF(OR($Q26=1,$Q26=2),1,0),IF($X26&lt;=20,1,0))</formula>
    </cfRule>
    <cfRule type="expression" priority="2778" dxfId="2">
      <formula>AND(IF($Q26=2,1,0),IF($X26&lt;30,1,0))</formula>
    </cfRule>
    <cfRule type="expression" priority="2779" dxfId="1">
      <formula>AND(IF($Q26=3,1,0),IF($X26&lt;30,1,0))</formula>
    </cfRule>
    <cfRule type="expression" priority="2780" dxfId="0">
      <formula>AND(IF($Q26=3,1,IF($Q26=4,1,0)),IF($F26&lt;=85,1,0))</formula>
    </cfRule>
  </conditionalFormatting>
  <conditionalFormatting sqref="AI26">
    <cfRule type="expression" priority="2773" dxfId="3">
      <formula>AND(IF(OR($Q26=1,$Q26=2),1,0),IF($X26&lt;=20,1,0))</formula>
    </cfRule>
    <cfRule type="expression" priority="2774" dxfId="2">
      <formula>AND(IF($Q26=2,1,0),IF($X26&lt;30,1,0))</formula>
    </cfRule>
    <cfRule type="expression" priority="2775" dxfId="1">
      <formula>AND(IF($Q26=3,1,0),IF($X26&lt;30,1,0))</formula>
    </cfRule>
    <cfRule type="expression" priority="2776" dxfId="0">
      <formula>AND(IF($Q26=3,1,IF($Q26=4,1,0)),IF($F26&lt;=85,1,0))</formula>
    </cfRule>
  </conditionalFormatting>
  <conditionalFormatting sqref="AV27">
    <cfRule type="expression" priority="2771" dxfId="23">
      <formula>AV27="X"</formula>
    </cfRule>
    <cfRule type="expression" priority="2772" dxfId="22">
      <formula>AV27="후보"</formula>
    </cfRule>
  </conditionalFormatting>
  <conditionalFormatting sqref="AC27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7">
    <cfRule type="expression" priority="2763" dxfId="3">
      <formula>AND(IF(OR($Q27=1,$Q27=2),1,0),IF($X27&lt;=20,1,0))</formula>
    </cfRule>
    <cfRule type="expression" priority="2764" dxfId="2">
      <formula>AND(IF($Q27=2,1,0),IF($X27&lt;30,1,0))</formula>
    </cfRule>
    <cfRule type="expression" priority="2765" dxfId="1">
      <formula>AND(IF($Q27=3,1,0),IF($X27&lt;30,1,0))</formula>
    </cfRule>
    <cfRule type="expression" priority="2766" dxfId="0">
      <formula>AND(IF($Q27=3,1,IF($Q27=4,1,0)),IF($F27&lt;=85,1,0))</formula>
    </cfRule>
  </conditionalFormatting>
  <conditionalFormatting sqref="X27">
    <cfRule type="expression" priority="2759" dxfId="3">
      <formula>AND(IF(OR($Q27=1,$Q27=2),1,0),IF($X27&lt;=20,1,0))</formula>
    </cfRule>
    <cfRule type="expression" priority="2760" dxfId="2">
      <formula>AND(IF($Q27=2,1,0),IF($X27&lt;30,1,0))</formula>
    </cfRule>
    <cfRule type="expression" priority="2761" dxfId="1">
      <formula>AND(IF($Q27=3,1,0),IF($X27&lt;30,1,0))</formula>
    </cfRule>
    <cfRule type="expression" priority="2762" dxfId="0">
      <formula>AND(IF($Q27=3,1,IF($Q27=4,1,0)),IF($F27&lt;=85,1,0))</formula>
    </cfRule>
  </conditionalFormatting>
  <conditionalFormatting sqref="AI27">
    <cfRule type="expression" priority="2755" dxfId="3">
      <formula>AND(IF(OR($Q27=1,$Q27=2),1,0),IF($X27&lt;=20,1,0))</formula>
    </cfRule>
    <cfRule type="expression" priority="2756" dxfId="2">
      <formula>AND(IF($Q27=2,1,0),IF($X27&lt;30,1,0))</formula>
    </cfRule>
    <cfRule type="expression" priority="2757" dxfId="1">
      <formula>AND(IF($Q27=3,1,0),IF($X27&lt;30,1,0))</formula>
    </cfRule>
    <cfRule type="expression" priority="2758" dxfId="0">
      <formula>AND(IF($Q27=3,1,IF($Q27=4,1,0)),IF($F27&lt;=85,1,0))</formula>
    </cfRule>
  </conditionalFormatting>
  <conditionalFormatting sqref="AV28">
    <cfRule type="expression" priority="2753" dxfId="23">
      <formula>AV28="X"</formula>
    </cfRule>
    <cfRule type="expression" priority="2754" dxfId="22">
      <formula>AV28="후보"</formula>
    </cfRule>
  </conditionalFormatting>
  <conditionalFormatting sqref="AC28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8">
    <cfRule type="expression" priority="2745" dxfId="3">
      <formula>AND(IF(OR($Q28=1,$Q28=2),1,0),IF($X28&lt;=20,1,0))</formula>
    </cfRule>
    <cfRule type="expression" priority="2746" dxfId="2">
      <formula>AND(IF($Q28=2,1,0),IF($X28&lt;30,1,0))</formula>
    </cfRule>
    <cfRule type="expression" priority="2747" dxfId="1">
      <formula>AND(IF($Q28=3,1,0),IF($X28&lt;30,1,0))</formula>
    </cfRule>
    <cfRule type="expression" priority="2748" dxfId="0">
      <formula>AND(IF($Q28=3,1,IF($Q28=4,1,0)),IF($F28&lt;=85,1,0))</formula>
    </cfRule>
  </conditionalFormatting>
  <conditionalFormatting sqref="X28">
    <cfRule type="expression" priority="2741" dxfId="3">
      <formula>AND(IF(OR($Q28=1,$Q28=2),1,0),IF($X28&lt;=20,1,0))</formula>
    </cfRule>
    <cfRule type="expression" priority="2742" dxfId="2">
      <formula>AND(IF($Q28=2,1,0),IF($X28&lt;30,1,0))</formula>
    </cfRule>
    <cfRule type="expression" priority="2743" dxfId="1">
      <formula>AND(IF($Q28=3,1,0),IF($X28&lt;30,1,0))</formula>
    </cfRule>
    <cfRule type="expression" priority="2744" dxfId="0">
      <formula>AND(IF($Q28=3,1,IF($Q28=4,1,0)),IF($F28&lt;=85,1,0))</formula>
    </cfRule>
  </conditionalFormatting>
  <conditionalFormatting sqref="AI28">
    <cfRule type="expression" priority="2737" dxfId="3">
      <formula>AND(IF(OR($Q28=1,$Q28=2),1,0),IF($X28&lt;=20,1,0))</formula>
    </cfRule>
    <cfRule type="expression" priority="2738" dxfId="2">
      <formula>AND(IF($Q28=2,1,0),IF($X28&lt;30,1,0))</formula>
    </cfRule>
    <cfRule type="expression" priority="2739" dxfId="1">
      <formula>AND(IF($Q28=3,1,0),IF($X28&lt;30,1,0))</formula>
    </cfRule>
    <cfRule type="expression" priority="2740" dxfId="0">
      <formula>AND(IF($Q28=3,1,IF($Q28=4,1,0)),IF($F28&lt;=85,1,0))</formula>
    </cfRule>
  </conditionalFormatting>
  <conditionalFormatting sqref="AV29">
    <cfRule type="expression" priority="2735" dxfId="23">
      <formula>AV29="X"</formula>
    </cfRule>
    <cfRule type="expression" priority="2736" dxfId="22">
      <formula>AV29="후보"</formula>
    </cfRule>
  </conditionalFormatting>
  <conditionalFormatting sqref="AC29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9">
    <cfRule type="expression" priority="2727" dxfId="3">
      <formula>AND(IF(OR($Q29=1,$Q29=2),1,0),IF($X29&lt;=20,1,0))</formula>
    </cfRule>
    <cfRule type="expression" priority="2728" dxfId="2">
      <formula>AND(IF($Q29=2,1,0),IF($X29&lt;30,1,0))</formula>
    </cfRule>
    <cfRule type="expression" priority="2729" dxfId="1">
      <formula>AND(IF($Q29=3,1,0),IF($X29&lt;30,1,0))</formula>
    </cfRule>
    <cfRule type="expression" priority="2730" dxfId="0">
      <formula>AND(IF($Q29=3,1,IF($Q29=4,1,0)),IF($F29&lt;=85,1,0))</formula>
    </cfRule>
  </conditionalFormatting>
  <conditionalFormatting sqref="X29">
    <cfRule type="expression" priority="2723" dxfId="3">
      <formula>AND(IF(OR($Q29=1,$Q29=2),1,0),IF($X29&lt;=20,1,0))</formula>
    </cfRule>
    <cfRule type="expression" priority="2724" dxfId="2">
      <formula>AND(IF($Q29=2,1,0),IF($X29&lt;30,1,0))</formula>
    </cfRule>
    <cfRule type="expression" priority="2725" dxfId="1">
      <formula>AND(IF($Q29=3,1,0),IF($X29&lt;30,1,0))</formula>
    </cfRule>
    <cfRule type="expression" priority="2726" dxfId="0">
      <formula>AND(IF($Q29=3,1,IF($Q29=4,1,0)),IF($F29&lt;=85,1,0))</formula>
    </cfRule>
  </conditionalFormatting>
  <conditionalFormatting sqref="AI29">
    <cfRule type="expression" priority="2719" dxfId="3">
      <formula>AND(IF(OR($Q29=1,$Q29=2),1,0),IF($X29&lt;=20,1,0))</formula>
    </cfRule>
    <cfRule type="expression" priority="2720" dxfId="2">
      <formula>AND(IF($Q29=2,1,0),IF($X29&lt;30,1,0))</formula>
    </cfRule>
    <cfRule type="expression" priority="2721" dxfId="1">
      <formula>AND(IF($Q29=3,1,0),IF($X29&lt;30,1,0))</formula>
    </cfRule>
    <cfRule type="expression" priority="2722" dxfId="0">
      <formula>AND(IF($Q29=3,1,IF($Q29=4,1,0)),IF($F29&lt;=85,1,0))</formula>
    </cfRule>
  </conditionalFormatting>
  <conditionalFormatting sqref="AV30">
    <cfRule type="expression" priority="2717" dxfId="23">
      <formula>AV30="X"</formula>
    </cfRule>
    <cfRule type="expression" priority="2718" dxfId="22">
      <formula>AV30="후보"</formula>
    </cfRule>
  </conditionalFormatting>
  <conditionalFormatting sqref="AC30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0">
    <cfRule type="expression" priority="2709" dxfId="3">
      <formula>AND(IF(OR($Q30=1,$Q30=2),1,0),IF($X30&lt;=20,1,0))</formula>
    </cfRule>
    <cfRule type="expression" priority="2710" dxfId="2">
      <formula>AND(IF($Q30=2,1,0),IF($X30&lt;30,1,0))</formula>
    </cfRule>
    <cfRule type="expression" priority="2711" dxfId="1">
      <formula>AND(IF($Q30=3,1,0),IF($X30&lt;30,1,0))</formula>
    </cfRule>
    <cfRule type="expression" priority="2712" dxfId="0">
      <formula>AND(IF($Q30=3,1,IF($Q30=4,1,0)),IF($F30&lt;=85,1,0))</formula>
    </cfRule>
  </conditionalFormatting>
  <conditionalFormatting sqref="X30">
    <cfRule type="expression" priority="2705" dxfId="3">
      <formula>AND(IF(OR($Q30=1,$Q30=2),1,0),IF($X30&lt;=20,1,0))</formula>
    </cfRule>
    <cfRule type="expression" priority="2706" dxfId="2">
      <formula>AND(IF($Q30=2,1,0),IF($X30&lt;30,1,0))</formula>
    </cfRule>
    <cfRule type="expression" priority="2707" dxfId="1">
      <formula>AND(IF($Q30=3,1,0),IF($X30&lt;30,1,0))</formula>
    </cfRule>
    <cfRule type="expression" priority="2708" dxfId="0">
      <formula>AND(IF($Q30=3,1,IF($Q30=4,1,0)),IF($F30&lt;=85,1,0))</formula>
    </cfRule>
  </conditionalFormatting>
  <conditionalFormatting sqref="AI30">
    <cfRule type="expression" priority="2701" dxfId="3">
      <formula>AND(IF(OR($Q30=1,$Q30=2),1,0),IF($X30&lt;=20,1,0))</formula>
    </cfRule>
    <cfRule type="expression" priority="2702" dxfId="2">
      <formula>AND(IF($Q30=2,1,0),IF($X30&lt;30,1,0))</formula>
    </cfRule>
    <cfRule type="expression" priority="2703" dxfId="1">
      <formula>AND(IF($Q30=3,1,0),IF($X30&lt;30,1,0))</formula>
    </cfRule>
    <cfRule type="expression" priority="2704" dxfId="0">
      <formula>AND(IF($Q30=3,1,IF($Q30=4,1,0)),IF($F30&lt;=85,1,0))</formula>
    </cfRule>
  </conditionalFormatting>
  <conditionalFormatting sqref="AV31">
    <cfRule type="expression" priority="2699" dxfId="23">
      <formula>AV31="X"</formula>
    </cfRule>
    <cfRule type="expression" priority="2700" dxfId="22">
      <formula>AV31="후보"</formula>
    </cfRule>
  </conditionalFormatting>
  <conditionalFormatting sqref="AC31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1">
    <cfRule type="expression" priority="2691" dxfId="3">
      <formula>AND(IF(OR($Q31=1,$Q31=2),1,0),IF($X31&lt;=20,1,0))</formula>
    </cfRule>
    <cfRule type="expression" priority="2692" dxfId="2">
      <formula>AND(IF($Q31=2,1,0),IF($X31&lt;30,1,0))</formula>
    </cfRule>
    <cfRule type="expression" priority="2693" dxfId="1">
      <formula>AND(IF($Q31=3,1,0),IF($X31&lt;30,1,0))</formula>
    </cfRule>
    <cfRule type="expression" priority="2694" dxfId="0">
      <formula>AND(IF($Q31=3,1,IF($Q31=4,1,0)),IF($F31&lt;=85,1,0))</formula>
    </cfRule>
  </conditionalFormatting>
  <conditionalFormatting sqref="X31">
    <cfRule type="expression" priority="2687" dxfId="3">
      <formula>AND(IF(OR($Q31=1,$Q31=2),1,0),IF($X31&lt;=20,1,0))</formula>
    </cfRule>
    <cfRule type="expression" priority="2688" dxfId="2">
      <formula>AND(IF($Q31=2,1,0),IF($X31&lt;30,1,0))</formula>
    </cfRule>
    <cfRule type="expression" priority="2689" dxfId="1">
      <formula>AND(IF($Q31=3,1,0),IF($X31&lt;30,1,0))</formula>
    </cfRule>
    <cfRule type="expression" priority="2690" dxfId="0">
      <formula>AND(IF($Q31=3,1,IF($Q31=4,1,0)),IF($F31&lt;=85,1,0))</formula>
    </cfRule>
  </conditionalFormatting>
  <conditionalFormatting sqref="AI31">
    <cfRule type="expression" priority="2683" dxfId="3">
      <formula>AND(IF(OR($Q31=1,$Q31=2),1,0),IF($X31&lt;=20,1,0))</formula>
    </cfRule>
    <cfRule type="expression" priority="2684" dxfId="2">
      <formula>AND(IF($Q31=2,1,0),IF($X31&lt;30,1,0))</formula>
    </cfRule>
    <cfRule type="expression" priority="2685" dxfId="1">
      <formula>AND(IF($Q31=3,1,0),IF($X31&lt;30,1,0))</formula>
    </cfRule>
    <cfRule type="expression" priority="2686" dxfId="0">
      <formula>AND(IF($Q31=3,1,IF($Q31=4,1,0)),IF($F31&lt;=85,1,0))</formula>
    </cfRule>
  </conditionalFormatting>
  <conditionalFormatting sqref="AV32">
    <cfRule type="expression" priority="2681" dxfId="23">
      <formula>AV32="X"</formula>
    </cfRule>
    <cfRule type="expression" priority="2682" dxfId="22">
      <formula>AV32="후보"</formula>
    </cfRule>
  </conditionalFormatting>
  <conditionalFormatting sqref="AC32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2">
    <cfRule type="expression" priority="2673" dxfId="3">
      <formula>AND(IF(OR($Q32=1,$Q32=2),1,0),IF($X32&lt;=20,1,0))</formula>
    </cfRule>
    <cfRule type="expression" priority="2674" dxfId="2">
      <formula>AND(IF($Q32=2,1,0),IF($X32&lt;30,1,0))</formula>
    </cfRule>
    <cfRule type="expression" priority="2675" dxfId="1">
      <formula>AND(IF($Q32=3,1,0),IF($X32&lt;30,1,0))</formula>
    </cfRule>
    <cfRule type="expression" priority="2676" dxfId="0">
      <formula>AND(IF($Q32=3,1,IF($Q32=4,1,0)),IF($F32&lt;=85,1,0))</formula>
    </cfRule>
  </conditionalFormatting>
  <conditionalFormatting sqref="X32">
    <cfRule type="expression" priority="2669" dxfId="3">
      <formula>AND(IF(OR($Q32=1,$Q32=2),1,0),IF($X32&lt;=20,1,0))</formula>
    </cfRule>
    <cfRule type="expression" priority="2670" dxfId="2">
      <formula>AND(IF($Q32=2,1,0),IF($X32&lt;30,1,0))</formula>
    </cfRule>
    <cfRule type="expression" priority="2671" dxfId="1">
      <formula>AND(IF($Q32=3,1,0),IF($X32&lt;30,1,0))</formula>
    </cfRule>
    <cfRule type="expression" priority="2672" dxfId="0">
      <formula>AND(IF($Q32=3,1,IF($Q32=4,1,0)),IF($F32&lt;=85,1,0))</formula>
    </cfRule>
  </conditionalFormatting>
  <conditionalFormatting sqref="AI32">
    <cfRule type="expression" priority="2665" dxfId="3">
      <formula>AND(IF(OR($Q32=1,$Q32=2),1,0),IF($X32&lt;=20,1,0))</formula>
    </cfRule>
    <cfRule type="expression" priority="2666" dxfId="2">
      <formula>AND(IF($Q32=2,1,0),IF($X32&lt;30,1,0))</formula>
    </cfRule>
    <cfRule type="expression" priority="2667" dxfId="1">
      <formula>AND(IF($Q32=3,1,0),IF($X32&lt;30,1,0))</formula>
    </cfRule>
    <cfRule type="expression" priority="2668" dxfId="0">
      <formula>AND(IF($Q32=3,1,IF($Q32=4,1,0)),IF($F32&lt;=85,1,0))</formula>
    </cfRule>
  </conditionalFormatting>
  <conditionalFormatting sqref="AV33">
    <cfRule type="expression" priority="2663" dxfId="23">
      <formula>AV33="X"</formula>
    </cfRule>
    <cfRule type="expression" priority="2664" dxfId="22">
      <formula>AV33="후보"</formula>
    </cfRule>
  </conditionalFormatting>
  <conditionalFormatting sqref="AC3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3">
    <cfRule type="expression" priority="2655" dxfId="3">
      <formula>AND(IF(OR($Q33=1,$Q33=2),1,0),IF($X33&lt;=20,1,0))</formula>
    </cfRule>
    <cfRule type="expression" priority="2656" dxfId="2">
      <formula>AND(IF($Q33=2,1,0),IF($X33&lt;30,1,0))</formula>
    </cfRule>
    <cfRule type="expression" priority="2657" dxfId="1">
      <formula>AND(IF($Q33=3,1,0),IF($X33&lt;30,1,0))</formula>
    </cfRule>
    <cfRule type="expression" priority="2658" dxfId="0">
      <formula>AND(IF($Q33=3,1,IF($Q33=4,1,0)),IF($F33&lt;=85,1,0))</formula>
    </cfRule>
  </conditionalFormatting>
  <conditionalFormatting sqref="X33">
    <cfRule type="expression" priority="2651" dxfId="3">
      <formula>AND(IF(OR($Q33=1,$Q33=2),1,0),IF($X33&lt;=20,1,0))</formula>
    </cfRule>
    <cfRule type="expression" priority="2652" dxfId="2">
      <formula>AND(IF($Q33=2,1,0),IF($X33&lt;30,1,0))</formula>
    </cfRule>
    <cfRule type="expression" priority="2653" dxfId="1">
      <formula>AND(IF($Q33=3,1,0),IF($X33&lt;30,1,0))</formula>
    </cfRule>
    <cfRule type="expression" priority="2654" dxfId="0">
      <formula>AND(IF($Q33=3,1,IF($Q33=4,1,0)),IF($F33&lt;=85,1,0))</formula>
    </cfRule>
  </conditionalFormatting>
  <conditionalFormatting sqref="AI33">
    <cfRule type="expression" priority="2647" dxfId="3">
      <formula>AND(IF(OR($Q33=1,$Q33=2),1,0),IF($X33&lt;=20,1,0))</formula>
    </cfRule>
    <cfRule type="expression" priority="2648" dxfId="2">
      <formula>AND(IF($Q33=2,1,0),IF($X33&lt;30,1,0))</formula>
    </cfRule>
    <cfRule type="expression" priority="2649" dxfId="1">
      <formula>AND(IF($Q33=3,1,0),IF($X33&lt;30,1,0))</formula>
    </cfRule>
    <cfRule type="expression" priority="2650" dxfId="0">
      <formula>AND(IF($Q33=3,1,IF($Q33=4,1,0)),IF($F33&lt;=85,1,0))</formula>
    </cfRule>
  </conditionalFormatting>
  <conditionalFormatting sqref="AV34">
    <cfRule type="expression" priority="2645" dxfId="23">
      <formula>AV34="X"</formula>
    </cfRule>
    <cfRule type="expression" priority="2646" dxfId="22">
      <formula>AV34="후보"</formula>
    </cfRule>
  </conditionalFormatting>
  <conditionalFormatting sqref="AC34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4">
    <cfRule type="expression" priority="2637" dxfId="3">
      <formula>AND(IF(OR($Q34=1,$Q34=2),1,0),IF($X34&lt;=20,1,0))</formula>
    </cfRule>
    <cfRule type="expression" priority="2638" dxfId="2">
      <formula>AND(IF($Q34=2,1,0),IF($X34&lt;30,1,0))</formula>
    </cfRule>
    <cfRule type="expression" priority="2639" dxfId="1">
      <formula>AND(IF($Q34=3,1,0),IF($X34&lt;30,1,0))</formula>
    </cfRule>
    <cfRule type="expression" priority="2640" dxfId="0">
      <formula>AND(IF($Q34=3,1,IF($Q34=4,1,0)),IF($F34&lt;=85,1,0))</formula>
    </cfRule>
  </conditionalFormatting>
  <conditionalFormatting sqref="X34">
    <cfRule type="expression" priority="2633" dxfId="3">
      <formula>AND(IF(OR($Q34=1,$Q34=2),1,0),IF($X34&lt;=20,1,0))</formula>
    </cfRule>
    <cfRule type="expression" priority="2634" dxfId="2">
      <formula>AND(IF($Q34=2,1,0),IF($X34&lt;30,1,0))</formula>
    </cfRule>
    <cfRule type="expression" priority="2635" dxfId="1">
      <formula>AND(IF($Q34=3,1,0),IF($X34&lt;30,1,0))</formula>
    </cfRule>
    <cfRule type="expression" priority="2636" dxfId="0">
      <formula>AND(IF($Q34=3,1,IF($Q34=4,1,0)),IF($F34&lt;=85,1,0))</formula>
    </cfRule>
  </conditionalFormatting>
  <conditionalFormatting sqref="AI34">
    <cfRule type="expression" priority="2629" dxfId="3">
      <formula>AND(IF(OR($Q34=1,$Q34=2),1,0),IF($X34&lt;=20,1,0))</formula>
    </cfRule>
    <cfRule type="expression" priority="2630" dxfId="2">
      <formula>AND(IF($Q34=2,1,0),IF($X34&lt;30,1,0))</formula>
    </cfRule>
    <cfRule type="expression" priority="2631" dxfId="1">
      <formula>AND(IF($Q34=3,1,0),IF($X34&lt;30,1,0))</formula>
    </cfRule>
    <cfRule type="expression" priority="2632" dxfId="0">
      <formula>AND(IF($Q34=3,1,IF($Q34=4,1,0)),IF($F34&lt;=85,1,0))</formula>
    </cfRule>
  </conditionalFormatting>
  <conditionalFormatting sqref="AV35">
    <cfRule type="expression" priority="2627" dxfId="23">
      <formula>AV35="X"</formula>
    </cfRule>
    <cfRule type="expression" priority="2628" dxfId="22">
      <formula>AV35="후보"</formula>
    </cfRule>
  </conditionalFormatting>
  <conditionalFormatting sqref="AC3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5">
    <cfRule type="expression" priority="2619" dxfId="3">
      <formula>AND(IF(OR($Q35=1,$Q35=2),1,0),IF($X35&lt;=20,1,0))</formula>
    </cfRule>
    <cfRule type="expression" priority="2620" dxfId="2">
      <formula>AND(IF($Q35=2,1,0),IF($X35&lt;30,1,0))</formula>
    </cfRule>
    <cfRule type="expression" priority="2621" dxfId="1">
      <formula>AND(IF($Q35=3,1,0),IF($X35&lt;30,1,0))</formula>
    </cfRule>
    <cfRule type="expression" priority="2622" dxfId="0">
      <formula>AND(IF($Q35=3,1,IF($Q35=4,1,0)),IF($F35&lt;=85,1,0))</formula>
    </cfRule>
  </conditionalFormatting>
  <conditionalFormatting sqref="X35">
    <cfRule type="expression" priority="2615" dxfId="3">
      <formula>AND(IF(OR($Q35=1,$Q35=2),1,0),IF($X35&lt;=20,1,0))</formula>
    </cfRule>
    <cfRule type="expression" priority="2616" dxfId="2">
      <formula>AND(IF($Q35=2,1,0),IF($X35&lt;30,1,0))</formula>
    </cfRule>
    <cfRule type="expression" priority="2617" dxfId="1">
      <formula>AND(IF($Q35=3,1,0),IF($X35&lt;30,1,0))</formula>
    </cfRule>
    <cfRule type="expression" priority="2618" dxfId="0">
      <formula>AND(IF($Q35=3,1,IF($Q35=4,1,0)),IF($F35&lt;=85,1,0))</formula>
    </cfRule>
  </conditionalFormatting>
  <conditionalFormatting sqref="AI35">
    <cfRule type="expression" priority="2611" dxfId="3">
      <formula>AND(IF(OR($Q35=1,$Q35=2),1,0),IF($X35&lt;=20,1,0))</formula>
    </cfRule>
    <cfRule type="expression" priority="2612" dxfId="2">
      <formula>AND(IF($Q35=2,1,0),IF($X35&lt;30,1,0))</formula>
    </cfRule>
    <cfRule type="expression" priority="2613" dxfId="1">
      <formula>AND(IF($Q35=3,1,0),IF($X35&lt;30,1,0))</formula>
    </cfRule>
    <cfRule type="expression" priority="2614" dxfId="0">
      <formula>AND(IF($Q35=3,1,IF($Q35=4,1,0)),IF($F35&lt;=85,1,0))</formula>
    </cfRule>
  </conditionalFormatting>
  <conditionalFormatting sqref="AV36">
    <cfRule type="expression" priority="2609" dxfId="23">
      <formula>AV36="X"</formula>
    </cfRule>
    <cfRule type="expression" priority="2610" dxfId="22">
      <formula>AV36="후보"</formula>
    </cfRule>
  </conditionalFormatting>
  <conditionalFormatting sqref="AC36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6">
    <cfRule type="expression" priority="2601" dxfId="3">
      <formula>AND(IF(OR($Q36=1,$Q36=2),1,0),IF($X36&lt;=20,1,0))</formula>
    </cfRule>
    <cfRule type="expression" priority="2602" dxfId="2">
      <formula>AND(IF($Q36=2,1,0),IF($X36&lt;30,1,0))</formula>
    </cfRule>
    <cfRule type="expression" priority="2603" dxfId="1">
      <formula>AND(IF($Q36=3,1,0),IF($X36&lt;30,1,0))</formula>
    </cfRule>
    <cfRule type="expression" priority="2604" dxfId="0">
      <formula>AND(IF($Q36=3,1,IF($Q36=4,1,0)),IF($F36&lt;=85,1,0))</formula>
    </cfRule>
  </conditionalFormatting>
  <conditionalFormatting sqref="X36">
    <cfRule type="expression" priority="2597" dxfId="3">
      <formula>AND(IF(OR($Q36=1,$Q36=2),1,0),IF($X36&lt;=20,1,0))</formula>
    </cfRule>
    <cfRule type="expression" priority="2598" dxfId="2">
      <formula>AND(IF($Q36=2,1,0),IF($X36&lt;30,1,0))</formula>
    </cfRule>
    <cfRule type="expression" priority="2599" dxfId="1">
      <formula>AND(IF($Q36=3,1,0),IF($X36&lt;30,1,0))</formula>
    </cfRule>
    <cfRule type="expression" priority="2600" dxfId="0">
      <formula>AND(IF($Q36=3,1,IF($Q36=4,1,0)),IF($F36&lt;=85,1,0))</formula>
    </cfRule>
  </conditionalFormatting>
  <conditionalFormatting sqref="AI36">
    <cfRule type="expression" priority="2593" dxfId="3">
      <formula>AND(IF(OR($Q36=1,$Q36=2),1,0),IF($X36&lt;=20,1,0))</formula>
    </cfRule>
    <cfRule type="expression" priority="2594" dxfId="2">
      <formula>AND(IF($Q36=2,1,0),IF($X36&lt;30,1,0))</formula>
    </cfRule>
    <cfRule type="expression" priority="2595" dxfId="1">
      <formula>AND(IF($Q36=3,1,0),IF($X36&lt;30,1,0))</formula>
    </cfRule>
    <cfRule type="expression" priority="2596" dxfId="0">
      <formula>AND(IF($Q36=3,1,IF($Q36=4,1,0)),IF($F36&lt;=85,1,0))</formula>
    </cfRule>
  </conditionalFormatting>
  <conditionalFormatting sqref="AV37">
    <cfRule type="expression" priority="2591" dxfId="23">
      <formula>AV37="X"</formula>
    </cfRule>
    <cfRule type="expression" priority="2592" dxfId="22">
      <formula>AV37="후보"</formula>
    </cfRule>
  </conditionalFormatting>
  <conditionalFormatting sqref="AC37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7">
    <cfRule type="expression" priority="2583" dxfId="3">
      <formula>AND(IF(OR($Q37=1,$Q37=2),1,0),IF($X37&lt;=20,1,0))</formula>
    </cfRule>
    <cfRule type="expression" priority="2584" dxfId="2">
      <formula>AND(IF($Q37=2,1,0),IF($X37&lt;30,1,0))</formula>
    </cfRule>
    <cfRule type="expression" priority="2585" dxfId="1">
      <formula>AND(IF($Q37=3,1,0),IF($X37&lt;30,1,0))</formula>
    </cfRule>
    <cfRule type="expression" priority="2586" dxfId="0">
      <formula>AND(IF($Q37=3,1,IF($Q37=4,1,0)),IF($F37&lt;=85,1,0))</formula>
    </cfRule>
  </conditionalFormatting>
  <conditionalFormatting sqref="X37">
    <cfRule type="expression" priority="2579" dxfId="3">
      <formula>AND(IF(OR($Q37=1,$Q37=2),1,0),IF($X37&lt;=20,1,0))</formula>
    </cfRule>
    <cfRule type="expression" priority="2580" dxfId="2">
      <formula>AND(IF($Q37=2,1,0),IF($X37&lt;30,1,0))</formula>
    </cfRule>
    <cfRule type="expression" priority="2581" dxfId="1">
      <formula>AND(IF($Q37=3,1,0),IF($X37&lt;30,1,0))</formula>
    </cfRule>
    <cfRule type="expression" priority="2582" dxfId="0">
      <formula>AND(IF($Q37=3,1,IF($Q37=4,1,0)),IF($F37&lt;=85,1,0))</formula>
    </cfRule>
  </conditionalFormatting>
  <conditionalFormatting sqref="AI37">
    <cfRule type="expression" priority="2575" dxfId="3">
      <formula>AND(IF(OR($Q37=1,$Q37=2),1,0),IF($X37&lt;=20,1,0))</formula>
    </cfRule>
    <cfRule type="expression" priority="2576" dxfId="2">
      <formula>AND(IF($Q37=2,1,0),IF($X37&lt;30,1,0))</formula>
    </cfRule>
    <cfRule type="expression" priority="2577" dxfId="1">
      <formula>AND(IF($Q37=3,1,0),IF($X37&lt;30,1,0))</formula>
    </cfRule>
    <cfRule type="expression" priority="2578" dxfId="0">
      <formula>AND(IF($Q37=3,1,IF($Q37=4,1,0)),IF($F37&lt;=85,1,0))</formula>
    </cfRule>
  </conditionalFormatting>
  <conditionalFormatting sqref="AV38">
    <cfRule type="expression" priority="2573" dxfId="23">
      <formula>AV38="X"</formula>
    </cfRule>
    <cfRule type="expression" priority="2574" dxfId="22">
      <formula>AV38="후보"</formula>
    </cfRule>
  </conditionalFormatting>
  <conditionalFormatting sqref="AC3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8">
    <cfRule type="expression" priority="2565" dxfId="3">
      <formula>AND(IF(OR($Q38=1,$Q38=2),1,0),IF($X38&lt;=20,1,0))</formula>
    </cfRule>
    <cfRule type="expression" priority="2566" dxfId="2">
      <formula>AND(IF($Q38=2,1,0),IF($X38&lt;30,1,0))</formula>
    </cfRule>
    <cfRule type="expression" priority="2567" dxfId="1">
      <formula>AND(IF($Q38=3,1,0),IF($X38&lt;30,1,0))</formula>
    </cfRule>
    <cfRule type="expression" priority="2568" dxfId="0">
      <formula>AND(IF($Q38=3,1,IF($Q38=4,1,0)),IF($F38&lt;=85,1,0))</formula>
    </cfRule>
  </conditionalFormatting>
  <conditionalFormatting sqref="X38">
    <cfRule type="expression" priority="2561" dxfId="3">
      <formula>AND(IF(OR($Q38=1,$Q38=2),1,0),IF($X38&lt;=20,1,0))</formula>
    </cfRule>
    <cfRule type="expression" priority="2562" dxfId="2">
      <formula>AND(IF($Q38=2,1,0),IF($X38&lt;30,1,0))</formula>
    </cfRule>
    <cfRule type="expression" priority="2563" dxfId="1">
      <formula>AND(IF($Q38=3,1,0),IF($X38&lt;30,1,0))</formula>
    </cfRule>
    <cfRule type="expression" priority="2564" dxfId="0">
      <formula>AND(IF($Q38=3,1,IF($Q38=4,1,0)),IF($F38&lt;=85,1,0))</formula>
    </cfRule>
  </conditionalFormatting>
  <conditionalFormatting sqref="AI38">
    <cfRule type="expression" priority="2557" dxfId="3">
      <formula>AND(IF(OR($Q38=1,$Q38=2),1,0),IF($X38&lt;=20,1,0))</formula>
    </cfRule>
    <cfRule type="expression" priority="2558" dxfId="2">
      <formula>AND(IF($Q38=2,1,0),IF($X38&lt;30,1,0))</formula>
    </cfRule>
    <cfRule type="expression" priority="2559" dxfId="1">
      <formula>AND(IF($Q38=3,1,0),IF($X38&lt;30,1,0))</formula>
    </cfRule>
    <cfRule type="expression" priority="2560" dxfId="0">
      <formula>AND(IF($Q38=3,1,IF($Q38=4,1,0)),IF($F38&lt;=85,1,0))</formula>
    </cfRule>
  </conditionalFormatting>
  <conditionalFormatting sqref="AV39">
    <cfRule type="expression" priority="2555" dxfId="23">
      <formula>AV39="X"</formula>
    </cfRule>
    <cfRule type="expression" priority="2556" dxfId="22">
      <formula>AV39="후보"</formula>
    </cfRule>
  </conditionalFormatting>
  <conditionalFormatting sqref="AC39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9">
    <cfRule type="expression" priority="2547" dxfId="3">
      <formula>AND(IF(OR($Q39=1,$Q39=2),1,0),IF($X39&lt;=20,1,0))</formula>
    </cfRule>
    <cfRule type="expression" priority="2548" dxfId="2">
      <formula>AND(IF($Q39=2,1,0),IF($X39&lt;30,1,0))</formula>
    </cfRule>
    <cfRule type="expression" priority="2549" dxfId="1">
      <formula>AND(IF($Q39=3,1,0),IF($X39&lt;30,1,0))</formula>
    </cfRule>
    <cfRule type="expression" priority="2550" dxfId="0">
      <formula>AND(IF($Q39=3,1,IF($Q39=4,1,0)),IF($F39&lt;=85,1,0))</formula>
    </cfRule>
  </conditionalFormatting>
  <conditionalFormatting sqref="X39">
    <cfRule type="expression" priority="2543" dxfId="3">
      <formula>AND(IF(OR($Q39=1,$Q39=2),1,0),IF($X39&lt;=20,1,0))</formula>
    </cfRule>
    <cfRule type="expression" priority="2544" dxfId="2">
      <formula>AND(IF($Q39=2,1,0),IF($X39&lt;30,1,0))</formula>
    </cfRule>
    <cfRule type="expression" priority="2545" dxfId="1">
      <formula>AND(IF($Q39=3,1,0),IF($X39&lt;30,1,0))</formula>
    </cfRule>
    <cfRule type="expression" priority="2546" dxfId="0">
      <formula>AND(IF($Q39=3,1,IF($Q39=4,1,0)),IF($F39&lt;=85,1,0))</formula>
    </cfRule>
  </conditionalFormatting>
  <conditionalFormatting sqref="AI39">
    <cfRule type="expression" priority="2539" dxfId="3">
      <formula>AND(IF(OR($Q39=1,$Q39=2),1,0),IF($X39&lt;=20,1,0))</formula>
    </cfRule>
    <cfRule type="expression" priority="2540" dxfId="2">
      <formula>AND(IF($Q39=2,1,0),IF($X39&lt;30,1,0))</formula>
    </cfRule>
    <cfRule type="expression" priority="2541" dxfId="1">
      <formula>AND(IF($Q39=3,1,0),IF($X39&lt;30,1,0))</formula>
    </cfRule>
    <cfRule type="expression" priority="2542" dxfId="0">
      <formula>AND(IF($Q39=3,1,IF($Q39=4,1,0)),IF($F39&lt;=85,1,0))</formula>
    </cfRule>
  </conditionalFormatting>
  <conditionalFormatting sqref="AV40">
    <cfRule type="expression" priority="2537" dxfId="23">
      <formula>AV40="X"</formula>
    </cfRule>
    <cfRule type="expression" priority="2538" dxfId="22">
      <formula>AV40="후보"</formula>
    </cfRule>
  </conditionalFormatting>
  <conditionalFormatting sqref="AC40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0">
    <cfRule type="expression" priority="2529" dxfId="3">
      <formula>AND(IF(OR($Q40=1,$Q40=2),1,0),IF($X40&lt;=20,1,0))</formula>
    </cfRule>
    <cfRule type="expression" priority="2530" dxfId="2">
      <formula>AND(IF($Q40=2,1,0),IF($X40&lt;30,1,0))</formula>
    </cfRule>
    <cfRule type="expression" priority="2531" dxfId="1">
      <formula>AND(IF($Q40=3,1,0),IF($X40&lt;30,1,0))</formula>
    </cfRule>
    <cfRule type="expression" priority="2532" dxfId="0">
      <formula>AND(IF($Q40=3,1,IF($Q40=4,1,0)),IF($F40&lt;=85,1,0))</formula>
    </cfRule>
  </conditionalFormatting>
  <conditionalFormatting sqref="X40">
    <cfRule type="expression" priority="2525" dxfId="3">
      <formula>AND(IF(OR($Q40=1,$Q40=2),1,0),IF($X40&lt;=20,1,0))</formula>
    </cfRule>
    <cfRule type="expression" priority="2526" dxfId="2">
      <formula>AND(IF($Q40=2,1,0),IF($X40&lt;30,1,0))</formula>
    </cfRule>
    <cfRule type="expression" priority="2527" dxfId="1">
      <formula>AND(IF($Q40=3,1,0),IF($X40&lt;30,1,0))</formula>
    </cfRule>
    <cfRule type="expression" priority="2528" dxfId="0">
      <formula>AND(IF($Q40=3,1,IF($Q40=4,1,0)),IF($F40&lt;=85,1,0))</formula>
    </cfRule>
  </conditionalFormatting>
  <conditionalFormatting sqref="AI40">
    <cfRule type="expression" priority="2521" dxfId="3">
      <formula>AND(IF(OR($Q40=1,$Q40=2),1,0),IF($X40&lt;=20,1,0))</formula>
    </cfRule>
    <cfRule type="expression" priority="2522" dxfId="2">
      <formula>AND(IF($Q40=2,1,0),IF($X40&lt;30,1,0))</formula>
    </cfRule>
    <cfRule type="expression" priority="2523" dxfId="1">
      <formula>AND(IF($Q40=3,1,0),IF($X40&lt;30,1,0))</formula>
    </cfRule>
    <cfRule type="expression" priority="2524" dxfId="0">
      <formula>AND(IF($Q40=3,1,IF($Q40=4,1,0)),IF($F40&lt;=85,1,0))</formula>
    </cfRule>
  </conditionalFormatting>
  <conditionalFormatting sqref="AV41">
    <cfRule type="expression" priority="2519" dxfId="23">
      <formula>AV41="X"</formula>
    </cfRule>
    <cfRule type="expression" priority="2520" dxfId="22">
      <formula>AV41="후보"</formula>
    </cfRule>
  </conditionalFormatting>
  <conditionalFormatting sqref="AC41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1">
    <cfRule type="expression" priority="2511" dxfId="3">
      <formula>AND(IF(OR($Q41=1,$Q41=2),1,0),IF($X41&lt;=20,1,0))</formula>
    </cfRule>
    <cfRule type="expression" priority="2512" dxfId="2">
      <formula>AND(IF($Q41=2,1,0),IF($X41&lt;30,1,0))</formula>
    </cfRule>
    <cfRule type="expression" priority="2513" dxfId="1">
      <formula>AND(IF($Q41=3,1,0),IF($X41&lt;30,1,0))</formula>
    </cfRule>
    <cfRule type="expression" priority="2514" dxfId="0">
      <formula>AND(IF($Q41=3,1,IF($Q41=4,1,0)),IF($F41&lt;=85,1,0))</formula>
    </cfRule>
  </conditionalFormatting>
  <conditionalFormatting sqref="X41">
    <cfRule type="expression" priority="2507" dxfId="3">
      <formula>AND(IF(OR($Q41=1,$Q41=2),1,0),IF($X41&lt;=20,1,0))</formula>
    </cfRule>
    <cfRule type="expression" priority="2508" dxfId="2">
      <formula>AND(IF($Q41=2,1,0),IF($X41&lt;30,1,0))</formula>
    </cfRule>
    <cfRule type="expression" priority="2509" dxfId="1">
      <formula>AND(IF($Q41=3,1,0),IF($X41&lt;30,1,0))</formula>
    </cfRule>
    <cfRule type="expression" priority="2510" dxfId="0">
      <formula>AND(IF($Q41=3,1,IF($Q41=4,1,0)),IF($F41&lt;=85,1,0))</formula>
    </cfRule>
  </conditionalFormatting>
  <conditionalFormatting sqref="AI41">
    <cfRule type="expression" priority="2503" dxfId="3">
      <formula>AND(IF(OR($Q41=1,$Q41=2),1,0),IF($X41&lt;=20,1,0))</formula>
    </cfRule>
    <cfRule type="expression" priority="2504" dxfId="2">
      <formula>AND(IF($Q41=2,1,0),IF($X41&lt;30,1,0))</formula>
    </cfRule>
    <cfRule type="expression" priority="2505" dxfId="1">
      <formula>AND(IF($Q41=3,1,0),IF($X41&lt;30,1,0))</formula>
    </cfRule>
    <cfRule type="expression" priority="2506" dxfId="0">
      <formula>AND(IF($Q41=3,1,IF($Q41=4,1,0)),IF($F41&lt;=85,1,0))</formula>
    </cfRule>
  </conditionalFormatting>
  <conditionalFormatting sqref="AV42">
    <cfRule type="expression" priority="2501" dxfId="23">
      <formula>AV42="X"</formula>
    </cfRule>
    <cfRule type="expression" priority="2502" dxfId="22">
      <formula>AV42="후보"</formula>
    </cfRule>
  </conditionalFormatting>
  <conditionalFormatting sqref="AC42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2">
    <cfRule type="expression" priority="2493" dxfId="3">
      <formula>AND(IF(OR($Q42=1,$Q42=2),1,0),IF($X42&lt;=20,1,0))</formula>
    </cfRule>
    <cfRule type="expression" priority="2494" dxfId="2">
      <formula>AND(IF($Q42=2,1,0),IF($X42&lt;30,1,0))</formula>
    </cfRule>
    <cfRule type="expression" priority="2495" dxfId="1">
      <formula>AND(IF($Q42=3,1,0),IF($X42&lt;30,1,0))</formula>
    </cfRule>
    <cfRule type="expression" priority="2496" dxfId="0">
      <formula>AND(IF($Q42=3,1,IF($Q42=4,1,0)),IF($F42&lt;=85,1,0))</formula>
    </cfRule>
  </conditionalFormatting>
  <conditionalFormatting sqref="X42">
    <cfRule type="expression" priority="2489" dxfId="3">
      <formula>AND(IF(OR($Q42=1,$Q42=2),1,0),IF($X42&lt;=20,1,0))</formula>
    </cfRule>
    <cfRule type="expression" priority="2490" dxfId="2">
      <formula>AND(IF($Q42=2,1,0),IF($X42&lt;30,1,0))</formula>
    </cfRule>
    <cfRule type="expression" priority="2491" dxfId="1">
      <formula>AND(IF($Q42=3,1,0),IF($X42&lt;30,1,0))</formula>
    </cfRule>
    <cfRule type="expression" priority="2492" dxfId="0">
      <formula>AND(IF($Q42=3,1,IF($Q42=4,1,0)),IF($F42&lt;=85,1,0))</formula>
    </cfRule>
  </conditionalFormatting>
  <conditionalFormatting sqref="AI42">
    <cfRule type="expression" priority="2485" dxfId="3">
      <formula>AND(IF(OR($Q42=1,$Q42=2),1,0),IF($X42&lt;=20,1,0))</formula>
    </cfRule>
    <cfRule type="expression" priority="2486" dxfId="2">
      <formula>AND(IF($Q42=2,1,0),IF($X42&lt;30,1,0))</formula>
    </cfRule>
    <cfRule type="expression" priority="2487" dxfId="1">
      <formula>AND(IF($Q42=3,1,0),IF($X42&lt;30,1,0))</formula>
    </cfRule>
    <cfRule type="expression" priority="2488" dxfId="0">
      <formula>AND(IF($Q42=3,1,IF($Q42=4,1,0)),IF($F42&lt;=85,1,0))</formula>
    </cfRule>
  </conditionalFormatting>
  <conditionalFormatting sqref="AV43">
    <cfRule type="expression" priority="2483" dxfId="23">
      <formula>AV43="X"</formula>
    </cfRule>
    <cfRule type="expression" priority="2484" dxfId="22">
      <formula>AV43="후보"</formula>
    </cfRule>
  </conditionalFormatting>
  <conditionalFormatting sqref="AC43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3">
    <cfRule type="expression" priority="2475" dxfId="3">
      <formula>AND(IF(OR($Q43=1,$Q43=2),1,0),IF($X43&lt;=20,1,0))</formula>
    </cfRule>
    <cfRule type="expression" priority="2476" dxfId="2">
      <formula>AND(IF($Q43=2,1,0),IF($X43&lt;30,1,0))</formula>
    </cfRule>
    <cfRule type="expression" priority="2477" dxfId="1">
      <formula>AND(IF($Q43=3,1,0),IF($X43&lt;30,1,0))</formula>
    </cfRule>
    <cfRule type="expression" priority="2478" dxfId="0">
      <formula>AND(IF($Q43=3,1,IF($Q43=4,1,0)),IF($F43&lt;=85,1,0))</formula>
    </cfRule>
  </conditionalFormatting>
  <conditionalFormatting sqref="X43">
    <cfRule type="expression" priority="2471" dxfId="3">
      <formula>AND(IF(OR($Q43=1,$Q43=2),1,0),IF($X43&lt;=20,1,0))</formula>
    </cfRule>
    <cfRule type="expression" priority="2472" dxfId="2">
      <formula>AND(IF($Q43=2,1,0),IF($X43&lt;30,1,0))</formula>
    </cfRule>
    <cfRule type="expression" priority="2473" dxfId="1">
      <formula>AND(IF($Q43=3,1,0),IF($X43&lt;30,1,0))</formula>
    </cfRule>
    <cfRule type="expression" priority="2474" dxfId="0">
      <formula>AND(IF($Q43=3,1,IF($Q43=4,1,0)),IF($F43&lt;=85,1,0))</formula>
    </cfRule>
  </conditionalFormatting>
  <conditionalFormatting sqref="AI43">
    <cfRule type="expression" priority="2467" dxfId="3">
      <formula>AND(IF(OR($Q43=1,$Q43=2),1,0),IF($X43&lt;=20,1,0))</formula>
    </cfRule>
    <cfRule type="expression" priority="2468" dxfId="2">
      <formula>AND(IF($Q43=2,1,0),IF($X43&lt;30,1,0))</formula>
    </cfRule>
    <cfRule type="expression" priority="2469" dxfId="1">
      <formula>AND(IF($Q43=3,1,0),IF($X43&lt;30,1,0))</formula>
    </cfRule>
    <cfRule type="expression" priority="2470" dxfId="0">
      <formula>AND(IF($Q43=3,1,IF($Q43=4,1,0)),IF($F43&lt;=85,1,0))</formula>
    </cfRule>
  </conditionalFormatting>
  <conditionalFormatting sqref="AV44">
    <cfRule type="expression" priority="2465" dxfId="23">
      <formula>AV44="X"</formula>
    </cfRule>
    <cfRule type="expression" priority="2466" dxfId="22">
      <formula>AV44="후보"</formula>
    </cfRule>
  </conditionalFormatting>
  <conditionalFormatting sqref="AC4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4">
    <cfRule type="expression" priority="2457" dxfId="3">
      <formula>AND(IF(OR($Q44=1,$Q44=2),1,0),IF($X44&lt;=20,1,0))</formula>
    </cfRule>
    <cfRule type="expression" priority="2458" dxfId="2">
      <formula>AND(IF($Q44=2,1,0),IF($X44&lt;30,1,0))</formula>
    </cfRule>
    <cfRule type="expression" priority="2459" dxfId="1">
      <formula>AND(IF($Q44=3,1,0),IF($X44&lt;30,1,0))</formula>
    </cfRule>
    <cfRule type="expression" priority="2460" dxfId="0">
      <formula>AND(IF($Q44=3,1,IF($Q44=4,1,0)),IF($F44&lt;=85,1,0))</formula>
    </cfRule>
  </conditionalFormatting>
  <conditionalFormatting sqref="X44">
    <cfRule type="expression" priority="2453" dxfId="3">
      <formula>AND(IF(OR($Q44=1,$Q44=2),1,0),IF($X44&lt;=20,1,0))</formula>
    </cfRule>
    <cfRule type="expression" priority="2454" dxfId="2">
      <formula>AND(IF($Q44=2,1,0),IF($X44&lt;30,1,0))</formula>
    </cfRule>
    <cfRule type="expression" priority="2455" dxfId="1">
      <formula>AND(IF($Q44=3,1,0),IF($X44&lt;30,1,0))</formula>
    </cfRule>
    <cfRule type="expression" priority="2456" dxfId="0">
      <formula>AND(IF($Q44=3,1,IF($Q44=4,1,0)),IF($F44&lt;=85,1,0))</formula>
    </cfRule>
  </conditionalFormatting>
  <conditionalFormatting sqref="AI44">
    <cfRule type="expression" priority="2449" dxfId="3">
      <formula>AND(IF(OR($Q44=1,$Q44=2),1,0),IF($X44&lt;=20,1,0))</formula>
    </cfRule>
    <cfRule type="expression" priority="2450" dxfId="2">
      <formula>AND(IF($Q44=2,1,0),IF($X44&lt;30,1,0))</formula>
    </cfRule>
    <cfRule type="expression" priority="2451" dxfId="1">
      <formula>AND(IF($Q44=3,1,0),IF($X44&lt;30,1,0))</formula>
    </cfRule>
    <cfRule type="expression" priority="2452" dxfId="0">
      <formula>AND(IF($Q44=3,1,IF($Q44=4,1,0)),IF($F44&lt;=85,1,0))</formula>
    </cfRule>
  </conditionalFormatting>
  <conditionalFormatting sqref="AV45">
    <cfRule type="expression" priority="2447" dxfId="23">
      <formula>AV45="X"</formula>
    </cfRule>
    <cfRule type="expression" priority="2448" dxfId="22">
      <formula>AV45="후보"</formula>
    </cfRule>
  </conditionalFormatting>
  <conditionalFormatting sqref="AC45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5">
    <cfRule type="expression" priority="2439" dxfId="3">
      <formula>AND(IF(OR($Q45=1,$Q45=2),1,0),IF($X45&lt;=20,1,0))</formula>
    </cfRule>
    <cfRule type="expression" priority="2440" dxfId="2">
      <formula>AND(IF($Q45=2,1,0),IF($X45&lt;30,1,0))</formula>
    </cfRule>
    <cfRule type="expression" priority="2441" dxfId="1">
      <formula>AND(IF($Q45=3,1,0),IF($X45&lt;30,1,0))</formula>
    </cfRule>
    <cfRule type="expression" priority="2442" dxfId="0">
      <formula>AND(IF($Q45=3,1,IF($Q45=4,1,0)),IF($F45&lt;=85,1,0))</formula>
    </cfRule>
  </conditionalFormatting>
  <conditionalFormatting sqref="X45">
    <cfRule type="expression" priority="2435" dxfId="3">
      <formula>AND(IF(OR($Q45=1,$Q45=2),1,0),IF($X45&lt;=20,1,0))</formula>
    </cfRule>
    <cfRule type="expression" priority="2436" dxfId="2">
      <formula>AND(IF($Q45=2,1,0),IF($X45&lt;30,1,0))</formula>
    </cfRule>
    <cfRule type="expression" priority="2437" dxfId="1">
      <formula>AND(IF($Q45=3,1,0),IF($X45&lt;30,1,0))</formula>
    </cfRule>
    <cfRule type="expression" priority="2438" dxfId="0">
      <formula>AND(IF($Q45=3,1,IF($Q45=4,1,0)),IF($F45&lt;=85,1,0))</formula>
    </cfRule>
  </conditionalFormatting>
  <conditionalFormatting sqref="AI45">
    <cfRule type="expression" priority="2431" dxfId="3">
      <formula>AND(IF(OR($Q45=1,$Q45=2),1,0),IF($X45&lt;=20,1,0))</formula>
    </cfRule>
    <cfRule type="expression" priority="2432" dxfId="2">
      <formula>AND(IF($Q45=2,1,0),IF($X45&lt;30,1,0))</formula>
    </cfRule>
    <cfRule type="expression" priority="2433" dxfId="1">
      <formula>AND(IF($Q45=3,1,0),IF($X45&lt;30,1,0))</formula>
    </cfRule>
    <cfRule type="expression" priority="2434" dxfId="0">
      <formula>AND(IF($Q45=3,1,IF($Q45=4,1,0)),IF($F45&lt;=85,1,0))</formula>
    </cfRule>
  </conditionalFormatting>
  <conditionalFormatting sqref="AV46">
    <cfRule type="expression" priority="2429" dxfId="23">
      <formula>AV46="X"</formula>
    </cfRule>
    <cfRule type="expression" priority="2430" dxfId="22">
      <formula>AV46="후보"</formula>
    </cfRule>
  </conditionalFormatting>
  <conditionalFormatting sqref="AC4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6">
    <cfRule type="expression" priority="2421" dxfId="3">
      <formula>AND(IF(OR($Q46=1,$Q46=2),1,0),IF($X46&lt;=20,1,0))</formula>
    </cfRule>
    <cfRule type="expression" priority="2422" dxfId="2">
      <formula>AND(IF($Q46=2,1,0),IF($X46&lt;30,1,0))</formula>
    </cfRule>
    <cfRule type="expression" priority="2423" dxfId="1">
      <formula>AND(IF($Q46=3,1,0),IF($X46&lt;30,1,0))</formula>
    </cfRule>
    <cfRule type="expression" priority="2424" dxfId="0">
      <formula>AND(IF($Q46=3,1,IF($Q46=4,1,0)),IF($F46&lt;=85,1,0))</formula>
    </cfRule>
  </conditionalFormatting>
  <conditionalFormatting sqref="X46">
    <cfRule type="expression" priority="2417" dxfId="3">
      <formula>AND(IF(OR($Q46=1,$Q46=2),1,0),IF($X46&lt;=20,1,0))</formula>
    </cfRule>
    <cfRule type="expression" priority="2418" dxfId="2">
      <formula>AND(IF($Q46=2,1,0),IF($X46&lt;30,1,0))</formula>
    </cfRule>
    <cfRule type="expression" priority="2419" dxfId="1">
      <formula>AND(IF($Q46=3,1,0),IF($X46&lt;30,1,0))</formula>
    </cfRule>
    <cfRule type="expression" priority="2420" dxfId="0">
      <formula>AND(IF($Q46=3,1,IF($Q46=4,1,0)),IF($F46&lt;=85,1,0))</formula>
    </cfRule>
  </conditionalFormatting>
  <conditionalFormatting sqref="AI46">
    <cfRule type="expression" priority="2413" dxfId="3">
      <formula>AND(IF(OR($Q46=1,$Q46=2),1,0),IF($X46&lt;=20,1,0))</formula>
    </cfRule>
    <cfRule type="expression" priority="2414" dxfId="2">
      <formula>AND(IF($Q46=2,1,0),IF($X46&lt;30,1,0))</formula>
    </cfRule>
    <cfRule type="expression" priority="2415" dxfId="1">
      <formula>AND(IF($Q46=3,1,0),IF($X46&lt;30,1,0))</formula>
    </cfRule>
    <cfRule type="expression" priority="2416" dxfId="0">
      <formula>AND(IF($Q46=3,1,IF($Q46=4,1,0)),IF($F46&lt;=85,1,0))</formula>
    </cfRule>
  </conditionalFormatting>
  <conditionalFormatting sqref="AV47">
    <cfRule type="expression" priority="2411" dxfId="23">
      <formula>AV47="X"</formula>
    </cfRule>
    <cfRule type="expression" priority="2412" dxfId="22">
      <formula>AV47="후보"</formula>
    </cfRule>
  </conditionalFormatting>
  <conditionalFormatting sqref="AC47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7">
    <cfRule type="expression" priority="2403" dxfId="3">
      <formula>AND(IF(OR($Q47=1,$Q47=2),1,0),IF($X47&lt;=20,1,0))</formula>
    </cfRule>
    <cfRule type="expression" priority="2404" dxfId="2">
      <formula>AND(IF($Q47=2,1,0),IF($X47&lt;30,1,0))</formula>
    </cfRule>
    <cfRule type="expression" priority="2405" dxfId="1">
      <formula>AND(IF($Q47=3,1,0),IF($X47&lt;30,1,0))</formula>
    </cfRule>
    <cfRule type="expression" priority="2406" dxfId="0">
      <formula>AND(IF($Q47=3,1,IF($Q47=4,1,0)),IF($F47&lt;=85,1,0))</formula>
    </cfRule>
  </conditionalFormatting>
  <conditionalFormatting sqref="X47">
    <cfRule type="expression" priority="2399" dxfId="3">
      <formula>AND(IF(OR($Q47=1,$Q47=2),1,0),IF($X47&lt;=20,1,0))</formula>
    </cfRule>
    <cfRule type="expression" priority="2400" dxfId="2">
      <formula>AND(IF($Q47=2,1,0),IF($X47&lt;30,1,0))</formula>
    </cfRule>
    <cfRule type="expression" priority="2401" dxfId="1">
      <formula>AND(IF($Q47=3,1,0),IF($X47&lt;30,1,0))</formula>
    </cfRule>
    <cfRule type="expression" priority="2402" dxfId="0">
      <formula>AND(IF($Q47=3,1,IF($Q47=4,1,0)),IF($F47&lt;=85,1,0))</formula>
    </cfRule>
  </conditionalFormatting>
  <conditionalFormatting sqref="AI47">
    <cfRule type="expression" priority="2395" dxfId="3">
      <formula>AND(IF(OR($Q47=1,$Q47=2),1,0),IF($X47&lt;=20,1,0))</formula>
    </cfRule>
    <cfRule type="expression" priority="2396" dxfId="2">
      <formula>AND(IF($Q47=2,1,0),IF($X47&lt;30,1,0))</formula>
    </cfRule>
    <cfRule type="expression" priority="2397" dxfId="1">
      <formula>AND(IF($Q47=3,1,0),IF($X47&lt;30,1,0))</formula>
    </cfRule>
    <cfRule type="expression" priority="2398" dxfId="0">
      <formula>AND(IF($Q47=3,1,IF($Q47=4,1,0)),IF($F47&lt;=85,1,0))</formula>
    </cfRule>
  </conditionalFormatting>
  <conditionalFormatting sqref="AV48">
    <cfRule type="expression" priority="2393" dxfId="23">
      <formula>AV48="X"</formula>
    </cfRule>
    <cfRule type="expression" priority="2394" dxfId="22">
      <formula>AV48="후보"</formula>
    </cfRule>
  </conditionalFormatting>
  <conditionalFormatting sqref="AC48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8">
    <cfRule type="expression" priority="2385" dxfId="3">
      <formula>AND(IF(OR($Q48=1,$Q48=2),1,0),IF($X48&lt;=20,1,0))</formula>
    </cfRule>
    <cfRule type="expression" priority="2386" dxfId="2">
      <formula>AND(IF($Q48=2,1,0),IF($X48&lt;30,1,0))</formula>
    </cfRule>
    <cfRule type="expression" priority="2387" dxfId="1">
      <formula>AND(IF($Q48=3,1,0),IF($X48&lt;30,1,0))</formula>
    </cfRule>
    <cfRule type="expression" priority="2388" dxfId="0">
      <formula>AND(IF($Q48=3,1,IF($Q48=4,1,0)),IF($F48&lt;=85,1,0))</formula>
    </cfRule>
  </conditionalFormatting>
  <conditionalFormatting sqref="X48">
    <cfRule type="expression" priority="2381" dxfId="3">
      <formula>AND(IF(OR($Q48=1,$Q48=2),1,0),IF($X48&lt;=20,1,0))</formula>
    </cfRule>
    <cfRule type="expression" priority="2382" dxfId="2">
      <formula>AND(IF($Q48=2,1,0),IF($X48&lt;30,1,0))</formula>
    </cfRule>
    <cfRule type="expression" priority="2383" dxfId="1">
      <formula>AND(IF($Q48=3,1,0),IF($X48&lt;30,1,0))</formula>
    </cfRule>
    <cfRule type="expression" priority="2384" dxfId="0">
      <formula>AND(IF($Q48=3,1,IF($Q48=4,1,0)),IF($F48&lt;=85,1,0))</formula>
    </cfRule>
  </conditionalFormatting>
  <conditionalFormatting sqref="AI48">
    <cfRule type="expression" priority="2377" dxfId="3">
      <formula>AND(IF(OR($Q48=1,$Q48=2),1,0),IF($X48&lt;=20,1,0))</formula>
    </cfRule>
    <cfRule type="expression" priority="2378" dxfId="2">
      <formula>AND(IF($Q48=2,1,0),IF($X48&lt;30,1,0))</formula>
    </cfRule>
    <cfRule type="expression" priority="2379" dxfId="1">
      <formula>AND(IF($Q48=3,1,0),IF($X48&lt;30,1,0))</formula>
    </cfRule>
    <cfRule type="expression" priority="2380" dxfId="0">
      <formula>AND(IF($Q48=3,1,IF($Q48=4,1,0)),IF($F48&lt;=85,1,0))</formula>
    </cfRule>
  </conditionalFormatting>
  <conditionalFormatting sqref="AV49">
    <cfRule type="expression" priority="2375" dxfId="23">
      <formula>AV49="X"</formula>
    </cfRule>
    <cfRule type="expression" priority="2376" dxfId="22">
      <formula>AV49="후보"</formula>
    </cfRule>
  </conditionalFormatting>
  <conditionalFormatting sqref="AC49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9">
    <cfRule type="expression" priority="2367" dxfId="3">
      <formula>AND(IF(OR($Q49=1,$Q49=2),1,0),IF($X49&lt;=20,1,0))</formula>
    </cfRule>
    <cfRule type="expression" priority="2368" dxfId="2">
      <formula>AND(IF($Q49=2,1,0),IF($X49&lt;30,1,0))</formula>
    </cfRule>
    <cfRule type="expression" priority="2369" dxfId="1">
      <formula>AND(IF($Q49=3,1,0),IF($X49&lt;30,1,0))</formula>
    </cfRule>
    <cfRule type="expression" priority="2370" dxfId="0">
      <formula>AND(IF($Q49=3,1,IF($Q49=4,1,0)),IF($F49&lt;=85,1,0))</formula>
    </cfRule>
  </conditionalFormatting>
  <conditionalFormatting sqref="X49">
    <cfRule type="expression" priority="2363" dxfId="3">
      <formula>AND(IF(OR($Q49=1,$Q49=2),1,0),IF($X49&lt;=20,1,0))</formula>
    </cfRule>
    <cfRule type="expression" priority="2364" dxfId="2">
      <formula>AND(IF($Q49=2,1,0),IF($X49&lt;30,1,0))</formula>
    </cfRule>
    <cfRule type="expression" priority="2365" dxfId="1">
      <formula>AND(IF($Q49=3,1,0),IF($X49&lt;30,1,0))</formula>
    </cfRule>
    <cfRule type="expression" priority="2366" dxfId="0">
      <formula>AND(IF($Q49=3,1,IF($Q49=4,1,0)),IF($F49&lt;=85,1,0))</formula>
    </cfRule>
  </conditionalFormatting>
  <conditionalFormatting sqref="AI49">
    <cfRule type="expression" priority="2359" dxfId="3">
      <formula>AND(IF(OR($Q49=1,$Q49=2),1,0),IF($X49&lt;=20,1,0))</formula>
    </cfRule>
    <cfRule type="expression" priority="2360" dxfId="2">
      <formula>AND(IF($Q49=2,1,0),IF($X49&lt;30,1,0))</formula>
    </cfRule>
    <cfRule type="expression" priority="2361" dxfId="1">
      <formula>AND(IF($Q49=3,1,0),IF($X49&lt;30,1,0))</formula>
    </cfRule>
    <cfRule type="expression" priority="2362" dxfId="0">
      <formula>AND(IF($Q49=3,1,IF($Q49=4,1,0)),IF($F49&lt;=85,1,0))</formula>
    </cfRule>
  </conditionalFormatting>
  <conditionalFormatting sqref="AV50">
    <cfRule type="expression" priority="2357" dxfId="23">
      <formula>AV50="X"</formula>
    </cfRule>
    <cfRule type="expression" priority="2358" dxfId="22">
      <formula>AV50="후보"</formula>
    </cfRule>
  </conditionalFormatting>
  <conditionalFormatting sqref="AC50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0">
    <cfRule type="expression" priority="2349" dxfId="3">
      <formula>AND(IF(OR($Q50=1,$Q50=2),1,0),IF($X50&lt;=20,1,0))</formula>
    </cfRule>
    <cfRule type="expression" priority="2350" dxfId="2">
      <formula>AND(IF($Q50=2,1,0),IF($X50&lt;30,1,0))</formula>
    </cfRule>
    <cfRule type="expression" priority="2351" dxfId="1">
      <formula>AND(IF($Q50=3,1,0),IF($X50&lt;30,1,0))</formula>
    </cfRule>
    <cfRule type="expression" priority="2352" dxfId="0">
      <formula>AND(IF($Q50=3,1,IF($Q50=4,1,0)),IF($F50&lt;=85,1,0))</formula>
    </cfRule>
  </conditionalFormatting>
  <conditionalFormatting sqref="X50">
    <cfRule type="expression" priority="2345" dxfId="3">
      <formula>AND(IF(OR($Q50=1,$Q50=2),1,0),IF($X50&lt;=20,1,0))</formula>
    </cfRule>
    <cfRule type="expression" priority="2346" dxfId="2">
      <formula>AND(IF($Q50=2,1,0),IF($X50&lt;30,1,0))</formula>
    </cfRule>
    <cfRule type="expression" priority="2347" dxfId="1">
      <formula>AND(IF($Q50=3,1,0),IF($X50&lt;30,1,0))</formula>
    </cfRule>
    <cfRule type="expression" priority="2348" dxfId="0">
      <formula>AND(IF($Q50=3,1,IF($Q50=4,1,0)),IF($F50&lt;=85,1,0))</formula>
    </cfRule>
  </conditionalFormatting>
  <conditionalFormatting sqref="AI50">
    <cfRule type="expression" priority="2341" dxfId="3">
      <formula>AND(IF(OR($Q50=1,$Q50=2),1,0),IF($X50&lt;=20,1,0))</formula>
    </cfRule>
    <cfRule type="expression" priority="2342" dxfId="2">
      <formula>AND(IF($Q50=2,1,0),IF($X50&lt;30,1,0))</formula>
    </cfRule>
    <cfRule type="expression" priority="2343" dxfId="1">
      <formula>AND(IF($Q50=3,1,0),IF($X50&lt;30,1,0))</formula>
    </cfRule>
    <cfRule type="expression" priority="2344" dxfId="0">
      <formula>AND(IF($Q50=3,1,IF($Q50=4,1,0)),IF($F50&lt;=85,1,0))</formula>
    </cfRule>
  </conditionalFormatting>
  <conditionalFormatting sqref="AV51">
    <cfRule type="expression" priority="2339" dxfId="23">
      <formula>AV51="X"</formula>
    </cfRule>
    <cfRule type="expression" priority="2340" dxfId="22">
      <formula>AV51="후보"</formula>
    </cfRule>
  </conditionalFormatting>
  <conditionalFormatting sqref="AC51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1">
    <cfRule type="expression" priority="2331" dxfId="3">
      <formula>AND(IF(OR($Q51=1,$Q51=2),1,0),IF($X51&lt;=20,1,0))</formula>
    </cfRule>
    <cfRule type="expression" priority="2332" dxfId="2">
      <formula>AND(IF($Q51=2,1,0),IF($X51&lt;30,1,0))</formula>
    </cfRule>
    <cfRule type="expression" priority="2333" dxfId="1">
      <formula>AND(IF($Q51=3,1,0),IF($X51&lt;30,1,0))</formula>
    </cfRule>
    <cfRule type="expression" priority="2334" dxfId="0">
      <formula>AND(IF($Q51=3,1,IF($Q51=4,1,0)),IF($F51&lt;=85,1,0))</formula>
    </cfRule>
  </conditionalFormatting>
  <conditionalFormatting sqref="X51">
    <cfRule type="expression" priority="2327" dxfId="3">
      <formula>AND(IF(OR($Q51=1,$Q51=2),1,0),IF($X51&lt;=20,1,0))</formula>
    </cfRule>
    <cfRule type="expression" priority="2328" dxfId="2">
      <formula>AND(IF($Q51=2,1,0),IF($X51&lt;30,1,0))</formula>
    </cfRule>
    <cfRule type="expression" priority="2329" dxfId="1">
      <formula>AND(IF($Q51=3,1,0),IF($X51&lt;30,1,0))</formula>
    </cfRule>
    <cfRule type="expression" priority="2330" dxfId="0">
      <formula>AND(IF($Q51=3,1,IF($Q51=4,1,0)),IF($F51&lt;=85,1,0))</formula>
    </cfRule>
  </conditionalFormatting>
  <conditionalFormatting sqref="AI51">
    <cfRule type="expression" priority="2323" dxfId="3">
      <formula>AND(IF(OR($Q51=1,$Q51=2),1,0),IF($X51&lt;=20,1,0))</formula>
    </cfRule>
    <cfRule type="expression" priority="2324" dxfId="2">
      <formula>AND(IF($Q51=2,1,0),IF($X51&lt;30,1,0))</formula>
    </cfRule>
    <cfRule type="expression" priority="2325" dxfId="1">
      <formula>AND(IF($Q51=3,1,0),IF($X51&lt;30,1,0))</formula>
    </cfRule>
    <cfRule type="expression" priority="2326" dxfId="0">
      <formula>AND(IF($Q51=3,1,IF($Q51=4,1,0)),IF($F51&lt;=85,1,0))</formula>
    </cfRule>
  </conditionalFormatting>
  <conditionalFormatting sqref="AV52">
    <cfRule type="expression" priority="2321" dxfId="23">
      <formula>AV52="X"</formula>
    </cfRule>
    <cfRule type="expression" priority="2322" dxfId="22">
      <formula>AV52="후보"</formula>
    </cfRule>
  </conditionalFormatting>
  <conditionalFormatting sqref="AC52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2">
    <cfRule type="expression" priority="2313" dxfId="3">
      <formula>AND(IF(OR($Q52=1,$Q52=2),1,0),IF($X52&lt;=20,1,0))</formula>
    </cfRule>
    <cfRule type="expression" priority="2314" dxfId="2">
      <formula>AND(IF($Q52=2,1,0),IF($X52&lt;30,1,0))</formula>
    </cfRule>
    <cfRule type="expression" priority="2315" dxfId="1">
      <formula>AND(IF($Q52=3,1,0),IF($X52&lt;30,1,0))</formula>
    </cfRule>
    <cfRule type="expression" priority="2316" dxfId="0">
      <formula>AND(IF($Q52=3,1,IF($Q52=4,1,0)),IF($F52&lt;=85,1,0))</formula>
    </cfRule>
  </conditionalFormatting>
  <conditionalFormatting sqref="X52">
    <cfRule type="expression" priority="2309" dxfId="3">
      <formula>AND(IF(OR($Q52=1,$Q52=2),1,0),IF($X52&lt;=20,1,0))</formula>
    </cfRule>
    <cfRule type="expression" priority="2310" dxfId="2">
      <formula>AND(IF($Q52=2,1,0),IF($X52&lt;30,1,0))</formula>
    </cfRule>
    <cfRule type="expression" priority="2311" dxfId="1">
      <formula>AND(IF($Q52=3,1,0),IF($X52&lt;30,1,0))</formula>
    </cfRule>
    <cfRule type="expression" priority="2312" dxfId="0">
      <formula>AND(IF($Q52=3,1,IF($Q52=4,1,0)),IF($F52&lt;=85,1,0))</formula>
    </cfRule>
  </conditionalFormatting>
  <conditionalFormatting sqref="AI52">
    <cfRule type="expression" priority="2305" dxfId="3">
      <formula>AND(IF(OR($Q52=1,$Q52=2),1,0),IF($X52&lt;=20,1,0))</formula>
    </cfRule>
    <cfRule type="expression" priority="2306" dxfId="2">
      <formula>AND(IF($Q52=2,1,0),IF($X52&lt;30,1,0))</formula>
    </cfRule>
    <cfRule type="expression" priority="2307" dxfId="1">
      <formula>AND(IF($Q52=3,1,0),IF($X52&lt;30,1,0))</formula>
    </cfRule>
    <cfRule type="expression" priority="2308" dxfId="0">
      <formula>AND(IF($Q52=3,1,IF($Q52=4,1,0)),IF($F52&lt;=85,1,0))</formula>
    </cfRule>
  </conditionalFormatting>
  <conditionalFormatting sqref="AV53">
    <cfRule type="expression" priority="2303" dxfId="23">
      <formula>AV53="X"</formula>
    </cfRule>
    <cfRule type="expression" priority="2304" dxfId="22">
      <formula>AV53="후보"</formula>
    </cfRule>
  </conditionalFormatting>
  <conditionalFormatting sqref="AC53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3">
    <cfRule type="expression" priority="2295" dxfId="3">
      <formula>AND(IF(OR($Q53=1,$Q53=2),1,0),IF($X53&lt;=20,1,0))</formula>
    </cfRule>
    <cfRule type="expression" priority="2296" dxfId="2">
      <formula>AND(IF($Q53=2,1,0),IF($X53&lt;30,1,0))</formula>
    </cfRule>
    <cfRule type="expression" priority="2297" dxfId="1">
      <formula>AND(IF($Q53=3,1,0),IF($X53&lt;30,1,0))</formula>
    </cfRule>
    <cfRule type="expression" priority="2298" dxfId="0">
      <formula>AND(IF($Q53=3,1,IF($Q53=4,1,0)),IF($F53&lt;=85,1,0))</formula>
    </cfRule>
  </conditionalFormatting>
  <conditionalFormatting sqref="X53">
    <cfRule type="expression" priority="2291" dxfId="3">
      <formula>AND(IF(OR($Q53=1,$Q53=2),1,0),IF($X53&lt;=20,1,0))</formula>
    </cfRule>
    <cfRule type="expression" priority="2292" dxfId="2">
      <formula>AND(IF($Q53=2,1,0),IF($X53&lt;30,1,0))</formula>
    </cfRule>
    <cfRule type="expression" priority="2293" dxfId="1">
      <formula>AND(IF($Q53=3,1,0),IF($X53&lt;30,1,0))</formula>
    </cfRule>
    <cfRule type="expression" priority="2294" dxfId="0">
      <formula>AND(IF($Q53=3,1,IF($Q53=4,1,0)),IF($F53&lt;=85,1,0))</formula>
    </cfRule>
  </conditionalFormatting>
  <conditionalFormatting sqref="AI53">
    <cfRule type="expression" priority="2287" dxfId="3">
      <formula>AND(IF(OR($Q53=1,$Q53=2),1,0),IF($X53&lt;=20,1,0))</formula>
    </cfRule>
    <cfRule type="expression" priority="2288" dxfId="2">
      <formula>AND(IF($Q53=2,1,0),IF($X53&lt;30,1,0))</formula>
    </cfRule>
    <cfRule type="expression" priority="2289" dxfId="1">
      <formula>AND(IF($Q53=3,1,0),IF($X53&lt;30,1,0))</formula>
    </cfRule>
    <cfRule type="expression" priority="2290" dxfId="0">
      <formula>AND(IF($Q53=3,1,IF($Q53=4,1,0)),IF($F53&lt;=85,1,0))</formula>
    </cfRule>
  </conditionalFormatting>
  <conditionalFormatting sqref="AV54">
    <cfRule type="expression" priority="2285" dxfId="23">
      <formula>AV54="X"</formula>
    </cfRule>
    <cfRule type="expression" priority="2286" dxfId="22">
      <formula>AV54="후보"</formula>
    </cfRule>
  </conditionalFormatting>
  <conditionalFormatting sqref="AC54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4">
    <cfRule type="expression" priority="2277" dxfId="3">
      <formula>AND(IF(OR($Q54=1,$Q54=2),1,0),IF($X54&lt;=20,1,0))</formula>
    </cfRule>
    <cfRule type="expression" priority="2278" dxfId="2">
      <formula>AND(IF($Q54=2,1,0),IF($X54&lt;30,1,0))</formula>
    </cfRule>
    <cfRule type="expression" priority="2279" dxfId="1">
      <formula>AND(IF($Q54=3,1,0),IF($X54&lt;30,1,0))</formula>
    </cfRule>
    <cfRule type="expression" priority="2280" dxfId="0">
      <formula>AND(IF($Q54=3,1,IF($Q54=4,1,0)),IF($F54&lt;=85,1,0))</formula>
    </cfRule>
  </conditionalFormatting>
  <conditionalFormatting sqref="X54">
    <cfRule type="expression" priority="2273" dxfId="3">
      <formula>AND(IF(OR($Q54=1,$Q54=2),1,0),IF($X54&lt;=20,1,0))</formula>
    </cfRule>
    <cfRule type="expression" priority="2274" dxfId="2">
      <formula>AND(IF($Q54=2,1,0),IF($X54&lt;30,1,0))</formula>
    </cfRule>
    <cfRule type="expression" priority="2275" dxfId="1">
      <formula>AND(IF($Q54=3,1,0),IF($X54&lt;30,1,0))</formula>
    </cfRule>
    <cfRule type="expression" priority="2276" dxfId="0">
      <formula>AND(IF($Q54=3,1,IF($Q54=4,1,0)),IF($F54&lt;=85,1,0))</formula>
    </cfRule>
  </conditionalFormatting>
  <conditionalFormatting sqref="AI54">
    <cfRule type="expression" priority="2269" dxfId="3">
      <formula>AND(IF(OR($Q54=1,$Q54=2),1,0),IF($X54&lt;=20,1,0))</formula>
    </cfRule>
    <cfRule type="expression" priority="2270" dxfId="2">
      <formula>AND(IF($Q54=2,1,0),IF($X54&lt;30,1,0))</formula>
    </cfRule>
    <cfRule type="expression" priority="2271" dxfId="1">
      <formula>AND(IF($Q54=3,1,0),IF($X54&lt;30,1,0))</formula>
    </cfRule>
    <cfRule type="expression" priority="2272" dxfId="0">
      <formula>AND(IF($Q54=3,1,IF($Q54=4,1,0)),IF($F54&lt;=85,1,0))</formula>
    </cfRule>
  </conditionalFormatting>
  <conditionalFormatting sqref="AV55">
    <cfRule type="expression" priority="2267" dxfId="23">
      <formula>AV55="X"</formula>
    </cfRule>
    <cfRule type="expression" priority="2268" dxfId="22">
      <formula>AV55="후보"</formula>
    </cfRule>
  </conditionalFormatting>
  <conditionalFormatting sqref="AC55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5">
    <cfRule type="expression" priority="2259" dxfId="3">
      <formula>AND(IF(OR($Q55=1,$Q55=2),1,0),IF($X55&lt;=20,1,0))</formula>
    </cfRule>
    <cfRule type="expression" priority="2260" dxfId="2">
      <formula>AND(IF($Q55=2,1,0),IF($X55&lt;30,1,0))</formula>
    </cfRule>
    <cfRule type="expression" priority="2261" dxfId="1">
      <formula>AND(IF($Q55=3,1,0),IF($X55&lt;30,1,0))</formula>
    </cfRule>
    <cfRule type="expression" priority="2262" dxfId="0">
      <formula>AND(IF($Q55=3,1,IF($Q55=4,1,0)),IF($F55&lt;=85,1,0))</formula>
    </cfRule>
  </conditionalFormatting>
  <conditionalFormatting sqref="X55">
    <cfRule type="expression" priority="2255" dxfId="3">
      <formula>AND(IF(OR($Q55=1,$Q55=2),1,0),IF($X55&lt;=20,1,0))</formula>
    </cfRule>
    <cfRule type="expression" priority="2256" dxfId="2">
      <formula>AND(IF($Q55=2,1,0),IF($X55&lt;30,1,0))</formula>
    </cfRule>
    <cfRule type="expression" priority="2257" dxfId="1">
      <formula>AND(IF($Q55=3,1,0),IF($X55&lt;30,1,0))</formula>
    </cfRule>
    <cfRule type="expression" priority="2258" dxfId="0">
      <formula>AND(IF($Q55=3,1,IF($Q55=4,1,0)),IF($F55&lt;=85,1,0))</formula>
    </cfRule>
  </conditionalFormatting>
  <conditionalFormatting sqref="AI55">
    <cfRule type="expression" priority="2251" dxfId="3">
      <formula>AND(IF(OR($Q55=1,$Q55=2),1,0),IF($X55&lt;=20,1,0))</formula>
    </cfRule>
    <cfRule type="expression" priority="2252" dxfId="2">
      <formula>AND(IF($Q55=2,1,0),IF($X55&lt;30,1,0))</formula>
    </cfRule>
    <cfRule type="expression" priority="2253" dxfId="1">
      <formula>AND(IF($Q55=3,1,0),IF($X55&lt;30,1,0))</formula>
    </cfRule>
    <cfRule type="expression" priority="2254" dxfId="0">
      <formula>AND(IF($Q55=3,1,IF($Q55=4,1,0)),IF($F55&lt;=85,1,0))</formula>
    </cfRule>
  </conditionalFormatting>
  <conditionalFormatting sqref="AV56">
    <cfRule type="expression" priority="2249" dxfId="23">
      <formula>AV56="X"</formula>
    </cfRule>
    <cfRule type="expression" priority="2250" dxfId="22">
      <formula>AV56="후보"</formula>
    </cfRule>
  </conditionalFormatting>
  <conditionalFormatting sqref="AC56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6">
    <cfRule type="expression" priority="2241" dxfId="3">
      <formula>AND(IF(OR($Q56=1,$Q56=2),1,0),IF($X56&lt;=20,1,0))</formula>
    </cfRule>
    <cfRule type="expression" priority="2242" dxfId="2">
      <formula>AND(IF($Q56=2,1,0),IF($X56&lt;30,1,0))</formula>
    </cfRule>
    <cfRule type="expression" priority="2243" dxfId="1">
      <formula>AND(IF($Q56=3,1,0),IF($X56&lt;30,1,0))</formula>
    </cfRule>
    <cfRule type="expression" priority="2244" dxfId="0">
      <formula>AND(IF($Q56=3,1,IF($Q56=4,1,0)),IF($F56&lt;=85,1,0))</formula>
    </cfRule>
  </conditionalFormatting>
  <conditionalFormatting sqref="X56">
    <cfRule type="expression" priority="2237" dxfId="3">
      <formula>AND(IF(OR($Q56=1,$Q56=2),1,0),IF($X56&lt;=20,1,0))</formula>
    </cfRule>
    <cfRule type="expression" priority="2238" dxfId="2">
      <formula>AND(IF($Q56=2,1,0),IF($X56&lt;30,1,0))</formula>
    </cfRule>
    <cfRule type="expression" priority="2239" dxfId="1">
      <formula>AND(IF($Q56=3,1,0),IF($X56&lt;30,1,0))</formula>
    </cfRule>
    <cfRule type="expression" priority="2240" dxfId="0">
      <formula>AND(IF($Q56=3,1,IF($Q56=4,1,0)),IF($F56&lt;=85,1,0))</formula>
    </cfRule>
  </conditionalFormatting>
  <conditionalFormatting sqref="AI56">
    <cfRule type="expression" priority="2233" dxfId="3">
      <formula>AND(IF(OR($Q56=1,$Q56=2),1,0),IF($X56&lt;=20,1,0))</formula>
    </cfRule>
    <cfRule type="expression" priority="2234" dxfId="2">
      <formula>AND(IF($Q56=2,1,0),IF($X56&lt;30,1,0))</formula>
    </cfRule>
    <cfRule type="expression" priority="2235" dxfId="1">
      <formula>AND(IF($Q56=3,1,0),IF($X56&lt;30,1,0))</formula>
    </cfRule>
    <cfRule type="expression" priority="2236" dxfId="0">
      <formula>AND(IF($Q56=3,1,IF($Q56=4,1,0)),IF($F56&lt;=85,1,0))</formula>
    </cfRule>
  </conditionalFormatting>
  <conditionalFormatting sqref="AV57">
    <cfRule type="expression" priority="2231" dxfId="23">
      <formula>AV57="X"</formula>
    </cfRule>
    <cfRule type="expression" priority="2232" dxfId="22">
      <formula>AV57="후보"</formula>
    </cfRule>
  </conditionalFormatting>
  <conditionalFormatting sqref="AC57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7">
    <cfRule type="expression" priority="2223" dxfId="3">
      <formula>AND(IF(OR($Q57=1,$Q57=2),1,0),IF($X57&lt;=20,1,0))</formula>
    </cfRule>
    <cfRule type="expression" priority="2224" dxfId="2">
      <formula>AND(IF($Q57=2,1,0),IF($X57&lt;30,1,0))</formula>
    </cfRule>
    <cfRule type="expression" priority="2225" dxfId="1">
      <formula>AND(IF($Q57=3,1,0),IF($X57&lt;30,1,0))</formula>
    </cfRule>
    <cfRule type="expression" priority="2226" dxfId="0">
      <formula>AND(IF($Q57=3,1,IF($Q57=4,1,0)),IF($F57&lt;=85,1,0))</formula>
    </cfRule>
  </conditionalFormatting>
  <conditionalFormatting sqref="X57">
    <cfRule type="expression" priority="2219" dxfId="3">
      <formula>AND(IF(OR($Q57=1,$Q57=2),1,0),IF($X57&lt;=20,1,0))</formula>
    </cfRule>
    <cfRule type="expression" priority="2220" dxfId="2">
      <formula>AND(IF($Q57=2,1,0),IF($X57&lt;30,1,0))</formula>
    </cfRule>
    <cfRule type="expression" priority="2221" dxfId="1">
      <formula>AND(IF($Q57=3,1,0),IF($X57&lt;30,1,0))</formula>
    </cfRule>
    <cfRule type="expression" priority="2222" dxfId="0">
      <formula>AND(IF($Q57=3,1,IF($Q57=4,1,0)),IF($F57&lt;=85,1,0))</formula>
    </cfRule>
  </conditionalFormatting>
  <conditionalFormatting sqref="AI57">
    <cfRule type="expression" priority="2215" dxfId="3">
      <formula>AND(IF(OR($Q57=1,$Q57=2),1,0),IF($X57&lt;=20,1,0))</formula>
    </cfRule>
    <cfRule type="expression" priority="2216" dxfId="2">
      <formula>AND(IF($Q57=2,1,0),IF($X57&lt;30,1,0))</formula>
    </cfRule>
    <cfRule type="expression" priority="2217" dxfId="1">
      <formula>AND(IF($Q57=3,1,0),IF($X57&lt;30,1,0))</formula>
    </cfRule>
    <cfRule type="expression" priority="2218" dxfId="0">
      <formula>AND(IF($Q57=3,1,IF($Q57=4,1,0)),IF($F57&lt;=85,1,0))</formula>
    </cfRule>
  </conditionalFormatting>
  <conditionalFormatting sqref="AV58">
    <cfRule type="expression" priority="2213" dxfId="23">
      <formula>AV58="X"</formula>
    </cfRule>
    <cfRule type="expression" priority="2214" dxfId="22">
      <formula>AV58="후보"</formula>
    </cfRule>
  </conditionalFormatting>
  <conditionalFormatting sqref="AC58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8">
    <cfRule type="expression" priority="2205" dxfId="3">
      <formula>AND(IF(OR($Q58=1,$Q58=2),1,0),IF($X58&lt;=20,1,0))</formula>
    </cfRule>
    <cfRule type="expression" priority="2206" dxfId="2">
      <formula>AND(IF($Q58=2,1,0),IF($X58&lt;30,1,0))</formula>
    </cfRule>
    <cfRule type="expression" priority="2207" dxfId="1">
      <formula>AND(IF($Q58=3,1,0),IF($X58&lt;30,1,0))</formula>
    </cfRule>
    <cfRule type="expression" priority="2208" dxfId="0">
      <formula>AND(IF($Q58=3,1,IF($Q58=4,1,0)),IF($F58&lt;=85,1,0))</formula>
    </cfRule>
  </conditionalFormatting>
  <conditionalFormatting sqref="X58">
    <cfRule type="expression" priority="2201" dxfId="3">
      <formula>AND(IF(OR($Q58=1,$Q58=2),1,0),IF($X58&lt;=20,1,0))</formula>
    </cfRule>
    <cfRule type="expression" priority="2202" dxfId="2">
      <formula>AND(IF($Q58=2,1,0),IF($X58&lt;30,1,0))</formula>
    </cfRule>
    <cfRule type="expression" priority="2203" dxfId="1">
      <formula>AND(IF($Q58=3,1,0),IF($X58&lt;30,1,0))</formula>
    </cfRule>
    <cfRule type="expression" priority="2204" dxfId="0">
      <formula>AND(IF($Q58=3,1,IF($Q58=4,1,0)),IF($F58&lt;=85,1,0))</formula>
    </cfRule>
  </conditionalFormatting>
  <conditionalFormatting sqref="AI58">
    <cfRule type="expression" priority="2197" dxfId="3">
      <formula>AND(IF(OR($Q58=1,$Q58=2),1,0),IF($X58&lt;=20,1,0))</formula>
    </cfRule>
    <cfRule type="expression" priority="2198" dxfId="2">
      <formula>AND(IF($Q58=2,1,0),IF($X58&lt;30,1,0))</formula>
    </cfRule>
    <cfRule type="expression" priority="2199" dxfId="1">
      <formula>AND(IF($Q58=3,1,0),IF($X58&lt;30,1,0))</formula>
    </cfRule>
    <cfRule type="expression" priority="2200" dxfId="0">
      <formula>AND(IF($Q58=3,1,IF($Q58=4,1,0)),IF($F58&lt;=85,1,0))</formula>
    </cfRule>
  </conditionalFormatting>
  <conditionalFormatting sqref="AV59">
    <cfRule type="expression" priority="2195" dxfId="23">
      <formula>AV59="X"</formula>
    </cfRule>
    <cfRule type="expression" priority="2196" dxfId="22">
      <formula>AV59="후보"</formula>
    </cfRule>
  </conditionalFormatting>
  <conditionalFormatting sqref="AC59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9">
    <cfRule type="expression" priority="2187" dxfId="3">
      <formula>AND(IF(OR($Q59=1,$Q59=2),1,0),IF($X59&lt;=20,1,0))</formula>
    </cfRule>
    <cfRule type="expression" priority="2188" dxfId="2">
      <formula>AND(IF($Q59=2,1,0),IF($X59&lt;30,1,0))</formula>
    </cfRule>
    <cfRule type="expression" priority="2189" dxfId="1">
      <formula>AND(IF($Q59=3,1,0),IF($X59&lt;30,1,0))</formula>
    </cfRule>
    <cfRule type="expression" priority="2190" dxfId="0">
      <formula>AND(IF($Q59=3,1,IF($Q59=4,1,0)),IF($F59&lt;=85,1,0))</formula>
    </cfRule>
  </conditionalFormatting>
  <conditionalFormatting sqref="X59">
    <cfRule type="expression" priority="2183" dxfId="3">
      <formula>AND(IF(OR($Q59=1,$Q59=2),1,0),IF($X59&lt;=20,1,0))</formula>
    </cfRule>
    <cfRule type="expression" priority="2184" dxfId="2">
      <formula>AND(IF($Q59=2,1,0),IF($X59&lt;30,1,0))</formula>
    </cfRule>
    <cfRule type="expression" priority="2185" dxfId="1">
      <formula>AND(IF($Q59=3,1,0),IF($X59&lt;30,1,0))</formula>
    </cfRule>
    <cfRule type="expression" priority="2186" dxfId="0">
      <formula>AND(IF($Q59=3,1,IF($Q59=4,1,0)),IF($F59&lt;=85,1,0))</formula>
    </cfRule>
  </conditionalFormatting>
  <conditionalFormatting sqref="AI59">
    <cfRule type="expression" priority="2179" dxfId="3">
      <formula>AND(IF(OR($Q59=1,$Q59=2),1,0),IF($X59&lt;=20,1,0))</formula>
    </cfRule>
    <cfRule type="expression" priority="2180" dxfId="2">
      <formula>AND(IF($Q59=2,1,0),IF($X59&lt;30,1,0))</formula>
    </cfRule>
    <cfRule type="expression" priority="2181" dxfId="1">
      <formula>AND(IF($Q59=3,1,0),IF($X59&lt;30,1,0))</formula>
    </cfRule>
    <cfRule type="expression" priority="2182" dxfId="0">
      <formula>AND(IF($Q59=3,1,IF($Q59=4,1,0)),IF($F59&lt;=85,1,0))</formula>
    </cfRule>
  </conditionalFormatting>
  <conditionalFormatting sqref="AV60">
    <cfRule type="expression" priority="2177" dxfId="23">
      <formula>AV60="X"</formula>
    </cfRule>
    <cfRule type="expression" priority="2178" dxfId="22">
      <formula>AV60="후보"</formula>
    </cfRule>
  </conditionalFormatting>
  <conditionalFormatting sqref="AC60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0">
    <cfRule type="expression" priority="2169" dxfId="3">
      <formula>AND(IF(OR($Q60=1,$Q60=2),1,0),IF($X60&lt;=20,1,0))</formula>
    </cfRule>
    <cfRule type="expression" priority="2170" dxfId="2">
      <formula>AND(IF($Q60=2,1,0),IF($X60&lt;30,1,0))</formula>
    </cfRule>
    <cfRule type="expression" priority="2171" dxfId="1">
      <formula>AND(IF($Q60=3,1,0),IF($X60&lt;30,1,0))</formula>
    </cfRule>
    <cfRule type="expression" priority="2172" dxfId="0">
      <formula>AND(IF($Q60=3,1,IF($Q60=4,1,0)),IF($F60&lt;=85,1,0))</formula>
    </cfRule>
  </conditionalFormatting>
  <conditionalFormatting sqref="X60">
    <cfRule type="expression" priority="2165" dxfId="3">
      <formula>AND(IF(OR($Q60=1,$Q60=2),1,0),IF($X60&lt;=20,1,0))</formula>
    </cfRule>
    <cfRule type="expression" priority="2166" dxfId="2">
      <formula>AND(IF($Q60=2,1,0),IF($X60&lt;30,1,0))</formula>
    </cfRule>
    <cfRule type="expression" priority="2167" dxfId="1">
      <formula>AND(IF($Q60=3,1,0),IF($X60&lt;30,1,0))</formula>
    </cfRule>
    <cfRule type="expression" priority="2168" dxfId="0">
      <formula>AND(IF($Q60=3,1,IF($Q60=4,1,0)),IF($F60&lt;=85,1,0))</formula>
    </cfRule>
  </conditionalFormatting>
  <conditionalFormatting sqref="AI60">
    <cfRule type="expression" priority="2161" dxfId="3">
      <formula>AND(IF(OR($Q60=1,$Q60=2),1,0),IF($X60&lt;=20,1,0))</formula>
    </cfRule>
    <cfRule type="expression" priority="2162" dxfId="2">
      <formula>AND(IF($Q60=2,1,0),IF($X60&lt;30,1,0))</formula>
    </cfRule>
    <cfRule type="expression" priority="2163" dxfId="1">
      <formula>AND(IF($Q60=3,1,0),IF($X60&lt;30,1,0))</formula>
    </cfRule>
    <cfRule type="expression" priority="2164" dxfId="0">
      <formula>AND(IF($Q60=3,1,IF($Q60=4,1,0)),IF($F60&lt;=85,1,0))</formula>
    </cfRule>
  </conditionalFormatting>
  <conditionalFormatting sqref="AV61">
    <cfRule type="expression" priority="2159" dxfId="23">
      <formula>AV61="X"</formula>
    </cfRule>
    <cfRule type="expression" priority="2160" dxfId="22">
      <formula>AV61="후보"</formula>
    </cfRule>
  </conditionalFormatting>
  <conditionalFormatting sqref="AC61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1">
    <cfRule type="expression" priority="2151" dxfId="3">
      <formula>AND(IF(OR($Q61=1,$Q61=2),1,0),IF($X61&lt;=20,1,0))</formula>
    </cfRule>
    <cfRule type="expression" priority="2152" dxfId="2">
      <formula>AND(IF($Q61=2,1,0),IF($X61&lt;30,1,0))</formula>
    </cfRule>
    <cfRule type="expression" priority="2153" dxfId="1">
      <formula>AND(IF($Q61=3,1,0),IF($X61&lt;30,1,0))</formula>
    </cfRule>
    <cfRule type="expression" priority="2154" dxfId="0">
      <formula>AND(IF($Q61=3,1,IF($Q61=4,1,0)),IF($F61&lt;=85,1,0))</formula>
    </cfRule>
  </conditionalFormatting>
  <conditionalFormatting sqref="X61">
    <cfRule type="expression" priority="2147" dxfId="3">
      <formula>AND(IF(OR($Q61=1,$Q61=2),1,0),IF($X61&lt;=20,1,0))</formula>
    </cfRule>
    <cfRule type="expression" priority="2148" dxfId="2">
      <formula>AND(IF($Q61=2,1,0),IF($X61&lt;30,1,0))</formula>
    </cfRule>
    <cfRule type="expression" priority="2149" dxfId="1">
      <formula>AND(IF($Q61=3,1,0),IF($X61&lt;30,1,0))</formula>
    </cfRule>
    <cfRule type="expression" priority="2150" dxfId="0">
      <formula>AND(IF($Q61=3,1,IF($Q61=4,1,0)),IF($F61&lt;=85,1,0))</formula>
    </cfRule>
  </conditionalFormatting>
  <conditionalFormatting sqref="AI61">
    <cfRule type="expression" priority="2143" dxfId="3">
      <formula>AND(IF(OR($Q61=1,$Q61=2),1,0),IF($X61&lt;=20,1,0))</formula>
    </cfRule>
    <cfRule type="expression" priority="2144" dxfId="2">
      <formula>AND(IF($Q61=2,1,0),IF($X61&lt;30,1,0))</formula>
    </cfRule>
    <cfRule type="expression" priority="2145" dxfId="1">
      <formula>AND(IF($Q61=3,1,0),IF($X61&lt;30,1,0))</formula>
    </cfRule>
    <cfRule type="expression" priority="2146" dxfId="0">
      <formula>AND(IF($Q61=3,1,IF($Q61=4,1,0)),IF($F61&lt;=85,1,0))</formula>
    </cfRule>
  </conditionalFormatting>
  <conditionalFormatting sqref="AV62">
    <cfRule type="expression" priority="2141" dxfId="23">
      <formula>AV62="X"</formula>
    </cfRule>
    <cfRule type="expression" priority="2142" dxfId="22">
      <formula>AV62="후보"</formula>
    </cfRule>
  </conditionalFormatting>
  <conditionalFormatting sqref="AC62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62">
    <cfRule type="expression" priority="2133" dxfId="3">
      <formula>AND(IF(OR($Q62=1,$Q62=2),1,0),IF($X62&lt;=20,1,0))</formula>
    </cfRule>
    <cfRule type="expression" priority="2134" dxfId="2">
      <formula>AND(IF($Q62=2,1,0),IF($X62&lt;30,1,0))</formula>
    </cfRule>
    <cfRule type="expression" priority="2135" dxfId="1">
      <formula>AND(IF($Q62=3,1,0),IF($X62&lt;30,1,0))</formula>
    </cfRule>
    <cfRule type="expression" priority="2136" dxfId="0">
      <formula>AND(IF($Q62=3,1,IF($Q62=4,1,0)),IF($F62&lt;=85,1,0))</formula>
    </cfRule>
  </conditionalFormatting>
  <conditionalFormatting sqref="X62">
    <cfRule type="expression" priority="2129" dxfId="3">
      <formula>AND(IF(OR($Q62=1,$Q62=2),1,0),IF($X62&lt;=20,1,0))</formula>
    </cfRule>
    <cfRule type="expression" priority="2130" dxfId="2">
      <formula>AND(IF($Q62=2,1,0),IF($X62&lt;30,1,0))</formula>
    </cfRule>
    <cfRule type="expression" priority="2131" dxfId="1">
      <formula>AND(IF($Q62=3,1,0),IF($X62&lt;30,1,0))</formula>
    </cfRule>
    <cfRule type="expression" priority="2132" dxfId="0">
      <formula>AND(IF($Q62=3,1,IF($Q62=4,1,0)),IF($F62&lt;=85,1,0))</formula>
    </cfRule>
  </conditionalFormatting>
  <conditionalFormatting sqref="AI62">
    <cfRule type="expression" priority="2125" dxfId="3">
      <formula>AND(IF(OR($Q62=1,$Q62=2),1,0),IF($X62&lt;=20,1,0))</formula>
    </cfRule>
    <cfRule type="expression" priority="2126" dxfId="2">
      <formula>AND(IF($Q62=2,1,0),IF($X62&lt;30,1,0))</formula>
    </cfRule>
    <cfRule type="expression" priority="2127" dxfId="1">
      <formula>AND(IF($Q62=3,1,0),IF($X62&lt;30,1,0))</formula>
    </cfRule>
    <cfRule type="expression" priority="2128" dxfId="0">
      <formula>AND(IF($Q62=3,1,IF($Q62=4,1,0)),IF($F62&lt;=85,1,0))</formula>
    </cfRule>
  </conditionalFormatting>
  <conditionalFormatting sqref="AV63">
    <cfRule type="expression" priority="2123" dxfId="23">
      <formula>AV63="X"</formula>
    </cfRule>
    <cfRule type="expression" priority="2124" dxfId="22">
      <formula>AV63="후보"</formula>
    </cfRule>
  </conditionalFormatting>
  <conditionalFormatting sqref="AC63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3">
    <cfRule type="expression" priority="2115" dxfId="3">
      <formula>AND(IF(OR($Q63=1,$Q63=2),1,0),IF($X63&lt;=20,1,0))</formula>
    </cfRule>
    <cfRule type="expression" priority="2116" dxfId="2">
      <formula>AND(IF($Q63=2,1,0),IF($X63&lt;30,1,0))</formula>
    </cfRule>
    <cfRule type="expression" priority="2117" dxfId="1">
      <formula>AND(IF($Q63=3,1,0),IF($X63&lt;30,1,0))</formula>
    </cfRule>
    <cfRule type="expression" priority="2118" dxfId="0">
      <formula>AND(IF($Q63=3,1,IF($Q63=4,1,0)),IF($F63&lt;=85,1,0))</formula>
    </cfRule>
  </conditionalFormatting>
  <conditionalFormatting sqref="X63">
    <cfRule type="expression" priority="2111" dxfId="3">
      <formula>AND(IF(OR($Q63=1,$Q63=2),1,0),IF($X63&lt;=20,1,0))</formula>
    </cfRule>
    <cfRule type="expression" priority="2112" dxfId="2">
      <formula>AND(IF($Q63=2,1,0),IF($X63&lt;30,1,0))</formula>
    </cfRule>
    <cfRule type="expression" priority="2113" dxfId="1">
      <formula>AND(IF($Q63=3,1,0),IF($X63&lt;30,1,0))</formula>
    </cfRule>
    <cfRule type="expression" priority="2114" dxfId="0">
      <formula>AND(IF($Q63=3,1,IF($Q63=4,1,0)),IF($F63&lt;=85,1,0))</formula>
    </cfRule>
  </conditionalFormatting>
  <conditionalFormatting sqref="AI63">
    <cfRule type="expression" priority="2107" dxfId="3">
      <formula>AND(IF(OR($Q63=1,$Q63=2),1,0),IF($X63&lt;=20,1,0))</formula>
    </cfRule>
    <cfRule type="expression" priority="2108" dxfId="2">
      <formula>AND(IF($Q63=2,1,0),IF($X63&lt;30,1,0))</formula>
    </cfRule>
    <cfRule type="expression" priority="2109" dxfId="1">
      <formula>AND(IF($Q63=3,1,0),IF($X63&lt;30,1,0))</formula>
    </cfRule>
    <cfRule type="expression" priority="2110" dxfId="0">
      <formula>AND(IF($Q63=3,1,IF($Q63=4,1,0)),IF($F63&lt;=85,1,0))</formula>
    </cfRule>
  </conditionalFormatting>
  <conditionalFormatting sqref="AV64">
    <cfRule type="expression" priority="2105" dxfId="23">
      <formula>AV64="X"</formula>
    </cfRule>
    <cfRule type="expression" priority="2106" dxfId="22">
      <formula>AV64="후보"</formula>
    </cfRule>
  </conditionalFormatting>
  <conditionalFormatting sqref="AC64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6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4">
    <cfRule type="expression" priority="2097" dxfId="3">
      <formula>AND(IF(OR($Q64=1,$Q64=2),1,0),IF($X64&lt;=20,1,0))</formula>
    </cfRule>
    <cfRule type="expression" priority="2098" dxfId="2">
      <formula>AND(IF($Q64=2,1,0),IF($X64&lt;30,1,0))</formula>
    </cfRule>
    <cfRule type="expression" priority="2099" dxfId="1">
      <formula>AND(IF($Q64=3,1,0),IF($X64&lt;30,1,0))</formula>
    </cfRule>
    <cfRule type="expression" priority="2100" dxfId="0">
      <formula>AND(IF($Q64=3,1,IF($Q64=4,1,0)),IF($F64&lt;=85,1,0))</formula>
    </cfRule>
  </conditionalFormatting>
  <conditionalFormatting sqref="X64">
    <cfRule type="expression" priority="2093" dxfId="3">
      <formula>AND(IF(OR($Q64=1,$Q64=2),1,0),IF($X64&lt;=20,1,0))</formula>
    </cfRule>
    <cfRule type="expression" priority="2094" dxfId="2">
      <formula>AND(IF($Q64=2,1,0),IF($X64&lt;30,1,0))</formula>
    </cfRule>
    <cfRule type="expression" priority="2095" dxfId="1">
      <formula>AND(IF($Q64=3,1,0),IF($X64&lt;30,1,0))</formula>
    </cfRule>
    <cfRule type="expression" priority="2096" dxfId="0">
      <formula>AND(IF($Q64=3,1,IF($Q64=4,1,0)),IF($F64&lt;=85,1,0))</formula>
    </cfRule>
  </conditionalFormatting>
  <conditionalFormatting sqref="AI64">
    <cfRule type="expression" priority="2089" dxfId="3">
      <formula>AND(IF(OR($Q64=1,$Q64=2),1,0),IF($X64&lt;=20,1,0))</formula>
    </cfRule>
    <cfRule type="expression" priority="2090" dxfId="2">
      <formula>AND(IF($Q64=2,1,0),IF($X64&lt;30,1,0))</formula>
    </cfRule>
    <cfRule type="expression" priority="2091" dxfId="1">
      <formula>AND(IF($Q64=3,1,0),IF($X64&lt;30,1,0))</formula>
    </cfRule>
    <cfRule type="expression" priority="2092" dxfId="0">
      <formula>AND(IF($Q64=3,1,IF($Q64=4,1,0)),IF($F64&lt;=85,1,0))</formula>
    </cfRule>
  </conditionalFormatting>
  <conditionalFormatting sqref="AV65">
    <cfRule type="expression" priority="2087" dxfId="23">
      <formula>AV65="X"</formula>
    </cfRule>
    <cfRule type="expression" priority="2088" dxfId="22">
      <formula>AV65="후보"</formula>
    </cfRule>
  </conditionalFormatting>
  <conditionalFormatting sqref="AC65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5">
    <cfRule type="expression" priority="2079" dxfId="3">
      <formula>AND(IF(OR($Q65=1,$Q65=2),1,0),IF($X65&lt;=20,1,0))</formula>
    </cfRule>
    <cfRule type="expression" priority="2080" dxfId="2">
      <formula>AND(IF($Q65=2,1,0),IF($X65&lt;30,1,0))</formula>
    </cfRule>
    <cfRule type="expression" priority="2081" dxfId="1">
      <formula>AND(IF($Q65=3,1,0),IF($X65&lt;30,1,0))</formula>
    </cfRule>
    <cfRule type="expression" priority="2082" dxfId="0">
      <formula>AND(IF($Q65=3,1,IF($Q65=4,1,0)),IF($F65&lt;=85,1,0))</formula>
    </cfRule>
  </conditionalFormatting>
  <conditionalFormatting sqref="X65">
    <cfRule type="expression" priority="2075" dxfId="3">
      <formula>AND(IF(OR($Q65=1,$Q65=2),1,0),IF($X65&lt;=20,1,0))</formula>
    </cfRule>
    <cfRule type="expression" priority="2076" dxfId="2">
      <formula>AND(IF($Q65=2,1,0),IF($X65&lt;30,1,0))</formula>
    </cfRule>
    <cfRule type="expression" priority="2077" dxfId="1">
      <formula>AND(IF($Q65=3,1,0),IF($X65&lt;30,1,0))</formula>
    </cfRule>
    <cfRule type="expression" priority="2078" dxfId="0">
      <formula>AND(IF($Q65=3,1,IF($Q65=4,1,0)),IF($F65&lt;=85,1,0))</formula>
    </cfRule>
  </conditionalFormatting>
  <conditionalFormatting sqref="AI65">
    <cfRule type="expression" priority="2071" dxfId="3">
      <formula>AND(IF(OR($Q65=1,$Q65=2),1,0),IF($X65&lt;=20,1,0))</formula>
    </cfRule>
    <cfRule type="expression" priority="2072" dxfId="2">
      <formula>AND(IF($Q65=2,1,0),IF($X65&lt;30,1,0))</formula>
    </cfRule>
    <cfRule type="expression" priority="2073" dxfId="1">
      <formula>AND(IF($Q65=3,1,0),IF($X65&lt;30,1,0))</formula>
    </cfRule>
    <cfRule type="expression" priority="2074" dxfId="0">
      <formula>AND(IF($Q65=3,1,IF($Q65=4,1,0)),IF($F65&lt;=85,1,0))</formula>
    </cfRule>
  </conditionalFormatting>
  <conditionalFormatting sqref="AV66">
    <cfRule type="expression" priority="2069" dxfId="23">
      <formula>AV66="X"</formula>
    </cfRule>
    <cfRule type="expression" priority="2070" dxfId="22">
      <formula>AV66="후보"</formula>
    </cfRule>
  </conditionalFormatting>
  <conditionalFormatting sqref="AC66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6">
    <cfRule type="expression" priority="2061" dxfId="3">
      <formula>AND(IF(OR($Q66=1,$Q66=2),1,0),IF($X66&lt;=20,1,0))</formula>
    </cfRule>
    <cfRule type="expression" priority="2062" dxfId="2">
      <formula>AND(IF($Q66=2,1,0),IF($X66&lt;30,1,0))</formula>
    </cfRule>
    <cfRule type="expression" priority="2063" dxfId="1">
      <formula>AND(IF($Q66=3,1,0),IF($X66&lt;30,1,0))</formula>
    </cfRule>
    <cfRule type="expression" priority="2064" dxfId="0">
      <formula>AND(IF($Q66=3,1,IF($Q66=4,1,0)),IF($F66&lt;=85,1,0))</formula>
    </cfRule>
  </conditionalFormatting>
  <conditionalFormatting sqref="X66">
    <cfRule type="expression" priority="2057" dxfId="3">
      <formula>AND(IF(OR($Q66=1,$Q66=2),1,0),IF($X66&lt;=20,1,0))</formula>
    </cfRule>
    <cfRule type="expression" priority="2058" dxfId="2">
      <formula>AND(IF($Q66=2,1,0),IF($X66&lt;30,1,0))</formula>
    </cfRule>
    <cfRule type="expression" priority="2059" dxfId="1">
      <formula>AND(IF($Q66=3,1,0),IF($X66&lt;30,1,0))</formula>
    </cfRule>
    <cfRule type="expression" priority="2060" dxfId="0">
      <formula>AND(IF($Q66=3,1,IF($Q66=4,1,0)),IF($F66&lt;=85,1,0))</formula>
    </cfRule>
  </conditionalFormatting>
  <conditionalFormatting sqref="AI66">
    <cfRule type="expression" priority="2053" dxfId="3">
      <formula>AND(IF(OR($Q66=1,$Q66=2),1,0),IF($X66&lt;=20,1,0))</formula>
    </cfRule>
    <cfRule type="expression" priority="2054" dxfId="2">
      <formula>AND(IF($Q66=2,1,0),IF($X66&lt;30,1,0))</formula>
    </cfRule>
    <cfRule type="expression" priority="2055" dxfId="1">
      <formula>AND(IF($Q66=3,1,0),IF($X66&lt;30,1,0))</formula>
    </cfRule>
    <cfRule type="expression" priority="2056" dxfId="0">
      <formula>AND(IF($Q66=3,1,IF($Q66=4,1,0)),IF($F66&lt;=85,1,0))</formula>
    </cfRule>
  </conditionalFormatting>
  <conditionalFormatting sqref="AV67">
    <cfRule type="expression" priority="2051" dxfId="23">
      <formula>AV67="X"</formula>
    </cfRule>
    <cfRule type="expression" priority="2052" dxfId="22">
      <formula>AV67="후보"</formula>
    </cfRule>
  </conditionalFormatting>
  <conditionalFormatting sqref="AC6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7">
    <cfRule type="expression" priority="2043" dxfId="3">
      <formula>AND(IF(OR($Q67=1,$Q67=2),1,0),IF($X67&lt;=20,1,0))</formula>
    </cfRule>
    <cfRule type="expression" priority="2044" dxfId="2">
      <formula>AND(IF($Q67=2,1,0),IF($X67&lt;30,1,0))</formula>
    </cfRule>
    <cfRule type="expression" priority="2045" dxfId="1">
      <formula>AND(IF($Q67=3,1,0),IF($X67&lt;30,1,0))</formula>
    </cfRule>
    <cfRule type="expression" priority="2046" dxfId="0">
      <formula>AND(IF($Q67=3,1,IF($Q67=4,1,0)),IF($F67&lt;=85,1,0))</formula>
    </cfRule>
  </conditionalFormatting>
  <conditionalFormatting sqref="X67">
    <cfRule type="expression" priority="2039" dxfId="3">
      <formula>AND(IF(OR($Q67=1,$Q67=2),1,0),IF($X67&lt;=20,1,0))</formula>
    </cfRule>
    <cfRule type="expression" priority="2040" dxfId="2">
      <formula>AND(IF($Q67=2,1,0),IF($X67&lt;30,1,0))</formula>
    </cfRule>
    <cfRule type="expression" priority="2041" dxfId="1">
      <formula>AND(IF($Q67=3,1,0),IF($X67&lt;30,1,0))</formula>
    </cfRule>
    <cfRule type="expression" priority="2042" dxfId="0">
      <formula>AND(IF($Q67=3,1,IF($Q67=4,1,0)),IF($F67&lt;=85,1,0))</formula>
    </cfRule>
  </conditionalFormatting>
  <conditionalFormatting sqref="AI67">
    <cfRule type="expression" priority="2035" dxfId="3">
      <formula>AND(IF(OR($Q67=1,$Q67=2),1,0),IF($X67&lt;=20,1,0))</formula>
    </cfRule>
    <cfRule type="expression" priority="2036" dxfId="2">
      <formula>AND(IF($Q67=2,1,0),IF($X67&lt;30,1,0))</formula>
    </cfRule>
    <cfRule type="expression" priority="2037" dxfId="1">
      <formula>AND(IF($Q67=3,1,0),IF($X67&lt;30,1,0))</formula>
    </cfRule>
    <cfRule type="expression" priority="2038" dxfId="0">
      <formula>AND(IF($Q67=3,1,IF($Q67=4,1,0)),IF($F67&lt;=85,1,0))</formula>
    </cfRule>
  </conditionalFormatting>
  <conditionalFormatting sqref="AV68">
    <cfRule type="expression" priority="2033" dxfId="23">
      <formula>AV68="X"</formula>
    </cfRule>
    <cfRule type="expression" priority="2034" dxfId="22">
      <formula>AV68="후보"</formula>
    </cfRule>
  </conditionalFormatting>
  <conditionalFormatting sqref="AC68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6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68">
    <cfRule type="expression" priority="2025" dxfId="3">
      <formula>AND(IF(OR($Q68=1,$Q68=2),1,0),IF($X68&lt;=20,1,0))</formula>
    </cfRule>
    <cfRule type="expression" priority="2026" dxfId="2">
      <formula>AND(IF($Q68=2,1,0),IF($X68&lt;30,1,0))</formula>
    </cfRule>
    <cfRule type="expression" priority="2027" dxfId="1">
      <formula>AND(IF($Q68=3,1,0),IF($X68&lt;30,1,0))</formula>
    </cfRule>
    <cfRule type="expression" priority="2028" dxfId="0">
      <formula>AND(IF($Q68=3,1,IF($Q68=4,1,0)),IF($F68&lt;=85,1,0))</formula>
    </cfRule>
  </conditionalFormatting>
  <conditionalFormatting sqref="X68">
    <cfRule type="expression" priority="2021" dxfId="3">
      <formula>AND(IF(OR($Q68=1,$Q68=2),1,0),IF($X68&lt;=20,1,0))</formula>
    </cfRule>
    <cfRule type="expression" priority="2022" dxfId="2">
      <formula>AND(IF($Q68=2,1,0),IF($X68&lt;30,1,0))</formula>
    </cfRule>
    <cfRule type="expression" priority="2023" dxfId="1">
      <formula>AND(IF($Q68=3,1,0),IF($X68&lt;30,1,0))</formula>
    </cfRule>
    <cfRule type="expression" priority="2024" dxfId="0">
      <formula>AND(IF($Q68=3,1,IF($Q68=4,1,0)),IF($F68&lt;=85,1,0))</formula>
    </cfRule>
  </conditionalFormatting>
  <conditionalFormatting sqref="AI68">
    <cfRule type="expression" priority="2017" dxfId="3">
      <formula>AND(IF(OR($Q68=1,$Q68=2),1,0),IF($X68&lt;=20,1,0))</formula>
    </cfRule>
    <cfRule type="expression" priority="2018" dxfId="2">
      <formula>AND(IF($Q68=2,1,0),IF($X68&lt;30,1,0))</formula>
    </cfRule>
    <cfRule type="expression" priority="2019" dxfId="1">
      <formula>AND(IF($Q68=3,1,0),IF($X68&lt;30,1,0))</formula>
    </cfRule>
    <cfRule type="expression" priority="2020" dxfId="0">
      <formula>AND(IF($Q68=3,1,IF($Q68=4,1,0)),IF($F68&lt;=85,1,0))</formula>
    </cfRule>
  </conditionalFormatting>
  <conditionalFormatting sqref="AV69">
    <cfRule type="expression" priority="2015" dxfId="23">
      <formula>AV69="X"</formula>
    </cfRule>
    <cfRule type="expression" priority="2016" dxfId="22">
      <formula>AV69="후보"</formula>
    </cfRule>
  </conditionalFormatting>
  <conditionalFormatting sqref="AC69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9">
    <cfRule type="expression" priority="2007" dxfId="3">
      <formula>AND(IF(OR($Q69=1,$Q69=2),1,0),IF($X69&lt;=20,1,0))</formula>
    </cfRule>
    <cfRule type="expression" priority="2008" dxfId="2">
      <formula>AND(IF($Q69=2,1,0),IF($X69&lt;30,1,0))</formula>
    </cfRule>
    <cfRule type="expression" priority="2009" dxfId="1">
      <formula>AND(IF($Q69=3,1,0),IF($X69&lt;30,1,0))</formula>
    </cfRule>
    <cfRule type="expression" priority="2010" dxfId="0">
      <formula>AND(IF($Q69=3,1,IF($Q69=4,1,0)),IF($F69&lt;=85,1,0))</formula>
    </cfRule>
  </conditionalFormatting>
  <conditionalFormatting sqref="X69">
    <cfRule type="expression" priority="2003" dxfId="3">
      <formula>AND(IF(OR($Q69=1,$Q69=2),1,0),IF($X69&lt;=20,1,0))</formula>
    </cfRule>
    <cfRule type="expression" priority="2004" dxfId="2">
      <formula>AND(IF($Q69=2,1,0),IF($X69&lt;30,1,0))</formula>
    </cfRule>
    <cfRule type="expression" priority="2005" dxfId="1">
      <formula>AND(IF($Q69=3,1,0),IF($X69&lt;30,1,0))</formula>
    </cfRule>
    <cfRule type="expression" priority="2006" dxfId="0">
      <formula>AND(IF($Q69=3,1,IF($Q69=4,1,0)),IF($F69&lt;=85,1,0))</formula>
    </cfRule>
  </conditionalFormatting>
  <conditionalFormatting sqref="AI69">
    <cfRule type="expression" priority="1999" dxfId="3">
      <formula>AND(IF(OR($Q69=1,$Q69=2),1,0),IF($X69&lt;=20,1,0))</formula>
    </cfRule>
    <cfRule type="expression" priority="2000" dxfId="2">
      <formula>AND(IF($Q69=2,1,0),IF($X69&lt;30,1,0))</formula>
    </cfRule>
    <cfRule type="expression" priority="2001" dxfId="1">
      <formula>AND(IF($Q69=3,1,0),IF($X69&lt;30,1,0))</formula>
    </cfRule>
    <cfRule type="expression" priority="2002" dxfId="0">
      <formula>AND(IF($Q69=3,1,IF($Q69=4,1,0)),IF($F69&lt;=85,1,0))</formula>
    </cfRule>
  </conditionalFormatting>
  <conditionalFormatting sqref="AV70">
    <cfRule type="expression" priority="1997" dxfId="23">
      <formula>AV70="X"</formula>
    </cfRule>
    <cfRule type="expression" priority="1998" dxfId="22">
      <formula>AV70="후보"</formula>
    </cfRule>
  </conditionalFormatting>
  <conditionalFormatting sqref="AC70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7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70">
    <cfRule type="expression" priority="1989" dxfId="3">
      <formula>AND(IF(OR($Q70=1,$Q70=2),1,0),IF($X70&lt;=20,1,0))</formula>
    </cfRule>
    <cfRule type="expression" priority="1990" dxfId="2">
      <formula>AND(IF($Q70=2,1,0),IF($X70&lt;30,1,0))</formula>
    </cfRule>
    <cfRule type="expression" priority="1991" dxfId="1">
      <formula>AND(IF($Q70=3,1,0),IF($X70&lt;30,1,0))</formula>
    </cfRule>
    <cfRule type="expression" priority="1992" dxfId="0">
      <formula>AND(IF($Q70=3,1,IF($Q70=4,1,0)),IF($F70&lt;=85,1,0))</formula>
    </cfRule>
  </conditionalFormatting>
  <conditionalFormatting sqref="X70">
    <cfRule type="expression" priority="1985" dxfId="3">
      <formula>AND(IF(OR($Q70=1,$Q70=2),1,0),IF($X70&lt;=20,1,0))</formula>
    </cfRule>
    <cfRule type="expression" priority="1986" dxfId="2">
      <formula>AND(IF($Q70=2,1,0),IF($X70&lt;30,1,0))</formula>
    </cfRule>
    <cfRule type="expression" priority="1987" dxfId="1">
      <formula>AND(IF($Q70=3,1,0),IF($X70&lt;30,1,0))</formula>
    </cfRule>
    <cfRule type="expression" priority="1988" dxfId="0">
      <formula>AND(IF($Q70=3,1,IF($Q70=4,1,0)),IF($F70&lt;=85,1,0))</formula>
    </cfRule>
  </conditionalFormatting>
  <conditionalFormatting sqref="AI70">
    <cfRule type="expression" priority="1981" dxfId="3">
      <formula>AND(IF(OR($Q70=1,$Q70=2),1,0),IF($X70&lt;=20,1,0))</formula>
    </cfRule>
    <cfRule type="expression" priority="1982" dxfId="2">
      <formula>AND(IF($Q70=2,1,0),IF($X70&lt;30,1,0))</formula>
    </cfRule>
    <cfRule type="expression" priority="1983" dxfId="1">
      <formula>AND(IF($Q70=3,1,0),IF($X70&lt;30,1,0))</formula>
    </cfRule>
    <cfRule type="expression" priority="1984" dxfId="0">
      <formula>AND(IF($Q70=3,1,IF($Q70=4,1,0)),IF($F70&lt;=85,1,0))</formula>
    </cfRule>
  </conditionalFormatting>
  <conditionalFormatting sqref="AV71">
    <cfRule type="expression" priority="1979" dxfId="23">
      <formula>AV71="X"</formula>
    </cfRule>
    <cfRule type="expression" priority="1980" dxfId="22">
      <formula>AV71="후보"</formula>
    </cfRule>
  </conditionalFormatting>
  <conditionalFormatting sqref="AC71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7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71">
    <cfRule type="expression" priority="1971" dxfId="3">
      <formula>AND(IF(OR($Q71=1,$Q71=2),1,0),IF($X71&lt;=20,1,0))</formula>
    </cfRule>
    <cfRule type="expression" priority="1972" dxfId="2">
      <formula>AND(IF($Q71=2,1,0),IF($X71&lt;30,1,0))</formula>
    </cfRule>
    <cfRule type="expression" priority="1973" dxfId="1">
      <formula>AND(IF($Q71=3,1,0),IF($X71&lt;30,1,0))</formula>
    </cfRule>
    <cfRule type="expression" priority="1974" dxfId="0">
      <formula>AND(IF($Q71=3,1,IF($Q71=4,1,0)),IF($F71&lt;=85,1,0))</formula>
    </cfRule>
  </conditionalFormatting>
  <conditionalFormatting sqref="X71">
    <cfRule type="expression" priority="1967" dxfId="3">
      <formula>AND(IF(OR($Q71=1,$Q71=2),1,0),IF($X71&lt;=20,1,0))</formula>
    </cfRule>
    <cfRule type="expression" priority="1968" dxfId="2">
      <formula>AND(IF($Q71=2,1,0),IF($X71&lt;30,1,0))</formula>
    </cfRule>
    <cfRule type="expression" priority="1969" dxfId="1">
      <formula>AND(IF($Q71=3,1,0),IF($X71&lt;30,1,0))</formula>
    </cfRule>
    <cfRule type="expression" priority="1970" dxfId="0">
      <formula>AND(IF($Q71=3,1,IF($Q71=4,1,0)),IF($F71&lt;=85,1,0))</formula>
    </cfRule>
  </conditionalFormatting>
  <conditionalFormatting sqref="AI71">
    <cfRule type="expression" priority="1963" dxfId="3">
      <formula>AND(IF(OR($Q71=1,$Q71=2),1,0),IF($X71&lt;=20,1,0))</formula>
    </cfRule>
    <cfRule type="expression" priority="1964" dxfId="2">
      <formula>AND(IF($Q71=2,1,0),IF($X71&lt;30,1,0))</formula>
    </cfRule>
    <cfRule type="expression" priority="1965" dxfId="1">
      <formula>AND(IF($Q71=3,1,0),IF($X71&lt;30,1,0))</formula>
    </cfRule>
    <cfRule type="expression" priority="1966" dxfId="0">
      <formula>AND(IF($Q71=3,1,IF($Q71=4,1,0)),IF($F71&lt;=85,1,0))</formula>
    </cfRule>
  </conditionalFormatting>
  <conditionalFormatting sqref="AV72">
    <cfRule type="expression" priority="1961" dxfId="23">
      <formula>AV72="X"</formula>
    </cfRule>
    <cfRule type="expression" priority="1962" dxfId="22">
      <formula>AV72="후보"</formula>
    </cfRule>
  </conditionalFormatting>
  <conditionalFormatting sqref="AC7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7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72">
    <cfRule type="expression" priority="1953" dxfId="3">
      <formula>AND(IF(OR($Q72=1,$Q72=2),1,0),IF($X72&lt;=20,1,0))</formula>
    </cfRule>
    <cfRule type="expression" priority="1954" dxfId="2">
      <formula>AND(IF($Q72=2,1,0),IF($X72&lt;30,1,0))</formula>
    </cfRule>
    <cfRule type="expression" priority="1955" dxfId="1">
      <formula>AND(IF($Q72=3,1,0),IF($X72&lt;30,1,0))</formula>
    </cfRule>
    <cfRule type="expression" priority="1956" dxfId="0">
      <formula>AND(IF($Q72=3,1,IF($Q72=4,1,0)),IF($F72&lt;=85,1,0))</formula>
    </cfRule>
  </conditionalFormatting>
  <conditionalFormatting sqref="X72">
    <cfRule type="expression" priority="1949" dxfId="3">
      <formula>AND(IF(OR($Q72=1,$Q72=2),1,0),IF($X72&lt;=20,1,0))</formula>
    </cfRule>
    <cfRule type="expression" priority="1950" dxfId="2">
      <formula>AND(IF($Q72=2,1,0),IF($X72&lt;30,1,0))</formula>
    </cfRule>
    <cfRule type="expression" priority="1951" dxfId="1">
      <formula>AND(IF($Q72=3,1,0),IF($X72&lt;30,1,0))</formula>
    </cfRule>
    <cfRule type="expression" priority="1952" dxfId="0">
      <formula>AND(IF($Q72=3,1,IF($Q72=4,1,0)),IF($F72&lt;=85,1,0))</formula>
    </cfRule>
  </conditionalFormatting>
  <conditionalFormatting sqref="AI72">
    <cfRule type="expression" priority="1945" dxfId="3">
      <formula>AND(IF(OR($Q72=1,$Q72=2),1,0),IF($X72&lt;=20,1,0))</formula>
    </cfRule>
    <cfRule type="expression" priority="1946" dxfId="2">
      <formula>AND(IF($Q72=2,1,0),IF($X72&lt;30,1,0))</formula>
    </cfRule>
    <cfRule type="expression" priority="1947" dxfId="1">
      <formula>AND(IF($Q72=3,1,0),IF($X72&lt;30,1,0))</formula>
    </cfRule>
    <cfRule type="expression" priority="1948" dxfId="0">
      <formula>AND(IF($Q72=3,1,IF($Q72=4,1,0)),IF($F72&lt;=85,1,0))</formula>
    </cfRule>
  </conditionalFormatting>
  <conditionalFormatting sqref="AV73">
    <cfRule type="expression" priority="1943" dxfId="23">
      <formula>AV73="X"</formula>
    </cfRule>
    <cfRule type="expression" priority="1944" dxfId="22">
      <formula>AV73="후보"</formula>
    </cfRule>
  </conditionalFormatting>
  <conditionalFormatting sqref="AC73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7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73">
    <cfRule type="expression" priority="1935" dxfId="3">
      <formula>AND(IF(OR($Q73=1,$Q73=2),1,0),IF($X73&lt;=20,1,0))</formula>
    </cfRule>
    <cfRule type="expression" priority="1936" dxfId="2">
      <formula>AND(IF($Q73=2,1,0),IF($X73&lt;30,1,0))</formula>
    </cfRule>
    <cfRule type="expression" priority="1937" dxfId="1">
      <formula>AND(IF($Q73=3,1,0),IF($X73&lt;30,1,0))</formula>
    </cfRule>
    <cfRule type="expression" priority="1938" dxfId="0">
      <formula>AND(IF($Q73=3,1,IF($Q73=4,1,0)),IF($F73&lt;=85,1,0))</formula>
    </cfRule>
  </conditionalFormatting>
  <conditionalFormatting sqref="X73">
    <cfRule type="expression" priority="1931" dxfId="3">
      <formula>AND(IF(OR($Q73=1,$Q73=2),1,0),IF($X73&lt;=20,1,0))</formula>
    </cfRule>
    <cfRule type="expression" priority="1932" dxfId="2">
      <formula>AND(IF($Q73=2,1,0),IF($X73&lt;30,1,0))</formula>
    </cfRule>
    <cfRule type="expression" priority="1933" dxfId="1">
      <formula>AND(IF($Q73=3,1,0),IF($X73&lt;30,1,0))</formula>
    </cfRule>
    <cfRule type="expression" priority="1934" dxfId="0">
      <formula>AND(IF($Q73=3,1,IF($Q73=4,1,0)),IF($F73&lt;=85,1,0))</formula>
    </cfRule>
  </conditionalFormatting>
  <conditionalFormatting sqref="AI73">
    <cfRule type="expression" priority="1927" dxfId="3">
      <formula>AND(IF(OR($Q73=1,$Q73=2),1,0),IF($X73&lt;=20,1,0))</formula>
    </cfRule>
    <cfRule type="expression" priority="1928" dxfId="2">
      <formula>AND(IF($Q73=2,1,0),IF($X73&lt;30,1,0))</formula>
    </cfRule>
    <cfRule type="expression" priority="1929" dxfId="1">
      <formula>AND(IF($Q73=3,1,0),IF($X73&lt;30,1,0))</formula>
    </cfRule>
    <cfRule type="expression" priority="1930" dxfId="0">
      <formula>AND(IF($Q73=3,1,IF($Q73=4,1,0)),IF($F73&lt;=85,1,0))</formula>
    </cfRule>
  </conditionalFormatting>
  <conditionalFormatting sqref="AV74">
    <cfRule type="expression" priority="1925" dxfId="23">
      <formula>AV74="X"</formula>
    </cfRule>
    <cfRule type="expression" priority="1926" dxfId="22">
      <formula>AV74="후보"</formula>
    </cfRule>
  </conditionalFormatting>
  <conditionalFormatting sqref="AC7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7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74">
    <cfRule type="expression" priority="1917" dxfId="3">
      <formula>AND(IF(OR($Q74=1,$Q74=2),1,0),IF($X74&lt;=20,1,0))</formula>
    </cfRule>
    <cfRule type="expression" priority="1918" dxfId="2">
      <formula>AND(IF($Q74=2,1,0),IF($X74&lt;30,1,0))</formula>
    </cfRule>
    <cfRule type="expression" priority="1919" dxfId="1">
      <formula>AND(IF($Q74=3,1,0),IF($X74&lt;30,1,0))</formula>
    </cfRule>
    <cfRule type="expression" priority="1920" dxfId="0">
      <formula>AND(IF($Q74=3,1,IF($Q74=4,1,0)),IF($F74&lt;=85,1,0))</formula>
    </cfRule>
  </conditionalFormatting>
  <conditionalFormatting sqref="X74">
    <cfRule type="expression" priority="1913" dxfId="3">
      <formula>AND(IF(OR($Q74=1,$Q74=2),1,0),IF($X74&lt;=20,1,0))</formula>
    </cfRule>
    <cfRule type="expression" priority="1914" dxfId="2">
      <formula>AND(IF($Q74=2,1,0),IF($X74&lt;30,1,0))</formula>
    </cfRule>
    <cfRule type="expression" priority="1915" dxfId="1">
      <formula>AND(IF($Q74=3,1,0),IF($X74&lt;30,1,0))</formula>
    </cfRule>
    <cfRule type="expression" priority="1916" dxfId="0">
      <formula>AND(IF($Q74=3,1,IF($Q74=4,1,0)),IF($F74&lt;=85,1,0))</formula>
    </cfRule>
  </conditionalFormatting>
  <conditionalFormatting sqref="AI74">
    <cfRule type="expression" priority="1909" dxfId="3">
      <formula>AND(IF(OR($Q74=1,$Q74=2),1,0),IF($X74&lt;=20,1,0))</formula>
    </cfRule>
    <cfRule type="expression" priority="1910" dxfId="2">
      <formula>AND(IF($Q74=2,1,0),IF($X74&lt;30,1,0))</formula>
    </cfRule>
    <cfRule type="expression" priority="1911" dxfId="1">
      <formula>AND(IF($Q74=3,1,0),IF($X74&lt;30,1,0))</formula>
    </cfRule>
    <cfRule type="expression" priority="1912" dxfId="0">
      <formula>AND(IF($Q74=3,1,IF($Q74=4,1,0)),IF($F74&lt;=85,1,0))</formula>
    </cfRule>
  </conditionalFormatting>
  <conditionalFormatting sqref="AV75">
    <cfRule type="expression" priority="1907" dxfId="23">
      <formula>AV75="X"</formula>
    </cfRule>
    <cfRule type="expression" priority="1908" dxfId="22">
      <formula>AV75="후보"</formula>
    </cfRule>
  </conditionalFormatting>
  <conditionalFormatting sqref="AC75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7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75">
    <cfRule type="expression" priority="1899" dxfId="3">
      <formula>AND(IF(OR($Q75=1,$Q75=2),1,0),IF($X75&lt;=20,1,0))</formula>
    </cfRule>
    <cfRule type="expression" priority="1900" dxfId="2">
      <formula>AND(IF($Q75=2,1,0),IF($X75&lt;30,1,0))</formula>
    </cfRule>
    <cfRule type="expression" priority="1901" dxfId="1">
      <formula>AND(IF($Q75=3,1,0),IF($X75&lt;30,1,0))</formula>
    </cfRule>
    <cfRule type="expression" priority="1902" dxfId="0">
      <formula>AND(IF($Q75=3,1,IF($Q75=4,1,0)),IF($F75&lt;=85,1,0))</formula>
    </cfRule>
  </conditionalFormatting>
  <conditionalFormatting sqref="X75">
    <cfRule type="expression" priority="1895" dxfId="3">
      <formula>AND(IF(OR($Q75=1,$Q75=2),1,0),IF($X75&lt;=20,1,0))</formula>
    </cfRule>
    <cfRule type="expression" priority="1896" dxfId="2">
      <formula>AND(IF($Q75=2,1,0),IF($X75&lt;30,1,0))</formula>
    </cfRule>
    <cfRule type="expression" priority="1897" dxfId="1">
      <formula>AND(IF($Q75=3,1,0),IF($X75&lt;30,1,0))</formula>
    </cfRule>
    <cfRule type="expression" priority="1898" dxfId="0">
      <formula>AND(IF($Q75=3,1,IF($Q75=4,1,0)),IF($F75&lt;=85,1,0))</formula>
    </cfRule>
  </conditionalFormatting>
  <conditionalFormatting sqref="AI75">
    <cfRule type="expression" priority="1891" dxfId="3">
      <formula>AND(IF(OR($Q75=1,$Q75=2),1,0),IF($X75&lt;=20,1,0))</formula>
    </cfRule>
    <cfRule type="expression" priority="1892" dxfId="2">
      <formula>AND(IF($Q75=2,1,0),IF($X75&lt;30,1,0))</formula>
    </cfRule>
    <cfRule type="expression" priority="1893" dxfId="1">
      <formula>AND(IF($Q75=3,1,0),IF($X75&lt;30,1,0))</formula>
    </cfRule>
    <cfRule type="expression" priority="1894" dxfId="0">
      <formula>AND(IF($Q75=3,1,IF($Q75=4,1,0)),IF($F75&lt;=85,1,0))</formula>
    </cfRule>
  </conditionalFormatting>
  <conditionalFormatting sqref="AV76">
    <cfRule type="expression" priority="1889" dxfId="23">
      <formula>AV76="X"</formula>
    </cfRule>
    <cfRule type="expression" priority="1890" dxfId="22">
      <formula>AV76="후보"</formula>
    </cfRule>
  </conditionalFormatting>
  <conditionalFormatting sqref="AC76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7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76">
    <cfRule type="expression" priority="1881" dxfId="3">
      <formula>AND(IF(OR($Q76=1,$Q76=2),1,0),IF($X76&lt;=20,1,0))</formula>
    </cfRule>
    <cfRule type="expression" priority="1882" dxfId="2">
      <formula>AND(IF($Q76=2,1,0),IF($X76&lt;30,1,0))</formula>
    </cfRule>
    <cfRule type="expression" priority="1883" dxfId="1">
      <formula>AND(IF($Q76=3,1,0),IF($X76&lt;30,1,0))</formula>
    </cfRule>
    <cfRule type="expression" priority="1884" dxfId="0">
      <formula>AND(IF($Q76=3,1,IF($Q76=4,1,0)),IF($F76&lt;=85,1,0))</formula>
    </cfRule>
  </conditionalFormatting>
  <conditionalFormatting sqref="X76">
    <cfRule type="expression" priority="1877" dxfId="3">
      <formula>AND(IF(OR($Q76=1,$Q76=2),1,0),IF($X76&lt;=20,1,0))</formula>
    </cfRule>
    <cfRule type="expression" priority="1878" dxfId="2">
      <formula>AND(IF($Q76=2,1,0),IF($X76&lt;30,1,0))</formula>
    </cfRule>
    <cfRule type="expression" priority="1879" dxfId="1">
      <formula>AND(IF($Q76=3,1,0),IF($X76&lt;30,1,0))</formula>
    </cfRule>
    <cfRule type="expression" priority="1880" dxfId="0">
      <formula>AND(IF($Q76=3,1,IF($Q76=4,1,0)),IF($F76&lt;=85,1,0))</formula>
    </cfRule>
  </conditionalFormatting>
  <conditionalFormatting sqref="AI76">
    <cfRule type="expression" priority="1873" dxfId="3">
      <formula>AND(IF(OR($Q76=1,$Q76=2),1,0),IF($X76&lt;=20,1,0))</formula>
    </cfRule>
    <cfRule type="expression" priority="1874" dxfId="2">
      <formula>AND(IF($Q76=2,1,0),IF($X76&lt;30,1,0))</formula>
    </cfRule>
    <cfRule type="expression" priority="1875" dxfId="1">
      <formula>AND(IF($Q76=3,1,0),IF($X76&lt;30,1,0))</formula>
    </cfRule>
    <cfRule type="expression" priority="1876" dxfId="0">
      <formula>AND(IF($Q76=3,1,IF($Q76=4,1,0)),IF($F76&lt;=85,1,0))</formula>
    </cfRule>
  </conditionalFormatting>
  <conditionalFormatting sqref="AV77">
    <cfRule type="expression" priority="1871" dxfId="23">
      <formula>AV77="X"</formula>
    </cfRule>
    <cfRule type="expression" priority="1872" dxfId="22">
      <formula>AV77="후보"</formula>
    </cfRule>
  </conditionalFormatting>
  <conditionalFormatting sqref="AC7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7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77">
    <cfRule type="expression" priority="1863" dxfId="3">
      <formula>AND(IF(OR($Q77=1,$Q77=2),1,0),IF($X77&lt;=20,1,0))</formula>
    </cfRule>
    <cfRule type="expression" priority="1864" dxfId="2">
      <formula>AND(IF($Q77=2,1,0),IF($X77&lt;30,1,0))</formula>
    </cfRule>
    <cfRule type="expression" priority="1865" dxfId="1">
      <formula>AND(IF($Q77=3,1,0),IF($X77&lt;30,1,0))</formula>
    </cfRule>
    <cfRule type="expression" priority="1866" dxfId="0">
      <formula>AND(IF($Q77=3,1,IF($Q77=4,1,0)),IF($F77&lt;=85,1,0))</formula>
    </cfRule>
  </conditionalFormatting>
  <conditionalFormatting sqref="X77">
    <cfRule type="expression" priority="1859" dxfId="3">
      <formula>AND(IF(OR($Q77=1,$Q77=2),1,0),IF($X77&lt;=20,1,0))</formula>
    </cfRule>
    <cfRule type="expression" priority="1860" dxfId="2">
      <formula>AND(IF($Q77=2,1,0),IF($X77&lt;30,1,0))</formula>
    </cfRule>
    <cfRule type="expression" priority="1861" dxfId="1">
      <formula>AND(IF($Q77=3,1,0),IF($X77&lt;30,1,0))</formula>
    </cfRule>
    <cfRule type="expression" priority="1862" dxfId="0">
      <formula>AND(IF($Q77=3,1,IF($Q77=4,1,0)),IF($F77&lt;=85,1,0))</formula>
    </cfRule>
  </conditionalFormatting>
  <conditionalFormatting sqref="AI77">
    <cfRule type="expression" priority="1855" dxfId="3">
      <formula>AND(IF(OR($Q77=1,$Q77=2),1,0),IF($X77&lt;=20,1,0))</formula>
    </cfRule>
    <cfRule type="expression" priority="1856" dxfId="2">
      <formula>AND(IF($Q77=2,1,0),IF($X77&lt;30,1,0))</formula>
    </cfRule>
    <cfRule type="expression" priority="1857" dxfId="1">
      <formula>AND(IF($Q77=3,1,0),IF($X77&lt;30,1,0))</formula>
    </cfRule>
    <cfRule type="expression" priority="1858" dxfId="0">
      <formula>AND(IF($Q77=3,1,IF($Q77=4,1,0)),IF($F77&lt;=85,1,0))</formula>
    </cfRule>
  </conditionalFormatting>
  <conditionalFormatting sqref="AV78">
    <cfRule type="expression" priority="1853" dxfId="23">
      <formula>AV78="X"</formula>
    </cfRule>
    <cfRule type="expression" priority="1854" dxfId="22">
      <formula>AV78="후보"</formula>
    </cfRule>
  </conditionalFormatting>
  <conditionalFormatting sqref="AC78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78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78">
    <cfRule type="expression" priority="1845" dxfId="3">
      <formula>AND(IF(OR($Q78=1,$Q78=2),1,0),IF($X78&lt;=20,1,0))</formula>
    </cfRule>
    <cfRule type="expression" priority="1846" dxfId="2">
      <formula>AND(IF($Q78=2,1,0),IF($X78&lt;30,1,0))</formula>
    </cfRule>
    <cfRule type="expression" priority="1847" dxfId="1">
      <formula>AND(IF($Q78=3,1,0),IF($X78&lt;30,1,0))</formula>
    </cfRule>
    <cfRule type="expression" priority="1848" dxfId="0">
      <formula>AND(IF($Q78=3,1,IF($Q78=4,1,0)),IF($F78&lt;=85,1,0))</formula>
    </cfRule>
  </conditionalFormatting>
  <conditionalFormatting sqref="X78">
    <cfRule type="expression" priority="1841" dxfId="3">
      <formula>AND(IF(OR($Q78=1,$Q78=2),1,0),IF($X78&lt;=20,1,0))</formula>
    </cfRule>
    <cfRule type="expression" priority="1842" dxfId="2">
      <formula>AND(IF($Q78=2,1,0),IF($X78&lt;30,1,0))</formula>
    </cfRule>
    <cfRule type="expression" priority="1843" dxfId="1">
      <formula>AND(IF($Q78=3,1,0),IF($X78&lt;30,1,0))</formula>
    </cfRule>
    <cfRule type="expression" priority="1844" dxfId="0">
      <formula>AND(IF($Q78=3,1,IF($Q78=4,1,0)),IF($F78&lt;=85,1,0))</formula>
    </cfRule>
  </conditionalFormatting>
  <conditionalFormatting sqref="AI78">
    <cfRule type="expression" priority="1837" dxfId="3">
      <formula>AND(IF(OR($Q78=1,$Q78=2),1,0),IF($X78&lt;=20,1,0))</formula>
    </cfRule>
    <cfRule type="expression" priority="1838" dxfId="2">
      <formula>AND(IF($Q78=2,1,0),IF($X78&lt;30,1,0))</formula>
    </cfRule>
    <cfRule type="expression" priority="1839" dxfId="1">
      <formula>AND(IF($Q78=3,1,0),IF($X78&lt;30,1,0))</formula>
    </cfRule>
    <cfRule type="expression" priority="1840" dxfId="0">
      <formula>AND(IF($Q78=3,1,IF($Q78=4,1,0)),IF($F78&lt;=85,1,0))</formula>
    </cfRule>
  </conditionalFormatting>
  <conditionalFormatting sqref="AV79">
    <cfRule type="expression" priority="1835" dxfId="23">
      <formula>AV79="X"</formula>
    </cfRule>
    <cfRule type="expression" priority="1836" dxfId="22">
      <formula>AV79="후보"</formula>
    </cfRule>
  </conditionalFormatting>
  <conditionalFormatting sqref="AC7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7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79">
    <cfRule type="expression" priority="1827" dxfId="3">
      <formula>AND(IF(OR($Q79=1,$Q79=2),1,0),IF($X79&lt;=20,1,0))</formula>
    </cfRule>
    <cfRule type="expression" priority="1828" dxfId="2">
      <formula>AND(IF($Q79=2,1,0),IF($X79&lt;30,1,0))</formula>
    </cfRule>
    <cfRule type="expression" priority="1829" dxfId="1">
      <formula>AND(IF($Q79=3,1,0),IF($X79&lt;30,1,0))</formula>
    </cfRule>
    <cfRule type="expression" priority="1830" dxfId="0">
      <formula>AND(IF($Q79=3,1,IF($Q79=4,1,0)),IF($F79&lt;=85,1,0))</formula>
    </cfRule>
  </conditionalFormatting>
  <conditionalFormatting sqref="X79">
    <cfRule type="expression" priority="1823" dxfId="3">
      <formula>AND(IF(OR($Q79=1,$Q79=2),1,0),IF($X79&lt;=20,1,0))</formula>
    </cfRule>
    <cfRule type="expression" priority="1824" dxfId="2">
      <formula>AND(IF($Q79=2,1,0),IF($X79&lt;30,1,0))</formula>
    </cfRule>
    <cfRule type="expression" priority="1825" dxfId="1">
      <formula>AND(IF($Q79=3,1,0),IF($X79&lt;30,1,0))</formula>
    </cfRule>
    <cfRule type="expression" priority="1826" dxfId="0">
      <formula>AND(IF($Q79=3,1,IF($Q79=4,1,0)),IF($F79&lt;=85,1,0))</formula>
    </cfRule>
  </conditionalFormatting>
  <conditionalFormatting sqref="AI79">
    <cfRule type="expression" priority="1819" dxfId="3">
      <formula>AND(IF(OR($Q79=1,$Q79=2),1,0),IF($X79&lt;=20,1,0))</formula>
    </cfRule>
    <cfRule type="expression" priority="1820" dxfId="2">
      <formula>AND(IF($Q79=2,1,0),IF($X79&lt;30,1,0))</formula>
    </cfRule>
    <cfRule type="expression" priority="1821" dxfId="1">
      <formula>AND(IF($Q79=3,1,0),IF($X79&lt;30,1,0))</formula>
    </cfRule>
    <cfRule type="expression" priority="1822" dxfId="0">
      <formula>AND(IF($Q79=3,1,IF($Q79=4,1,0)),IF($F79&lt;=85,1,0))</formula>
    </cfRule>
  </conditionalFormatting>
  <conditionalFormatting sqref="AV80">
    <cfRule type="expression" priority="1817" dxfId="23">
      <formula>AV80="X"</formula>
    </cfRule>
    <cfRule type="expression" priority="1818" dxfId="22">
      <formula>AV80="후보"</formula>
    </cfRule>
  </conditionalFormatting>
  <conditionalFormatting sqref="AC80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80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80">
    <cfRule type="expression" priority="1809" dxfId="3">
      <formula>AND(IF(OR($Q80=1,$Q80=2),1,0),IF($X80&lt;=20,1,0))</formula>
    </cfRule>
    <cfRule type="expression" priority="1810" dxfId="2">
      <formula>AND(IF($Q80=2,1,0),IF($X80&lt;30,1,0))</formula>
    </cfRule>
    <cfRule type="expression" priority="1811" dxfId="1">
      <formula>AND(IF($Q80=3,1,0),IF($X80&lt;30,1,0))</formula>
    </cfRule>
    <cfRule type="expression" priority="1812" dxfId="0">
      <formula>AND(IF($Q80=3,1,IF($Q80=4,1,0)),IF($F80&lt;=85,1,0))</formula>
    </cfRule>
  </conditionalFormatting>
  <conditionalFormatting sqref="X80">
    <cfRule type="expression" priority="1805" dxfId="3">
      <formula>AND(IF(OR($Q80=1,$Q80=2),1,0),IF($X80&lt;=20,1,0))</formula>
    </cfRule>
    <cfRule type="expression" priority="1806" dxfId="2">
      <formula>AND(IF($Q80=2,1,0),IF($X80&lt;30,1,0))</formula>
    </cfRule>
    <cfRule type="expression" priority="1807" dxfId="1">
      <formula>AND(IF($Q80=3,1,0),IF($X80&lt;30,1,0))</formula>
    </cfRule>
    <cfRule type="expression" priority="1808" dxfId="0">
      <formula>AND(IF($Q80=3,1,IF($Q80=4,1,0)),IF($F80&lt;=85,1,0))</formula>
    </cfRule>
  </conditionalFormatting>
  <conditionalFormatting sqref="AI80">
    <cfRule type="expression" priority="1801" dxfId="3">
      <formula>AND(IF(OR($Q80=1,$Q80=2),1,0),IF($X80&lt;=20,1,0))</formula>
    </cfRule>
    <cfRule type="expression" priority="1802" dxfId="2">
      <formula>AND(IF($Q80=2,1,0),IF($X80&lt;30,1,0))</formula>
    </cfRule>
    <cfRule type="expression" priority="1803" dxfId="1">
      <formula>AND(IF($Q80=3,1,0),IF($X80&lt;30,1,0))</formula>
    </cfRule>
    <cfRule type="expression" priority="1804" dxfId="0">
      <formula>AND(IF($Q80=3,1,IF($Q80=4,1,0)),IF($F80&lt;=85,1,0))</formula>
    </cfRule>
  </conditionalFormatting>
  <conditionalFormatting sqref="AV81">
    <cfRule type="expression" priority="1799" dxfId="23">
      <formula>AV81="X"</formula>
    </cfRule>
    <cfRule type="expression" priority="1800" dxfId="22">
      <formula>AV81="후보"</formula>
    </cfRule>
  </conditionalFormatting>
  <conditionalFormatting sqref="AC8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8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81">
    <cfRule type="expression" priority="1791" dxfId="3">
      <formula>AND(IF(OR($Q81=1,$Q81=2),1,0),IF($X81&lt;=20,1,0))</formula>
    </cfRule>
    <cfRule type="expression" priority="1792" dxfId="2">
      <formula>AND(IF($Q81=2,1,0),IF($X81&lt;30,1,0))</formula>
    </cfRule>
    <cfRule type="expression" priority="1793" dxfId="1">
      <formula>AND(IF($Q81=3,1,0),IF($X81&lt;30,1,0))</formula>
    </cfRule>
    <cfRule type="expression" priority="1794" dxfId="0">
      <formula>AND(IF($Q81=3,1,IF($Q81=4,1,0)),IF($F81&lt;=85,1,0))</formula>
    </cfRule>
  </conditionalFormatting>
  <conditionalFormatting sqref="X81">
    <cfRule type="expression" priority="1787" dxfId="3">
      <formula>AND(IF(OR($Q81=1,$Q81=2),1,0),IF($X81&lt;=20,1,0))</formula>
    </cfRule>
    <cfRule type="expression" priority="1788" dxfId="2">
      <formula>AND(IF($Q81=2,1,0),IF($X81&lt;30,1,0))</formula>
    </cfRule>
    <cfRule type="expression" priority="1789" dxfId="1">
      <formula>AND(IF($Q81=3,1,0),IF($X81&lt;30,1,0))</formula>
    </cfRule>
    <cfRule type="expression" priority="1790" dxfId="0">
      <formula>AND(IF($Q81=3,1,IF($Q81=4,1,0)),IF($F81&lt;=85,1,0))</formula>
    </cfRule>
  </conditionalFormatting>
  <conditionalFormatting sqref="AI81">
    <cfRule type="expression" priority="1783" dxfId="3">
      <formula>AND(IF(OR($Q81=1,$Q81=2),1,0),IF($X81&lt;=20,1,0))</formula>
    </cfRule>
    <cfRule type="expression" priority="1784" dxfId="2">
      <formula>AND(IF($Q81=2,1,0),IF($X81&lt;30,1,0))</formula>
    </cfRule>
    <cfRule type="expression" priority="1785" dxfId="1">
      <formula>AND(IF($Q81=3,1,0),IF($X81&lt;30,1,0))</formula>
    </cfRule>
    <cfRule type="expression" priority="1786" dxfId="0">
      <formula>AND(IF($Q81=3,1,IF($Q81=4,1,0)),IF($F81&lt;=85,1,0))</formula>
    </cfRule>
  </conditionalFormatting>
  <conditionalFormatting sqref="AV82">
    <cfRule type="expression" priority="1781" dxfId="23">
      <formula>AV82="X"</formula>
    </cfRule>
    <cfRule type="expression" priority="1782" dxfId="22">
      <formula>AV82="후보"</formula>
    </cfRule>
  </conditionalFormatting>
  <conditionalFormatting sqref="AC82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82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82">
    <cfRule type="expression" priority="1773" dxfId="3">
      <formula>AND(IF(OR($Q82=1,$Q82=2),1,0),IF($X82&lt;=20,1,0))</formula>
    </cfRule>
    <cfRule type="expression" priority="1774" dxfId="2">
      <formula>AND(IF($Q82=2,1,0),IF($X82&lt;30,1,0))</formula>
    </cfRule>
    <cfRule type="expression" priority="1775" dxfId="1">
      <formula>AND(IF($Q82=3,1,0),IF($X82&lt;30,1,0))</formula>
    </cfRule>
    <cfRule type="expression" priority="1776" dxfId="0">
      <formula>AND(IF($Q82=3,1,IF($Q82=4,1,0)),IF($F82&lt;=85,1,0))</formula>
    </cfRule>
  </conditionalFormatting>
  <conditionalFormatting sqref="X82">
    <cfRule type="expression" priority="1769" dxfId="3">
      <formula>AND(IF(OR($Q82=1,$Q82=2),1,0),IF($X82&lt;=20,1,0))</formula>
    </cfRule>
    <cfRule type="expression" priority="1770" dxfId="2">
      <formula>AND(IF($Q82=2,1,0),IF($X82&lt;30,1,0))</formula>
    </cfRule>
    <cfRule type="expression" priority="1771" dxfId="1">
      <formula>AND(IF($Q82=3,1,0),IF($X82&lt;30,1,0))</formula>
    </cfRule>
    <cfRule type="expression" priority="1772" dxfId="0">
      <formula>AND(IF($Q82=3,1,IF($Q82=4,1,0)),IF($F82&lt;=85,1,0))</formula>
    </cfRule>
  </conditionalFormatting>
  <conditionalFormatting sqref="AI82">
    <cfRule type="expression" priority="1765" dxfId="3">
      <formula>AND(IF(OR($Q82=1,$Q82=2),1,0),IF($X82&lt;=20,1,0))</formula>
    </cfRule>
    <cfRule type="expression" priority="1766" dxfId="2">
      <formula>AND(IF($Q82=2,1,0),IF($X82&lt;30,1,0))</formula>
    </cfRule>
    <cfRule type="expression" priority="1767" dxfId="1">
      <formula>AND(IF($Q82=3,1,0),IF($X82&lt;30,1,0))</formula>
    </cfRule>
    <cfRule type="expression" priority="1768" dxfId="0">
      <formula>AND(IF($Q82=3,1,IF($Q82=4,1,0)),IF($F82&lt;=85,1,0))</formula>
    </cfRule>
  </conditionalFormatting>
  <conditionalFormatting sqref="AV83">
    <cfRule type="expression" priority="1763" dxfId="23">
      <formula>AV83="X"</formula>
    </cfRule>
    <cfRule type="expression" priority="1764" dxfId="22">
      <formula>AV83="후보"</formula>
    </cfRule>
  </conditionalFormatting>
  <conditionalFormatting sqref="AC8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8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83">
    <cfRule type="expression" priority="1755" dxfId="3">
      <formula>AND(IF(OR($Q83=1,$Q83=2),1,0),IF($X83&lt;=20,1,0))</formula>
    </cfRule>
    <cfRule type="expression" priority="1756" dxfId="2">
      <formula>AND(IF($Q83=2,1,0),IF($X83&lt;30,1,0))</formula>
    </cfRule>
    <cfRule type="expression" priority="1757" dxfId="1">
      <formula>AND(IF($Q83=3,1,0),IF($X83&lt;30,1,0))</formula>
    </cfRule>
    <cfRule type="expression" priority="1758" dxfId="0">
      <formula>AND(IF($Q83=3,1,IF($Q83=4,1,0)),IF($F83&lt;=85,1,0))</formula>
    </cfRule>
  </conditionalFormatting>
  <conditionalFormatting sqref="X83">
    <cfRule type="expression" priority="1751" dxfId="3">
      <formula>AND(IF(OR($Q83=1,$Q83=2),1,0),IF($X83&lt;=20,1,0))</formula>
    </cfRule>
    <cfRule type="expression" priority="1752" dxfId="2">
      <formula>AND(IF($Q83=2,1,0),IF($X83&lt;30,1,0))</formula>
    </cfRule>
    <cfRule type="expression" priority="1753" dxfId="1">
      <formula>AND(IF($Q83=3,1,0),IF($X83&lt;30,1,0))</formula>
    </cfRule>
    <cfRule type="expression" priority="1754" dxfId="0">
      <formula>AND(IF($Q83=3,1,IF($Q83=4,1,0)),IF($F83&lt;=85,1,0))</formula>
    </cfRule>
  </conditionalFormatting>
  <conditionalFormatting sqref="AI83">
    <cfRule type="expression" priority="1747" dxfId="3">
      <formula>AND(IF(OR($Q83=1,$Q83=2),1,0),IF($X83&lt;=20,1,0))</formula>
    </cfRule>
    <cfRule type="expression" priority="1748" dxfId="2">
      <formula>AND(IF($Q83=2,1,0),IF($X83&lt;30,1,0))</formula>
    </cfRule>
    <cfRule type="expression" priority="1749" dxfId="1">
      <formula>AND(IF($Q83=3,1,0),IF($X83&lt;30,1,0))</formula>
    </cfRule>
    <cfRule type="expression" priority="1750" dxfId="0">
      <formula>AND(IF($Q83=3,1,IF($Q83=4,1,0)),IF($F83&lt;=85,1,0))</formula>
    </cfRule>
  </conditionalFormatting>
  <conditionalFormatting sqref="AV84">
    <cfRule type="expression" priority="1745" dxfId="23">
      <formula>AV84="X"</formula>
    </cfRule>
    <cfRule type="expression" priority="1746" dxfId="22">
      <formula>AV84="후보"</formula>
    </cfRule>
  </conditionalFormatting>
  <conditionalFormatting sqref="AC84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84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84">
    <cfRule type="expression" priority="1737" dxfId="3">
      <formula>AND(IF(OR($Q84=1,$Q84=2),1,0),IF($X84&lt;=20,1,0))</formula>
    </cfRule>
    <cfRule type="expression" priority="1738" dxfId="2">
      <formula>AND(IF($Q84=2,1,0),IF($X84&lt;30,1,0))</formula>
    </cfRule>
    <cfRule type="expression" priority="1739" dxfId="1">
      <formula>AND(IF($Q84=3,1,0),IF($X84&lt;30,1,0))</formula>
    </cfRule>
    <cfRule type="expression" priority="1740" dxfId="0">
      <formula>AND(IF($Q84=3,1,IF($Q84=4,1,0)),IF($F84&lt;=85,1,0))</formula>
    </cfRule>
  </conditionalFormatting>
  <conditionalFormatting sqref="X84">
    <cfRule type="expression" priority="1733" dxfId="3">
      <formula>AND(IF(OR($Q84=1,$Q84=2),1,0),IF($X84&lt;=20,1,0))</formula>
    </cfRule>
    <cfRule type="expression" priority="1734" dxfId="2">
      <formula>AND(IF($Q84=2,1,0),IF($X84&lt;30,1,0))</formula>
    </cfRule>
    <cfRule type="expression" priority="1735" dxfId="1">
      <formula>AND(IF($Q84=3,1,0),IF($X84&lt;30,1,0))</formula>
    </cfRule>
    <cfRule type="expression" priority="1736" dxfId="0">
      <formula>AND(IF($Q84=3,1,IF($Q84=4,1,0)),IF($F84&lt;=85,1,0))</formula>
    </cfRule>
  </conditionalFormatting>
  <conditionalFormatting sqref="AI84">
    <cfRule type="expression" priority="1729" dxfId="3">
      <formula>AND(IF(OR($Q84=1,$Q84=2),1,0),IF($X84&lt;=20,1,0))</formula>
    </cfRule>
    <cfRule type="expression" priority="1730" dxfId="2">
      <formula>AND(IF($Q84=2,1,0),IF($X84&lt;30,1,0))</formula>
    </cfRule>
    <cfRule type="expression" priority="1731" dxfId="1">
      <formula>AND(IF($Q84=3,1,0),IF($X84&lt;30,1,0))</formula>
    </cfRule>
    <cfRule type="expression" priority="1732" dxfId="0">
      <formula>AND(IF($Q84=3,1,IF($Q84=4,1,0)),IF($F84&lt;=85,1,0))</formula>
    </cfRule>
  </conditionalFormatting>
  <conditionalFormatting sqref="AV85">
    <cfRule type="expression" priority="1727" dxfId="23">
      <formula>AV85="X"</formula>
    </cfRule>
    <cfRule type="expression" priority="1728" dxfId="22">
      <formula>AV85="후보"</formula>
    </cfRule>
  </conditionalFormatting>
  <conditionalFormatting sqref="AC85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8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85">
    <cfRule type="expression" priority="1719" dxfId="3">
      <formula>AND(IF(OR($Q85=1,$Q85=2),1,0),IF($X85&lt;=20,1,0))</formula>
    </cfRule>
    <cfRule type="expression" priority="1720" dxfId="2">
      <formula>AND(IF($Q85=2,1,0),IF($X85&lt;30,1,0))</formula>
    </cfRule>
    <cfRule type="expression" priority="1721" dxfId="1">
      <formula>AND(IF($Q85=3,1,0),IF($X85&lt;30,1,0))</formula>
    </cfRule>
    <cfRule type="expression" priority="1722" dxfId="0">
      <formula>AND(IF($Q85=3,1,IF($Q85=4,1,0)),IF($F85&lt;=85,1,0))</formula>
    </cfRule>
  </conditionalFormatting>
  <conditionalFormatting sqref="X85">
    <cfRule type="expression" priority="1715" dxfId="3">
      <formula>AND(IF(OR($Q85=1,$Q85=2),1,0),IF($X85&lt;=20,1,0))</formula>
    </cfRule>
    <cfRule type="expression" priority="1716" dxfId="2">
      <formula>AND(IF($Q85=2,1,0),IF($X85&lt;30,1,0))</formula>
    </cfRule>
    <cfRule type="expression" priority="1717" dxfId="1">
      <formula>AND(IF($Q85=3,1,0),IF($X85&lt;30,1,0))</formula>
    </cfRule>
    <cfRule type="expression" priority="1718" dxfId="0">
      <formula>AND(IF($Q85=3,1,IF($Q85=4,1,0)),IF($F85&lt;=85,1,0))</formula>
    </cfRule>
  </conditionalFormatting>
  <conditionalFormatting sqref="AI85">
    <cfRule type="expression" priority="1711" dxfId="3">
      <formula>AND(IF(OR($Q85=1,$Q85=2),1,0),IF($X85&lt;=20,1,0))</formula>
    </cfRule>
    <cfRule type="expression" priority="1712" dxfId="2">
      <formula>AND(IF($Q85=2,1,0),IF($X85&lt;30,1,0))</formula>
    </cfRule>
    <cfRule type="expression" priority="1713" dxfId="1">
      <formula>AND(IF($Q85=3,1,0),IF($X85&lt;30,1,0))</formula>
    </cfRule>
    <cfRule type="expression" priority="1714" dxfId="0">
      <formula>AND(IF($Q85=3,1,IF($Q85=4,1,0)),IF($F85&lt;=85,1,0))</formula>
    </cfRule>
  </conditionalFormatting>
  <conditionalFormatting sqref="AV86">
    <cfRule type="expression" priority="1709" dxfId="23">
      <formula>AV86="X"</formula>
    </cfRule>
    <cfRule type="expression" priority="1710" dxfId="22">
      <formula>AV86="후보"</formula>
    </cfRule>
  </conditionalFormatting>
  <conditionalFormatting sqref="AC86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8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86">
    <cfRule type="expression" priority="1701" dxfId="3">
      <formula>AND(IF(OR($Q86=1,$Q86=2),1,0),IF($X86&lt;=20,1,0))</formula>
    </cfRule>
    <cfRule type="expression" priority="1702" dxfId="2">
      <formula>AND(IF($Q86=2,1,0),IF($X86&lt;30,1,0))</formula>
    </cfRule>
    <cfRule type="expression" priority="1703" dxfId="1">
      <formula>AND(IF($Q86=3,1,0),IF($X86&lt;30,1,0))</formula>
    </cfRule>
    <cfRule type="expression" priority="1704" dxfId="0">
      <formula>AND(IF($Q86=3,1,IF($Q86=4,1,0)),IF($F86&lt;=85,1,0))</formula>
    </cfRule>
  </conditionalFormatting>
  <conditionalFormatting sqref="X86">
    <cfRule type="expression" priority="1697" dxfId="3">
      <formula>AND(IF(OR($Q86=1,$Q86=2),1,0),IF($X86&lt;=20,1,0))</formula>
    </cfRule>
    <cfRule type="expression" priority="1698" dxfId="2">
      <formula>AND(IF($Q86=2,1,0),IF($X86&lt;30,1,0))</formula>
    </cfRule>
    <cfRule type="expression" priority="1699" dxfId="1">
      <formula>AND(IF($Q86=3,1,0),IF($X86&lt;30,1,0))</formula>
    </cfRule>
    <cfRule type="expression" priority="1700" dxfId="0">
      <formula>AND(IF($Q86=3,1,IF($Q86=4,1,0)),IF($F86&lt;=85,1,0))</formula>
    </cfRule>
  </conditionalFormatting>
  <conditionalFormatting sqref="AI86">
    <cfRule type="expression" priority="1693" dxfId="3">
      <formula>AND(IF(OR($Q86=1,$Q86=2),1,0),IF($X86&lt;=20,1,0))</formula>
    </cfRule>
    <cfRule type="expression" priority="1694" dxfId="2">
      <formula>AND(IF($Q86=2,1,0),IF($X86&lt;30,1,0))</formula>
    </cfRule>
    <cfRule type="expression" priority="1695" dxfId="1">
      <formula>AND(IF($Q86=3,1,0),IF($X86&lt;30,1,0))</formula>
    </cfRule>
    <cfRule type="expression" priority="1696" dxfId="0">
      <formula>AND(IF($Q86=3,1,IF($Q86=4,1,0)),IF($F86&lt;=85,1,0))</formula>
    </cfRule>
  </conditionalFormatting>
  <conditionalFormatting sqref="AV87">
    <cfRule type="expression" priority="1691" dxfId="23">
      <formula>AV87="X"</formula>
    </cfRule>
    <cfRule type="expression" priority="1692" dxfId="22">
      <formula>AV87="후보"</formula>
    </cfRule>
  </conditionalFormatting>
  <conditionalFormatting sqref="AC87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8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87">
    <cfRule type="expression" priority="1683" dxfId="3">
      <formula>AND(IF(OR($Q87=1,$Q87=2),1,0),IF($X87&lt;=20,1,0))</formula>
    </cfRule>
    <cfRule type="expression" priority="1684" dxfId="2">
      <formula>AND(IF($Q87=2,1,0),IF($X87&lt;30,1,0))</formula>
    </cfRule>
    <cfRule type="expression" priority="1685" dxfId="1">
      <formula>AND(IF($Q87=3,1,0),IF($X87&lt;30,1,0))</formula>
    </cfRule>
    <cfRule type="expression" priority="1686" dxfId="0">
      <formula>AND(IF($Q87=3,1,IF($Q87=4,1,0)),IF($F87&lt;=85,1,0))</formula>
    </cfRule>
  </conditionalFormatting>
  <conditionalFormatting sqref="X87">
    <cfRule type="expression" priority="1679" dxfId="3">
      <formula>AND(IF(OR($Q87=1,$Q87=2),1,0),IF($X87&lt;=20,1,0))</formula>
    </cfRule>
    <cfRule type="expression" priority="1680" dxfId="2">
      <formula>AND(IF($Q87=2,1,0),IF($X87&lt;30,1,0))</formula>
    </cfRule>
    <cfRule type="expression" priority="1681" dxfId="1">
      <formula>AND(IF($Q87=3,1,0),IF($X87&lt;30,1,0))</formula>
    </cfRule>
    <cfRule type="expression" priority="1682" dxfId="0">
      <formula>AND(IF($Q87=3,1,IF($Q87=4,1,0)),IF($F87&lt;=85,1,0))</formula>
    </cfRule>
  </conditionalFormatting>
  <conditionalFormatting sqref="AI87">
    <cfRule type="expression" priority="1675" dxfId="3">
      <formula>AND(IF(OR($Q87=1,$Q87=2),1,0),IF($X87&lt;=20,1,0))</formula>
    </cfRule>
    <cfRule type="expression" priority="1676" dxfId="2">
      <formula>AND(IF($Q87=2,1,0),IF($X87&lt;30,1,0))</formula>
    </cfRule>
    <cfRule type="expression" priority="1677" dxfId="1">
      <formula>AND(IF($Q87=3,1,0),IF($X87&lt;30,1,0))</formula>
    </cfRule>
    <cfRule type="expression" priority="1678" dxfId="0">
      <formula>AND(IF($Q87=3,1,IF($Q87=4,1,0)),IF($F87&lt;=85,1,0))</formula>
    </cfRule>
  </conditionalFormatting>
  <conditionalFormatting sqref="AV88">
    <cfRule type="expression" priority="1673" dxfId="23">
      <formula>AV88="X"</formula>
    </cfRule>
    <cfRule type="expression" priority="1674" dxfId="22">
      <formula>AV88="후보"</formula>
    </cfRule>
  </conditionalFormatting>
  <conditionalFormatting sqref="AC8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8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88">
    <cfRule type="expression" priority="1665" dxfId="3">
      <formula>AND(IF(OR($Q88=1,$Q88=2),1,0),IF($X88&lt;=20,1,0))</formula>
    </cfRule>
    <cfRule type="expression" priority="1666" dxfId="2">
      <formula>AND(IF($Q88=2,1,0),IF($X88&lt;30,1,0))</formula>
    </cfRule>
    <cfRule type="expression" priority="1667" dxfId="1">
      <formula>AND(IF($Q88=3,1,0),IF($X88&lt;30,1,0))</formula>
    </cfRule>
    <cfRule type="expression" priority="1668" dxfId="0">
      <formula>AND(IF($Q88=3,1,IF($Q88=4,1,0)),IF($F88&lt;=85,1,0))</formula>
    </cfRule>
  </conditionalFormatting>
  <conditionalFormatting sqref="X88">
    <cfRule type="expression" priority="1661" dxfId="3">
      <formula>AND(IF(OR($Q88=1,$Q88=2),1,0),IF($X88&lt;=20,1,0))</formula>
    </cfRule>
    <cfRule type="expression" priority="1662" dxfId="2">
      <formula>AND(IF($Q88=2,1,0),IF($X88&lt;30,1,0))</formula>
    </cfRule>
    <cfRule type="expression" priority="1663" dxfId="1">
      <formula>AND(IF($Q88=3,1,0),IF($X88&lt;30,1,0))</formula>
    </cfRule>
    <cfRule type="expression" priority="1664" dxfId="0">
      <formula>AND(IF($Q88=3,1,IF($Q88=4,1,0)),IF($F88&lt;=85,1,0))</formula>
    </cfRule>
  </conditionalFormatting>
  <conditionalFormatting sqref="AI88">
    <cfRule type="expression" priority="1657" dxfId="3">
      <formula>AND(IF(OR($Q88=1,$Q88=2),1,0),IF($X88&lt;=20,1,0))</formula>
    </cfRule>
    <cfRule type="expression" priority="1658" dxfId="2">
      <formula>AND(IF($Q88=2,1,0),IF($X88&lt;30,1,0))</formula>
    </cfRule>
    <cfRule type="expression" priority="1659" dxfId="1">
      <formula>AND(IF($Q88=3,1,0),IF($X88&lt;30,1,0))</formula>
    </cfRule>
    <cfRule type="expression" priority="1660" dxfId="0">
      <formula>AND(IF($Q88=3,1,IF($Q88=4,1,0)),IF($F88&lt;=85,1,0))</formula>
    </cfRule>
  </conditionalFormatting>
  <conditionalFormatting sqref="AV89">
    <cfRule type="expression" priority="1655" dxfId="23">
      <formula>AV89="X"</formula>
    </cfRule>
    <cfRule type="expression" priority="1656" dxfId="22">
      <formula>AV89="후보"</formula>
    </cfRule>
  </conditionalFormatting>
  <conditionalFormatting sqref="AC8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8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89">
    <cfRule type="expression" priority="1647" dxfId="3">
      <formula>AND(IF(OR($Q89=1,$Q89=2),1,0),IF($X89&lt;=20,1,0))</formula>
    </cfRule>
    <cfRule type="expression" priority="1648" dxfId="2">
      <formula>AND(IF($Q89=2,1,0),IF($X89&lt;30,1,0))</formula>
    </cfRule>
    <cfRule type="expression" priority="1649" dxfId="1">
      <formula>AND(IF($Q89=3,1,0),IF($X89&lt;30,1,0))</formula>
    </cfRule>
    <cfRule type="expression" priority="1650" dxfId="0">
      <formula>AND(IF($Q89=3,1,IF($Q89=4,1,0)),IF($F89&lt;=85,1,0))</formula>
    </cfRule>
  </conditionalFormatting>
  <conditionalFormatting sqref="X89">
    <cfRule type="expression" priority="1643" dxfId="3">
      <formula>AND(IF(OR($Q89=1,$Q89=2),1,0),IF($X89&lt;=20,1,0))</formula>
    </cfRule>
    <cfRule type="expression" priority="1644" dxfId="2">
      <formula>AND(IF($Q89=2,1,0),IF($X89&lt;30,1,0))</formula>
    </cfRule>
    <cfRule type="expression" priority="1645" dxfId="1">
      <formula>AND(IF($Q89=3,1,0),IF($X89&lt;30,1,0))</formula>
    </cfRule>
    <cfRule type="expression" priority="1646" dxfId="0">
      <formula>AND(IF($Q89=3,1,IF($Q89=4,1,0)),IF($F89&lt;=85,1,0))</formula>
    </cfRule>
  </conditionalFormatting>
  <conditionalFormatting sqref="AI89">
    <cfRule type="expression" priority="1639" dxfId="3">
      <formula>AND(IF(OR($Q89=1,$Q89=2),1,0),IF($X89&lt;=20,1,0))</formula>
    </cfRule>
    <cfRule type="expression" priority="1640" dxfId="2">
      <formula>AND(IF($Q89=2,1,0),IF($X89&lt;30,1,0))</formula>
    </cfRule>
    <cfRule type="expression" priority="1641" dxfId="1">
      <formula>AND(IF($Q89=3,1,0),IF($X89&lt;30,1,0))</formula>
    </cfRule>
    <cfRule type="expression" priority="1642" dxfId="0">
      <formula>AND(IF($Q89=3,1,IF($Q89=4,1,0)),IF($F89&lt;=85,1,0))</formula>
    </cfRule>
  </conditionalFormatting>
  <conditionalFormatting sqref="AV90">
    <cfRule type="expression" priority="1637" dxfId="23">
      <formula>AV90="X"</formula>
    </cfRule>
    <cfRule type="expression" priority="1638" dxfId="22">
      <formula>AV90="후보"</formula>
    </cfRule>
  </conditionalFormatting>
  <conditionalFormatting sqref="AC90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9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90">
    <cfRule type="expression" priority="1629" dxfId="3">
      <formula>AND(IF(OR($Q90=1,$Q90=2),1,0),IF($X90&lt;=20,1,0))</formula>
    </cfRule>
    <cfRule type="expression" priority="1630" dxfId="2">
      <formula>AND(IF($Q90=2,1,0),IF($X90&lt;30,1,0))</formula>
    </cfRule>
    <cfRule type="expression" priority="1631" dxfId="1">
      <formula>AND(IF($Q90=3,1,0),IF($X90&lt;30,1,0))</formula>
    </cfRule>
    <cfRule type="expression" priority="1632" dxfId="0">
      <formula>AND(IF($Q90=3,1,IF($Q90=4,1,0)),IF($F90&lt;=85,1,0))</formula>
    </cfRule>
  </conditionalFormatting>
  <conditionalFormatting sqref="X90">
    <cfRule type="expression" priority="1625" dxfId="3">
      <formula>AND(IF(OR($Q90=1,$Q90=2),1,0),IF($X90&lt;=20,1,0))</formula>
    </cfRule>
    <cfRule type="expression" priority="1626" dxfId="2">
      <formula>AND(IF($Q90=2,1,0),IF($X90&lt;30,1,0))</formula>
    </cfRule>
    <cfRule type="expression" priority="1627" dxfId="1">
      <formula>AND(IF($Q90=3,1,0),IF($X90&lt;30,1,0))</formula>
    </cfRule>
    <cfRule type="expression" priority="1628" dxfId="0">
      <formula>AND(IF($Q90=3,1,IF($Q90=4,1,0)),IF($F90&lt;=85,1,0))</formula>
    </cfRule>
  </conditionalFormatting>
  <conditionalFormatting sqref="AI90">
    <cfRule type="expression" priority="1621" dxfId="3">
      <formula>AND(IF(OR($Q90=1,$Q90=2),1,0),IF($X90&lt;=20,1,0))</formula>
    </cfRule>
    <cfRule type="expression" priority="1622" dxfId="2">
      <formula>AND(IF($Q90=2,1,0),IF($X90&lt;30,1,0))</formula>
    </cfRule>
    <cfRule type="expression" priority="1623" dxfId="1">
      <formula>AND(IF($Q90=3,1,0),IF($X90&lt;30,1,0))</formula>
    </cfRule>
    <cfRule type="expression" priority="1624" dxfId="0">
      <formula>AND(IF($Q90=3,1,IF($Q90=4,1,0)),IF($F90&lt;=85,1,0))</formula>
    </cfRule>
  </conditionalFormatting>
  <conditionalFormatting sqref="AV91">
    <cfRule type="expression" priority="1619" dxfId="23">
      <formula>AV91="X"</formula>
    </cfRule>
    <cfRule type="expression" priority="1620" dxfId="22">
      <formula>AV91="후보"</formula>
    </cfRule>
  </conditionalFormatting>
  <conditionalFormatting sqref="AC9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9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91">
    <cfRule type="expression" priority="1611" dxfId="3">
      <formula>AND(IF(OR($Q91=1,$Q91=2),1,0),IF($X91&lt;=20,1,0))</formula>
    </cfRule>
    <cfRule type="expression" priority="1612" dxfId="2">
      <formula>AND(IF($Q91=2,1,0),IF($X91&lt;30,1,0))</formula>
    </cfRule>
    <cfRule type="expression" priority="1613" dxfId="1">
      <formula>AND(IF($Q91=3,1,0),IF($X91&lt;30,1,0))</formula>
    </cfRule>
    <cfRule type="expression" priority="1614" dxfId="0">
      <formula>AND(IF($Q91=3,1,IF($Q91=4,1,0)),IF($F91&lt;=85,1,0))</formula>
    </cfRule>
  </conditionalFormatting>
  <conditionalFormatting sqref="X91">
    <cfRule type="expression" priority="1607" dxfId="3">
      <formula>AND(IF(OR($Q91=1,$Q91=2),1,0),IF($X91&lt;=20,1,0))</formula>
    </cfRule>
    <cfRule type="expression" priority="1608" dxfId="2">
      <formula>AND(IF($Q91=2,1,0),IF($X91&lt;30,1,0))</formula>
    </cfRule>
    <cfRule type="expression" priority="1609" dxfId="1">
      <formula>AND(IF($Q91=3,1,0),IF($X91&lt;30,1,0))</formula>
    </cfRule>
    <cfRule type="expression" priority="1610" dxfId="0">
      <formula>AND(IF($Q91=3,1,IF($Q91=4,1,0)),IF($F91&lt;=85,1,0))</formula>
    </cfRule>
  </conditionalFormatting>
  <conditionalFormatting sqref="AI91">
    <cfRule type="expression" priority="1603" dxfId="3">
      <formula>AND(IF(OR($Q91=1,$Q91=2),1,0),IF($X91&lt;=20,1,0))</formula>
    </cfRule>
    <cfRule type="expression" priority="1604" dxfId="2">
      <formula>AND(IF($Q91=2,1,0),IF($X91&lt;30,1,0))</formula>
    </cfRule>
    <cfRule type="expression" priority="1605" dxfId="1">
      <formula>AND(IF($Q91=3,1,0),IF($X91&lt;30,1,0))</formula>
    </cfRule>
    <cfRule type="expression" priority="1606" dxfId="0">
      <formula>AND(IF($Q91=3,1,IF($Q91=4,1,0)),IF($F91&lt;=85,1,0))</formula>
    </cfRule>
  </conditionalFormatting>
  <conditionalFormatting sqref="AV92">
    <cfRule type="expression" priority="1601" dxfId="23">
      <formula>AV92="X"</formula>
    </cfRule>
    <cfRule type="expression" priority="1602" dxfId="22">
      <formula>AV92="후보"</formula>
    </cfRule>
  </conditionalFormatting>
  <conditionalFormatting sqref="AC9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9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92">
    <cfRule type="expression" priority="1593" dxfId="3">
      <formula>AND(IF(OR($Q92=1,$Q92=2),1,0),IF($X92&lt;=20,1,0))</formula>
    </cfRule>
    <cfRule type="expression" priority="1594" dxfId="2">
      <formula>AND(IF($Q92=2,1,0),IF($X92&lt;30,1,0))</formula>
    </cfRule>
    <cfRule type="expression" priority="1595" dxfId="1">
      <formula>AND(IF($Q92=3,1,0),IF($X92&lt;30,1,0))</formula>
    </cfRule>
    <cfRule type="expression" priority="1596" dxfId="0">
      <formula>AND(IF($Q92=3,1,IF($Q92=4,1,0)),IF($F92&lt;=85,1,0))</formula>
    </cfRule>
  </conditionalFormatting>
  <conditionalFormatting sqref="X92">
    <cfRule type="expression" priority="1589" dxfId="3">
      <formula>AND(IF(OR($Q92=1,$Q92=2),1,0),IF($X92&lt;=20,1,0))</formula>
    </cfRule>
    <cfRule type="expression" priority="1590" dxfId="2">
      <formula>AND(IF($Q92=2,1,0),IF($X92&lt;30,1,0))</formula>
    </cfRule>
    <cfRule type="expression" priority="1591" dxfId="1">
      <formula>AND(IF($Q92=3,1,0),IF($X92&lt;30,1,0))</formula>
    </cfRule>
    <cfRule type="expression" priority="1592" dxfId="0">
      <formula>AND(IF($Q92=3,1,IF($Q92=4,1,0)),IF($F92&lt;=85,1,0))</formula>
    </cfRule>
  </conditionalFormatting>
  <conditionalFormatting sqref="AI92">
    <cfRule type="expression" priority="1585" dxfId="3">
      <formula>AND(IF(OR($Q92=1,$Q92=2),1,0),IF($X92&lt;=20,1,0))</formula>
    </cfRule>
    <cfRule type="expression" priority="1586" dxfId="2">
      <formula>AND(IF($Q92=2,1,0),IF($X92&lt;30,1,0))</formula>
    </cfRule>
    <cfRule type="expression" priority="1587" dxfId="1">
      <formula>AND(IF($Q92=3,1,0),IF($X92&lt;30,1,0))</formula>
    </cfRule>
    <cfRule type="expression" priority="1588" dxfId="0">
      <formula>AND(IF($Q92=3,1,IF($Q92=4,1,0)),IF($F92&lt;=85,1,0))</formula>
    </cfRule>
  </conditionalFormatting>
  <conditionalFormatting sqref="AV93">
    <cfRule type="expression" priority="1583" dxfId="23">
      <formula>AV93="X"</formula>
    </cfRule>
    <cfRule type="expression" priority="1584" dxfId="22">
      <formula>AV93="후보"</formula>
    </cfRule>
  </conditionalFormatting>
  <conditionalFormatting sqref="AC93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9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93">
    <cfRule type="expression" priority="1575" dxfId="3">
      <formula>AND(IF(OR($Q93=1,$Q93=2),1,0),IF($X93&lt;=20,1,0))</formula>
    </cfRule>
    <cfRule type="expression" priority="1576" dxfId="2">
      <formula>AND(IF($Q93=2,1,0),IF($X93&lt;30,1,0))</formula>
    </cfRule>
    <cfRule type="expression" priority="1577" dxfId="1">
      <formula>AND(IF($Q93=3,1,0),IF($X93&lt;30,1,0))</formula>
    </cfRule>
    <cfRule type="expression" priority="1578" dxfId="0">
      <formula>AND(IF($Q93=3,1,IF($Q93=4,1,0)),IF($F93&lt;=85,1,0))</formula>
    </cfRule>
  </conditionalFormatting>
  <conditionalFormatting sqref="X93">
    <cfRule type="expression" priority="1571" dxfId="3">
      <formula>AND(IF(OR($Q93=1,$Q93=2),1,0),IF($X93&lt;=20,1,0))</formula>
    </cfRule>
    <cfRule type="expression" priority="1572" dxfId="2">
      <formula>AND(IF($Q93=2,1,0),IF($X93&lt;30,1,0))</formula>
    </cfRule>
    <cfRule type="expression" priority="1573" dxfId="1">
      <formula>AND(IF($Q93=3,1,0),IF($X93&lt;30,1,0))</formula>
    </cfRule>
    <cfRule type="expression" priority="1574" dxfId="0">
      <formula>AND(IF($Q93=3,1,IF($Q93=4,1,0)),IF($F93&lt;=85,1,0))</formula>
    </cfRule>
  </conditionalFormatting>
  <conditionalFormatting sqref="AI93">
    <cfRule type="expression" priority="1567" dxfId="3">
      <formula>AND(IF(OR($Q93=1,$Q93=2),1,0),IF($X93&lt;=20,1,0))</formula>
    </cfRule>
    <cfRule type="expression" priority="1568" dxfId="2">
      <formula>AND(IF($Q93=2,1,0),IF($X93&lt;30,1,0))</formula>
    </cfRule>
    <cfRule type="expression" priority="1569" dxfId="1">
      <formula>AND(IF($Q93=3,1,0),IF($X93&lt;30,1,0))</formula>
    </cfRule>
    <cfRule type="expression" priority="1570" dxfId="0">
      <formula>AND(IF($Q93=3,1,IF($Q93=4,1,0)),IF($F93&lt;=85,1,0))</formula>
    </cfRule>
  </conditionalFormatting>
  <conditionalFormatting sqref="AV94">
    <cfRule type="expression" priority="1565" dxfId="23">
      <formula>AV94="X"</formula>
    </cfRule>
    <cfRule type="expression" priority="1566" dxfId="22">
      <formula>AV94="후보"</formula>
    </cfRule>
  </conditionalFormatting>
  <conditionalFormatting sqref="AC9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9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94">
    <cfRule type="expression" priority="1557" dxfId="3">
      <formula>AND(IF(OR($Q94=1,$Q94=2),1,0),IF($X94&lt;=20,1,0))</formula>
    </cfRule>
    <cfRule type="expression" priority="1558" dxfId="2">
      <formula>AND(IF($Q94=2,1,0),IF($X94&lt;30,1,0))</formula>
    </cfRule>
    <cfRule type="expression" priority="1559" dxfId="1">
      <formula>AND(IF($Q94=3,1,0),IF($X94&lt;30,1,0))</formula>
    </cfRule>
    <cfRule type="expression" priority="1560" dxfId="0">
      <formula>AND(IF($Q94=3,1,IF($Q94=4,1,0)),IF($F94&lt;=85,1,0))</formula>
    </cfRule>
  </conditionalFormatting>
  <conditionalFormatting sqref="X94">
    <cfRule type="expression" priority="1553" dxfId="3">
      <formula>AND(IF(OR($Q94=1,$Q94=2),1,0),IF($X94&lt;=20,1,0))</formula>
    </cfRule>
    <cfRule type="expression" priority="1554" dxfId="2">
      <formula>AND(IF($Q94=2,1,0),IF($X94&lt;30,1,0))</formula>
    </cfRule>
    <cfRule type="expression" priority="1555" dxfId="1">
      <formula>AND(IF($Q94=3,1,0),IF($X94&lt;30,1,0))</formula>
    </cfRule>
    <cfRule type="expression" priority="1556" dxfId="0">
      <formula>AND(IF($Q94=3,1,IF($Q94=4,1,0)),IF($F94&lt;=85,1,0))</formula>
    </cfRule>
  </conditionalFormatting>
  <conditionalFormatting sqref="AI94">
    <cfRule type="expression" priority="1549" dxfId="3">
      <formula>AND(IF(OR($Q94=1,$Q94=2),1,0),IF($X94&lt;=20,1,0))</formula>
    </cfRule>
    <cfRule type="expression" priority="1550" dxfId="2">
      <formula>AND(IF($Q94=2,1,0),IF($X94&lt;30,1,0))</formula>
    </cfRule>
    <cfRule type="expression" priority="1551" dxfId="1">
      <formula>AND(IF($Q94=3,1,0),IF($X94&lt;30,1,0))</formula>
    </cfRule>
    <cfRule type="expression" priority="1552" dxfId="0">
      <formula>AND(IF($Q94=3,1,IF($Q94=4,1,0)),IF($F94&lt;=85,1,0))</formula>
    </cfRule>
  </conditionalFormatting>
  <conditionalFormatting sqref="AV95">
    <cfRule type="expression" priority="1547" dxfId="23">
      <formula>AV95="X"</formula>
    </cfRule>
    <cfRule type="expression" priority="1548" dxfId="22">
      <formula>AV95="후보"</formula>
    </cfRule>
  </conditionalFormatting>
  <conditionalFormatting sqref="AC9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95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95">
    <cfRule type="expression" priority="1539" dxfId="3">
      <formula>AND(IF(OR($Q95=1,$Q95=2),1,0),IF($X95&lt;=20,1,0))</formula>
    </cfRule>
    <cfRule type="expression" priority="1540" dxfId="2">
      <formula>AND(IF($Q95=2,1,0),IF($X95&lt;30,1,0))</formula>
    </cfRule>
    <cfRule type="expression" priority="1541" dxfId="1">
      <formula>AND(IF($Q95=3,1,0),IF($X95&lt;30,1,0))</formula>
    </cfRule>
    <cfRule type="expression" priority="1542" dxfId="0">
      <formula>AND(IF($Q95=3,1,IF($Q95=4,1,0)),IF($F95&lt;=85,1,0))</formula>
    </cfRule>
  </conditionalFormatting>
  <conditionalFormatting sqref="X95">
    <cfRule type="expression" priority="1535" dxfId="3">
      <formula>AND(IF(OR($Q95=1,$Q95=2),1,0),IF($X95&lt;=20,1,0))</formula>
    </cfRule>
    <cfRule type="expression" priority="1536" dxfId="2">
      <formula>AND(IF($Q95=2,1,0),IF($X95&lt;30,1,0))</formula>
    </cfRule>
    <cfRule type="expression" priority="1537" dxfId="1">
      <formula>AND(IF($Q95=3,1,0),IF($X95&lt;30,1,0))</formula>
    </cfRule>
    <cfRule type="expression" priority="1538" dxfId="0">
      <formula>AND(IF($Q95=3,1,IF($Q95=4,1,0)),IF($F95&lt;=85,1,0))</formula>
    </cfRule>
  </conditionalFormatting>
  <conditionalFormatting sqref="AI95">
    <cfRule type="expression" priority="1531" dxfId="3">
      <formula>AND(IF(OR($Q95=1,$Q95=2),1,0),IF($X95&lt;=20,1,0))</formula>
    </cfRule>
    <cfRule type="expression" priority="1532" dxfId="2">
      <formula>AND(IF($Q95=2,1,0),IF($X95&lt;30,1,0))</formula>
    </cfRule>
    <cfRule type="expression" priority="1533" dxfId="1">
      <formula>AND(IF($Q95=3,1,0),IF($X95&lt;30,1,0))</formula>
    </cfRule>
    <cfRule type="expression" priority="1534" dxfId="0">
      <formula>AND(IF($Q95=3,1,IF($Q95=4,1,0)),IF($F95&lt;=85,1,0))</formula>
    </cfRule>
  </conditionalFormatting>
  <conditionalFormatting sqref="AV96">
    <cfRule type="expression" priority="1529" dxfId="23">
      <formula>AV96="X"</formula>
    </cfRule>
    <cfRule type="expression" priority="1530" dxfId="22">
      <formula>AV96="후보"</formula>
    </cfRule>
  </conditionalFormatting>
  <conditionalFormatting sqref="AC9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9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96">
    <cfRule type="expression" priority="1521" dxfId="3">
      <formula>AND(IF(OR($Q96=1,$Q96=2),1,0),IF($X96&lt;=20,1,0))</formula>
    </cfRule>
    <cfRule type="expression" priority="1522" dxfId="2">
      <formula>AND(IF($Q96=2,1,0),IF($X96&lt;30,1,0))</formula>
    </cfRule>
    <cfRule type="expression" priority="1523" dxfId="1">
      <formula>AND(IF($Q96=3,1,0),IF($X96&lt;30,1,0))</formula>
    </cfRule>
    <cfRule type="expression" priority="1524" dxfId="0">
      <formula>AND(IF($Q96=3,1,IF($Q96=4,1,0)),IF($F96&lt;=85,1,0))</formula>
    </cfRule>
  </conditionalFormatting>
  <conditionalFormatting sqref="X96">
    <cfRule type="expression" priority="1517" dxfId="3">
      <formula>AND(IF(OR($Q96=1,$Q96=2),1,0),IF($X96&lt;=20,1,0))</formula>
    </cfRule>
    <cfRule type="expression" priority="1518" dxfId="2">
      <formula>AND(IF($Q96=2,1,0),IF($X96&lt;30,1,0))</formula>
    </cfRule>
    <cfRule type="expression" priority="1519" dxfId="1">
      <formula>AND(IF($Q96=3,1,0),IF($X96&lt;30,1,0))</formula>
    </cfRule>
    <cfRule type="expression" priority="1520" dxfId="0">
      <formula>AND(IF($Q96=3,1,IF($Q96=4,1,0)),IF($F96&lt;=85,1,0))</formula>
    </cfRule>
  </conditionalFormatting>
  <conditionalFormatting sqref="AI96">
    <cfRule type="expression" priority="1513" dxfId="3">
      <formula>AND(IF(OR($Q96=1,$Q96=2),1,0),IF($X96&lt;=20,1,0))</formula>
    </cfRule>
    <cfRule type="expression" priority="1514" dxfId="2">
      <formula>AND(IF($Q96=2,1,0),IF($X96&lt;30,1,0))</formula>
    </cfRule>
    <cfRule type="expression" priority="1515" dxfId="1">
      <formula>AND(IF($Q96=3,1,0),IF($X96&lt;30,1,0))</formula>
    </cfRule>
    <cfRule type="expression" priority="1516" dxfId="0">
      <formula>AND(IF($Q96=3,1,IF($Q96=4,1,0)),IF($F96&lt;=85,1,0))</formula>
    </cfRule>
  </conditionalFormatting>
  <conditionalFormatting sqref="AV97">
    <cfRule type="expression" priority="1511" dxfId="23">
      <formula>AV97="X"</formula>
    </cfRule>
    <cfRule type="expression" priority="1512" dxfId="22">
      <formula>AV97="후보"</formula>
    </cfRule>
  </conditionalFormatting>
  <conditionalFormatting sqref="AC9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9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97">
    <cfRule type="expression" priority="1503" dxfId="3">
      <formula>AND(IF(OR($Q97=1,$Q97=2),1,0),IF($X97&lt;=20,1,0))</formula>
    </cfRule>
    <cfRule type="expression" priority="1504" dxfId="2">
      <formula>AND(IF($Q97=2,1,0),IF($X97&lt;30,1,0))</formula>
    </cfRule>
    <cfRule type="expression" priority="1505" dxfId="1">
      <formula>AND(IF($Q97=3,1,0),IF($X97&lt;30,1,0))</formula>
    </cfRule>
    <cfRule type="expression" priority="1506" dxfId="0">
      <formula>AND(IF($Q97=3,1,IF($Q97=4,1,0)),IF($F97&lt;=85,1,0))</formula>
    </cfRule>
  </conditionalFormatting>
  <conditionalFormatting sqref="X97">
    <cfRule type="expression" priority="1499" dxfId="3">
      <formula>AND(IF(OR($Q97=1,$Q97=2),1,0),IF($X97&lt;=20,1,0))</formula>
    </cfRule>
    <cfRule type="expression" priority="1500" dxfId="2">
      <formula>AND(IF($Q97=2,1,0),IF($X97&lt;30,1,0))</formula>
    </cfRule>
    <cfRule type="expression" priority="1501" dxfId="1">
      <formula>AND(IF($Q97=3,1,0),IF($X97&lt;30,1,0))</formula>
    </cfRule>
    <cfRule type="expression" priority="1502" dxfId="0">
      <formula>AND(IF($Q97=3,1,IF($Q97=4,1,0)),IF($F97&lt;=85,1,0))</formula>
    </cfRule>
  </conditionalFormatting>
  <conditionalFormatting sqref="AI97">
    <cfRule type="expression" priority="1495" dxfId="3">
      <formula>AND(IF(OR($Q97=1,$Q97=2),1,0),IF($X97&lt;=20,1,0))</formula>
    </cfRule>
    <cfRule type="expression" priority="1496" dxfId="2">
      <formula>AND(IF($Q97=2,1,0),IF($X97&lt;30,1,0))</formula>
    </cfRule>
    <cfRule type="expression" priority="1497" dxfId="1">
      <formula>AND(IF($Q97=3,1,0),IF($X97&lt;30,1,0))</formula>
    </cfRule>
    <cfRule type="expression" priority="1498" dxfId="0">
      <formula>AND(IF($Q97=3,1,IF($Q97=4,1,0)),IF($F97&lt;=85,1,0))</formula>
    </cfRule>
  </conditionalFormatting>
  <conditionalFormatting sqref="AV98">
    <cfRule type="expression" priority="1493" dxfId="23">
      <formula>AV98="X"</formula>
    </cfRule>
    <cfRule type="expression" priority="1494" dxfId="22">
      <formula>AV98="후보"</formula>
    </cfRule>
  </conditionalFormatting>
  <conditionalFormatting sqref="AC9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9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98">
    <cfRule type="expression" priority="1485" dxfId="3">
      <formula>AND(IF(OR($Q98=1,$Q98=2),1,0),IF($X98&lt;=20,1,0))</formula>
    </cfRule>
    <cfRule type="expression" priority="1486" dxfId="2">
      <formula>AND(IF($Q98=2,1,0),IF($X98&lt;30,1,0))</formula>
    </cfRule>
    <cfRule type="expression" priority="1487" dxfId="1">
      <formula>AND(IF($Q98=3,1,0),IF($X98&lt;30,1,0))</formula>
    </cfRule>
    <cfRule type="expression" priority="1488" dxfId="0">
      <formula>AND(IF($Q98=3,1,IF($Q98=4,1,0)),IF($F98&lt;=85,1,0))</formula>
    </cfRule>
  </conditionalFormatting>
  <conditionalFormatting sqref="X98">
    <cfRule type="expression" priority="1481" dxfId="3">
      <formula>AND(IF(OR($Q98=1,$Q98=2),1,0),IF($X98&lt;=20,1,0))</formula>
    </cfRule>
    <cfRule type="expression" priority="1482" dxfId="2">
      <formula>AND(IF($Q98=2,1,0),IF($X98&lt;30,1,0))</formula>
    </cfRule>
    <cfRule type="expression" priority="1483" dxfId="1">
      <formula>AND(IF($Q98=3,1,0),IF($X98&lt;30,1,0))</formula>
    </cfRule>
    <cfRule type="expression" priority="1484" dxfId="0">
      <formula>AND(IF($Q98=3,1,IF($Q98=4,1,0)),IF($F98&lt;=85,1,0))</formula>
    </cfRule>
  </conditionalFormatting>
  <conditionalFormatting sqref="AI98">
    <cfRule type="expression" priority="1477" dxfId="3">
      <formula>AND(IF(OR($Q98=1,$Q98=2),1,0),IF($X98&lt;=20,1,0))</formula>
    </cfRule>
    <cfRule type="expression" priority="1478" dxfId="2">
      <formula>AND(IF($Q98=2,1,0),IF($X98&lt;30,1,0))</formula>
    </cfRule>
    <cfRule type="expression" priority="1479" dxfId="1">
      <formula>AND(IF($Q98=3,1,0),IF($X98&lt;30,1,0))</formula>
    </cfRule>
    <cfRule type="expression" priority="1480" dxfId="0">
      <formula>AND(IF($Q98=3,1,IF($Q98=4,1,0)),IF($F98&lt;=85,1,0))</formula>
    </cfRule>
  </conditionalFormatting>
  <conditionalFormatting sqref="AV99">
    <cfRule type="expression" priority="1475" dxfId="23">
      <formula>AV99="X"</formula>
    </cfRule>
    <cfRule type="expression" priority="1476" dxfId="22">
      <formula>AV99="후보"</formula>
    </cfRule>
  </conditionalFormatting>
  <conditionalFormatting sqref="AC9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9">
    <cfRule type="expression" priority="1467" dxfId="3">
      <formula>AND(IF(OR($Q99=1,$Q99=2),1,0),IF($X99&lt;=20,1,0))</formula>
    </cfRule>
    <cfRule type="expression" priority="1468" dxfId="2">
      <formula>AND(IF($Q99=2,1,0),IF($X99&lt;30,1,0))</formula>
    </cfRule>
    <cfRule type="expression" priority="1469" dxfId="1">
      <formula>AND(IF($Q99=3,1,0),IF($X99&lt;30,1,0))</formula>
    </cfRule>
    <cfRule type="expression" priority="1470" dxfId="0">
      <formula>AND(IF($Q99=3,1,IF($Q99=4,1,0)),IF($F99&lt;=85,1,0))</formula>
    </cfRule>
  </conditionalFormatting>
  <conditionalFormatting sqref="X99">
    <cfRule type="expression" priority="1463" dxfId="3">
      <formula>AND(IF(OR($Q99=1,$Q99=2),1,0),IF($X99&lt;=20,1,0))</formula>
    </cfRule>
    <cfRule type="expression" priority="1464" dxfId="2">
      <formula>AND(IF($Q99=2,1,0),IF($X99&lt;30,1,0))</formula>
    </cfRule>
    <cfRule type="expression" priority="1465" dxfId="1">
      <formula>AND(IF($Q99=3,1,0),IF($X99&lt;30,1,0))</formula>
    </cfRule>
    <cfRule type="expression" priority="1466" dxfId="0">
      <formula>AND(IF($Q99=3,1,IF($Q99=4,1,0)),IF($F99&lt;=85,1,0))</formula>
    </cfRule>
  </conditionalFormatting>
  <conditionalFormatting sqref="AI99">
    <cfRule type="expression" priority="1459" dxfId="3">
      <formula>AND(IF(OR($Q99=1,$Q99=2),1,0),IF($X99&lt;=20,1,0))</formula>
    </cfRule>
    <cfRule type="expression" priority="1460" dxfId="2">
      <formula>AND(IF($Q99=2,1,0),IF($X99&lt;30,1,0))</formula>
    </cfRule>
    <cfRule type="expression" priority="1461" dxfId="1">
      <formula>AND(IF($Q99=3,1,0),IF($X99&lt;30,1,0))</formula>
    </cfRule>
    <cfRule type="expression" priority="1462" dxfId="0">
      <formula>AND(IF($Q99=3,1,IF($Q99=4,1,0)),IF($F99&lt;=85,1,0))</formula>
    </cfRule>
  </conditionalFormatting>
  <conditionalFormatting sqref="AV100">
    <cfRule type="expression" priority="1457" dxfId="23">
      <formula>AV100="X"</formula>
    </cfRule>
    <cfRule type="expression" priority="1458" dxfId="22">
      <formula>AV100="후보"</formula>
    </cfRule>
  </conditionalFormatting>
  <conditionalFormatting sqref="AC100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0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00">
    <cfRule type="expression" priority="1449" dxfId="3">
      <formula>AND(IF(OR($Q100=1,$Q100=2),1,0),IF($X100&lt;=20,1,0))</formula>
    </cfRule>
    <cfRule type="expression" priority="1450" dxfId="2">
      <formula>AND(IF($Q100=2,1,0),IF($X100&lt;30,1,0))</formula>
    </cfRule>
    <cfRule type="expression" priority="1451" dxfId="1">
      <formula>AND(IF($Q100=3,1,0),IF($X100&lt;30,1,0))</formula>
    </cfRule>
    <cfRule type="expression" priority="1452" dxfId="0">
      <formula>AND(IF($Q100=3,1,IF($Q100=4,1,0)),IF($F100&lt;=85,1,0))</formula>
    </cfRule>
  </conditionalFormatting>
  <conditionalFormatting sqref="X100">
    <cfRule type="expression" priority="1445" dxfId="3">
      <formula>AND(IF(OR($Q100=1,$Q100=2),1,0),IF($X100&lt;=20,1,0))</formula>
    </cfRule>
    <cfRule type="expression" priority="1446" dxfId="2">
      <formula>AND(IF($Q100=2,1,0),IF($X100&lt;30,1,0))</formula>
    </cfRule>
    <cfRule type="expression" priority="1447" dxfId="1">
      <formula>AND(IF($Q100=3,1,0),IF($X100&lt;30,1,0))</formula>
    </cfRule>
    <cfRule type="expression" priority="1448" dxfId="0">
      <formula>AND(IF($Q100=3,1,IF($Q100=4,1,0)),IF($F100&lt;=85,1,0))</formula>
    </cfRule>
  </conditionalFormatting>
  <conditionalFormatting sqref="AI100">
    <cfRule type="expression" priority="1441" dxfId="3">
      <formula>AND(IF(OR($Q100=1,$Q100=2),1,0),IF($X100&lt;=20,1,0))</formula>
    </cfRule>
    <cfRule type="expression" priority="1442" dxfId="2">
      <formula>AND(IF($Q100=2,1,0),IF($X100&lt;30,1,0))</formula>
    </cfRule>
    <cfRule type="expression" priority="1443" dxfId="1">
      <formula>AND(IF($Q100=3,1,0),IF($X100&lt;30,1,0))</formula>
    </cfRule>
    <cfRule type="expression" priority="1444" dxfId="0">
      <formula>AND(IF($Q100=3,1,IF($Q100=4,1,0)),IF($F100&lt;=85,1,0))</formula>
    </cfRule>
  </conditionalFormatting>
  <conditionalFormatting sqref="AV101">
    <cfRule type="expression" priority="1439" dxfId="23">
      <formula>AV101="X"</formula>
    </cfRule>
    <cfRule type="expression" priority="1440" dxfId="22">
      <formula>AV101="후보"</formula>
    </cfRule>
  </conditionalFormatting>
  <conditionalFormatting sqref="AC101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0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01">
    <cfRule type="expression" priority="1431" dxfId="3">
      <formula>AND(IF(OR($Q101=1,$Q101=2),1,0),IF($X101&lt;=20,1,0))</formula>
    </cfRule>
    <cfRule type="expression" priority="1432" dxfId="2">
      <formula>AND(IF($Q101=2,1,0),IF($X101&lt;30,1,0))</formula>
    </cfRule>
    <cfRule type="expression" priority="1433" dxfId="1">
      <formula>AND(IF($Q101=3,1,0),IF($X101&lt;30,1,0))</formula>
    </cfRule>
    <cfRule type="expression" priority="1434" dxfId="0">
      <formula>AND(IF($Q101=3,1,IF($Q101=4,1,0)),IF($F101&lt;=85,1,0))</formula>
    </cfRule>
  </conditionalFormatting>
  <conditionalFormatting sqref="X101">
    <cfRule type="expression" priority="1427" dxfId="3">
      <formula>AND(IF(OR($Q101=1,$Q101=2),1,0),IF($X101&lt;=20,1,0))</formula>
    </cfRule>
    <cfRule type="expression" priority="1428" dxfId="2">
      <formula>AND(IF($Q101=2,1,0),IF($X101&lt;30,1,0))</formula>
    </cfRule>
    <cfRule type="expression" priority="1429" dxfId="1">
      <formula>AND(IF($Q101=3,1,0),IF($X101&lt;30,1,0))</formula>
    </cfRule>
    <cfRule type="expression" priority="1430" dxfId="0">
      <formula>AND(IF($Q101=3,1,IF($Q101=4,1,0)),IF($F101&lt;=85,1,0))</formula>
    </cfRule>
  </conditionalFormatting>
  <conditionalFormatting sqref="AI101">
    <cfRule type="expression" priority="1423" dxfId="3">
      <formula>AND(IF(OR($Q101=1,$Q101=2),1,0),IF($X101&lt;=20,1,0))</formula>
    </cfRule>
    <cfRule type="expression" priority="1424" dxfId="2">
      <formula>AND(IF($Q101=2,1,0),IF($X101&lt;30,1,0))</formula>
    </cfRule>
    <cfRule type="expression" priority="1425" dxfId="1">
      <formula>AND(IF($Q101=3,1,0),IF($X101&lt;30,1,0))</formula>
    </cfRule>
    <cfRule type="expression" priority="1426" dxfId="0">
      <formula>AND(IF($Q101=3,1,IF($Q101=4,1,0)),IF($F101&lt;=85,1,0))</formula>
    </cfRule>
  </conditionalFormatting>
  <conditionalFormatting sqref="AV102">
    <cfRule type="expression" priority="1421" dxfId="23">
      <formula>AV102="X"</formula>
    </cfRule>
    <cfRule type="expression" priority="1422" dxfId="22">
      <formula>AV102="후보"</formula>
    </cfRule>
  </conditionalFormatting>
  <conditionalFormatting sqref="AC10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0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02">
    <cfRule type="expression" priority="1413" dxfId="3">
      <formula>AND(IF(OR($Q102=1,$Q102=2),1,0),IF($X102&lt;=20,1,0))</formula>
    </cfRule>
    <cfRule type="expression" priority="1414" dxfId="2">
      <formula>AND(IF($Q102=2,1,0),IF($X102&lt;30,1,0))</formula>
    </cfRule>
    <cfRule type="expression" priority="1415" dxfId="1">
      <formula>AND(IF($Q102=3,1,0),IF($X102&lt;30,1,0))</formula>
    </cfRule>
    <cfRule type="expression" priority="1416" dxfId="0">
      <formula>AND(IF($Q102=3,1,IF($Q102=4,1,0)),IF($F102&lt;=85,1,0))</formula>
    </cfRule>
  </conditionalFormatting>
  <conditionalFormatting sqref="X102">
    <cfRule type="expression" priority="1409" dxfId="3">
      <formula>AND(IF(OR($Q102=1,$Q102=2),1,0),IF($X102&lt;=20,1,0))</formula>
    </cfRule>
    <cfRule type="expression" priority="1410" dxfId="2">
      <formula>AND(IF($Q102=2,1,0),IF($X102&lt;30,1,0))</formula>
    </cfRule>
    <cfRule type="expression" priority="1411" dxfId="1">
      <formula>AND(IF($Q102=3,1,0),IF($X102&lt;30,1,0))</formula>
    </cfRule>
    <cfRule type="expression" priority="1412" dxfId="0">
      <formula>AND(IF($Q102=3,1,IF($Q102=4,1,0)),IF($F102&lt;=85,1,0))</formula>
    </cfRule>
  </conditionalFormatting>
  <conditionalFormatting sqref="AI102">
    <cfRule type="expression" priority="1405" dxfId="3">
      <formula>AND(IF(OR($Q102=1,$Q102=2),1,0),IF($X102&lt;=20,1,0))</formula>
    </cfRule>
    <cfRule type="expression" priority="1406" dxfId="2">
      <formula>AND(IF($Q102=2,1,0),IF($X102&lt;30,1,0))</formula>
    </cfRule>
    <cfRule type="expression" priority="1407" dxfId="1">
      <formula>AND(IF($Q102=3,1,0),IF($X102&lt;30,1,0))</formula>
    </cfRule>
    <cfRule type="expression" priority="1408" dxfId="0">
      <formula>AND(IF($Q102=3,1,IF($Q102=4,1,0)),IF($F102&lt;=85,1,0))</formula>
    </cfRule>
  </conditionalFormatting>
  <conditionalFormatting sqref="AV103">
    <cfRule type="expression" priority="1403" dxfId="23">
      <formula>AV103="X"</formula>
    </cfRule>
    <cfRule type="expression" priority="1404" dxfId="22">
      <formula>AV103="후보"</formula>
    </cfRule>
  </conditionalFormatting>
  <conditionalFormatting sqref="AC10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0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03">
    <cfRule type="expression" priority="1395" dxfId="3">
      <formula>AND(IF(OR($Q103=1,$Q103=2),1,0),IF($X103&lt;=20,1,0))</formula>
    </cfRule>
    <cfRule type="expression" priority="1396" dxfId="2">
      <formula>AND(IF($Q103=2,1,0),IF($X103&lt;30,1,0))</formula>
    </cfRule>
    <cfRule type="expression" priority="1397" dxfId="1">
      <formula>AND(IF($Q103=3,1,0),IF($X103&lt;30,1,0))</formula>
    </cfRule>
    <cfRule type="expression" priority="1398" dxfId="0">
      <formula>AND(IF($Q103=3,1,IF($Q103=4,1,0)),IF($F103&lt;=85,1,0))</formula>
    </cfRule>
  </conditionalFormatting>
  <conditionalFormatting sqref="X103">
    <cfRule type="expression" priority="1391" dxfId="3">
      <formula>AND(IF(OR($Q103=1,$Q103=2),1,0),IF($X103&lt;=20,1,0))</formula>
    </cfRule>
    <cfRule type="expression" priority="1392" dxfId="2">
      <formula>AND(IF($Q103=2,1,0),IF($X103&lt;30,1,0))</formula>
    </cfRule>
    <cfRule type="expression" priority="1393" dxfId="1">
      <formula>AND(IF($Q103=3,1,0),IF($X103&lt;30,1,0))</formula>
    </cfRule>
    <cfRule type="expression" priority="1394" dxfId="0">
      <formula>AND(IF($Q103=3,1,IF($Q103=4,1,0)),IF($F103&lt;=85,1,0))</formula>
    </cfRule>
  </conditionalFormatting>
  <conditionalFormatting sqref="AI103">
    <cfRule type="expression" priority="1387" dxfId="3">
      <formula>AND(IF(OR($Q103=1,$Q103=2),1,0),IF($X103&lt;=20,1,0))</formula>
    </cfRule>
    <cfRule type="expression" priority="1388" dxfId="2">
      <formula>AND(IF($Q103=2,1,0),IF($X103&lt;30,1,0))</formula>
    </cfRule>
    <cfRule type="expression" priority="1389" dxfId="1">
      <formula>AND(IF($Q103=3,1,0),IF($X103&lt;30,1,0))</formula>
    </cfRule>
    <cfRule type="expression" priority="1390" dxfId="0">
      <formula>AND(IF($Q103=3,1,IF($Q103=4,1,0)),IF($F103&lt;=85,1,0))</formula>
    </cfRule>
  </conditionalFormatting>
  <conditionalFormatting sqref="AV104">
    <cfRule type="expression" priority="1385" dxfId="23">
      <formula>AV104="X"</formula>
    </cfRule>
    <cfRule type="expression" priority="1386" dxfId="22">
      <formula>AV104="후보"</formula>
    </cfRule>
  </conditionalFormatting>
  <conditionalFormatting sqref="AC10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0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04">
    <cfRule type="expression" priority="1377" dxfId="3">
      <formula>AND(IF(OR($Q104=1,$Q104=2),1,0),IF($X104&lt;=20,1,0))</formula>
    </cfRule>
    <cfRule type="expression" priority="1378" dxfId="2">
      <formula>AND(IF($Q104=2,1,0),IF($X104&lt;30,1,0))</formula>
    </cfRule>
    <cfRule type="expression" priority="1379" dxfId="1">
      <formula>AND(IF($Q104=3,1,0),IF($X104&lt;30,1,0))</formula>
    </cfRule>
    <cfRule type="expression" priority="1380" dxfId="0">
      <formula>AND(IF($Q104=3,1,IF($Q104=4,1,0)),IF($F104&lt;=85,1,0))</formula>
    </cfRule>
  </conditionalFormatting>
  <conditionalFormatting sqref="X104">
    <cfRule type="expression" priority="1373" dxfId="3">
      <formula>AND(IF(OR($Q104=1,$Q104=2),1,0),IF($X104&lt;=20,1,0))</formula>
    </cfRule>
    <cfRule type="expression" priority="1374" dxfId="2">
      <formula>AND(IF($Q104=2,1,0),IF($X104&lt;30,1,0))</formula>
    </cfRule>
    <cfRule type="expression" priority="1375" dxfId="1">
      <formula>AND(IF($Q104=3,1,0),IF($X104&lt;30,1,0))</formula>
    </cfRule>
    <cfRule type="expression" priority="1376" dxfId="0">
      <formula>AND(IF($Q104=3,1,IF($Q104=4,1,0)),IF($F104&lt;=85,1,0))</formula>
    </cfRule>
  </conditionalFormatting>
  <conditionalFormatting sqref="AI104">
    <cfRule type="expression" priority="1369" dxfId="3">
      <formula>AND(IF(OR($Q104=1,$Q104=2),1,0),IF($X104&lt;=20,1,0))</formula>
    </cfRule>
    <cfRule type="expression" priority="1370" dxfId="2">
      <formula>AND(IF($Q104=2,1,0),IF($X104&lt;30,1,0))</formula>
    </cfRule>
    <cfRule type="expression" priority="1371" dxfId="1">
      <formula>AND(IF($Q104=3,1,0),IF($X104&lt;30,1,0))</formula>
    </cfRule>
    <cfRule type="expression" priority="1372" dxfId="0">
      <formula>AND(IF($Q104=3,1,IF($Q104=4,1,0)),IF($F104&lt;=85,1,0))</formula>
    </cfRule>
  </conditionalFormatting>
  <conditionalFormatting sqref="AV105">
    <cfRule type="expression" priority="1367" dxfId="23">
      <formula>AV105="X"</formula>
    </cfRule>
    <cfRule type="expression" priority="1368" dxfId="22">
      <formula>AV105="후보"</formula>
    </cfRule>
  </conditionalFormatting>
  <conditionalFormatting sqref="AC10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0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05">
    <cfRule type="expression" priority="1359" dxfId="3">
      <formula>AND(IF(OR($Q105=1,$Q105=2),1,0),IF($X105&lt;=20,1,0))</formula>
    </cfRule>
    <cfRule type="expression" priority="1360" dxfId="2">
      <formula>AND(IF($Q105=2,1,0),IF($X105&lt;30,1,0))</formula>
    </cfRule>
    <cfRule type="expression" priority="1361" dxfId="1">
      <formula>AND(IF($Q105=3,1,0),IF($X105&lt;30,1,0))</formula>
    </cfRule>
    <cfRule type="expression" priority="1362" dxfId="0">
      <formula>AND(IF($Q105=3,1,IF($Q105=4,1,0)),IF($F105&lt;=85,1,0))</formula>
    </cfRule>
  </conditionalFormatting>
  <conditionalFormatting sqref="X105">
    <cfRule type="expression" priority="1355" dxfId="3">
      <formula>AND(IF(OR($Q105=1,$Q105=2),1,0),IF($X105&lt;=20,1,0))</formula>
    </cfRule>
    <cfRule type="expression" priority="1356" dxfId="2">
      <formula>AND(IF($Q105=2,1,0),IF($X105&lt;30,1,0))</formula>
    </cfRule>
    <cfRule type="expression" priority="1357" dxfId="1">
      <formula>AND(IF($Q105=3,1,0),IF($X105&lt;30,1,0))</formula>
    </cfRule>
    <cfRule type="expression" priority="1358" dxfId="0">
      <formula>AND(IF($Q105=3,1,IF($Q105=4,1,0)),IF($F105&lt;=85,1,0))</formula>
    </cfRule>
  </conditionalFormatting>
  <conditionalFormatting sqref="AI105">
    <cfRule type="expression" priority="1351" dxfId="3">
      <formula>AND(IF(OR($Q105=1,$Q105=2),1,0),IF($X105&lt;=20,1,0))</formula>
    </cfRule>
    <cfRule type="expression" priority="1352" dxfId="2">
      <formula>AND(IF($Q105=2,1,0),IF($X105&lt;30,1,0))</formula>
    </cfRule>
    <cfRule type="expression" priority="1353" dxfId="1">
      <formula>AND(IF($Q105=3,1,0),IF($X105&lt;30,1,0))</formula>
    </cfRule>
    <cfRule type="expression" priority="1354" dxfId="0">
      <formula>AND(IF($Q105=3,1,IF($Q105=4,1,0)),IF($F105&lt;=85,1,0))</formula>
    </cfRule>
  </conditionalFormatting>
  <conditionalFormatting sqref="AV106">
    <cfRule type="expression" priority="1349" dxfId="23">
      <formula>AV106="X"</formula>
    </cfRule>
    <cfRule type="expression" priority="1350" dxfId="22">
      <formula>AV106="후보"</formula>
    </cfRule>
  </conditionalFormatting>
  <conditionalFormatting sqref="AC10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0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06">
    <cfRule type="expression" priority="1341" dxfId="3">
      <formula>AND(IF(OR($Q106=1,$Q106=2),1,0),IF($X106&lt;=20,1,0))</formula>
    </cfRule>
    <cfRule type="expression" priority="1342" dxfId="2">
      <formula>AND(IF($Q106=2,1,0),IF($X106&lt;30,1,0))</formula>
    </cfRule>
    <cfRule type="expression" priority="1343" dxfId="1">
      <formula>AND(IF($Q106=3,1,0),IF($X106&lt;30,1,0))</formula>
    </cfRule>
    <cfRule type="expression" priority="1344" dxfId="0">
      <formula>AND(IF($Q106=3,1,IF($Q106=4,1,0)),IF($F106&lt;=85,1,0))</formula>
    </cfRule>
  </conditionalFormatting>
  <conditionalFormatting sqref="X106">
    <cfRule type="expression" priority="1337" dxfId="3">
      <formula>AND(IF(OR($Q106=1,$Q106=2),1,0),IF($X106&lt;=20,1,0))</formula>
    </cfRule>
    <cfRule type="expression" priority="1338" dxfId="2">
      <formula>AND(IF($Q106=2,1,0),IF($X106&lt;30,1,0))</formula>
    </cfRule>
    <cfRule type="expression" priority="1339" dxfId="1">
      <formula>AND(IF($Q106=3,1,0),IF($X106&lt;30,1,0))</formula>
    </cfRule>
    <cfRule type="expression" priority="1340" dxfId="0">
      <formula>AND(IF($Q106=3,1,IF($Q106=4,1,0)),IF($F106&lt;=85,1,0))</formula>
    </cfRule>
  </conditionalFormatting>
  <conditionalFormatting sqref="AI106">
    <cfRule type="expression" priority="1333" dxfId="3">
      <formula>AND(IF(OR($Q106=1,$Q106=2),1,0),IF($X106&lt;=20,1,0))</formula>
    </cfRule>
    <cfRule type="expression" priority="1334" dxfId="2">
      <formula>AND(IF($Q106=2,1,0),IF($X106&lt;30,1,0))</formula>
    </cfRule>
    <cfRule type="expression" priority="1335" dxfId="1">
      <formula>AND(IF($Q106=3,1,0),IF($X106&lt;30,1,0))</formula>
    </cfRule>
    <cfRule type="expression" priority="1336" dxfId="0">
      <formula>AND(IF($Q106=3,1,IF($Q106=4,1,0)),IF($F106&lt;=85,1,0))</formula>
    </cfRule>
  </conditionalFormatting>
  <conditionalFormatting sqref="AV107">
    <cfRule type="expression" priority="1331" dxfId="23">
      <formula>AV107="X"</formula>
    </cfRule>
    <cfRule type="expression" priority="1332" dxfId="22">
      <formula>AV107="후보"</formula>
    </cfRule>
  </conditionalFormatting>
  <conditionalFormatting sqref="AC10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0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07">
    <cfRule type="expression" priority="1323" dxfId="3">
      <formula>AND(IF(OR($Q107=1,$Q107=2),1,0),IF($X107&lt;=20,1,0))</formula>
    </cfRule>
    <cfRule type="expression" priority="1324" dxfId="2">
      <formula>AND(IF($Q107=2,1,0),IF($X107&lt;30,1,0))</formula>
    </cfRule>
    <cfRule type="expression" priority="1325" dxfId="1">
      <formula>AND(IF($Q107=3,1,0),IF($X107&lt;30,1,0))</formula>
    </cfRule>
    <cfRule type="expression" priority="1326" dxfId="0">
      <formula>AND(IF($Q107=3,1,IF($Q107=4,1,0)),IF($F107&lt;=85,1,0))</formula>
    </cfRule>
  </conditionalFormatting>
  <conditionalFormatting sqref="X107">
    <cfRule type="expression" priority="1319" dxfId="3">
      <formula>AND(IF(OR($Q107=1,$Q107=2),1,0),IF($X107&lt;=20,1,0))</formula>
    </cfRule>
    <cfRule type="expression" priority="1320" dxfId="2">
      <formula>AND(IF($Q107=2,1,0),IF($X107&lt;30,1,0))</formula>
    </cfRule>
    <cfRule type="expression" priority="1321" dxfId="1">
      <formula>AND(IF($Q107=3,1,0),IF($X107&lt;30,1,0))</formula>
    </cfRule>
    <cfRule type="expression" priority="1322" dxfId="0">
      <formula>AND(IF($Q107=3,1,IF($Q107=4,1,0)),IF($F107&lt;=85,1,0))</formula>
    </cfRule>
  </conditionalFormatting>
  <conditionalFormatting sqref="AI107">
    <cfRule type="expression" priority="1315" dxfId="3">
      <formula>AND(IF(OR($Q107=1,$Q107=2),1,0),IF($X107&lt;=20,1,0))</formula>
    </cfRule>
    <cfRule type="expression" priority="1316" dxfId="2">
      <formula>AND(IF($Q107=2,1,0),IF($X107&lt;30,1,0))</formula>
    </cfRule>
    <cfRule type="expression" priority="1317" dxfId="1">
      <formula>AND(IF($Q107=3,1,0),IF($X107&lt;30,1,0))</formula>
    </cfRule>
    <cfRule type="expression" priority="1318" dxfId="0">
      <formula>AND(IF($Q107=3,1,IF($Q107=4,1,0)),IF($F107&lt;=85,1,0))</formula>
    </cfRule>
  </conditionalFormatting>
  <conditionalFormatting sqref="AV108">
    <cfRule type="expression" priority="1313" dxfId="23">
      <formula>AV108="X"</formula>
    </cfRule>
    <cfRule type="expression" priority="1314" dxfId="22">
      <formula>AV108="후보"</formula>
    </cfRule>
  </conditionalFormatting>
  <conditionalFormatting sqref="AC10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0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08">
    <cfRule type="expression" priority="1305" dxfId="3">
      <formula>AND(IF(OR($Q108=1,$Q108=2),1,0),IF($X108&lt;=20,1,0))</formula>
    </cfRule>
    <cfRule type="expression" priority="1306" dxfId="2">
      <formula>AND(IF($Q108=2,1,0),IF($X108&lt;30,1,0))</formula>
    </cfRule>
    <cfRule type="expression" priority="1307" dxfId="1">
      <formula>AND(IF($Q108=3,1,0),IF($X108&lt;30,1,0))</formula>
    </cfRule>
    <cfRule type="expression" priority="1308" dxfId="0">
      <formula>AND(IF($Q108=3,1,IF($Q108=4,1,0)),IF($F108&lt;=85,1,0))</formula>
    </cfRule>
  </conditionalFormatting>
  <conditionalFormatting sqref="X108">
    <cfRule type="expression" priority="1301" dxfId="3">
      <formula>AND(IF(OR($Q108=1,$Q108=2),1,0),IF($X108&lt;=20,1,0))</formula>
    </cfRule>
    <cfRule type="expression" priority="1302" dxfId="2">
      <formula>AND(IF($Q108=2,1,0),IF($X108&lt;30,1,0))</formula>
    </cfRule>
    <cfRule type="expression" priority="1303" dxfId="1">
      <formula>AND(IF($Q108=3,1,0),IF($X108&lt;30,1,0))</formula>
    </cfRule>
    <cfRule type="expression" priority="1304" dxfId="0">
      <formula>AND(IF($Q108=3,1,IF($Q108=4,1,0)),IF($F108&lt;=85,1,0))</formula>
    </cfRule>
  </conditionalFormatting>
  <conditionalFormatting sqref="AI108">
    <cfRule type="expression" priority="1297" dxfId="3">
      <formula>AND(IF(OR($Q108=1,$Q108=2),1,0),IF($X108&lt;=20,1,0))</formula>
    </cfRule>
    <cfRule type="expression" priority="1298" dxfId="2">
      <formula>AND(IF($Q108=2,1,0),IF($X108&lt;30,1,0))</formula>
    </cfRule>
    <cfRule type="expression" priority="1299" dxfId="1">
      <formula>AND(IF($Q108=3,1,0),IF($X108&lt;30,1,0))</formula>
    </cfRule>
    <cfRule type="expression" priority="1300" dxfId="0">
      <formula>AND(IF($Q108=3,1,IF($Q108=4,1,0)),IF($F108&lt;=85,1,0))</formula>
    </cfRule>
  </conditionalFormatting>
  <conditionalFormatting sqref="AV109">
    <cfRule type="expression" priority="1295" dxfId="23">
      <formula>AV109="X"</formula>
    </cfRule>
    <cfRule type="expression" priority="1296" dxfId="22">
      <formula>AV109="후보"</formula>
    </cfRule>
  </conditionalFormatting>
  <conditionalFormatting sqref="AC10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0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09">
    <cfRule type="expression" priority="1287" dxfId="3">
      <formula>AND(IF(OR($Q109=1,$Q109=2),1,0),IF($X109&lt;=20,1,0))</formula>
    </cfRule>
    <cfRule type="expression" priority="1288" dxfId="2">
      <formula>AND(IF($Q109=2,1,0),IF($X109&lt;30,1,0))</formula>
    </cfRule>
    <cfRule type="expression" priority="1289" dxfId="1">
      <formula>AND(IF($Q109=3,1,0),IF($X109&lt;30,1,0))</formula>
    </cfRule>
    <cfRule type="expression" priority="1290" dxfId="0">
      <formula>AND(IF($Q109=3,1,IF($Q109=4,1,0)),IF($F109&lt;=85,1,0))</formula>
    </cfRule>
  </conditionalFormatting>
  <conditionalFormatting sqref="X109">
    <cfRule type="expression" priority="1283" dxfId="3">
      <formula>AND(IF(OR($Q109=1,$Q109=2),1,0),IF($X109&lt;=20,1,0))</formula>
    </cfRule>
    <cfRule type="expression" priority="1284" dxfId="2">
      <formula>AND(IF($Q109=2,1,0),IF($X109&lt;30,1,0))</formula>
    </cfRule>
    <cfRule type="expression" priority="1285" dxfId="1">
      <formula>AND(IF($Q109=3,1,0),IF($X109&lt;30,1,0))</formula>
    </cfRule>
    <cfRule type="expression" priority="1286" dxfId="0">
      <formula>AND(IF($Q109=3,1,IF($Q109=4,1,0)),IF($F109&lt;=85,1,0))</formula>
    </cfRule>
  </conditionalFormatting>
  <conditionalFormatting sqref="AI109">
    <cfRule type="expression" priority="1279" dxfId="3">
      <formula>AND(IF(OR($Q109=1,$Q109=2),1,0),IF($X109&lt;=20,1,0))</formula>
    </cfRule>
    <cfRule type="expression" priority="1280" dxfId="2">
      <formula>AND(IF($Q109=2,1,0),IF($X109&lt;30,1,0))</formula>
    </cfRule>
    <cfRule type="expression" priority="1281" dxfId="1">
      <formula>AND(IF($Q109=3,1,0),IF($X109&lt;30,1,0))</formula>
    </cfRule>
    <cfRule type="expression" priority="1282" dxfId="0">
      <formula>AND(IF($Q109=3,1,IF($Q109=4,1,0)),IF($F109&lt;=85,1,0))</formula>
    </cfRule>
  </conditionalFormatting>
  <conditionalFormatting sqref="AV110">
    <cfRule type="expression" priority="1277" dxfId="23">
      <formula>AV110="X"</formula>
    </cfRule>
    <cfRule type="expression" priority="1278" dxfId="22">
      <formula>AV110="후보"</formula>
    </cfRule>
  </conditionalFormatting>
  <conditionalFormatting sqref="AC11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1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10">
    <cfRule type="expression" priority="1269" dxfId="3">
      <formula>AND(IF(OR($Q110=1,$Q110=2),1,0),IF($X110&lt;=20,1,0))</formula>
    </cfRule>
    <cfRule type="expression" priority="1270" dxfId="2">
      <formula>AND(IF($Q110=2,1,0),IF($X110&lt;30,1,0))</formula>
    </cfRule>
    <cfRule type="expression" priority="1271" dxfId="1">
      <formula>AND(IF($Q110=3,1,0),IF($X110&lt;30,1,0))</formula>
    </cfRule>
    <cfRule type="expression" priority="1272" dxfId="0">
      <formula>AND(IF($Q110=3,1,IF($Q110=4,1,0)),IF($F110&lt;=85,1,0))</formula>
    </cfRule>
  </conditionalFormatting>
  <conditionalFormatting sqref="X110">
    <cfRule type="expression" priority="1265" dxfId="3">
      <formula>AND(IF(OR($Q110=1,$Q110=2),1,0),IF($X110&lt;=20,1,0))</formula>
    </cfRule>
    <cfRule type="expression" priority="1266" dxfId="2">
      <formula>AND(IF($Q110=2,1,0),IF($X110&lt;30,1,0))</formula>
    </cfRule>
    <cfRule type="expression" priority="1267" dxfId="1">
      <formula>AND(IF($Q110=3,1,0),IF($X110&lt;30,1,0))</formula>
    </cfRule>
    <cfRule type="expression" priority="1268" dxfId="0">
      <formula>AND(IF($Q110=3,1,IF($Q110=4,1,0)),IF($F110&lt;=85,1,0))</formula>
    </cfRule>
  </conditionalFormatting>
  <conditionalFormatting sqref="AI110">
    <cfRule type="expression" priority="1261" dxfId="3">
      <formula>AND(IF(OR($Q110=1,$Q110=2),1,0),IF($X110&lt;=20,1,0))</formula>
    </cfRule>
    <cfRule type="expression" priority="1262" dxfId="2">
      <formula>AND(IF($Q110=2,1,0),IF($X110&lt;30,1,0))</formula>
    </cfRule>
    <cfRule type="expression" priority="1263" dxfId="1">
      <formula>AND(IF($Q110=3,1,0),IF($X110&lt;30,1,0))</formula>
    </cfRule>
    <cfRule type="expression" priority="1264" dxfId="0">
      <formula>AND(IF($Q110=3,1,IF($Q110=4,1,0)),IF($F110&lt;=85,1,0))</formula>
    </cfRule>
  </conditionalFormatting>
  <conditionalFormatting sqref="AV111">
    <cfRule type="expression" priority="1259" dxfId="23">
      <formula>AV111="X"</formula>
    </cfRule>
    <cfRule type="expression" priority="1260" dxfId="22">
      <formula>AV111="후보"</formula>
    </cfRule>
  </conditionalFormatting>
  <conditionalFormatting sqref="AC11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1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11">
    <cfRule type="expression" priority="1251" dxfId="3">
      <formula>AND(IF(OR($Q111=1,$Q111=2),1,0),IF($X111&lt;=20,1,0))</formula>
    </cfRule>
    <cfRule type="expression" priority="1252" dxfId="2">
      <formula>AND(IF($Q111=2,1,0),IF($X111&lt;30,1,0))</formula>
    </cfRule>
    <cfRule type="expression" priority="1253" dxfId="1">
      <formula>AND(IF($Q111=3,1,0),IF($X111&lt;30,1,0))</formula>
    </cfRule>
    <cfRule type="expression" priority="1254" dxfId="0">
      <formula>AND(IF($Q111=3,1,IF($Q111=4,1,0)),IF($F111&lt;=85,1,0))</formula>
    </cfRule>
  </conditionalFormatting>
  <conditionalFormatting sqref="X111">
    <cfRule type="expression" priority="1247" dxfId="3">
      <formula>AND(IF(OR($Q111=1,$Q111=2),1,0),IF($X111&lt;=20,1,0))</formula>
    </cfRule>
    <cfRule type="expression" priority="1248" dxfId="2">
      <formula>AND(IF($Q111=2,1,0),IF($X111&lt;30,1,0))</formula>
    </cfRule>
    <cfRule type="expression" priority="1249" dxfId="1">
      <formula>AND(IF($Q111=3,1,0),IF($X111&lt;30,1,0))</formula>
    </cfRule>
    <cfRule type="expression" priority="1250" dxfId="0">
      <formula>AND(IF($Q111=3,1,IF($Q111=4,1,0)),IF($F111&lt;=85,1,0))</formula>
    </cfRule>
  </conditionalFormatting>
  <conditionalFormatting sqref="AI111">
    <cfRule type="expression" priority="1243" dxfId="3">
      <formula>AND(IF(OR($Q111=1,$Q111=2),1,0),IF($X111&lt;=20,1,0))</formula>
    </cfRule>
    <cfRule type="expression" priority="1244" dxfId="2">
      <formula>AND(IF($Q111=2,1,0),IF($X111&lt;30,1,0))</formula>
    </cfRule>
    <cfRule type="expression" priority="1245" dxfId="1">
      <formula>AND(IF($Q111=3,1,0),IF($X111&lt;30,1,0))</formula>
    </cfRule>
    <cfRule type="expression" priority="1246" dxfId="0">
      <formula>AND(IF($Q111=3,1,IF($Q111=4,1,0)),IF($F111&lt;=85,1,0))</formula>
    </cfRule>
  </conditionalFormatting>
  <conditionalFormatting sqref="AV112">
    <cfRule type="expression" priority="1241" dxfId="23">
      <formula>AV112="X"</formula>
    </cfRule>
    <cfRule type="expression" priority="1242" dxfId="22">
      <formula>AV112="후보"</formula>
    </cfRule>
  </conditionalFormatting>
  <conditionalFormatting sqref="AC11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1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12">
    <cfRule type="expression" priority="1233" dxfId="3">
      <formula>AND(IF(OR($Q112=1,$Q112=2),1,0),IF($X112&lt;=20,1,0))</formula>
    </cfRule>
    <cfRule type="expression" priority="1234" dxfId="2">
      <formula>AND(IF($Q112=2,1,0),IF($X112&lt;30,1,0))</formula>
    </cfRule>
    <cfRule type="expression" priority="1235" dxfId="1">
      <formula>AND(IF($Q112=3,1,0),IF($X112&lt;30,1,0))</formula>
    </cfRule>
    <cfRule type="expression" priority="1236" dxfId="0">
      <formula>AND(IF($Q112=3,1,IF($Q112=4,1,0)),IF($F112&lt;=85,1,0))</formula>
    </cfRule>
  </conditionalFormatting>
  <conditionalFormatting sqref="X112">
    <cfRule type="expression" priority="1229" dxfId="3">
      <formula>AND(IF(OR($Q112=1,$Q112=2),1,0),IF($X112&lt;=20,1,0))</formula>
    </cfRule>
    <cfRule type="expression" priority="1230" dxfId="2">
      <formula>AND(IF($Q112=2,1,0),IF($X112&lt;30,1,0))</formula>
    </cfRule>
    <cfRule type="expression" priority="1231" dxfId="1">
      <formula>AND(IF($Q112=3,1,0),IF($X112&lt;30,1,0))</formula>
    </cfRule>
    <cfRule type="expression" priority="1232" dxfId="0">
      <formula>AND(IF($Q112=3,1,IF($Q112=4,1,0)),IF($F112&lt;=85,1,0))</formula>
    </cfRule>
  </conditionalFormatting>
  <conditionalFormatting sqref="AI112">
    <cfRule type="expression" priority="1225" dxfId="3">
      <formula>AND(IF(OR($Q112=1,$Q112=2),1,0),IF($X112&lt;=20,1,0))</formula>
    </cfRule>
    <cfRule type="expression" priority="1226" dxfId="2">
      <formula>AND(IF($Q112=2,1,0),IF($X112&lt;30,1,0))</formula>
    </cfRule>
    <cfRule type="expression" priority="1227" dxfId="1">
      <formula>AND(IF($Q112=3,1,0),IF($X112&lt;30,1,0))</formula>
    </cfRule>
    <cfRule type="expression" priority="1228" dxfId="0">
      <formula>AND(IF($Q112=3,1,IF($Q112=4,1,0)),IF($F112&lt;=85,1,0))</formula>
    </cfRule>
  </conditionalFormatting>
  <conditionalFormatting sqref="AV113">
    <cfRule type="expression" priority="1223" dxfId="23">
      <formula>AV113="X"</formula>
    </cfRule>
    <cfRule type="expression" priority="1224" dxfId="22">
      <formula>AV113="후보"</formula>
    </cfRule>
  </conditionalFormatting>
  <conditionalFormatting sqref="AC11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1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13">
    <cfRule type="expression" priority="1215" dxfId="3">
      <formula>AND(IF(OR($Q113=1,$Q113=2),1,0),IF($X113&lt;=20,1,0))</formula>
    </cfRule>
    <cfRule type="expression" priority="1216" dxfId="2">
      <formula>AND(IF($Q113=2,1,0),IF($X113&lt;30,1,0))</formula>
    </cfRule>
    <cfRule type="expression" priority="1217" dxfId="1">
      <formula>AND(IF($Q113=3,1,0),IF($X113&lt;30,1,0))</formula>
    </cfRule>
    <cfRule type="expression" priority="1218" dxfId="0">
      <formula>AND(IF($Q113=3,1,IF($Q113=4,1,0)),IF($F113&lt;=85,1,0))</formula>
    </cfRule>
  </conditionalFormatting>
  <conditionalFormatting sqref="X113">
    <cfRule type="expression" priority="1211" dxfId="3">
      <formula>AND(IF(OR($Q113=1,$Q113=2),1,0),IF($X113&lt;=20,1,0))</formula>
    </cfRule>
    <cfRule type="expression" priority="1212" dxfId="2">
      <formula>AND(IF($Q113=2,1,0),IF($X113&lt;30,1,0))</formula>
    </cfRule>
    <cfRule type="expression" priority="1213" dxfId="1">
      <formula>AND(IF($Q113=3,1,0),IF($X113&lt;30,1,0))</formula>
    </cfRule>
    <cfRule type="expression" priority="1214" dxfId="0">
      <formula>AND(IF($Q113=3,1,IF($Q113=4,1,0)),IF($F113&lt;=85,1,0))</formula>
    </cfRule>
  </conditionalFormatting>
  <conditionalFormatting sqref="AI113">
    <cfRule type="expression" priority="1207" dxfId="3">
      <formula>AND(IF(OR($Q113=1,$Q113=2),1,0),IF($X113&lt;=20,1,0))</formula>
    </cfRule>
    <cfRule type="expression" priority="1208" dxfId="2">
      <formula>AND(IF($Q113=2,1,0),IF($X113&lt;30,1,0))</formula>
    </cfRule>
    <cfRule type="expression" priority="1209" dxfId="1">
      <formula>AND(IF($Q113=3,1,0),IF($X113&lt;30,1,0))</formula>
    </cfRule>
    <cfRule type="expression" priority="1210" dxfId="0">
      <formula>AND(IF($Q113=3,1,IF($Q113=4,1,0)),IF($F113&lt;=85,1,0))</formula>
    </cfRule>
  </conditionalFormatting>
  <conditionalFormatting sqref="AV114">
    <cfRule type="expression" priority="1205" dxfId="23">
      <formula>AV114="X"</formula>
    </cfRule>
    <cfRule type="expression" priority="1206" dxfId="22">
      <formula>AV114="후보"</formula>
    </cfRule>
  </conditionalFormatting>
  <conditionalFormatting sqref="AC114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1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14">
    <cfRule type="expression" priority="1197" dxfId="3">
      <formula>AND(IF(OR($Q114=1,$Q114=2),1,0),IF($X114&lt;=20,1,0))</formula>
    </cfRule>
    <cfRule type="expression" priority="1198" dxfId="2">
      <formula>AND(IF($Q114=2,1,0),IF($X114&lt;30,1,0))</formula>
    </cfRule>
    <cfRule type="expression" priority="1199" dxfId="1">
      <formula>AND(IF($Q114=3,1,0),IF($X114&lt;30,1,0))</formula>
    </cfRule>
    <cfRule type="expression" priority="1200" dxfId="0">
      <formula>AND(IF($Q114=3,1,IF($Q114=4,1,0)),IF($F114&lt;=85,1,0))</formula>
    </cfRule>
  </conditionalFormatting>
  <conditionalFormatting sqref="X114">
    <cfRule type="expression" priority="1193" dxfId="3">
      <formula>AND(IF(OR($Q114=1,$Q114=2),1,0),IF($X114&lt;=20,1,0))</formula>
    </cfRule>
    <cfRule type="expression" priority="1194" dxfId="2">
      <formula>AND(IF($Q114=2,1,0),IF($X114&lt;30,1,0))</formula>
    </cfRule>
    <cfRule type="expression" priority="1195" dxfId="1">
      <formula>AND(IF($Q114=3,1,0),IF($X114&lt;30,1,0))</formula>
    </cfRule>
    <cfRule type="expression" priority="1196" dxfId="0">
      <formula>AND(IF($Q114=3,1,IF($Q114=4,1,0)),IF($F114&lt;=85,1,0))</formula>
    </cfRule>
  </conditionalFormatting>
  <conditionalFormatting sqref="AI114">
    <cfRule type="expression" priority="1189" dxfId="3">
      <formula>AND(IF(OR($Q114=1,$Q114=2),1,0),IF($X114&lt;=20,1,0))</formula>
    </cfRule>
    <cfRule type="expression" priority="1190" dxfId="2">
      <formula>AND(IF($Q114=2,1,0),IF($X114&lt;30,1,0))</formula>
    </cfRule>
    <cfRule type="expression" priority="1191" dxfId="1">
      <formula>AND(IF($Q114=3,1,0),IF($X114&lt;30,1,0))</formula>
    </cfRule>
    <cfRule type="expression" priority="1192" dxfId="0">
      <formula>AND(IF($Q114=3,1,IF($Q114=4,1,0)),IF($F114&lt;=85,1,0))</formula>
    </cfRule>
  </conditionalFormatting>
  <conditionalFormatting sqref="AV115">
    <cfRule type="expression" priority="1187" dxfId="23">
      <formula>AV115="X"</formula>
    </cfRule>
    <cfRule type="expression" priority="1188" dxfId="22">
      <formula>AV115="후보"</formula>
    </cfRule>
  </conditionalFormatting>
  <conditionalFormatting sqref="AC11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1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15">
    <cfRule type="expression" priority="1179" dxfId="3">
      <formula>AND(IF(OR($Q115=1,$Q115=2),1,0),IF($X115&lt;=20,1,0))</formula>
    </cfRule>
    <cfRule type="expression" priority="1180" dxfId="2">
      <formula>AND(IF($Q115=2,1,0),IF($X115&lt;30,1,0))</formula>
    </cfRule>
    <cfRule type="expression" priority="1181" dxfId="1">
      <formula>AND(IF($Q115=3,1,0),IF($X115&lt;30,1,0))</formula>
    </cfRule>
    <cfRule type="expression" priority="1182" dxfId="0">
      <formula>AND(IF($Q115=3,1,IF($Q115=4,1,0)),IF($F115&lt;=85,1,0))</formula>
    </cfRule>
  </conditionalFormatting>
  <conditionalFormatting sqref="X115">
    <cfRule type="expression" priority="1175" dxfId="3">
      <formula>AND(IF(OR($Q115=1,$Q115=2),1,0),IF($X115&lt;=20,1,0))</formula>
    </cfRule>
    <cfRule type="expression" priority="1176" dxfId="2">
      <formula>AND(IF($Q115=2,1,0),IF($X115&lt;30,1,0))</formula>
    </cfRule>
    <cfRule type="expression" priority="1177" dxfId="1">
      <formula>AND(IF($Q115=3,1,0),IF($X115&lt;30,1,0))</formula>
    </cfRule>
    <cfRule type="expression" priority="1178" dxfId="0">
      <formula>AND(IF($Q115=3,1,IF($Q115=4,1,0)),IF($F115&lt;=85,1,0))</formula>
    </cfRule>
  </conditionalFormatting>
  <conditionalFormatting sqref="AI115">
    <cfRule type="expression" priority="1171" dxfId="3">
      <formula>AND(IF(OR($Q115=1,$Q115=2),1,0),IF($X115&lt;=20,1,0))</formula>
    </cfRule>
    <cfRule type="expression" priority="1172" dxfId="2">
      <formula>AND(IF($Q115=2,1,0),IF($X115&lt;30,1,0))</formula>
    </cfRule>
    <cfRule type="expression" priority="1173" dxfId="1">
      <formula>AND(IF($Q115=3,1,0),IF($X115&lt;30,1,0))</formula>
    </cfRule>
    <cfRule type="expression" priority="1174" dxfId="0">
      <formula>AND(IF($Q115=3,1,IF($Q115=4,1,0)),IF($F115&lt;=85,1,0))</formula>
    </cfRule>
  </conditionalFormatting>
  <conditionalFormatting sqref="AV116">
    <cfRule type="expression" priority="1169" dxfId="23">
      <formula>AV116="X"</formula>
    </cfRule>
    <cfRule type="expression" priority="1170" dxfId="22">
      <formula>AV116="후보"</formula>
    </cfRule>
  </conditionalFormatting>
  <conditionalFormatting sqref="AC11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1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16">
    <cfRule type="expression" priority="1161" dxfId="3">
      <formula>AND(IF(OR($Q116=1,$Q116=2),1,0),IF($X116&lt;=20,1,0))</formula>
    </cfRule>
    <cfRule type="expression" priority="1162" dxfId="2">
      <formula>AND(IF($Q116=2,1,0),IF($X116&lt;30,1,0))</formula>
    </cfRule>
    <cfRule type="expression" priority="1163" dxfId="1">
      <formula>AND(IF($Q116=3,1,0),IF($X116&lt;30,1,0))</formula>
    </cfRule>
    <cfRule type="expression" priority="1164" dxfId="0">
      <formula>AND(IF($Q116=3,1,IF($Q116=4,1,0)),IF($F116&lt;=85,1,0))</formula>
    </cfRule>
  </conditionalFormatting>
  <conditionalFormatting sqref="X116">
    <cfRule type="expression" priority="1157" dxfId="3">
      <formula>AND(IF(OR($Q116=1,$Q116=2),1,0),IF($X116&lt;=20,1,0))</formula>
    </cfRule>
    <cfRule type="expression" priority="1158" dxfId="2">
      <formula>AND(IF($Q116=2,1,0),IF($X116&lt;30,1,0))</formula>
    </cfRule>
    <cfRule type="expression" priority="1159" dxfId="1">
      <formula>AND(IF($Q116=3,1,0),IF($X116&lt;30,1,0))</formula>
    </cfRule>
    <cfRule type="expression" priority="1160" dxfId="0">
      <formula>AND(IF($Q116=3,1,IF($Q116=4,1,0)),IF($F116&lt;=85,1,0))</formula>
    </cfRule>
  </conditionalFormatting>
  <conditionalFormatting sqref="AI116">
    <cfRule type="expression" priority="1153" dxfId="3">
      <formula>AND(IF(OR($Q116=1,$Q116=2),1,0),IF($X116&lt;=20,1,0))</formula>
    </cfRule>
    <cfRule type="expression" priority="1154" dxfId="2">
      <formula>AND(IF($Q116=2,1,0),IF($X116&lt;30,1,0))</formula>
    </cfRule>
    <cfRule type="expression" priority="1155" dxfId="1">
      <formula>AND(IF($Q116=3,1,0),IF($X116&lt;30,1,0))</formula>
    </cfRule>
    <cfRule type="expression" priority="1156" dxfId="0">
      <formula>AND(IF($Q116=3,1,IF($Q116=4,1,0)),IF($F116&lt;=85,1,0))</formula>
    </cfRule>
  </conditionalFormatting>
  <conditionalFormatting sqref="AV117">
    <cfRule type="expression" priority="1151" dxfId="23">
      <formula>AV117="X"</formula>
    </cfRule>
    <cfRule type="expression" priority="1152" dxfId="22">
      <formula>AV117="후보"</formula>
    </cfRule>
  </conditionalFormatting>
  <conditionalFormatting sqref="AC11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1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17">
    <cfRule type="expression" priority="1143" dxfId="3">
      <formula>AND(IF(OR($Q117=1,$Q117=2),1,0),IF($X117&lt;=20,1,0))</formula>
    </cfRule>
    <cfRule type="expression" priority="1144" dxfId="2">
      <formula>AND(IF($Q117=2,1,0),IF($X117&lt;30,1,0))</formula>
    </cfRule>
    <cfRule type="expression" priority="1145" dxfId="1">
      <formula>AND(IF($Q117=3,1,0),IF($X117&lt;30,1,0))</formula>
    </cfRule>
    <cfRule type="expression" priority="1146" dxfId="0">
      <formula>AND(IF($Q117=3,1,IF($Q117=4,1,0)),IF($F117&lt;=85,1,0))</formula>
    </cfRule>
  </conditionalFormatting>
  <conditionalFormatting sqref="X117">
    <cfRule type="expression" priority="1139" dxfId="3">
      <formula>AND(IF(OR($Q117=1,$Q117=2),1,0),IF($X117&lt;=20,1,0))</formula>
    </cfRule>
    <cfRule type="expression" priority="1140" dxfId="2">
      <formula>AND(IF($Q117=2,1,0),IF($X117&lt;30,1,0))</formula>
    </cfRule>
    <cfRule type="expression" priority="1141" dxfId="1">
      <formula>AND(IF($Q117=3,1,0),IF($X117&lt;30,1,0))</formula>
    </cfRule>
    <cfRule type="expression" priority="1142" dxfId="0">
      <formula>AND(IF($Q117=3,1,IF($Q117=4,1,0)),IF($F117&lt;=85,1,0))</formula>
    </cfRule>
  </conditionalFormatting>
  <conditionalFormatting sqref="AI117">
    <cfRule type="expression" priority="1135" dxfId="3">
      <formula>AND(IF(OR($Q117=1,$Q117=2),1,0),IF($X117&lt;=20,1,0))</formula>
    </cfRule>
    <cfRule type="expression" priority="1136" dxfId="2">
      <formula>AND(IF($Q117=2,1,0),IF($X117&lt;30,1,0))</formula>
    </cfRule>
    <cfRule type="expression" priority="1137" dxfId="1">
      <formula>AND(IF($Q117=3,1,0),IF($X117&lt;30,1,0))</formula>
    </cfRule>
    <cfRule type="expression" priority="1138" dxfId="0">
      <formula>AND(IF($Q117=3,1,IF($Q117=4,1,0)),IF($F117&lt;=85,1,0))</formula>
    </cfRule>
  </conditionalFormatting>
  <conditionalFormatting sqref="AV118">
    <cfRule type="expression" priority="1133" dxfId="23">
      <formula>AV118="X"</formula>
    </cfRule>
    <cfRule type="expression" priority="1134" dxfId="22">
      <formula>AV118="후보"</formula>
    </cfRule>
  </conditionalFormatting>
  <conditionalFormatting sqref="AC11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1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18">
    <cfRule type="expression" priority="1125" dxfId="3">
      <formula>AND(IF(OR($Q118=1,$Q118=2),1,0),IF($X118&lt;=20,1,0))</formula>
    </cfRule>
    <cfRule type="expression" priority="1126" dxfId="2">
      <formula>AND(IF($Q118=2,1,0),IF($X118&lt;30,1,0))</formula>
    </cfRule>
    <cfRule type="expression" priority="1127" dxfId="1">
      <formula>AND(IF($Q118=3,1,0),IF($X118&lt;30,1,0))</formula>
    </cfRule>
    <cfRule type="expression" priority="1128" dxfId="0">
      <formula>AND(IF($Q118=3,1,IF($Q118=4,1,0)),IF($F118&lt;=85,1,0))</formula>
    </cfRule>
  </conditionalFormatting>
  <conditionalFormatting sqref="X118">
    <cfRule type="expression" priority="1121" dxfId="3">
      <formula>AND(IF(OR($Q118=1,$Q118=2),1,0),IF($X118&lt;=20,1,0))</formula>
    </cfRule>
    <cfRule type="expression" priority="1122" dxfId="2">
      <formula>AND(IF($Q118=2,1,0),IF($X118&lt;30,1,0))</formula>
    </cfRule>
    <cfRule type="expression" priority="1123" dxfId="1">
      <formula>AND(IF($Q118=3,1,0),IF($X118&lt;30,1,0))</formula>
    </cfRule>
    <cfRule type="expression" priority="1124" dxfId="0">
      <formula>AND(IF($Q118=3,1,IF($Q118=4,1,0)),IF($F118&lt;=85,1,0))</formula>
    </cfRule>
  </conditionalFormatting>
  <conditionalFormatting sqref="AI118">
    <cfRule type="expression" priority="1117" dxfId="3">
      <formula>AND(IF(OR($Q118=1,$Q118=2),1,0),IF($X118&lt;=20,1,0))</formula>
    </cfRule>
    <cfRule type="expression" priority="1118" dxfId="2">
      <formula>AND(IF($Q118=2,1,0),IF($X118&lt;30,1,0))</formula>
    </cfRule>
    <cfRule type="expression" priority="1119" dxfId="1">
      <formula>AND(IF($Q118=3,1,0),IF($X118&lt;30,1,0))</formula>
    </cfRule>
    <cfRule type="expression" priority="1120" dxfId="0">
      <formula>AND(IF($Q118=3,1,IF($Q118=4,1,0)),IF($F118&lt;=85,1,0))</formula>
    </cfRule>
  </conditionalFormatting>
  <conditionalFormatting sqref="AV119">
    <cfRule type="expression" priority="1115" dxfId="23">
      <formula>AV119="X"</formula>
    </cfRule>
    <cfRule type="expression" priority="1116" dxfId="22">
      <formula>AV119="후보"</formula>
    </cfRule>
  </conditionalFormatting>
  <conditionalFormatting sqref="AC11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1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19">
    <cfRule type="expression" priority="1107" dxfId="3">
      <formula>AND(IF(OR($Q119=1,$Q119=2),1,0),IF($X119&lt;=20,1,0))</formula>
    </cfRule>
    <cfRule type="expression" priority="1108" dxfId="2">
      <formula>AND(IF($Q119=2,1,0),IF($X119&lt;30,1,0))</formula>
    </cfRule>
    <cfRule type="expression" priority="1109" dxfId="1">
      <formula>AND(IF($Q119=3,1,0),IF($X119&lt;30,1,0))</formula>
    </cfRule>
    <cfRule type="expression" priority="1110" dxfId="0">
      <formula>AND(IF($Q119=3,1,IF($Q119=4,1,0)),IF($F119&lt;=85,1,0))</formula>
    </cfRule>
  </conditionalFormatting>
  <conditionalFormatting sqref="X119">
    <cfRule type="expression" priority="1103" dxfId="3">
      <formula>AND(IF(OR($Q119=1,$Q119=2),1,0),IF($X119&lt;=20,1,0))</formula>
    </cfRule>
    <cfRule type="expression" priority="1104" dxfId="2">
      <formula>AND(IF($Q119=2,1,0),IF($X119&lt;30,1,0))</formula>
    </cfRule>
    <cfRule type="expression" priority="1105" dxfId="1">
      <formula>AND(IF($Q119=3,1,0),IF($X119&lt;30,1,0))</formula>
    </cfRule>
    <cfRule type="expression" priority="1106" dxfId="0">
      <formula>AND(IF($Q119=3,1,IF($Q119=4,1,0)),IF($F119&lt;=85,1,0))</formula>
    </cfRule>
  </conditionalFormatting>
  <conditionalFormatting sqref="AI119">
    <cfRule type="expression" priority="1099" dxfId="3">
      <formula>AND(IF(OR($Q119=1,$Q119=2),1,0),IF($X119&lt;=20,1,0))</formula>
    </cfRule>
    <cfRule type="expression" priority="1100" dxfId="2">
      <formula>AND(IF($Q119=2,1,0),IF($X119&lt;30,1,0))</formula>
    </cfRule>
    <cfRule type="expression" priority="1101" dxfId="1">
      <formula>AND(IF($Q119=3,1,0),IF($X119&lt;30,1,0))</formula>
    </cfRule>
    <cfRule type="expression" priority="1102" dxfId="0">
      <formula>AND(IF($Q119=3,1,IF($Q119=4,1,0)),IF($F119&lt;=85,1,0))</formula>
    </cfRule>
  </conditionalFormatting>
  <conditionalFormatting sqref="AV120">
    <cfRule type="expression" priority="1097" dxfId="23">
      <formula>AV120="X"</formula>
    </cfRule>
    <cfRule type="expression" priority="1098" dxfId="22">
      <formula>AV120="후보"</formula>
    </cfRule>
  </conditionalFormatting>
  <conditionalFormatting sqref="AC12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2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20">
    <cfRule type="expression" priority="1089" dxfId="3">
      <formula>AND(IF(OR($Q120=1,$Q120=2),1,0),IF($X120&lt;=20,1,0))</formula>
    </cfRule>
    <cfRule type="expression" priority="1090" dxfId="2">
      <formula>AND(IF($Q120=2,1,0),IF($X120&lt;30,1,0))</formula>
    </cfRule>
    <cfRule type="expression" priority="1091" dxfId="1">
      <formula>AND(IF($Q120=3,1,0),IF($X120&lt;30,1,0))</formula>
    </cfRule>
    <cfRule type="expression" priority="1092" dxfId="0">
      <formula>AND(IF($Q120=3,1,IF($Q120=4,1,0)),IF($F120&lt;=85,1,0))</formula>
    </cfRule>
  </conditionalFormatting>
  <conditionalFormatting sqref="X120">
    <cfRule type="expression" priority="1085" dxfId="3">
      <formula>AND(IF(OR($Q120=1,$Q120=2),1,0),IF($X120&lt;=20,1,0))</formula>
    </cfRule>
    <cfRule type="expression" priority="1086" dxfId="2">
      <formula>AND(IF($Q120=2,1,0),IF($X120&lt;30,1,0))</formula>
    </cfRule>
    <cfRule type="expression" priority="1087" dxfId="1">
      <formula>AND(IF($Q120=3,1,0),IF($X120&lt;30,1,0))</formula>
    </cfRule>
    <cfRule type="expression" priority="1088" dxfId="0">
      <formula>AND(IF($Q120=3,1,IF($Q120=4,1,0)),IF($F120&lt;=85,1,0))</formula>
    </cfRule>
  </conditionalFormatting>
  <conditionalFormatting sqref="AI120">
    <cfRule type="expression" priority="1081" dxfId="3">
      <formula>AND(IF(OR($Q120=1,$Q120=2),1,0),IF($X120&lt;=20,1,0))</formula>
    </cfRule>
    <cfRule type="expression" priority="1082" dxfId="2">
      <formula>AND(IF($Q120=2,1,0),IF($X120&lt;30,1,0))</formula>
    </cfRule>
    <cfRule type="expression" priority="1083" dxfId="1">
      <formula>AND(IF($Q120=3,1,0),IF($X120&lt;30,1,0))</formula>
    </cfRule>
    <cfRule type="expression" priority="1084" dxfId="0">
      <formula>AND(IF($Q120=3,1,IF($Q120=4,1,0)),IF($F120&lt;=85,1,0))</formula>
    </cfRule>
  </conditionalFormatting>
  <conditionalFormatting sqref="AV121">
    <cfRule type="expression" priority="1079" dxfId="23">
      <formula>AV121="X"</formula>
    </cfRule>
    <cfRule type="expression" priority="1080" dxfId="22">
      <formula>AV121="후보"</formula>
    </cfRule>
  </conditionalFormatting>
  <conditionalFormatting sqref="AC121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2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21">
    <cfRule type="expression" priority="1071" dxfId="3">
      <formula>AND(IF(OR($Q121=1,$Q121=2),1,0),IF($X121&lt;=20,1,0))</formula>
    </cfRule>
    <cfRule type="expression" priority="1072" dxfId="2">
      <formula>AND(IF($Q121=2,1,0),IF($X121&lt;30,1,0))</formula>
    </cfRule>
    <cfRule type="expression" priority="1073" dxfId="1">
      <formula>AND(IF($Q121=3,1,0),IF($X121&lt;30,1,0))</formula>
    </cfRule>
    <cfRule type="expression" priority="1074" dxfId="0">
      <formula>AND(IF($Q121=3,1,IF($Q121=4,1,0)),IF($F121&lt;=85,1,0))</formula>
    </cfRule>
  </conditionalFormatting>
  <conditionalFormatting sqref="X121">
    <cfRule type="expression" priority="1067" dxfId="3">
      <formula>AND(IF(OR($Q121=1,$Q121=2),1,0),IF($X121&lt;=20,1,0))</formula>
    </cfRule>
    <cfRule type="expression" priority="1068" dxfId="2">
      <formula>AND(IF($Q121=2,1,0),IF($X121&lt;30,1,0))</formula>
    </cfRule>
    <cfRule type="expression" priority="1069" dxfId="1">
      <formula>AND(IF($Q121=3,1,0),IF($X121&lt;30,1,0))</formula>
    </cfRule>
    <cfRule type="expression" priority="1070" dxfId="0">
      <formula>AND(IF($Q121=3,1,IF($Q121=4,1,0)),IF($F121&lt;=85,1,0))</formula>
    </cfRule>
  </conditionalFormatting>
  <conditionalFormatting sqref="AI121">
    <cfRule type="expression" priority="1063" dxfId="3">
      <formula>AND(IF(OR($Q121=1,$Q121=2),1,0),IF($X121&lt;=20,1,0))</formula>
    </cfRule>
    <cfRule type="expression" priority="1064" dxfId="2">
      <formula>AND(IF($Q121=2,1,0),IF($X121&lt;30,1,0))</formula>
    </cfRule>
    <cfRule type="expression" priority="1065" dxfId="1">
      <formula>AND(IF($Q121=3,1,0),IF($X121&lt;30,1,0))</formula>
    </cfRule>
    <cfRule type="expression" priority="1066" dxfId="0">
      <formula>AND(IF($Q121=3,1,IF($Q121=4,1,0)),IF($F121&lt;=85,1,0))</formula>
    </cfRule>
  </conditionalFormatting>
  <conditionalFormatting sqref="AV122">
    <cfRule type="expression" priority="1061" dxfId="23">
      <formula>AV122="X"</formula>
    </cfRule>
    <cfRule type="expression" priority="1062" dxfId="22">
      <formula>AV122="후보"</formula>
    </cfRule>
  </conditionalFormatting>
  <conditionalFormatting sqref="AC122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2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22">
    <cfRule type="expression" priority="1053" dxfId="3">
      <formula>AND(IF(OR($Q122=1,$Q122=2),1,0),IF($X122&lt;=20,1,0))</formula>
    </cfRule>
    <cfRule type="expression" priority="1054" dxfId="2">
      <formula>AND(IF($Q122=2,1,0),IF($X122&lt;30,1,0))</formula>
    </cfRule>
    <cfRule type="expression" priority="1055" dxfId="1">
      <formula>AND(IF($Q122=3,1,0),IF($X122&lt;30,1,0))</formula>
    </cfRule>
    <cfRule type="expression" priority="1056" dxfId="0">
      <formula>AND(IF($Q122=3,1,IF($Q122=4,1,0)),IF($F122&lt;=85,1,0))</formula>
    </cfRule>
  </conditionalFormatting>
  <conditionalFormatting sqref="X122">
    <cfRule type="expression" priority="1049" dxfId="3">
      <formula>AND(IF(OR($Q122=1,$Q122=2),1,0),IF($X122&lt;=20,1,0))</formula>
    </cfRule>
    <cfRule type="expression" priority="1050" dxfId="2">
      <formula>AND(IF($Q122=2,1,0),IF($X122&lt;30,1,0))</formula>
    </cfRule>
    <cfRule type="expression" priority="1051" dxfId="1">
      <formula>AND(IF($Q122=3,1,0),IF($X122&lt;30,1,0))</formula>
    </cfRule>
    <cfRule type="expression" priority="1052" dxfId="0">
      <formula>AND(IF($Q122=3,1,IF($Q122=4,1,0)),IF($F122&lt;=85,1,0))</formula>
    </cfRule>
  </conditionalFormatting>
  <conditionalFormatting sqref="AI122">
    <cfRule type="expression" priority="1045" dxfId="3">
      <formula>AND(IF(OR($Q122=1,$Q122=2),1,0),IF($X122&lt;=20,1,0))</formula>
    </cfRule>
    <cfRule type="expression" priority="1046" dxfId="2">
      <formula>AND(IF($Q122=2,1,0),IF($X122&lt;30,1,0))</formula>
    </cfRule>
    <cfRule type="expression" priority="1047" dxfId="1">
      <formula>AND(IF($Q122=3,1,0),IF($X122&lt;30,1,0))</formula>
    </cfRule>
    <cfRule type="expression" priority="1048" dxfId="0">
      <formula>AND(IF($Q122=3,1,IF($Q122=4,1,0)),IF($F122&lt;=85,1,0))</formula>
    </cfRule>
  </conditionalFormatting>
  <conditionalFormatting sqref="AV123">
    <cfRule type="expression" priority="1043" dxfId="23">
      <formula>AV123="X"</formula>
    </cfRule>
    <cfRule type="expression" priority="1044" dxfId="22">
      <formula>AV123="후보"</formula>
    </cfRule>
  </conditionalFormatting>
  <conditionalFormatting sqref="AC12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2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23">
    <cfRule type="expression" priority="1035" dxfId="3">
      <formula>AND(IF(OR($Q123=1,$Q123=2),1,0),IF($X123&lt;=20,1,0))</formula>
    </cfRule>
    <cfRule type="expression" priority="1036" dxfId="2">
      <formula>AND(IF($Q123=2,1,0),IF($X123&lt;30,1,0))</formula>
    </cfRule>
    <cfRule type="expression" priority="1037" dxfId="1">
      <formula>AND(IF($Q123=3,1,0),IF($X123&lt;30,1,0))</formula>
    </cfRule>
    <cfRule type="expression" priority="1038" dxfId="0">
      <formula>AND(IF($Q123=3,1,IF($Q123=4,1,0)),IF($F123&lt;=85,1,0))</formula>
    </cfRule>
  </conditionalFormatting>
  <conditionalFormatting sqref="X123">
    <cfRule type="expression" priority="1031" dxfId="3">
      <formula>AND(IF(OR($Q123=1,$Q123=2),1,0),IF($X123&lt;=20,1,0))</formula>
    </cfRule>
    <cfRule type="expression" priority="1032" dxfId="2">
      <formula>AND(IF($Q123=2,1,0),IF($X123&lt;30,1,0))</formula>
    </cfRule>
    <cfRule type="expression" priority="1033" dxfId="1">
      <formula>AND(IF($Q123=3,1,0),IF($X123&lt;30,1,0))</formula>
    </cfRule>
    <cfRule type="expression" priority="1034" dxfId="0">
      <formula>AND(IF($Q123=3,1,IF($Q123=4,1,0)),IF($F123&lt;=85,1,0))</formula>
    </cfRule>
  </conditionalFormatting>
  <conditionalFormatting sqref="AI123">
    <cfRule type="expression" priority="1027" dxfId="3">
      <formula>AND(IF(OR($Q123=1,$Q123=2),1,0),IF($X123&lt;=20,1,0))</formula>
    </cfRule>
    <cfRule type="expression" priority="1028" dxfId="2">
      <formula>AND(IF($Q123=2,1,0),IF($X123&lt;30,1,0))</formula>
    </cfRule>
    <cfRule type="expression" priority="1029" dxfId="1">
      <formula>AND(IF($Q123=3,1,0),IF($X123&lt;30,1,0))</formula>
    </cfRule>
    <cfRule type="expression" priority="1030" dxfId="0">
      <formula>AND(IF($Q123=3,1,IF($Q123=4,1,0)),IF($F123&lt;=85,1,0))</formula>
    </cfRule>
  </conditionalFormatting>
  <conditionalFormatting sqref="AV124">
    <cfRule type="expression" priority="1025" dxfId="23">
      <formula>AV124="X"</formula>
    </cfRule>
    <cfRule type="expression" priority="1026" dxfId="22">
      <formula>AV124="후보"</formula>
    </cfRule>
  </conditionalFormatting>
  <conditionalFormatting sqref="AC124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2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24">
    <cfRule type="expression" priority="1017" dxfId="3">
      <formula>AND(IF(OR($Q124=1,$Q124=2),1,0),IF($X124&lt;=20,1,0))</formula>
    </cfRule>
    <cfRule type="expression" priority="1018" dxfId="2">
      <formula>AND(IF($Q124=2,1,0),IF($X124&lt;30,1,0))</formula>
    </cfRule>
    <cfRule type="expression" priority="1019" dxfId="1">
      <formula>AND(IF($Q124=3,1,0),IF($X124&lt;30,1,0))</formula>
    </cfRule>
    <cfRule type="expression" priority="1020" dxfId="0">
      <formula>AND(IF($Q124=3,1,IF($Q124=4,1,0)),IF($F124&lt;=85,1,0))</formula>
    </cfRule>
  </conditionalFormatting>
  <conditionalFormatting sqref="X124">
    <cfRule type="expression" priority="1013" dxfId="3">
      <formula>AND(IF(OR($Q124=1,$Q124=2),1,0),IF($X124&lt;=20,1,0))</formula>
    </cfRule>
    <cfRule type="expression" priority="1014" dxfId="2">
      <formula>AND(IF($Q124=2,1,0),IF($X124&lt;30,1,0))</formula>
    </cfRule>
    <cfRule type="expression" priority="1015" dxfId="1">
      <formula>AND(IF($Q124=3,1,0),IF($X124&lt;30,1,0))</formula>
    </cfRule>
    <cfRule type="expression" priority="1016" dxfId="0">
      <formula>AND(IF($Q124=3,1,IF($Q124=4,1,0)),IF($F124&lt;=85,1,0))</formula>
    </cfRule>
  </conditionalFormatting>
  <conditionalFormatting sqref="AI124">
    <cfRule type="expression" priority="1009" dxfId="3">
      <formula>AND(IF(OR($Q124=1,$Q124=2),1,0),IF($X124&lt;=20,1,0))</formula>
    </cfRule>
    <cfRule type="expression" priority="1010" dxfId="2">
      <formula>AND(IF($Q124=2,1,0),IF($X124&lt;30,1,0))</formula>
    </cfRule>
    <cfRule type="expression" priority="1011" dxfId="1">
      <formula>AND(IF($Q124=3,1,0),IF($X124&lt;30,1,0))</formula>
    </cfRule>
    <cfRule type="expression" priority="1012" dxfId="0">
      <formula>AND(IF($Q124=3,1,IF($Q124=4,1,0)),IF($F124&lt;=85,1,0))</formula>
    </cfRule>
  </conditionalFormatting>
  <conditionalFormatting sqref="AV125">
    <cfRule type="expression" priority="1007" dxfId="23">
      <formula>AV125="X"</formula>
    </cfRule>
    <cfRule type="expression" priority="1008" dxfId="22">
      <formula>AV125="후보"</formula>
    </cfRule>
  </conditionalFormatting>
  <conditionalFormatting sqref="AC12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2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25">
    <cfRule type="expression" priority="999" dxfId="3">
      <formula>AND(IF(OR($Q125=1,$Q125=2),1,0),IF($X125&lt;=20,1,0))</formula>
    </cfRule>
    <cfRule type="expression" priority="1000" dxfId="2">
      <formula>AND(IF($Q125=2,1,0),IF($X125&lt;30,1,0))</formula>
    </cfRule>
    <cfRule type="expression" priority="1001" dxfId="1">
      <formula>AND(IF($Q125=3,1,0),IF($X125&lt;30,1,0))</formula>
    </cfRule>
    <cfRule type="expression" priority="1002" dxfId="0">
      <formula>AND(IF($Q125=3,1,IF($Q125=4,1,0)),IF($F125&lt;=85,1,0))</formula>
    </cfRule>
  </conditionalFormatting>
  <conditionalFormatting sqref="X125">
    <cfRule type="expression" priority="995" dxfId="3">
      <formula>AND(IF(OR($Q125=1,$Q125=2),1,0),IF($X125&lt;=20,1,0))</formula>
    </cfRule>
    <cfRule type="expression" priority="996" dxfId="2">
      <formula>AND(IF($Q125=2,1,0),IF($X125&lt;30,1,0))</formula>
    </cfRule>
    <cfRule type="expression" priority="997" dxfId="1">
      <formula>AND(IF($Q125=3,1,0),IF($X125&lt;30,1,0))</formula>
    </cfRule>
    <cfRule type="expression" priority="998" dxfId="0">
      <formula>AND(IF($Q125=3,1,IF($Q125=4,1,0)),IF($F125&lt;=85,1,0))</formula>
    </cfRule>
  </conditionalFormatting>
  <conditionalFormatting sqref="AI125">
    <cfRule type="expression" priority="991" dxfId="3">
      <formula>AND(IF(OR($Q125=1,$Q125=2),1,0),IF($X125&lt;=20,1,0))</formula>
    </cfRule>
    <cfRule type="expression" priority="992" dxfId="2">
      <formula>AND(IF($Q125=2,1,0),IF($X125&lt;30,1,0))</formula>
    </cfRule>
    <cfRule type="expression" priority="993" dxfId="1">
      <formula>AND(IF($Q125=3,1,0),IF($X125&lt;30,1,0))</formula>
    </cfRule>
    <cfRule type="expression" priority="994" dxfId="0">
      <formula>AND(IF($Q125=3,1,IF($Q125=4,1,0)),IF($F125&lt;=85,1,0))</formula>
    </cfRule>
  </conditionalFormatting>
  <conditionalFormatting sqref="AV126">
    <cfRule type="expression" priority="989" dxfId="23">
      <formula>AV126="X"</formula>
    </cfRule>
    <cfRule type="expression" priority="990" dxfId="22">
      <formula>AV126="후보"</formula>
    </cfRule>
  </conditionalFormatting>
  <conditionalFormatting sqref="AC126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2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26">
    <cfRule type="expression" priority="981" dxfId="3">
      <formula>AND(IF(OR($Q126=1,$Q126=2),1,0),IF($X126&lt;=20,1,0))</formula>
    </cfRule>
    <cfRule type="expression" priority="982" dxfId="2">
      <formula>AND(IF($Q126=2,1,0),IF($X126&lt;30,1,0))</formula>
    </cfRule>
    <cfRule type="expression" priority="983" dxfId="1">
      <formula>AND(IF($Q126=3,1,0),IF($X126&lt;30,1,0))</formula>
    </cfRule>
    <cfRule type="expression" priority="984" dxfId="0">
      <formula>AND(IF($Q126=3,1,IF($Q126=4,1,0)),IF($F126&lt;=85,1,0))</formula>
    </cfRule>
  </conditionalFormatting>
  <conditionalFormatting sqref="X126">
    <cfRule type="expression" priority="977" dxfId="3">
      <formula>AND(IF(OR($Q126=1,$Q126=2),1,0),IF($X126&lt;=20,1,0))</formula>
    </cfRule>
    <cfRule type="expression" priority="978" dxfId="2">
      <formula>AND(IF($Q126=2,1,0),IF($X126&lt;30,1,0))</formula>
    </cfRule>
    <cfRule type="expression" priority="979" dxfId="1">
      <formula>AND(IF($Q126=3,1,0),IF($X126&lt;30,1,0))</formula>
    </cfRule>
    <cfRule type="expression" priority="980" dxfId="0">
      <formula>AND(IF($Q126=3,1,IF($Q126=4,1,0)),IF($F126&lt;=85,1,0))</formula>
    </cfRule>
  </conditionalFormatting>
  <conditionalFormatting sqref="AI126">
    <cfRule type="expression" priority="973" dxfId="3">
      <formula>AND(IF(OR($Q126=1,$Q126=2),1,0),IF($X126&lt;=20,1,0))</formula>
    </cfRule>
    <cfRule type="expression" priority="974" dxfId="2">
      <formula>AND(IF($Q126=2,1,0),IF($X126&lt;30,1,0))</formula>
    </cfRule>
    <cfRule type="expression" priority="975" dxfId="1">
      <formula>AND(IF($Q126=3,1,0),IF($X126&lt;30,1,0))</formula>
    </cfRule>
    <cfRule type="expression" priority="976" dxfId="0">
      <formula>AND(IF($Q126=3,1,IF($Q126=4,1,0)),IF($F126&lt;=85,1,0))</formula>
    </cfRule>
  </conditionalFormatting>
  <conditionalFormatting sqref="AV127">
    <cfRule type="expression" priority="971" dxfId="23">
      <formula>AV127="X"</formula>
    </cfRule>
    <cfRule type="expression" priority="972" dxfId="22">
      <formula>AV127="후보"</formula>
    </cfRule>
  </conditionalFormatting>
  <conditionalFormatting sqref="AC12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2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27">
    <cfRule type="expression" priority="963" dxfId="3">
      <formula>AND(IF(OR($Q127=1,$Q127=2),1,0),IF($X127&lt;=20,1,0))</formula>
    </cfRule>
    <cfRule type="expression" priority="964" dxfId="2">
      <formula>AND(IF($Q127=2,1,0),IF($X127&lt;30,1,0))</formula>
    </cfRule>
    <cfRule type="expression" priority="965" dxfId="1">
      <formula>AND(IF($Q127=3,1,0),IF($X127&lt;30,1,0))</formula>
    </cfRule>
    <cfRule type="expression" priority="966" dxfId="0">
      <formula>AND(IF($Q127=3,1,IF($Q127=4,1,0)),IF($F127&lt;=85,1,0))</formula>
    </cfRule>
  </conditionalFormatting>
  <conditionalFormatting sqref="X127">
    <cfRule type="expression" priority="959" dxfId="3">
      <formula>AND(IF(OR($Q127=1,$Q127=2),1,0),IF($X127&lt;=20,1,0))</formula>
    </cfRule>
    <cfRule type="expression" priority="960" dxfId="2">
      <formula>AND(IF($Q127=2,1,0),IF($X127&lt;30,1,0))</formula>
    </cfRule>
    <cfRule type="expression" priority="961" dxfId="1">
      <formula>AND(IF($Q127=3,1,0),IF($X127&lt;30,1,0))</formula>
    </cfRule>
    <cfRule type="expression" priority="962" dxfId="0">
      <formula>AND(IF($Q127=3,1,IF($Q127=4,1,0)),IF($F127&lt;=85,1,0))</formula>
    </cfRule>
  </conditionalFormatting>
  <conditionalFormatting sqref="AI127">
    <cfRule type="expression" priority="955" dxfId="3">
      <formula>AND(IF(OR($Q127=1,$Q127=2),1,0),IF($X127&lt;=20,1,0))</formula>
    </cfRule>
    <cfRule type="expression" priority="956" dxfId="2">
      <formula>AND(IF($Q127=2,1,0),IF($X127&lt;30,1,0))</formula>
    </cfRule>
    <cfRule type="expression" priority="957" dxfId="1">
      <formula>AND(IF($Q127=3,1,0),IF($X127&lt;30,1,0))</formula>
    </cfRule>
    <cfRule type="expression" priority="958" dxfId="0">
      <formula>AND(IF($Q127=3,1,IF($Q127=4,1,0)),IF($F127&lt;=85,1,0))</formula>
    </cfRule>
  </conditionalFormatting>
  <conditionalFormatting sqref="AV128">
    <cfRule type="expression" priority="953" dxfId="23">
      <formula>AV128="X"</formula>
    </cfRule>
    <cfRule type="expression" priority="954" dxfId="22">
      <formula>AV128="후보"</formula>
    </cfRule>
  </conditionalFormatting>
  <conditionalFormatting sqref="AC128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2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28">
    <cfRule type="expression" priority="945" dxfId="3">
      <formula>AND(IF(OR($Q128=1,$Q128=2),1,0),IF($X128&lt;=20,1,0))</formula>
    </cfRule>
    <cfRule type="expression" priority="946" dxfId="2">
      <formula>AND(IF($Q128=2,1,0),IF($X128&lt;30,1,0))</formula>
    </cfRule>
    <cfRule type="expression" priority="947" dxfId="1">
      <formula>AND(IF($Q128=3,1,0),IF($X128&lt;30,1,0))</formula>
    </cfRule>
    <cfRule type="expression" priority="948" dxfId="0">
      <formula>AND(IF($Q128=3,1,IF($Q128=4,1,0)),IF($F128&lt;=85,1,0))</formula>
    </cfRule>
  </conditionalFormatting>
  <conditionalFormatting sqref="X128">
    <cfRule type="expression" priority="941" dxfId="3">
      <formula>AND(IF(OR($Q128=1,$Q128=2),1,0),IF($X128&lt;=20,1,0))</formula>
    </cfRule>
    <cfRule type="expression" priority="942" dxfId="2">
      <formula>AND(IF($Q128=2,1,0),IF($X128&lt;30,1,0))</formula>
    </cfRule>
    <cfRule type="expression" priority="943" dxfId="1">
      <formula>AND(IF($Q128=3,1,0),IF($X128&lt;30,1,0))</formula>
    </cfRule>
    <cfRule type="expression" priority="944" dxfId="0">
      <formula>AND(IF($Q128=3,1,IF($Q128=4,1,0)),IF($F128&lt;=85,1,0))</formula>
    </cfRule>
  </conditionalFormatting>
  <conditionalFormatting sqref="AI128">
    <cfRule type="expression" priority="937" dxfId="3">
      <formula>AND(IF(OR($Q128=1,$Q128=2),1,0),IF($X128&lt;=20,1,0))</formula>
    </cfRule>
    <cfRule type="expression" priority="938" dxfId="2">
      <formula>AND(IF($Q128=2,1,0),IF($X128&lt;30,1,0))</formula>
    </cfRule>
    <cfRule type="expression" priority="939" dxfId="1">
      <formula>AND(IF($Q128=3,1,0),IF($X128&lt;30,1,0))</formula>
    </cfRule>
    <cfRule type="expression" priority="940" dxfId="0">
      <formula>AND(IF($Q128=3,1,IF($Q128=4,1,0)),IF($F128&lt;=85,1,0))</formula>
    </cfRule>
  </conditionalFormatting>
  <conditionalFormatting sqref="AV129">
    <cfRule type="expression" priority="935" dxfId="23">
      <formula>AV129="X"</formula>
    </cfRule>
    <cfRule type="expression" priority="936" dxfId="22">
      <formula>AV129="후보"</formula>
    </cfRule>
  </conditionalFormatting>
  <conditionalFormatting sqref="AC12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2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29">
    <cfRule type="expression" priority="927" dxfId="3">
      <formula>AND(IF(OR($Q129=1,$Q129=2),1,0),IF($X129&lt;=20,1,0))</formula>
    </cfRule>
    <cfRule type="expression" priority="928" dxfId="2">
      <formula>AND(IF($Q129=2,1,0),IF($X129&lt;30,1,0))</formula>
    </cfRule>
    <cfRule type="expression" priority="929" dxfId="1">
      <formula>AND(IF($Q129=3,1,0),IF($X129&lt;30,1,0))</formula>
    </cfRule>
    <cfRule type="expression" priority="930" dxfId="0">
      <formula>AND(IF($Q129=3,1,IF($Q129=4,1,0)),IF($F129&lt;=85,1,0))</formula>
    </cfRule>
  </conditionalFormatting>
  <conditionalFormatting sqref="X129">
    <cfRule type="expression" priority="923" dxfId="3">
      <formula>AND(IF(OR($Q129=1,$Q129=2),1,0),IF($X129&lt;=20,1,0))</formula>
    </cfRule>
    <cfRule type="expression" priority="924" dxfId="2">
      <formula>AND(IF($Q129=2,1,0),IF($X129&lt;30,1,0))</formula>
    </cfRule>
    <cfRule type="expression" priority="925" dxfId="1">
      <formula>AND(IF($Q129=3,1,0),IF($X129&lt;30,1,0))</formula>
    </cfRule>
    <cfRule type="expression" priority="926" dxfId="0">
      <formula>AND(IF($Q129=3,1,IF($Q129=4,1,0)),IF($F129&lt;=85,1,0))</formula>
    </cfRule>
  </conditionalFormatting>
  <conditionalFormatting sqref="AI129">
    <cfRule type="expression" priority="919" dxfId="3">
      <formula>AND(IF(OR($Q129=1,$Q129=2),1,0),IF($X129&lt;=20,1,0))</formula>
    </cfRule>
    <cfRule type="expression" priority="920" dxfId="2">
      <formula>AND(IF($Q129=2,1,0),IF($X129&lt;30,1,0))</formula>
    </cfRule>
    <cfRule type="expression" priority="921" dxfId="1">
      <formula>AND(IF($Q129=3,1,0),IF($X129&lt;30,1,0))</formula>
    </cfRule>
    <cfRule type="expression" priority="922" dxfId="0">
      <formula>AND(IF($Q129=3,1,IF($Q129=4,1,0)),IF($F129&lt;=85,1,0))</formula>
    </cfRule>
  </conditionalFormatting>
  <conditionalFormatting sqref="AV130">
    <cfRule type="expression" priority="917" dxfId="23">
      <formula>AV130="X"</formula>
    </cfRule>
    <cfRule type="expression" priority="918" dxfId="22">
      <formula>AV130="후보"</formula>
    </cfRule>
  </conditionalFormatting>
  <conditionalFormatting sqref="AC13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3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30">
    <cfRule type="expression" priority="909" dxfId="3">
      <formula>AND(IF(OR($Q130=1,$Q130=2),1,0),IF($X130&lt;=20,1,0))</formula>
    </cfRule>
    <cfRule type="expression" priority="910" dxfId="2">
      <formula>AND(IF($Q130=2,1,0),IF($X130&lt;30,1,0))</formula>
    </cfRule>
    <cfRule type="expression" priority="911" dxfId="1">
      <formula>AND(IF($Q130=3,1,0),IF($X130&lt;30,1,0))</formula>
    </cfRule>
    <cfRule type="expression" priority="912" dxfId="0">
      <formula>AND(IF($Q130=3,1,IF($Q130=4,1,0)),IF($F130&lt;=85,1,0))</formula>
    </cfRule>
  </conditionalFormatting>
  <conditionalFormatting sqref="X130">
    <cfRule type="expression" priority="905" dxfId="3">
      <formula>AND(IF(OR($Q130=1,$Q130=2),1,0),IF($X130&lt;=20,1,0))</formula>
    </cfRule>
    <cfRule type="expression" priority="906" dxfId="2">
      <formula>AND(IF($Q130=2,1,0),IF($X130&lt;30,1,0))</formula>
    </cfRule>
    <cfRule type="expression" priority="907" dxfId="1">
      <formula>AND(IF($Q130=3,1,0),IF($X130&lt;30,1,0))</formula>
    </cfRule>
    <cfRule type="expression" priority="908" dxfId="0">
      <formula>AND(IF($Q130=3,1,IF($Q130=4,1,0)),IF($F130&lt;=85,1,0))</formula>
    </cfRule>
  </conditionalFormatting>
  <conditionalFormatting sqref="AI130">
    <cfRule type="expression" priority="901" dxfId="3">
      <formula>AND(IF(OR($Q130=1,$Q130=2),1,0),IF($X130&lt;=20,1,0))</formula>
    </cfRule>
    <cfRule type="expression" priority="902" dxfId="2">
      <formula>AND(IF($Q130=2,1,0),IF($X130&lt;30,1,0))</formula>
    </cfRule>
    <cfRule type="expression" priority="903" dxfId="1">
      <formula>AND(IF($Q130=3,1,0),IF($X130&lt;30,1,0))</formula>
    </cfRule>
    <cfRule type="expression" priority="904" dxfId="0">
      <formula>AND(IF($Q130=3,1,IF($Q130=4,1,0)),IF($F130&lt;=85,1,0))</formula>
    </cfRule>
  </conditionalFormatting>
  <conditionalFormatting sqref="AV131">
    <cfRule type="expression" priority="899" dxfId="23">
      <formula>AV131="X"</formula>
    </cfRule>
    <cfRule type="expression" priority="900" dxfId="22">
      <formula>AV131="후보"</formula>
    </cfRule>
  </conditionalFormatting>
  <conditionalFormatting sqref="AC13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3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31">
    <cfRule type="expression" priority="891" dxfId="3">
      <formula>AND(IF(OR($Q131=1,$Q131=2),1,0),IF($X131&lt;=20,1,0))</formula>
    </cfRule>
    <cfRule type="expression" priority="892" dxfId="2">
      <formula>AND(IF($Q131=2,1,0),IF($X131&lt;30,1,0))</formula>
    </cfRule>
    <cfRule type="expression" priority="893" dxfId="1">
      <formula>AND(IF($Q131=3,1,0),IF($X131&lt;30,1,0))</formula>
    </cfRule>
    <cfRule type="expression" priority="894" dxfId="0">
      <formula>AND(IF($Q131=3,1,IF($Q131=4,1,0)),IF($F131&lt;=85,1,0))</formula>
    </cfRule>
  </conditionalFormatting>
  <conditionalFormatting sqref="X131">
    <cfRule type="expression" priority="887" dxfId="3">
      <formula>AND(IF(OR($Q131=1,$Q131=2),1,0),IF($X131&lt;=20,1,0))</formula>
    </cfRule>
    <cfRule type="expression" priority="888" dxfId="2">
      <formula>AND(IF($Q131=2,1,0),IF($X131&lt;30,1,0))</formula>
    </cfRule>
    <cfRule type="expression" priority="889" dxfId="1">
      <formula>AND(IF($Q131=3,1,0),IF($X131&lt;30,1,0))</formula>
    </cfRule>
    <cfRule type="expression" priority="890" dxfId="0">
      <formula>AND(IF($Q131=3,1,IF($Q131=4,1,0)),IF($F131&lt;=85,1,0))</formula>
    </cfRule>
  </conditionalFormatting>
  <conditionalFormatting sqref="AI131">
    <cfRule type="expression" priority="883" dxfId="3">
      <formula>AND(IF(OR($Q131=1,$Q131=2),1,0),IF($X131&lt;=20,1,0))</formula>
    </cfRule>
    <cfRule type="expression" priority="884" dxfId="2">
      <formula>AND(IF($Q131=2,1,0),IF($X131&lt;30,1,0))</formula>
    </cfRule>
    <cfRule type="expression" priority="885" dxfId="1">
      <formula>AND(IF($Q131=3,1,0),IF($X131&lt;30,1,0))</formula>
    </cfRule>
    <cfRule type="expression" priority="886" dxfId="0">
      <formula>AND(IF($Q131=3,1,IF($Q131=4,1,0)),IF($F131&lt;=85,1,0))</formula>
    </cfRule>
  </conditionalFormatting>
  <conditionalFormatting sqref="AV132">
    <cfRule type="expression" priority="881" dxfId="23">
      <formula>AV132="X"</formula>
    </cfRule>
    <cfRule type="expression" priority="882" dxfId="22">
      <formula>AV132="후보"</formula>
    </cfRule>
  </conditionalFormatting>
  <conditionalFormatting sqref="AC13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3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32">
    <cfRule type="expression" priority="873" dxfId="3">
      <formula>AND(IF(OR($Q132=1,$Q132=2),1,0),IF($X132&lt;=20,1,0))</formula>
    </cfRule>
    <cfRule type="expression" priority="874" dxfId="2">
      <formula>AND(IF($Q132=2,1,0),IF($X132&lt;30,1,0))</formula>
    </cfRule>
    <cfRule type="expression" priority="875" dxfId="1">
      <formula>AND(IF($Q132=3,1,0),IF($X132&lt;30,1,0))</formula>
    </cfRule>
    <cfRule type="expression" priority="876" dxfId="0">
      <formula>AND(IF($Q132=3,1,IF($Q132=4,1,0)),IF($F132&lt;=85,1,0))</formula>
    </cfRule>
  </conditionalFormatting>
  <conditionalFormatting sqref="X132">
    <cfRule type="expression" priority="869" dxfId="3">
      <formula>AND(IF(OR($Q132=1,$Q132=2),1,0),IF($X132&lt;=20,1,0))</formula>
    </cfRule>
    <cfRule type="expression" priority="870" dxfId="2">
      <formula>AND(IF($Q132=2,1,0),IF($X132&lt;30,1,0))</formula>
    </cfRule>
    <cfRule type="expression" priority="871" dxfId="1">
      <formula>AND(IF($Q132=3,1,0),IF($X132&lt;30,1,0))</formula>
    </cfRule>
    <cfRule type="expression" priority="872" dxfId="0">
      <formula>AND(IF($Q132=3,1,IF($Q132=4,1,0)),IF($F132&lt;=85,1,0))</formula>
    </cfRule>
  </conditionalFormatting>
  <conditionalFormatting sqref="AI132">
    <cfRule type="expression" priority="865" dxfId="3">
      <formula>AND(IF(OR($Q132=1,$Q132=2),1,0),IF($X132&lt;=20,1,0))</formula>
    </cfRule>
    <cfRule type="expression" priority="866" dxfId="2">
      <formula>AND(IF($Q132=2,1,0),IF($X132&lt;30,1,0))</formula>
    </cfRule>
    <cfRule type="expression" priority="867" dxfId="1">
      <formula>AND(IF($Q132=3,1,0),IF($X132&lt;30,1,0))</formula>
    </cfRule>
    <cfRule type="expression" priority="868" dxfId="0">
      <formula>AND(IF($Q132=3,1,IF($Q132=4,1,0)),IF($F132&lt;=85,1,0))</formula>
    </cfRule>
  </conditionalFormatting>
  <conditionalFormatting sqref="AV133">
    <cfRule type="expression" priority="863" dxfId="23">
      <formula>AV133="X"</formula>
    </cfRule>
    <cfRule type="expression" priority="864" dxfId="22">
      <formula>AV133="후보"</formula>
    </cfRule>
  </conditionalFormatting>
  <conditionalFormatting sqref="AC13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3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33">
    <cfRule type="expression" priority="855" dxfId="3">
      <formula>AND(IF(OR($Q133=1,$Q133=2),1,0),IF($X133&lt;=20,1,0))</formula>
    </cfRule>
    <cfRule type="expression" priority="856" dxfId="2">
      <formula>AND(IF($Q133=2,1,0),IF($X133&lt;30,1,0))</formula>
    </cfRule>
    <cfRule type="expression" priority="857" dxfId="1">
      <formula>AND(IF($Q133=3,1,0),IF($X133&lt;30,1,0))</formula>
    </cfRule>
    <cfRule type="expression" priority="858" dxfId="0">
      <formula>AND(IF($Q133=3,1,IF($Q133=4,1,0)),IF($F133&lt;=85,1,0))</formula>
    </cfRule>
  </conditionalFormatting>
  <conditionalFormatting sqref="X133">
    <cfRule type="expression" priority="851" dxfId="3">
      <formula>AND(IF(OR($Q133=1,$Q133=2),1,0),IF($X133&lt;=20,1,0))</formula>
    </cfRule>
    <cfRule type="expression" priority="852" dxfId="2">
      <formula>AND(IF($Q133=2,1,0),IF($X133&lt;30,1,0))</formula>
    </cfRule>
    <cfRule type="expression" priority="853" dxfId="1">
      <formula>AND(IF($Q133=3,1,0),IF($X133&lt;30,1,0))</formula>
    </cfRule>
    <cfRule type="expression" priority="854" dxfId="0">
      <formula>AND(IF($Q133=3,1,IF($Q133=4,1,0)),IF($F133&lt;=85,1,0))</formula>
    </cfRule>
  </conditionalFormatting>
  <conditionalFormatting sqref="AI133">
    <cfRule type="expression" priority="847" dxfId="3">
      <formula>AND(IF(OR($Q133=1,$Q133=2),1,0),IF($X133&lt;=20,1,0))</formula>
    </cfRule>
    <cfRule type="expression" priority="848" dxfId="2">
      <formula>AND(IF($Q133=2,1,0),IF($X133&lt;30,1,0))</formula>
    </cfRule>
    <cfRule type="expression" priority="849" dxfId="1">
      <formula>AND(IF($Q133=3,1,0),IF($X133&lt;30,1,0))</formula>
    </cfRule>
    <cfRule type="expression" priority="850" dxfId="0">
      <formula>AND(IF($Q133=3,1,IF($Q133=4,1,0)),IF($F133&lt;=85,1,0))</formula>
    </cfRule>
  </conditionalFormatting>
  <conditionalFormatting sqref="AV134">
    <cfRule type="expression" priority="845" dxfId="23">
      <formula>AV134="X"</formula>
    </cfRule>
    <cfRule type="expression" priority="846" dxfId="22">
      <formula>AV134="후보"</formula>
    </cfRule>
  </conditionalFormatting>
  <conditionalFormatting sqref="AC13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3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34">
    <cfRule type="expression" priority="837" dxfId="3">
      <formula>AND(IF(OR($Q134=1,$Q134=2),1,0),IF($X134&lt;=20,1,0))</formula>
    </cfRule>
    <cfRule type="expression" priority="838" dxfId="2">
      <formula>AND(IF($Q134=2,1,0),IF($X134&lt;30,1,0))</formula>
    </cfRule>
    <cfRule type="expression" priority="839" dxfId="1">
      <formula>AND(IF($Q134=3,1,0),IF($X134&lt;30,1,0))</formula>
    </cfRule>
    <cfRule type="expression" priority="840" dxfId="0">
      <formula>AND(IF($Q134=3,1,IF($Q134=4,1,0)),IF($F134&lt;=85,1,0))</formula>
    </cfRule>
  </conditionalFormatting>
  <conditionalFormatting sqref="X134">
    <cfRule type="expression" priority="833" dxfId="3">
      <formula>AND(IF(OR($Q134=1,$Q134=2),1,0),IF($X134&lt;=20,1,0))</formula>
    </cfRule>
    <cfRule type="expression" priority="834" dxfId="2">
      <formula>AND(IF($Q134=2,1,0),IF($X134&lt;30,1,0))</formula>
    </cfRule>
    <cfRule type="expression" priority="835" dxfId="1">
      <formula>AND(IF($Q134=3,1,0),IF($X134&lt;30,1,0))</formula>
    </cfRule>
    <cfRule type="expression" priority="836" dxfId="0">
      <formula>AND(IF($Q134=3,1,IF($Q134=4,1,0)),IF($F134&lt;=85,1,0))</formula>
    </cfRule>
  </conditionalFormatting>
  <conditionalFormatting sqref="AI134">
    <cfRule type="expression" priority="829" dxfId="3">
      <formula>AND(IF(OR($Q134=1,$Q134=2),1,0),IF($X134&lt;=20,1,0))</formula>
    </cfRule>
    <cfRule type="expression" priority="830" dxfId="2">
      <formula>AND(IF($Q134=2,1,0),IF($X134&lt;30,1,0))</formula>
    </cfRule>
    <cfRule type="expression" priority="831" dxfId="1">
      <formula>AND(IF($Q134=3,1,0),IF($X134&lt;30,1,0))</formula>
    </cfRule>
    <cfRule type="expression" priority="832" dxfId="0">
      <formula>AND(IF($Q134=3,1,IF($Q134=4,1,0)),IF($F134&lt;=85,1,0))</formula>
    </cfRule>
  </conditionalFormatting>
  <conditionalFormatting sqref="AV135">
    <cfRule type="expression" priority="827" dxfId="23">
      <formula>AV135="X"</formula>
    </cfRule>
    <cfRule type="expression" priority="828" dxfId="22">
      <formula>AV135="후보"</formula>
    </cfRule>
  </conditionalFormatting>
  <conditionalFormatting sqref="AC13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3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35">
    <cfRule type="expression" priority="819" dxfId="3">
      <formula>AND(IF(OR($Q135=1,$Q135=2),1,0),IF($X135&lt;=20,1,0))</formula>
    </cfRule>
    <cfRule type="expression" priority="820" dxfId="2">
      <formula>AND(IF($Q135=2,1,0),IF($X135&lt;30,1,0))</formula>
    </cfRule>
    <cfRule type="expression" priority="821" dxfId="1">
      <formula>AND(IF($Q135=3,1,0),IF($X135&lt;30,1,0))</formula>
    </cfRule>
    <cfRule type="expression" priority="822" dxfId="0">
      <formula>AND(IF($Q135=3,1,IF($Q135=4,1,0)),IF($F135&lt;=85,1,0))</formula>
    </cfRule>
  </conditionalFormatting>
  <conditionalFormatting sqref="X135">
    <cfRule type="expression" priority="815" dxfId="3">
      <formula>AND(IF(OR($Q135=1,$Q135=2),1,0),IF($X135&lt;=20,1,0))</formula>
    </cfRule>
    <cfRule type="expression" priority="816" dxfId="2">
      <formula>AND(IF($Q135=2,1,0),IF($X135&lt;30,1,0))</formula>
    </cfRule>
    <cfRule type="expression" priority="817" dxfId="1">
      <formula>AND(IF($Q135=3,1,0),IF($X135&lt;30,1,0))</formula>
    </cfRule>
    <cfRule type="expression" priority="818" dxfId="0">
      <formula>AND(IF($Q135=3,1,IF($Q135=4,1,0)),IF($F135&lt;=85,1,0))</formula>
    </cfRule>
  </conditionalFormatting>
  <conditionalFormatting sqref="AI135">
    <cfRule type="expression" priority="811" dxfId="3">
      <formula>AND(IF(OR($Q135=1,$Q135=2),1,0),IF($X135&lt;=20,1,0))</formula>
    </cfRule>
    <cfRule type="expression" priority="812" dxfId="2">
      <formula>AND(IF($Q135=2,1,0),IF($X135&lt;30,1,0))</formula>
    </cfRule>
    <cfRule type="expression" priority="813" dxfId="1">
      <formula>AND(IF($Q135=3,1,0),IF($X135&lt;30,1,0))</formula>
    </cfRule>
    <cfRule type="expression" priority="814" dxfId="0">
      <formula>AND(IF($Q135=3,1,IF($Q135=4,1,0)),IF($F135&lt;=85,1,0))</formula>
    </cfRule>
  </conditionalFormatting>
  <conditionalFormatting sqref="AV136">
    <cfRule type="expression" priority="809" dxfId="23">
      <formula>AV136="X"</formula>
    </cfRule>
    <cfRule type="expression" priority="810" dxfId="22">
      <formula>AV136="후보"</formula>
    </cfRule>
  </conditionalFormatting>
  <conditionalFormatting sqref="AC13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3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36">
    <cfRule type="expression" priority="801" dxfId="3">
      <formula>AND(IF(OR($Q136=1,$Q136=2),1,0),IF($X136&lt;=20,1,0))</formula>
    </cfRule>
    <cfRule type="expression" priority="802" dxfId="2">
      <formula>AND(IF($Q136=2,1,0),IF($X136&lt;30,1,0))</formula>
    </cfRule>
    <cfRule type="expression" priority="803" dxfId="1">
      <formula>AND(IF($Q136=3,1,0),IF($X136&lt;30,1,0))</formula>
    </cfRule>
    <cfRule type="expression" priority="804" dxfId="0">
      <formula>AND(IF($Q136=3,1,IF($Q136=4,1,0)),IF($F136&lt;=85,1,0))</formula>
    </cfRule>
  </conditionalFormatting>
  <conditionalFormatting sqref="X136">
    <cfRule type="expression" priority="797" dxfId="3">
      <formula>AND(IF(OR($Q136=1,$Q136=2),1,0),IF($X136&lt;=20,1,0))</formula>
    </cfRule>
    <cfRule type="expression" priority="798" dxfId="2">
      <formula>AND(IF($Q136=2,1,0),IF($X136&lt;30,1,0))</formula>
    </cfRule>
    <cfRule type="expression" priority="799" dxfId="1">
      <formula>AND(IF($Q136=3,1,0),IF($X136&lt;30,1,0))</formula>
    </cfRule>
    <cfRule type="expression" priority="800" dxfId="0">
      <formula>AND(IF($Q136=3,1,IF($Q136=4,1,0)),IF($F136&lt;=85,1,0))</formula>
    </cfRule>
  </conditionalFormatting>
  <conditionalFormatting sqref="AI136">
    <cfRule type="expression" priority="793" dxfId="3">
      <formula>AND(IF(OR($Q136=1,$Q136=2),1,0),IF($X136&lt;=20,1,0))</formula>
    </cfRule>
    <cfRule type="expression" priority="794" dxfId="2">
      <formula>AND(IF($Q136=2,1,0),IF($X136&lt;30,1,0))</formula>
    </cfRule>
    <cfRule type="expression" priority="795" dxfId="1">
      <formula>AND(IF($Q136=3,1,0),IF($X136&lt;30,1,0))</formula>
    </cfRule>
    <cfRule type="expression" priority="796" dxfId="0">
      <formula>AND(IF($Q136=3,1,IF($Q136=4,1,0)),IF($F136&lt;=85,1,0))</formula>
    </cfRule>
  </conditionalFormatting>
  <conditionalFormatting sqref="AV137">
    <cfRule type="expression" priority="791" dxfId="23">
      <formula>AV137="X"</formula>
    </cfRule>
    <cfRule type="expression" priority="792" dxfId="22">
      <formula>AV137="후보"</formula>
    </cfRule>
  </conditionalFormatting>
  <conditionalFormatting sqref="AC13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3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37">
    <cfRule type="expression" priority="783" dxfId="3">
      <formula>AND(IF(OR($Q137=1,$Q137=2),1,0),IF($X137&lt;=20,1,0))</formula>
    </cfRule>
    <cfRule type="expression" priority="784" dxfId="2">
      <formula>AND(IF($Q137=2,1,0),IF($X137&lt;30,1,0))</formula>
    </cfRule>
    <cfRule type="expression" priority="785" dxfId="1">
      <formula>AND(IF($Q137=3,1,0),IF($X137&lt;30,1,0))</formula>
    </cfRule>
    <cfRule type="expression" priority="786" dxfId="0">
      <formula>AND(IF($Q137=3,1,IF($Q137=4,1,0)),IF($F137&lt;=85,1,0))</formula>
    </cfRule>
  </conditionalFormatting>
  <conditionalFormatting sqref="X137">
    <cfRule type="expression" priority="779" dxfId="3">
      <formula>AND(IF(OR($Q137=1,$Q137=2),1,0),IF($X137&lt;=20,1,0))</formula>
    </cfRule>
    <cfRule type="expression" priority="780" dxfId="2">
      <formula>AND(IF($Q137=2,1,0),IF($X137&lt;30,1,0))</formula>
    </cfRule>
    <cfRule type="expression" priority="781" dxfId="1">
      <formula>AND(IF($Q137=3,1,0),IF($X137&lt;30,1,0))</formula>
    </cfRule>
    <cfRule type="expression" priority="782" dxfId="0">
      <formula>AND(IF($Q137=3,1,IF($Q137=4,1,0)),IF($F137&lt;=85,1,0))</formula>
    </cfRule>
  </conditionalFormatting>
  <conditionalFormatting sqref="AI137">
    <cfRule type="expression" priority="775" dxfId="3">
      <formula>AND(IF(OR($Q137=1,$Q137=2),1,0),IF($X137&lt;=20,1,0))</formula>
    </cfRule>
    <cfRule type="expression" priority="776" dxfId="2">
      <formula>AND(IF($Q137=2,1,0),IF($X137&lt;30,1,0))</formula>
    </cfRule>
    <cfRule type="expression" priority="777" dxfId="1">
      <formula>AND(IF($Q137=3,1,0),IF($X137&lt;30,1,0))</formula>
    </cfRule>
    <cfRule type="expression" priority="778" dxfId="0">
      <formula>AND(IF($Q137=3,1,IF($Q137=4,1,0)),IF($F137&lt;=85,1,0))</formula>
    </cfRule>
  </conditionalFormatting>
  <conditionalFormatting sqref="AV138">
    <cfRule type="expression" priority="773" dxfId="23">
      <formula>AV138="X"</formula>
    </cfRule>
    <cfRule type="expression" priority="774" dxfId="22">
      <formula>AV138="후보"</formula>
    </cfRule>
  </conditionalFormatting>
  <conditionalFormatting sqref="AC13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3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38">
    <cfRule type="expression" priority="765" dxfId="3">
      <formula>AND(IF(OR($Q138=1,$Q138=2),1,0),IF($X138&lt;=20,1,0))</formula>
    </cfRule>
    <cfRule type="expression" priority="766" dxfId="2">
      <formula>AND(IF($Q138=2,1,0),IF($X138&lt;30,1,0))</formula>
    </cfRule>
    <cfRule type="expression" priority="767" dxfId="1">
      <formula>AND(IF($Q138=3,1,0),IF($X138&lt;30,1,0))</formula>
    </cfRule>
    <cfRule type="expression" priority="768" dxfId="0">
      <formula>AND(IF($Q138=3,1,IF($Q138=4,1,0)),IF($F138&lt;=85,1,0))</formula>
    </cfRule>
  </conditionalFormatting>
  <conditionalFormatting sqref="X138">
    <cfRule type="expression" priority="761" dxfId="3">
      <formula>AND(IF(OR($Q138=1,$Q138=2),1,0),IF($X138&lt;=20,1,0))</formula>
    </cfRule>
    <cfRule type="expression" priority="762" dxfId="2">
      <formula>AND(IF($Q138=2,1,0),IF($X138&lt;30,1,0))</formula>
    </cfRule>
    <cfRule type="expression" priority="763" dxfId="1">
      <formula>AND(IF($Q138=3,1,0),IF($X138&lt;30,1,0))</formula>
    </cfRule>
    <cfRule type="expression" priority="764" dxfId="0">
      <formula>AND(IF($Q138=3,1,IF($Q138=4,1,0)),IF($F138&lt;=85,1,0))</formula>
    </cfRule>
  </conditionalFormatting>
  <conditionalFormatting sqref="AI138">
    <cfRule type="expression" priority="757" dxfId="3">
      <formula>AND(IF(OR($Q138=1,$Q138=2),1,0),IF($X138&lt;=20,1,0))</formula>
    </cfRule>
    <cfRule type="expression" priority="758" dxfId="2">
      <formula>AND(IF($Q138=2,1,0),IF($X138&lt;30,1,0))</formula>
    </cfRule>
    <cfRule type="expression" priority="759" dxfId="1">
      <formula>AND(IF($Q138=3,1,0),IF($X138&lt;30,1,0))</formula>
    </cfRule>
    <cfRule type="expression" priority="760" dxfId="0">
      <formula>AND(IF($Q138=3,1,IF($Q138=4,1,0)),IF($F138&lt;=85,1,0))</formula>
    </cfRule>
  </conditionalFormatting>
  <conditionalFormatting sqref="AV139">
    <cfRule type="expression" priority="755" dxfId="23">
      <formula>AV139="X"</formula>
    </cfRule>
    <cfRule type="expression" priority="756" dxfId="22">
      <formula>AV139="후보"</formula>
    </cfRule>
  </conditionalFormatting>
  <conditionalFormatting sqref="AC13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3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39">
    <cfRule type="expression" priority="747" dxfId="3">
      <formula>AND(IF(OR($Q139=1,$Q139=2),1,0),IF($X139&lt;=20,1,0))</formula>
    </cfRule>
    <cfRule type="expression" priority="748" dxfId="2">
      <formula>AND(IF($Q139=2,1,0),IF($X139&lt;30,1,0))</formula>
    </cfRule>
    <cfRule type="expression" priority="749" dxfId="1">
      <formula>AND(IF($Q139=3,1,0),IF($X139&lt;30,1,0))</formula>
    </cfRule>
    <cfRule type="expression" priority="750" dxfId="0">
      <formula>AND(IF($Q139=3,1,IF($Q139=4,1,0)),IF($F139&lt;=85,1,0))</formula>
    </cfRule>
  </conditionalFormatting>
  <conditionalFormatting sqref="X139">
    <cfRule type="expression" priority="743" dxfId="3">
      <formula>AND(IF(OR($Q139=1,$Q139=2),1,0),IF($X139&lt;=20,1,0))</formula>
    </cfRule>
    <cfRule type="expression" priority="744" dxfId="2">
      <formula>AND(IF($Q139=2,1,0),IF($X139&lt;30,1,0))</formula>
    </cfRule>
    <cfRule type="expression" priority="745" dxfId="1">
      <formula>AND(IF($Q139=3,1,0),IF($X139&lt;30,1,0))</formula>
    </cfRule>
    <cfRule type="expression" priority="746" dxfId="0">
      <formula>AND(IF($Q139=3,1,IF($Q139=4,1,0)),IF($F139&lt;=85,1,0))</formula>
    </cfRule>
  </conditionalFormatting>
  <conditionalFormatting sqref="AI139">
    <cfRule type="expression" priority="739" dxfId="3">
      <formula>AND(IF(OR($Q139=1,$Q139=2),1,0),IF($X139&lt;=20,1,0))</formula>
    </cfRule>
    <cfRule type="expression" priority="740" dxfId="2">
      <formula>AND(IF($Q139=2,1,0),IF($X139&lt;30,1,0))</formula>
    </cfRule>
    <cfRule type="expression" priority="741" dxfId="1">
      <formula>AND(IF($Q139=3,1,0),IF($X139&lt;30,1,0))</formula>
    </cfRule>
    <cfRule type="expression" priority="742" dxfId="0">
      <formula>AND(IF($Q139=3,1,IF($Q139=4,1,0)),IF($F139&lt;=85,1,0))</formula>
    </cfRule>
  </conditionalFormatting>
  <conditionalFormatting sqref="AV140">
    <cfRule type="expression" priority="737" dxfId="23">
      <formula>AV140="X"</formula>
    </cfRule>
    <cfRule type="expression" priority="738" dxfId="22">
      <formula>AV140="후보"</formula>
    </cfRule>
  </conditionalFormatting>
  <conditionalFormatting sqref="AC14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4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40">
    <cfRule type="expression" priority="729" dxfId="3">
      <formula>AND(IF(OR($Q140=1,$Q140=2),1,0),IF($X140&lt;=20,1,0))</formula>
    </cfRule>
    <cfRule type="expression" priority="730" dxfId="2">
      <formula>AND(IF($Q140=2,1,0),IF($X140&lt;30,1,0))</formula>
    </cfRule>
    <cfRule type="expression" priority="731" dxfId="1">
      <formula>AND(IF($Q140=3,1,0),IF($X140&lt;30,1,0))</formula>
    </cfRule>
    <cfRule type="expression" priority="732" dxfId="0">
      <formula>AND(IF($Q140=3,1,IF($Q140=4,1,0)),IF($F140&lt;=85,1,0))</formula>
    </cfRule>
  </conditionalFormatting>
  <conditionalFormatting sqref="X140">
    <cfRule type="expression" priority="725" dxfId="3">
      <formula>AND(IF(OR($Q140=1,$Q140=2),1,0),IF($X140&lt;=20,1,0))</formula>
    </cfRule>
    <cfRule type="expression" priority="726" dxfId="2">
      <formula>AND(IF($Q140=2,1,0),IF($X140&lt;30,1,0))</formula>
    </cfRule>
    <cfRule type="expression" priority="727" dxfId="1">
      <formula>AND(IF($Q140=3,1,0),IF($X140&lt;30,1,0))</formula>
    </cfRule>
    <cfRule type="expression" priority="728" dxfId="0">
      <formula>AND(IF($Q140=3,1,IF($Q140=4,1,0)),IF($F140&lt;=85,1,0))</formula>
    </cfRule>
  </conditionalFormatting>
  <conditionalFormatting sqref="AI140">
    <cfRule type="expression" priority="721" dxfId="3">
      <formula>AND(IF(OR($Q140=1,$Q140=2),1,0),IF($X140&lt;=20,1,0))</formula>
    </cfRule>
    <cfRule type="expression" priority="722" dxfId="2">
      <formula>AND(IF($Q140=2,1,0),IF($X140&lt;30,1,0))</formula>
    </cfRule>
    <cfRule type="expression" priority="723" dxfId="1">
      <formula>AND(IF($Q140=3,1,0),IF($X140&lt;30,1,0))</formula>
    </cfRule>
    <cfRule type="expression" priority="724" dxfId="0">
      <formula>AND(IF($Q140=3,1,IF($Q140=4,1,0)),IF($F140&lt;=85,1,0))</formula>
    </cfRule>
  </conditionalFormatting>
  <conditionalFormatting sqref="AV141">
    <cfRule type="expression" priority="719" dxfId="23">
      <formula>AV141="X"</formula>
    </cfRule>
    <cfRule type="expression" priority="720" dxfId="22">
      <formula>AV141="후보"</formula>
    </cfRule>
  </conditionalFormatting>
  <conditionalFormatting sqref="AC14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4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41">
    <cfRule type="expression" priority="711" dxfId="3">
      <formula>AND(IF(OR($Q141=1,$Q141=2),1,0),IF($X141&lt;=20,1,0))</formula>
    </cfRule>
    <cfRule type="expression" priority="712" dxfId="2">
      <formula>AND(IF($Q141=2,1,0),IF($X141&lt;30,1,0))</formula>
    </cfRule>
    <cfRule type="expression" priority="713" dxfId="1">
      <formula>AND(IF($Q141=3,1,0),IF($X141&lt;30,1,0))</formula>
    </cfRule>
    <cfRule type="expression" priority="714" dxfId="0">
      <formula>AND(IF($Q141=3,1,IF($Q141=4,1,0)),IF($F141&lt;=85,1,0))</formula>
    </cfRule>
  </conditionalFormatting>
  <conditionalFormatting sqref="X141">
    <cfRule type="expression" priority="707" dxfId="3">
      <formula>AND(IF(OR($Q141=1,$Q141=2),1,0),IF($X141&lt;=20,1,0))</formula>
    </cfRule>
    <cfRule type="expression" priority="708" dxfId="2">
      <formula>AND(IF($Q141=2,1,0),IF($X141&lt;30,1,0))</formula>
    </cfRule>
    <cfRule type="expression" priority="709" dxfId="1">
      <formula>AND(IF($Q141=3,1,0),IF($X141&lt;30,1,0))</formula>
    </cfRule>
    <cfRule type="expression" priority="710" dxfId="0">
      <formula>AND(IF($Q141=3,1,IF($Q141=4,1,0)),IF($F141&lt;=85,1,0))</formula>
    </cfRule>
  </conditionalFormatting>
  <conditionalFormatting sqref="AI141">
    <cfRule type="expression" priority="703" dxfId="3">
      <formula>AND(IF(OR($Q141=1,$Q141=2),1,0),IF($X141&lt;=20,1,0))</formula>
    </cfRule>
    <cfRule type="expression" priority="704" dxfId="2">
      <formula>AND(IF($Q141=2,1,0),IF($X141&lt;30,1,0))</formula>
    </cfRule>
    <cfRule type="expression" priority="705" dxfId="1">
      <formula>AND(IF($Q141=3,1,0),IF($X141&lt;30,1,0))</formula>
    </cfRule>
    <cfRule type="expression" priority="706" dxfId="0">
      <formula>AND(IF($Q141=3,1,IF($Q141=4,1,0)),IF($F141&lt;=85,1,0))</formula>
    </cfRule>
  </conditionalFormatting>
  <conditionalFormatting sqref="AV142">
    <cfRule type="expression" priority="701" dxfId="23">
      <formula>AV142="X"</formula>
    </cfRule>
    <cfRule type="expression" priority="702" dxfId="22">
      <formula>AV142="후보"</formula>
    </cfRule>
  </conditionalFormatting>
  <conditionalFormatting sqref="AC14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4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42">
    <cfRule type="expression" priority="693" dxfId="3">
      <formula>AND(IF(OR($Q142=1,$Q142=2),1,0),IF($X142&lt;=20,1,0))</formula>
    </cfRule>
    <cfRule type="expression" priority="694" dxfId="2">
      <formula>AND(IF($Q142=2,1,0),IF($X142&lt;30,1,0))</formula>
    </cfRule>
    <cfRule type="expression" priority="695" dxfId="1">
      <formula>AND(IF($Q142=3,1,0),IF($X142&lt;30,1,0))</formula>
    </cfRule>
    <cfRule type="expression" priority="696" dxfId="0">
      <formula>AND(IF($Q142=3,1,IF($Q142=4,1,0)),IF($F142&lt;=85,1,0))</formula>
    </cfRule>
  </conditionalFormatting>
  <conditionalFormatting sqref="X142">
    <cfRule type="expression" priority="689" dxfId="3">
      <formula>AND(IF(OR($Q142=1,$Q142=2),1,0),IF($X142&lt;=20,1,0))</formula>
    </cfRule>
    <cfRule type="expression" priority="690" dxfId="2">
      <formula>AND(IF($Q142=2,1,0),IF($X142&lt;30,1,0))</formula>
    </cfRule>
    <cfRule type="expression" priority="691" dxfId="1">
      <formula>AND(IF($Q142=3,1,0),IF($X142&lt;30,1,0))</formula>
    </cfRule>
    <cfRule type="expression" priority="692" dxfId="0">
      <formula>AND(IF($Q142=3,1,IF($Q142=4,1,0)),IF($F142&lt;=85,1,0))</formula>
    </cfRule>
  </conditionalFormatting>
  <conditionalFormatting sqref="AI142">
    <cfRule type="expression" priority="685" dxfId="3">
      <formula>AND(IF(OR($Q142=1,$Q142=2),1,0),IF($X142&lt;=20,1,0))</formula>
    </cfRule>
    <cfRule type="expression" priority="686" dxfId="2">
      <formula>AND(IF($Q142=2,1,0),IF($X142&lt;30,1,0))</formula>
    </cfRule>
    <cfRule type="expression" priority="687" dxfId="1">
      <formula>AND(IF($Q142=3,1,0),IF($X142&lt;30,1,0))</formula>
    </cfRule>
    <cfRule type="expression" priority="688" dxfId="0">
      <formula>AND(IF($Q142=3,1,IF($Q142=4,1,0)),IF($F142&lt;=85,1,0))</formula>
    </cfRule>
  </conditionalFormatting>
  <conditionalFormatting sqref="AV143">
    <cfRule type="expression" priority="683" dxfId="23">
      <formula>AV143="X"</formula>
    </cfRule>
    <cfRule type="expression" priority="684" dxfId="22">
      <formula>AV143="후보"</formula>
    </cfRule>
  </conditionalFormatting>
  <conditionalFormatting sqref="AC14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4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43">
    <cfRule type="expression" priority="675" dxfId="3">
      <formula>AND(IF(OR($Q143=1,$Q143=2),1,0),IF($X143&lt;=20,1,0))</formula>
    </cfRule>
    <cfRule type="expression" priority="676" dxfId="2">
      <formula>AND(IF($Q143=2,1,0),IF($X143&lt;30,1,0))</formula>
    </cfRule>
    <cfRule type="expression" priority="677" dxfId="1">
      <formula>AND(IF($Q143=3,1,0),IF($X143&lt;30,1,0))</formula>
    </cfRule>
    <cfRule type="expression" priority="678" dxfId="0">
      <formula>AND(IF($Q143=3,1,IF($Q143=4,1,0)),IF($F143&lt;=85,1,0))</formula>
    </cfRule>
  </conditionalFormatting>
  <conditionalFormatting sqref="X143">
    <cfRule type="expression" priority="671" dxfId="3">
      <formula>AND(IF(OR($Q143=1,$Q143=2),1,0),IF($X143&lt;=20,1,0))</formula>
    </cfRule>
    <cfRule type="expression" priority="672" dxfId="2">
      <formula>AND(IF($Q143=2,1,0),IF($X143&lt;30,1,0))</formula>
    </cfRule>
    <cfRule type="expression" priority="673" dxfId="1">
      <formula>AND(IF($Q143=3,1,0),IF($X143&lt;30,1,0))</formula>
    </cfRule>
    <cfRule type="expression" priority="674" dxfId="0">
      <formula>AND(IF($Q143=3,1,IF($Q143=4,1,0)),IF($F143&lt;=85,1,0))</formula>
    </cfRule>
  </conditionalFormatting>
  <conditionalFormatting sqref="AI143">
    <cfRule type="expression" priority="667" dxfId="3">
      <formula>AND(IF(OR($Q143=1,$Q143=2),1,0),IF($X143&lt;=20,1,0))</formula>
    </cfRule>
    <cfRule type="expression" priority="668" dxfId="2">
      <formula>AND(IF($Q143=2,1,0),IF($X143&lt;30,1,0))</formula>
    </cfRule>
    <cfRule type="expression" priority="669" dxfId="1">
      <formula>AND(IF($Q143=3,1,0),IF($X143&lt;30,1,0))</formula>
    </cfRule>
    <cfRule type="expression" priority="670" dxfId="0">
      <formula>AND(IF($Q143=3,1,IF($Q143=4,1,0)),IF($F143&lt;=85,1,0))</formula>
    </cfRule>
  </conditionalFormatting>
  <conditionalFormatting sqref="AV144">
    <cfRule type="expression" priority="665" dxfId="23">
      <formula>AV144="X"</formula>
    </cfRule>
    <cfRule type="expression" priority="666" dxfId="22">
      <formula>AV144="후보"</formula>
    </cfRule>
  </conditionalFormatting>
  <conditionalFormatting sqref="AC14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4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44">
    <cfRule type="expression" priority="657" dxfId="3">
      <formula>AND(IF(OR($Q144=1,$Q144=2),1,0),IF($X144&lt;=20,1,0))</formula>
    </cfRule>
    <cfRule type="expression" priority="658" dxfId="2">
      <formula>AND(IF($Q144=2,1,0),IF($X144&lt;30,1,0))</formula>
    </cfRule>
    <cfRule type="expression" priority="659" dxfId="1">
      <formula>AND(IF($Q144=3,1,0),IF($X144&lt;30,1,0))</formula>
    </cfRule>
    <cfRule type="expression" priority="660" dxfId="0">
      <formula>AND(IF($Q144=3,1,IF($Q144=4,1,0)),IF($F144&lt;=85,1,0))</formula>
    </cfRule>
  </conditionalFormatting>
  <conditionalFormatting sqref="X144">
    <cfRule type="expression" priority="653" dxfId="3">
      <formula>AND(IF(OR($Q144=1,$Q144=2),1,0),IF($X144&lt;=20,1,0))</formula>
    </cfRule>
    <cfRule type="expression" priority="654" dxfId="2">
      <formula>AND(IF($Q144=2,1,0),IF($X144&lt;30,1,0))</formula>
    </cfRule>
    <cfRule type="expression" priority="655" dxfId="1">
      <formula>AND(IF($Q144=3,1,0),IF($X144&lt;30,1,0))</formula>
    </cfRule>
    <cfRule type="expression" priority="656" dxfId="0">
      <formula>AND(IF($Q144=3,1,IF($Q144=4,1,0)),IF($F144&lt;=85,1,0))</formula>
    </cfRule>
  </conditionalFormatting>
  <conditionalFormatting sqref="AI144">
    <cfRule type="expression" priority="649" dxfId="3">
      <formula>AND(IF(OR($Q144=1,$Q144=2),1,0),IF($X144&lt;=20,1,0))</formula>
    </cfRule>
    <cfRule type="expression" priority="650" dxfId="2">
      <formula>AND(IF($Q144=2,1,0),IF($X144&lt;30,1,0))</formula>
    </cfRule>
    <cfRule type="expression" priority="651" dxfId="1">
      <formula>AND(IF($Q144=3,1,0),IF($X144&lt;30,1,0))</formula>
    </cfRule>
    <cfRule type="expression" priority="652" dxfId="0">
      <formula>AND(IF($Q144=3,1,IF($Q144=4,1,0)),IF($F144&lt;=85,1,0))</formula>
    </cfRule>
  </conditionalFormatting>
  <conditionalFormatting sqref="AV145">
    <cfRule type="expression" priority="647" dxfId="23">
      <formula>AV145="X"</formula>
    </cfRule>
    <cfRule type="expression" priority="648" dxfId="22">
      <formula>AV145="후보"</formula>
    </cfRule>
  </conditionalFormatting>
  <conditionalFormatting sqref="AC14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4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45">
    <cfRule type="expression" priority="639" dxfId="3">
      <formula>AND(IF(OR($Q145=1,$Q145=2),1,0),IF($X145&lt;=20,1,0))</formula>
    </cfRule>
    <cfRule type="expression" priority="640" dxfId="2">
      <formula>AND(IF($Q145=2,1,0),IF($X145&lt;30,1,0))</formula>
    </cfRule>
    <cfRule type="expression" priority="641" dxfId="1">
      <formula>AND(IF($Q145=3,1,0),IF($X145&lt;30,1,0))</formula>
    </cfRule>
    <cfRule type="expression" priority="642" dxfId="0">
      <formula>AND(IF($Q145=3,1,IF($Q145=4,1,0)),IF($F145&lt;=85,1,0))</formula>
    </cfRule>
  </conditionalFormatting>
  <conditionalFormatting sqref="X145">
    <cfRule type="expression" priority="635" dxfId="3">
      <formula>AND(IF(OR($Q145=1,$Q145=2),1,0),IF($X145&lt;=20,1,0))</formula>
    </cfRule>
    <cfRule type="expression" priority="636" dxfId="2">
      <formula>AND(IF($Q145=2,1,0),IF($X145&lt;30,1,0))</formula>
    </cfRule>
    <cfRule type="expression" priority="637" dxfId="1">
      <formula>AND(IF($Q145=3,1,0),IF($X145&lt;30,1,0))</formula>
    </cfRule>
    <cfRule type="expression" priority="638" dxfId="0">
      <formula>AND(IF($Q145=3,1,IF($Q145=4,1,0)),IF($F145&lt;=85,1,0))</formula>
    </cfRule>
  </conditionalFormatting>
  <conditionalFormatting sqref="AI145">
    <cfRule type="expression" priority="631" dxfId="3">
      <formula>AND(IF(OR($Q145=1,$Q145=2),1,0),IF($X145&lt;=20,1,0))</formula>
    </cfRule>
    <cfRule type="expression" priority="632" dxfId="2">
      <formula>AND(IF($Q145=2,1,0),IF($X145&lt;30,1,0))</formula>
    </cfRule>
    <cfRule type="expression" priority="633" dxfId="1">
      <formula>AND(IF($Q145=3,1,0),IF($X145&lt;30,1,0))</formula>
    </cfRule>
    <cfRule type="expression" priority="634" dxfId="0">
      <formula>AND(IF($Q145=3,1,IF($Q145=4,1,0)),IF($F145&lt;=85,1,0))</formula>
    </cfRule>
  </conditionalFormatting>
  <conditionalFormatting sqref="AV146">
    <cfRule type="expression" priority="629" dxfId="23">
      <formula>AV146="X"</formula>
    </cfRule>
    <cfRule type="expression" priority="630" dxfId="22">
      <formula>AV146="후보"</formula>
    </cfRule>
  </conditionalFormatting>
  <conditionalFormatting sqref="AC14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4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46">
    <cfRule type="expression" priority="621" dxfId="3">
      <formula>AND(IF(OR($Q146=1,$Q146=2),1,0),IF($X146&lt;=20,1,0))</formula>
    </cfRule>
    <cfRule type="expression" priority="622" dxfId="2">
      <formula>AND(IF($Q146=2,1,0),IF($X146&lt;30,1,0))</formula>
    </cfRule>
    <cfRule type="expression" priority="623" dxfId="1">
      <formula>AND(IF($Q146=3,1,0),IF($X146&lt;30,1,0))</formula>
    </cfRule>
    <cfRule type="expression" priority="624" dxfId="0">
      <formula>AND(IF($Q146=3,1,IF($Q146=4,1,0)),IF($F146&lt;=85,1,0))</formula>
    </cfRule>
  </conditionalFormatting>
  <conditionalFormatting sqref="X146">
    <cfRule type="expression" priority="617" dxfId="3">
      <formula>AND(IF(OR($Q146=1,$Q146=2),1,0),IF($X146&lt;=20,1,0))</formula>
    </cfRule>
    <cfRule type="expression" priority="618" dxfId="2">
      <formula>AND(IF($Q146=2,1,0),IF($X146&lt;30,1,0))</formula>
    </cfRule>
    <cfRule type="expression" priority="619" dxfId="1">
      <formula>AND(IF($Q146=3,1,0),IF($X146&lt;30,1,0))</formula>
    </cfRule>
    <cfRule type="expression" priority="620" dxfId="0">
      <formula>AND(IF($Q146=3,1,IF($Q146=4,1,0)),IF($F146&lt;=85,1,0))</formula>
    </cfRule>
  </conditionalFormatting>
  <conditionalFormatting sqref="AI146">
    <cfRule type="expression" priority="613" dxfId="3">
      <formula>AND(IF(OR($Q146=1,$Q146=2),1,0),IF($X146&lt;=20,1,0))</formula>
    </cfRule>
    <cfRule type="expression" priority="614" dxfId="2">
      <formula>AND(IF($Q146=2,1,0),IF($X146&lt;30,1,0))</formula>
    </cfRule>
    <cfRule type="expression" priority="615" dxfId="1">
      <formula>AND(IF($Q146=3,1,0),IF($X146&lt;30,1,0))</formula>
    </cfRule>
    <cfRule type="expression" priority="616" dxfId="0">
      <formula>AND(IF($Q146=3,1,IF($Q146=4,1,0)),IF($F146&lt;=85,1,0))</formula>
    </cfRule>
  </conditionalFormatting>
  <conditionalFormatting sqref="AV147">
    <cfRule type="expression" priority="611" dxfId="23">
      <formula>AV147="X"</formula>
    </cfRule>
    <cfRule type="expression" priority="612" dxfId="22">
      <formula>AV147="후보"</formula>
    </cfRule>
  </conditionalFormatting>
  <conditionalFormatting sqref="AC14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4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47">
    <cfRule type="expression" priority="603" dxfId="3">
      <formula>AND(IF(OR($Q147=1,$Q147=2),1,0),IF($X147&lt;=20,1,0))</formula>
    </cfRule>
    <cfRule type="expression" priority="604" dxfId="2">
      <formula>AND(IF($Q147=2,1,0),IF($X147&lt;30,1,0))</formula>
    </cfRule>
    <cfRule type="expression" priority="605" dxfId="1">
      <formula>AND(IF($Q147=3,1,0),IF($X147&lt;30,1,0))</formula>
    </cfRule>
    <cfRule type="expression" priority="606" dxfId="0">
      <formula>AND(IF($Q147=3,1,IF($Q147=4,1,0)),IF($F147&lt;=85,1,0))</formula>
    </cfRule>
  </conditionalFormatting>
  <conditionalFormatting sqref="X147">
    <cfRule type="expression" priority="599" dxfId="3">
      <formula>AND(IF(OR($Q147=1,$Q147=2),1,0),IF($X147&lt;=20,1,0))</formula>
    </cfRule>
    <cfRule type="expression" priority="600" dxfId="2">
      <formula>AND(IF($Q147=2,1,0),IF($X147&lt;30,1,0))</formula>
    </cfRule>
    <cfRule type="expression" priority="601" dxfId="1">
      <formula>AND(IF($Q147=3,1,0),IF($X147&lt;30,1,0))</formula>
    </cfRule>
    <cfRule type="expression" priority="602" dxfId="0">
      <formula>AND(IF($Q147=3,1,IF($Q147=4,1,0)),IF($F147&lt;=85,1,0))</formula>
    </cfRule>
  </conditionalFormatting>
  <conditionalFormatting sqref="AI147">
    <cfRule type="expression" priority="595" dxfId="3">
      <formula>AND(IF(OR($Q147=1,$Q147=2),1,0),IF($X147&lt;=20,1,0))</formula>
    </cfRule>
    <cfRule type="expression" priority="596" dxfId="2">
      <formula>AND(IF($Q147=2,1,0),IF($X147&lt;30,1,0))</formula>
    </cfRule>
    <cfRule type="expression" priority="597" dxfId="1">
      <formula>AND(IF($Q147=3,1,0),IF($X147&lt;30,1,0))</formula>
    </cfRule>
    <cfRule type="expression" priority="598" dxfId="0">
      <formula>AND(IF($Q147=3,1,IF($Q147=4,1,0)),IF($F147&lt;=85,1,0))</formula>
    </cfRule>
  </conditionalFormatting>
  <conditionalFormatting sqref="AV148">
    <cfRule type="expression" priority="593" dxfId="23">
      <formula>AV148="X"</formula>
    </cfRule>
    <cfRule type="expression" priority="594" dxfId="22">
      <formula>AV148="후보"</formula>
    </cfRule>
  </conditionalFormatting>
  <conditionalFormatting sqref="AC14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4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48">
    <cfRule type="expression" priority="585" dxfId="3">
      <formula>AND(IF(OR($Q148=1,$Q148=2),1,0),IF($X148&lt;=20,1,0))</formula>
    </cfRule>
    <cfRule type="expression" priority="586" dxfId="2">
      <formula>AND(IF($Q148=2,1,0),IF($X148&lt;30,1,0))</formula>
    </cfRule>
    <cfRule type="expression" priority="587" dxfId="1">
      <formula>AND(IF($Q148=3,1,0),IF($X148&lt;30,1,0))</formula>
    </cfRule>
    <cfRule type="expression" priority="588" dxfId="0">
      <formula>AND(IF($Q148=3,1,IF($Q148=4,1,0)),IF($F148&lt;=85,1,0))</formula>
    </cfRule>
  </conditionalFormatting>
  <conditionalFormatting sqref="X148">
    <cfRule type="expression" priority="581" dxfId="3">
      <formula>AND(IF(OR($Q148=1,$Q148=2),1,0),IF($X148&lt;=20,1,0))</formula>
    </cfRule>
    <cfRule type="expression" priority="582" dxfId="2">
      <formula>AND(IF($Q148=2,1,0),IF($X148&lt;30,1,0))</formula>
    </cfRule>
    <cfRule type="expression" priority="583" dxfId="1">
      <formula>AND(IF($Q148=3,1,0),IF($X148&lt;30,1,0))</formula>
    </cfRule>
    <cfRule type="expression" priority="584" dxfId="0">
      <formula>AND(IF($Q148=3,1,IF($Q148=4,1,0)),IF($F148&lt;=85,1,0))</formula>
    </cfRule>
  </conditionalFormatting>
  <conditionalFormatting sqref="AI148">
    <cfRule type="expression" priority="577" dxfId="3">
      <formula>AND(IF(OR($Q148=1,$Q148=2),1,0),IF($X148&lt;=20,1,0))</formula>
    </cfRule>
    <cfRule type="expression" priority="578" dxfId="2">
      <formula>AND(IF($Q148=2,1,0),IF($X148&lt;30,1,0))</formula>
    </cfRule>
    <cfRule type="expression" priority="579" dxfId="1">
      <formula>AND(IF($Q148=3,1,0),IF($X148&lt;30,1,0))</formula>
    </cfRule>
    <cfRule type="expression" priority="580" dxfId="0">
      <formula>AND(IF($Q148=3,1,IF($Q148=4,1,0)),IF($F148&lt;=85,1,0))</formula>
    </cfRule>
  </conditionalFormatting>
  <conditionalFormatting sqref="AV149">
    <cfRule type="expression" priority="575" dxfId="23">
      <formula>AV149="X"</formula>
    </cfRule>
    <cfRule type="expression" priority="576" dxfId="22">
      <formula>AV149="후보"</formula>
    </cfRule>
  </conditionalFormatting>
  <conditionalFormatting sqref="AC14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4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49">
    <cfRule type="expression" priority="567" dxfId="3">
      <formula>AND(IF(OR($Q149=1,$Q149=2),1,0),IF($X149&lt;=20,1,0))</formula>
    </cfRule>
    <cfRule type="expression" priority="568" dxfId="2">
      <formula>AND(IF($Q149=2,1,0),IF($X149&lt;30,1,0))</formula>
    </cfRule>
    <cfRule type="expression" priority="569" dxfId="1">
      <formula>AND(IF($Q149=3,1,0),IF($X149&lt;30,1,0))</formula>
    </cfRule>
    <cfRule type="expression" priority="570" dxfId="0">
      <formula>AND(IF($Q149=3,1,IF($Q149=4,1,0)),IF($F149&lt;=85,1,0))</formula>
    </cfRule>
  </conditionalFormatting>
  <conditionalFormatting sqref="X149">
    <cfRule type="expression" priority="563" dxfId="3">
      <formula>AND(IF(OR($Q149=1,$Q149=2),1,0),IF($X149&lt;=20,1,0))</formula>
    </cfRule>
    <cfRule type="expression" priority="564" dxfId="2">
      <formula>AND(IF($Q149=2,1,0),IF($X149&lt;30,1,0))</formula>
    </cfRule>
    <cfRule type="expression" priority="565" dxfId="1">
      <formula>AND(IF($Q149=3,1,0),IF($X149&lt;30,1,0))</formula>
    </cfRule>
    <cfRule type="expression" priority="566" dxfId="0">
      <formula>AND(IF($Q149=3,1,IF($Q149=4,1,0)),IF($F149&lt;=85,1,0))</formula>
    </cfRule>
  </conditionalFormatting>
  <conditionalFormatting sqref="AI149">
    <cfRule type="expression" priority="559" dxfId="3">
      <formula>AND(IF(OR($Q149=1,$Q149=2),1,0),IF($X149&lt;=20,1,0))</formula>
    </cfRule>
    <cfRule type="expression" priority="560" dxfId="2">
      <formula>AND(IF($Q149=2,1,0),IF($X149&lt;30,1,0))</formula>
    </cfRule>
    <cfRule type="expression" priority="561" dxfId="1">
      <formula>AND(IF($Q149=3,1,0),IF($X149&lt;30,1,0))</formula>
    </cfRule>
    <cfRule type="expression" priority="562" dxfId="0">
      <formula>AND(IF($Q149=3,1,IF($Q149=4,1,0)),IF($F149&lt;=85,1,0))</formula>
    </cfRule>
  </conditionalFormatting>
  <conditionalFormatting sqref="AV150">
    <cfRule type="expression" priority="557" dxfId="23">
      <formula>AV150="X"</formula>
    </cfRule>
    <cfRule type="expression" priority="558" dxfId="22">
      <formula>AV150="후보"</formula>
    </cfRule>
  </conditionalFormatting>
  <conditionalFormatting sqref="AC15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5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150">
    <cfRule type="expression" priority="549" dxfId="3">
      <formula>AND(IF(OR($Q150=1,$Q150=2),1,0),IF($X150&lt;=20,1,0))</formula>
    </cfRule>
    <cfRule type="expression" priority="550" dxfId="2">
      <formula>AND(IF($Q150=2,1,0),IF($X150&lt;30,1,0))</formula>
    </cfRule>
    <cfRule type="expression" priority="551" dxfId="1">
      <formula>AND(IF($Q150=3,1,0),IF($X150&lt;30,1,0))</formula>
    </cfRule>
    <cfRule type="expression" priority="552" dxfId="0">
      <formula>AND(IF($Q150=3,1,IF($Q150=4,1,0)),IF($F150&lt;=85,1,0))</formula>
    </cfRule>
  </conditionalFormatting>
  <conditionalFormatting sqref="X150">
    <cfRule type="expression" priority="545" dxfId="3">
      <formula>AND(IF(OR($Q150=1,$Q150=2),1,0),IF($X150&lt;=20,1,0))</formula>
    </cfRule>
    <cfRule type="expression" priority="546" dxfId="2">
      <formula>AND(IF($Q150=2,1,0),IF($X150&lt;30,1,0))</formula>
    </cfRule>
    <cfRule type="expression" priority="547" dxfId="1">
      <formula>AND(IF($Q150=3,1,0),IF($X150&lt;30,1,0))</formula>
    </cfRule>
    <cfRule type="expression" priority="548" dxfId="0">
      <formula>AND(IF($Q150=3,1,IF($Q150=4,1,0)),IF($F150&lt;=85,1,0))</formula>
    </cfRule>
  </conditionalFormatting>
  <conditionalFormatting sqref="AI150">
    <cfRule type="expression" priority="541" dxfId="3">
      <formula>AND(IF(OR($Q150=1,$Q150=2),1,0),IF($X150&lt;=20,1,0))</formula>
    </cfRule>
    <cfRule type="expression" priority="542" dxfId="2">
      <formula>AND(IF($Q150=2,1,0),IF($X150&lt;30,1,0))</formula>
    </cfRule>
    <cfRule type="expression" priority="543" dxfId="1">
      <formula>AND(IF($Q150=3,1,0),IF($X150&lt;30,1,0))</formula>
    </cfRule>
    <cfRule type="expression" priority="544" dxfId="0">
      <formula>AND(IF($Q150=3,1,IF($Q150=4,1,0)),IF($F150&lt;=85,1,0))</formula>
    </cfRule>
  </conditionalFormatting>
  <conditionalFormatting sqref="AV151">
    <cfRule type="expression" priority="539" dxfId="23">
      <formula>AV151="X"</formula>
    </cfRule>
    <cfRule type="expression" priority="540" dxfId="22">
      <formula>AV151="후보"</formula>
    </cfRule>
  </conditionalFormatting>
  <conditionalFormatting sqref="AC15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15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151">
    <cfRule type="expression" priority="531" dxfId="3">
      <formula>AND(IF(OR($Q151=1,$Q151=2),1,0),IF($X151&lt;=20,1,0))</formula>
    </cfRule>
    <cfRule type="expression" priority="532" dxfId="2">
      <formula>AND(IF($Q151=2,1,0),IF($X151&lt;30,1,0))</formula>
    </cfRule>
    <cfRule type="expression" priority="533" dxfId="1">
      <formula>AND(IF($Q151=3,1,0),IF($X151&lt;30,1,0))</formula>
    </cfRule>
    <cfRule type="expression" priority="534" dxfId="0">
      <formula>AND(IF($Q151=3,1,IF($Q151=4,1,0)),IF($F151&lt;=85,1,0))</formula>
    </cfRule>
  </conditionalFormatting>
  <conditionalFormatting sqref="X151">
    <cfRule type="expression" priority="527" dxfId="3">
      <formula>AND(IF(OR($Q151=1,$Q151=2),1,0),IF($X151&lt;=20,1,0))</formula>
    </cfRule>
    <cfRule type="expression" priority="528" dxfId="2">
      <formula>AND(IF($Q151=2,1,0),IF($X151&lt;30,1,0))</formula>
    </cfRule>
    <cfRule type="expression" priority="529" dxfId="1">
      <formula>AND(IF($Q151=3,1,0),IF($X151&lt;30,1,0))</formula>
    </cfRule>
    <cfRule type="expression" priority="530" dxfId="0">
      <formula>AND(IF($Q151=3,1,IF($Q151=4,1,0)),IF($F151&lt;=85,1,0))</formula>
    </cfRule>
  </conditionalFormatting>
  <conditionalFormatting sqref="AI151">
    <cfRule type="expression" priority="523" dxfId="3">
      <formula>AND(IF(OR($Q151=1,$Q151=2),1,0),IF($X151&lt;=20,1,0))</formula>
    </cfRule>
    <cfRule type="expression" priority="524" dxfId="2">
      <formula>AND(IF($Q151=2,1,0),IF($X151&lt;30,1,0))</formula>
    </cfRule>
    <cfRule type="expression" priority="525" dxfId="1">
      <formula>AND(IF($Q151=3,1,0),IF($X151&lt;30,1,0))</formula>
    </cfRule>
    <cfRule type="expression" priority="526" dxfId="0">
      <formula>AND(IF($Q151=3,1,IF($Q151=4,1,0)),IF($F151&lt;=85,1,0))</formula>
    </cfRule>
  </conditionalFormatting>
  <conditionalFormatting sqref="AV152">
    <cfRule type="expression" priority="521" dxfId="23">
      <formula>AV152="X"</formula>
    </cfRule>
    <cfRule type="expression" priority="522" dxfId="22">
      <formula>AV152="후보"</formula>
    </cfRule>
  </conditionalFormatting>
  <conditionalFormatting sqref="AC15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5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52">
    <cfRule type="expression" priority="513" dxfId="3">
      <formula>AND(IF(OR($Q152=1,$Q152=2),1,0),IF($X152&lt;=20,1,0))</formula>
    </cfRule>
    <cfRule type="expression" priority="514" dxfId="2">
      <formula>AND(IF($Q152=2,1,0),IF($X152&lt;30,1,0))</formula>
    </cfRule>
    <cfRule type="expression" priority="515" dxfId="1">
      <formula>AND(IF($Q152=3,1,0),IF($X152&lt;30,1,0))</formula>
    </cfRule>
    <cfRule type="expression" priority="516" dxfId="0">
      <formula>AND(IF($Q152=3,1,IF($Q152=4,1,0)),IF($F152&lt;=85,1,0))</formula>
    </cfRule>
  </conditionalFormatting>
  <conditionalFormatting sqref="X152">
    <cfRule type="expression" priority="509" dxfId="3">
      <formula>AND(IF(OR($Q152=1,$Q152=2),1,0),IF($X152&lt;=20,1,0))</formula>
    </cfRule>
    <cfRule type="expression" priority="510" dxfId="2">
      <formula>AND(IF($Q152=2,1,0),IF($X152&lt;30,1,0))</formula>
    </cfRule>
    <cfRule type="expression" priority="511" dxfId="1">
      <formula>AND(IF($Q152=3,1,0),IF($X152&lt;30,1,0))</formula>
    </cfRule>
    <cfRule type="expression" priority="512" dxfId="0">
      <formula>AND(IF($Q152=3,1,IF($Q152=4,1,0)),IF($F152&lt;=85,1,0))</formula>
    </cfRule>
  </conditionalFormatting>
  <conditionalFormatting sqref="AI152">
    <cfRule type="expression" priority="505" dxfId="3">
      <formula>AND(IF(OR($Q152=1,$Q152=2),1,0),IF($X152&lt;=20,1,0))</formula>
    </cfRule>
    <cfRule type="expression" priority="506" dxfId="2">
      <formula>AND(IF($Q152=2,1,0),IF($X152&lt;30,1,0))</formula>
    </cfRule>
    <cfRule type="expression" priority="507" dxfId="1">
      <formula>AND(IF($Q152=3,1,0),IF($X152&lt;30,1,0))</formula>
    </cfRule>
    <cfRule type="expression" priority="508" dxfId="0">
      <formula>AND(IF($Q152=3,1,IF($Q152=4,1,0)),IF($F152&lt;=85,1,0))</formula>
    </cfRule>
  </conditionalFormatting>
  <conditionalFormatting sqref="AV153">
    <cfRule type="expression" priority="503" dxfId="23">
      <formula>AV153="X"</formula>
    </cfRule>
    <cfRule type="expression" priority="504" dxfId="22">
      <formula>AV153="후보"</formula>
    </cfRule>
  </conditionalFormatting>
  <conditionalFormatting sqref="AC15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5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53">
    <cfRule type="expression" priority="495" dxfId="3">
      <formula>AND(IF(OR($Q153=1,$Q153=2),1,0),IF($X153&lt;=20,1,0))</formula>
    </cfRule>
    <cfRule type="expression" priority="496" dxfId="2">
      <formula>AND(IF($Q153=2,1,0),IF($X153&lt;30,1,0))</formula>
    </cfRule>
    <cfRule type="expression" priority="497" dxfId="1">
      <formula>AND(IF($Q153=3,1,0),IF($X153&lt;30,1,0))</formula>
    </cfRule>
    <cfRule type="expression" priority="498" dxfId="0">
      <formula>AND(IF($Q153=3,1,IF($Q153=4,1,0)),IF($F153&lt;=85,1,0))</formula>
    </cfRule>
  </conditionalFormatting>
  <conditionalFormatting sqref="X153">
    <cfRule type="expression" priority="491" dxfId="3">
      <formula>AND(IF(OR($Q153=1,$Q153=2),1,0),IF($X153&lt;=20,1,0))</formula>
    </cfRule>
    <cfRule type="expression" priority="492" dxfId="2">
      <formula>AND(IF($Q153=2,1,0),IF($X153&lt;30,1,0))</formula>
    </cfRule>
    <cfRule type="expression" priority="493" dxfId="1">
      <formula>AND(IF($Q153=3,1,0),IF($X153&lt;30,1,0))</formula>
    </cfRule>
    <cfRule type="expression" priority="494" dxfId="0">
      <formula>AND(IF($Q153=3,1,IF($Q153=4,1,0)),IF($F153&lt;=85,1,0))</formula>
    </cfRule>
  </conditionalFormatting>
  <conditionalFormatting sqref="AI153">
    <cfRule type="expression" priority="487" dxfId="3">
      <formula>AND(IF(OR($Q153=1,$Q153=2),1,0),IF($X153&lt;=20,1,0))</formula>
    </cfRule>
    <cfRule type="expression" priority="488" dxfId="2">
      <formula>AND(IF($Q153=2,1,0),IF($X153&lt;30,1,0))</formula>
    </cfRule>
    <cfRule type="expression" priority="489" dxfId="1">
      <formula>AND(IF($Q153=3,1,0),IF($X153&lt;30,1,0))</formula>
    </cfRule>
    <cfRule type="expression" priority="490" dxfId="0">
      <formula>AND(IF($Q153=3,1,IF($Q153=4,1,0)),IF($F153&lt;=85,1,0))</formula>
    </cfRule>
  </conditionalFormatting>
  <conditionalFormatting sqref="AV154">
    <cfRule type="expression" priority="485" dxfId="23">
      <formula>AV154="X"</formula>
    </cfRule>
    <cfRule type="expression" priority="486" dxfId="22">
      <formula>AV154="후보"</formula>
    </cfRule>
  </conditionalFormatting>
  <conditionalFormatting sqref="AC15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15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154">
    <cfRule type="expression" priority="477" dxfId="3">
      <formula>AND(IF(OR($Q154=1,$Q154=2),1,0),IF($X154&lt;=20,1,0))</formula>
    </cfRule>
    <cfRule type="expression" priority="478" dxfId="2">
      <formula>AND(IF($Q154=2,1,0),IF($X154&lt;30,1,0))</formula>
    </cfRule>
    <cfRule type="expression" priority="479" dxfId="1">
      <formula>AND(IF($Q154=3,1,0),IF($X154&lt;30,1,0))</formula>
    </cfRule>
    <cfRule type="expression" priority="480" dxfId="0">
      <formula>AND(IF($Q154=3,1,IF($Q154=4,1,0)),IF($F154&lt;=85,1,0))</formula>
    </cfRule>
  </conditionalFormatting>
  <conditionalFormatting sqref="X154">
    <cfRule type="expression" priority="473" dxfId="3">
      <formula>AND(IF(OR($Q154=1,$Q154=2),1,0),IF($X154&lt;=20,1,0))</formula>
    </cfRule>
    <cfRule type="expression" priority="474" dxfId="2">
      <formula>AND(IF($Q154=2,1,0),IF($X154&lt;30,1,0))</formula>
    </cfRule>
    <cfRule type="expression" priority="475" dxfId="1">
      <formula>AND(IF($Q154=3,1,0),IF($X154&lt;30,1,0))</formula>
    </cfRule>
    <cfRule type="expression" priority="476" dxfId="0">
      <formula>AND(IF($Q154=3,1,IF($Q154=4,1,0)),IF($F154&lt;=85,1,0))</formula>
    </cfRule>
  </conditionalFormatting>
  <conditionalFormatting sqref="AI154">
    <cfRule type="expression" priority="469" dxfId="3">
      <formula>AND(IF(OR($Q154=1,$Q154=2),1,0),IF($X154&lt;=20,1,0))</formula>
    </cfRule>
    <cfRule type="expression" priority="470" dxfId="2">
      <formula>AND(IF($Q154=2,1,0),IF($X154&lt;30,1,0))</formula>
    </cfRule>
    <cfRule type="expression" priority="471" dxfId="1">
      <formula>AND(IF($Q154=3,1,0),IF($X154&lt;30,1,0))</formula>
    </cfRule>
    <cfRule type="expression" priority="472" dxfId="0">
      <formula>AND(IF($Q154=3,1,IF($Q154=4,1,0)),IF($F154&lt;=85,1,0))</formula>
    </cfRule>
  </conditionalFormatting>
  <conditionalFormatting sqref="AV155">
    <cfRule type="expression" priority="467" dxfId="23">
      <formula>AV155="X"</formula>
    </cfRule>
    <cfRule type="expression" priority="468" dxfId="22">
      <formula>AV155="후보"</formula>
    </cfRule>
  </conditionalFormatting>
  <conditionalFormatting sqref="AC15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15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155">
    <cfRule type="expression" priority="459" dxfId="3">
      <formula>AND(IF(OR($Q155=1,$Q155=2),1,0),IF($X155&lt;=20,1,0))</formula>
    </cfRule>
    <cfRule type="expression" priority="460" dxfId="2">
      <formula>AND(IF($Q155=2,1,0),IF($X155&lt;30,1,0))</formula>
    </cfRule>
    <cfRule type="expression" priority="461" dxfId="1">
      <formula>AND(IF($Q155=3,1,0),IF($X155&lt;30,1,0))</formula>
    </cfRule>
    <cfRule type="expression" priority="462" dxfId="0">
      <formula>AND(IF($Q155=3,1,IF($Q155=4,1,0)),IF($F155&lt;=85,1,0))</formula>
    </cfRule>
  </conditionalFormatting>
  <conditionalFormatting sqref="X155">
    <cfRule type="expression" priority="455" dxfId="3">
      <formula>AND(IF(OR($Q155=1,$Q155=2),1,0),IF($X155&lt;=20,1,0))</formula>
    </cfRule>
    <cfRule type="expression" priority="456" dxfId="2">
      <formula>AND(IF($Q155=2,1,0),IF($X155&lt;30,1,0))</formula>
    </cfRule>
    <cfRule type="expression" priority="457" dxfId="1">
      <formula>AND(IF($Q155=3,1,0),IF($X155&lt;30,1,0))</formula>
    </cfRule>
    <cfRule type="expression" priority="458" dxfId="0">
      <formula>AND(IF($Q155=3,1,IF($Q155=4,1,0)),IF($F155&lt;=85,1,0))</formula>
    </cfRule>
  </conditionalFormatting>
  <conditionalFormatting sqref="AI155">
    <cfRule type="expression" priority="451" dxfId="3">
      <formula>AND(IF(OR($Q155=1,$Q155=2),1,0),IF($X155&lt;=20,1,0))</formula>
    </cfRule>
    <cfRule type="expression" priority="452" dxfId="2">
      <formula>AND(IF($Q155=2,1,0),IF($X155&lt;30,1,0))</formula>
    </cfRule>
    <cfRule type="expression" priority="453" dxfId="1">
      <formula>AND(IF($Q155=3,1,0),IF($X155&lt;30,1,0))</formula>
    </cfRule>
    <cfRule type="expression" priority="454" dxfId="0">
      <formula>AND(IF($Q155=3,1,IF($Q155=4,1,0)),IF($F155&lt;=85,1,0))</formula>
    </cfRule>
  </conditionalFormatting>
  <conditionalFormatting sqref="AV156">
    <cfRule type="expression" priority="449" dxfId="23">
      <formula>AV156="X"</formula>
    </cfRule>
    <cfRule type="expression" priority="450" dxfId="22">
      <formula>AV156="후보"</formula>
    </cfRule>
  </conditionalFormatting>
  <conditionalFormatting sqref="AC15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5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56">
    <cfRule type="expression" priority="441" dxfId="3">
      <formula>AND(IF(OR($Q156=1,$Q156=2),1,0),IF($X156&lt;=20,1,0))</formula>
    </cfRule>
    <cfRule type="expression" priority="442" dxfId="2">
      <formula>AND(IF($Q156=2,1,0),IF($X156&lt;30,1,0))</formula>
    </cfRule>
    <cfRule type="expression" priority="443" dxfId="1">
      <formula>AND(IF($Q156=3,1,0),IF($X156&lt;30,1,0))</formula>
    </cfRule>
    <cfRule type="expression" priority="444" dxfId="0">
      <formula>AND(IF($Q156=3,1,IF($Q156=4,1,0)),IF($F156&lt;=85,1,0))</formula>
    </cfRule>
  </conditionalFormatting>
  <conditionalFormatting sqref="X156">
    <cfRule type="expression" priority="437" dxfId="3">
      <formula>AND(IF(OR($Q156=1,$Q156=2),1,0),IF($X156&lt;=20,1,0))</formula>
    </cfRule>
    <cfRule type="expression" priority="438" dxfId="2">
      <formula>AND(IF($Q156=2,1,0),IF($X156&lt;30,1,0))</formula>
    </cfRule>
    <cfRule type="expression" priority="439" dxfId="1">
      <formula>AND(IF($Q156=3,1,0),IF($X156&lt;30,1,0))</formula>
    </cfRule>
    <cfRule type="expression" priority="440" dxfId="0">
      <formula>AND(IF($Q156=3,1,IF($Q156=4,1,0)),IF($F156&lt;=85,1,0))</formula>
    </cfRule>
  </conditionalFormatting>
  <conditionalFormatting sqref="AI156">
    <cfRule type="expression" priority="433" dxfId="3">
      <formula>AND(IF(OR($Q156=1,$Q156=2),1,0),IF($X156&lt;=20,1,0))</formula>
    </cfRule>
    <cfRule type="expression" priority="434" dxfId="2">
      <formula>AND(IF($Q156=2,1,0),IF($X156&lt;30,1,0))</formula>
    </cfRule>
    <cfRule type="expression" priority="435" dxfId="1">
      <formula>AND(IF($Q156=3,1,0),IF($X156&lt;30,1,0))</formula>
    </cfRule>
    <cfRule type="expression" priority="436" dxfId="0">
      <formula>AND(IF($Q156=3,1,IF($Q156=4,1,0)),IF($F156&lt;=85,1,0))</formula>
    </cfRule>
  </conditionalFormatting>
  <conditionalFormatting sqref="AV157">
    <cfRule type="expression" priority="431" dxfId="23">
      <formula>AV157="X"</formula>
    </cfRule>
    <cfRule type="expression" priority="432" dxfId="22">
      <formula>AV157="후보"</formula>
    </cfRule>
  </conditionalFormatting>
  <conditionalFormatting sqref="AC15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5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57">
    <cfRule type="expression" priority="423" dxfId="3">
      <formula>AND(IF(OR($Q157=1,$Q157=2),1,0),IF($X157&lt;=20,1,0))</formula>
    </cfRule>
    <cfRule type="expression" priority="424" dxfId="2">
      <formula>AND(IF($Q157=2,1,0),IF($X157&lt;30,1,0))</formula>
    </cfRule>
    <cfRule type="expression" priority="425" dxfId="1">
      <formula>AND(IF($Q157=3,1,0),IF($X157&lt;30,1,0))</formula>
    </cfRule>
    <cfRule type="expression" priority="426" dxfId="0">
      <formula>AND(IF($Q157=3,1,IF($Q157=4,1,0)),IF($F157&lt;=85,1,0))</formula>
    </cfRule>
  </conditionalFormatting>
  <conditionalFormatting sqref="X157">
    <cfRule type="expression" priority="419" dxfId="3">
      <formula>AND(IF(OR($Q157=1,$Q157=2),1,0),IF($X157&lt;=20,1,0))</formula>
    </cfRule>
    <cfRule type="expression" priority="420" dxfId="2">
      <formula>AND(IF($Q157=2,1,0),IF($X157&lt;30,1,0))</formula>
    </cfRule>
    <cfRule type="expression" priority="421" dxfId="1">
      <formula>AND(IF($Q157=3,1,0),IF($X157&lt;30,1,0))</formula>
    </cfRule>
    <cfRule type="expression" priority="422" dxfId="0">
      <formula>AND(IF($Q157=3,1,IF($Q157=4,1,0)),IF($F157&lt;=85,1,0))</formula>
    </cfRule>
  </conditionalFormatting>
  <conditionalFormatting sqref="AI157">
    <cfRule type="expression" priority="415" dxfId="3">
      <formula>AND(IF(OR($Q157=1,$Q157=2),1,0),IF($X157&lt;=20,1,0))</formula>
    </cfRule>
    <cfRule type="expression" priority="416" dxfId="2">
      <formula>AND(IF($Q157=2,1,0),IF($X157&lt;30,1,0))</formula>
    </cfRule>
    <cfRule type="expression" priority="417" dxfId="1">
      <formula>AND(IF($Q157=3,1,0),IF($X157&lt;30,1,0))</formula>
    </cfRule>
    <cfRule type="expression" priority="418" dxfId="0">
      <formula>AND(IF($Q157=3,1,IF($Q157=4,1,0)),IF($F157&lt;=85,1,0))</formula>
    </cfRule>
  </conditionalFormatting>
  <conditionalFormatting sqref="AV158">
    <cfRule type="expression" priority="413" dxfId="23">
      <formula>AV158="X"</formula>
    </cfRule>
    <cfRule type="expression" priority="414" dxfId="22">
      <formula>AV158="후보"</formula>
    </cfRule>
  </conditionalFormatting>
  <conditionalFormatting sqref="AC15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5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58">
    <cfRule type="expression" priority="405" dxfId="3">
      <formula>AND(IF(OR($Q158=1,$Q158=2),1,0),IF($X158&lt;=20,1,0))</formula>
    </cfRule>
    <cfRule type="expression" priority="406" dxfId="2">
      <formula>AND(IF($Q158=2,1,0),IF($X158&lt;30,1,0))</formula>
    </cfRule>
    <cfRule type="expression" priority="407" dxfId="1">
      <formula>AND(IF($Q158=3,1,0),IF($X158&lt;30,1,0))</formula>
    </cfRule>
    <cfRule type="expression" priority="408" dxfId="0">
      <formula>AND(IF($Q158=3,1,IF($Q158=4,1,0)),IF($F158&lt;=85,1,0))</formula>
    </cfRule>
  </conditionalFormatting>
  <conditionalFormatting sqref="X158">
    <cfRule type="expression" priority="401" dxfId="3">
      <formula>AND(IF(OR($Q158=1,$Q158=2),1,0),IF($X158&lt;=20,1,0))</formula>
    </cfRule>
    <cfRule type="expression" priority="402" dxfId="2">
      <formula>AND(IF($Q158=2,1,0),IF($X158&lt;30,1,0))</formula>
    </cfRule>
    <cfRule type="expression" priority="403" dxfId="1">
      <formula>AND(IF($Q158=3,1,0),IF($X158&lt;30,1,0))</formula>
    </cfRule>
    <cfRule type="expression" priority="404" dxfId="0">
      <formula>AND(IF($Q158=3,1,IF($Q158=4,1,0)),IF($F158&lt;=85,1,0))</formula>
    </cfRule>
  </conditionalFormatting>
  <conditionalFormatting sqref="AI158">
    <cfRule type="expression" priority="397" dxfId="3">
      <formula>AND(IF(OR($Q158=1,$Q158=2),1,0),IF($X158&lt;=20,1,0))</formula>
    </cfRule>
    <cfRule type="expression" priority="398" dxfId="2">
      <formula>AND(IF($Q158=2,1,0),IF($X158&lt;30,1,0))</formula>
    </cfRule>
    <cfRule type="expression" priority="399" dxfId="1">
      <formula>AND(IF($Q158=3,1,0),IF($X158&lt;30,1,0))</formula>
    </cfRule>
    <cfRule type="expression" priority="400" dxfId="0">
      <formula>AND(IF($Q158=3,1,IF($Q158=4,1,0)),IF($F158&lt;=85,1,0))</formula>
    </cfRule>
  </conditionalFormatting>
  <conditionalFormatting sqref="AV159">
    <cfRule type="expression" priority="395" dxfId="23">
      <formula>AV159="X"</formula>
    </cfRule>
    <cfRule type="expression" priority="396" dxfId="22">
      <formula>AV159="후보"</formula>
    </cfRule>
  </conditionalFormatting>
  <conditionalFormatting sqref="AC15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15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159">
    <cfRule type="expression" priority="387" dxfId="3">
      <formula>AND(IF(OR($Q159=1,$Q159=2),1,0),IF($X159&lt;=20,1,0))</formula>
    </cfRule>
    <cfRule type="expression" priority="388" dxfId="2">
      <formula>AND(IF($Q159=2,1,0),IF($X159&lt;30,1,0))</formula>
    </cfRule>
    <cfRule type="expression" priority="389" dxfId="1">
      <formula>AND(IF($Q159=3,1,0),IF($X159&lt;30,1,0))</formula>
    </cfRule>
    <cfRule type="expression" priority="390" dxfId="0">
      <formula>AND(IF($Q159=3,1,IF($Q159=4,1,0)),IF($F159&lt;=85,1,0))</formula>
    </cfRule>
  </conditionalFormatting>
  <conditionalFormatting sqref="X159">
    <cfRule type="expression" priority="383" dxfId="3">
      <formula>AND(IF(OR($Q159=1,$Q159=2),1,0),IF($X159&lt;=20,1,0))</formula>
    </cfRule>
    <cfRule type="expression" priority="384" dxfId="2">
      <formula>AND(IF($Q159=2,1,0),IF($X159&lt;30,1,0))</formula>
    </cfRule>
    <cfRule type="expression" priority="385" dxfId="1">
      <formula>AND(IF($Q159=3,1,0),IF($X159&lt;30,1,0))</formula>
    </cfRule>
    <cfRule type="expression" priority="386" dxfId="0">
      <formula>AND(IF($Q159=3,1,IF($Q159=4,1,0)),IF($F159&lt;=85,1,0))</formula>
    </cfRule>
  </conditionalFormatting>
  <conditionalFormatting sqref="AI159">
    <cfRule type="expression" priority="379" dxfId="3">
      <formula>AND(IF(OR($Q159=1,$Q159=2),1,0),IF($X159&lt;=20,1,0))</formula>
    </cfRule>
    <cfRule type="expression" priority="380" dxfId="2">
      <formula>AND(IF($Q159=2,1,0),IF($X159&lt;30,1,0))</formula>
    </cfRule>
    <cfRule type="expression" priority="381" dxfId="1">
      <formula>AND(IF($Q159=3,1,0),IF($X159&lt;30,1,0))</formula>
    </cfRule>
    <cfRule type="expression" priority="382" dxfId="0">
      <formula>AND(IF($Q159=3,1,IF($Q159=4,1,0)),IF($F159&lt;=85,1,0))</formula>
    </cfRule>
  </conditionalFormatting>
  <conditionalFormatting sqref="AV160">
    <cfRule type="expression" priority="377" dxfId="23">
      <formula>AV160="X"</formula>
    </cfRule>
    <cfRule type="expression" priority="378" dxfId="22">
      <formula>AV160="후보"</formula>
    </cfRule>
  </conditionalFormatting>
  <conditionalFormatting sqref="AC16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16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160">
    <cfRule type="expression" priority="369" dxfId="3">
      <formula>AND(IF(OR($Q160=1,$Q160=2),1,0),IF($X160&lt;=20,1,0))</formula>
    </cfRule>
    <cfRule type="expression" priority="370" dxfId="2">
      <formula>AND(IF($Q160=2,1,0),IF($X160&lt;30,1,0))</formula>
    </cfRule>
    <cfRule type="expression" priority="371" dxfId="1">
      <formula>AND(IF($Q160=3,1,0),IF($X160&lt;30,1,0))</formula>
    </cfRule>
    <cfRule type="expression" priority="372" dxfId="0">
      <formula>AND(IF($Q160=3,1,IF($Q160=4,1,0)),IF($F160&lt;=85,1,0))</formula>
    </cfRule>
  </conditionalFormatting>
  <conditionalFormatting sqref="X160">
    <cfRule type="expression" priority="365" dxfId="3">
      <formula>AND(IF(OR($Q160=1,$Q160=2),1,0),IF($X160&lt;=20,1,0))</formula>
    </cfRule>
    <cfRule type="expression" priority="366" dxfId="2">
      <formula>AND(IF($Q160=2,1,0),IF($X160&lt;30,1,0))</formula>
    </cfRule>
    <cfRule type="expression" priority="367" dxfId="1">
      <formula>AND(IF($Q160=3,1,0),IF($X160&lt;30,1,0))</formula>
    </cfRule>
    <cfRule type="expression" priority="368" dxfId="0">
      <formula>AND(IF($Q160=3,1,IF($Q160=4,1,0)),IF($F160&lt;=85,1,0))</formula>
    </cfRule>
  </conditionalFormatting>
  <conditionalFormatting sqref="AI160">
    <cfRule type="expression" priority="361" dxfId="3">
      <formula>AND(IF(OR($Q160=1,$Q160=2),1,0),IF($X160&lt;=20,1,0))</formula>
    </cfRule>
    <cfRule type="expression" priority="362" dxfId="2">
      <formula>AND(IF($Q160=2,1,0),IF($X160&lt;30,1,0))</formula>
    </cfRule>
    <cfRule type="expression" priority="363" dxfId="1">
      <formula>AND(IF($Q160=3,1,0),IF($X160&lt;30,1,0))</formula>
    </cfRule>
    <cfRule type="expression" priority="364" dxfId="0">
      <formula>AND(IF($Q160=3,1,IF($Q160=4,1,0)),IF($F160&lt;=85,1,0))</formula>
    </cfRule>
  </conditionalFormatting>
  <conditionalFormatting sqref="AV161">
    <cfRule type="expression" priority="359" dxfId="23">
      <formula>AV161="X"</formula>
    </cfRule>
    <cfRule type="expression" priority="360" dxfId="22">
      <formula>AV161="후보"</formula>
    </cfRule>
  </conditionalFormatting>
  <conditionalFormatting sqref="AC16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6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61">
    <cfRule type="expression" priority="351" dxfId="3">
      <formula>AND(IF(OR($Q161=1,$Q161=2),1,0),IF($X161&lt;=20,1,0))</formula>
    </cfRule>
    <cfRule type="expression" priority="352" dxfId="2">
      <formula>AND(IF($Q161=2,1,0),IF($X161&lt;30,1,0))</formula>
    </cfRule>
    <cfRule type="expression" priority="353" dxfId="1">
      <formula>AND(IF($Q161=3,1,0),IF($X161&lt;30,1,0))</formula>
    </cfRule>
    <cfRule type="expression" priority="354" dxfId="0">
      <formula>AND(IF($Q161=3,1,IF($Q161=4,1,0)),IF($F161&lt;=85,1,0))</formula>
    </cfRule>
  </conditionalFormatting>
  <conditionalFormatting sqref="X161">
    <cfRule type="expression" priority="347" dxfId="3">
      <formula>AND(IF(OR($Q161=1,$Q161=2),1,0),IF($X161&lt;=20,1,0))</formula>
    </cfRule>
    <cfRule type="expression" priority="348" dxfId="2">
      <formula>AND(IF($Q161=2,1,0),IF($X161&lt;30,1,0))</formula>
    </cfRule>
    <cfRule type="expression" priority="349" dxfId="1">
      <formula>AND(IF($Q161=3,1,0),IF($X161&lt;30,1,0))</formula>
    </cfRule>
    <cfRule type="expression" priority="350" dxfId="0">
      <formula>AND(IF($Q161=3,1,IF($Q161=4,1,0)),IF($F161&lt;=85,1,0))</formula>
    </cfRule>
  </conditionalFormatting>
  <conditionalFormatting sqref="AI161">
    <cfRule type="expression" priority="343" dxfId="3">
      <formula>AND(IF(OR($Q161=1,$Q161=2),1,0),IF($X161&lt;=20,1,0))</formula>
    </cfRule>
    <cfRule type="expression" priority="344" dxfId="2">
      <formula>AND(IF($Q161=2,1,0),IF($X161&lt;30,1,0))</formula>
    </cfRule>
    <cfRule type="expression" priority="345" dxfId="1">
      <formula>AND(IF($Q161=3,1,0),IF($X161&lt;30,1,0))</formula>
    </cfRule>
    <cfRule type="expression" priority="346" dxfId="0">
      <formula>AND(IF($Q161=3,1,IF($Q161=4,1,0)),IF($F161&lt;=85,1,0))</formula>
    </cfRule>
  </conditionalFormatting>
  <conditionalFormatting sqref="AV162">
    <cfRule type="expression" priority="341" dxfId="23">
      <formula>AV162="X"</formula>
    </cfRule>
    <cfRule type="expression" priority="342" dxfId="22">
      <formula>AV162="후보"</formula>
    </cfRule>
  </conditionalFormatting>
  <conditionalFormatting sqref="AC16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6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62">
    <cfRule type="expression" priority="333" dxfId="3">
      <formula>AND(IF(OR($Q162=1,$Q162=2),1,0),IF($X162&lt;=20,1,0))</formula>
    </cfRule>
    <cfRule type="expression" priority="334" dxfId="2">
      <formula>AND(IF($Q162=2,1,0),IF($X162&lt;30,1,0))</formula>
    </cfRule>
    <cfRule type="expression" priority="335" dxfId="1">
      <formula>AND(IF($Q162=3,1,0),IF($X162&lt;30,1,0))</formula>
    </cfRule>
    <cfRule type="expression" priority="336" dxfId="0">
      <formula>AND(IF($Q162=3,1,IF($Q162=4,1,0)),IF($F162&lt;=85,1,0))</formula>
    </cfRule>
  </conditionalFormatting>
  <conditionalFormatting sqref="X162">
    <cfRule type="expression" priority="329" dxfId="3">
      <formula>AND(IF(OR($Q162=1,$Q162=2),1,0),IF($X162&lt;=20,1,0))</formula>
    </cfRule>
    <cfRule type="expression" priority="330" dxfId="2">
      <formula>AND(IF($Q162=2,1,0),IF($X162&lt;30,1,0))</formula>
    </cfRule>
    <cfRule type="expression" priority="331" dxfId="1">
      <formula>AND(IF($Q162=3,1,0),IF($X162&lt;30,1,0))</formula>
    </cfRule>
    <cfRule type="expression" priority="332" dxfId="0">
      <formula>AND(IF($Q162=3,1,IF($Q162=4,1,0)),IF($F162&lt;=85,1,0))</formula>
    </cfRule>
  </conditionalFormatting>
  <conditionalFormatting sqref="AI162">
    <cfRule type="expression" priority="325" dxfId="3">
      <formula>AND(IF(OR($Q162=1,$Q162=2),1,0),IF($X162&lt;=20,1,0))</formula>
    </cfRule>
    <cfRule type="expression" priority="326" dxfId="2">
      <formula>AND(IF($Q162=2,1,0),IF($X162&lt;30,1,0))</formula>
    </cfRule>
    <cfRule type="expression" priority="327" dxfId="1">
      <formula>AND(IF($Q162=3,1,0),IF($X162&lt;30,1,0))</formula>
    </cfRule>
    <cfRule type="expression" priority="328" dxfId="0">
      <formula>AND(IF($Q162=3,1,IF($Q162=4,1,0)),IF($F162&lt;=85,1,0))</formula>
    </cfRule>
  </conditionalFormatting>
  <conditionalFormatting sqref="AV163">
    <cfRule type="expression" priority="323" dxfId="23">
      <formula>AV163="X"</formula>
    </cfRule>
    <cfRule type="expression" priority="324" dxfId="22">
      <formula>AV163="후보"</formula>
    </cfRule>
  </conditionalFormatting>
  <conditionalFormatting sqref="AC16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16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163">
    <cfRule type="expression" priority="315" dxfId="3">
      <formula>AND(IF(OR($Q163=1,$Q163=2),1,0),IF($X163&lt;=20,1,0))</formula>
    </cfRule>
    <cfRule type="expression" priority="316" dxfId="2">
      <formula>AND(IF($Q163=2,1,0),IF($X163&lt;30,1,0))</formula>
    </cfRule>
    <cfRule type="expression" priority="317" dxfId="1">
      <formula>AND(IF($Q163=3,1,0),IF($X163&lt;30,1,0))</formula>
    </cfRule>
    <cfRule type="expression" priority="318" dxfId="0">
      <formula>AND(IF($Q163=3,1,IF($Q163=4,1,0)),IF($F163&lt;=85,1,0))</formula>
    </cfRule>
  </conditionalFormatting>
  <conditionalFormatting sqref="X163">
    <cfRule type="expression" priority="311" dxfId="3">
      <formula>AND(IF(OR($Q163=1,$Q163=2),1,0),IF($X163&lt;=20,1,0))</formula>
    </cfRule>
    <cfRule type="expression" priority="312" dxfId="2">
      <formula>AND(IF($Q163=2,1,0),IF($X163&lt;30,1,0))</formula>
    </cfRule>
    <cfRule type="expression" priority="313" dxfId="1">
      <formula>AND(IF($Q163=3,1,0),IF($X163&lt;30,1,0))</formula>
    </cfRule>
    <cfRule type="expression" priority="314" dxfId="0">
      <formula>AND(IF($Q163=3,1,IF($Q163=4,1,0)),IF($F163&lt;=85,1,0))</formula>
    </cfRule>
  </conditionalFormatting>
  <conditionalFormatting sqref="AI163">
    <cfRule type="expression" priority="307" dxfId="3">
      <formula>AND(IF(OR($Q163=1,$Q163=2),1,0),IF($X163&lt;=20,1,0))</formula>
    </cfRule>
    <cfRule type="expression" priority="308" dxfId="2">
      <formula>AND(IF($Q163=2,1,0),IF($X163&lt;30,1,0))</formula>
    </cfRule>
    <cfRule type="expression" priority="309" dxfId="1">
      <formula>AND(IF($Q163=3,1,0),IF($X163&lt;30,1,0))</formula>
    </cfRule>
    <cfRule type="expression" priority="310" dxfId="0">
      <formula>AND(IF($Q163=3,1,IF($Q163=4,1,0)),IF($F163&lt;=85,1,0))</formula>
    </cfRule>
  </conditionalFormatting>
  <conditionalFormatting sqref="AV164">
    <cfRule type="expression" priority="305" dxfId="23">
      <formula>AV164="X"</formula>
    </cfRule>
    <cfRule type="expression" priority="306" dxfId="22">
      <formula>AV164="후보"</formula>
    </cfRule>
  </conditionalFormatting>
  <conditionalFormatting sqref="AC16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16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164">
    <cfRule type="expression" priority="297" dxfId="3">
      <formula>AND(IF(OR($Q164=1,$Q164=2),1,0),IF($X164&lt;=20,1,0))</formula>
    </cfRule>
    <cfRule type="expression" priority="298" dxfId="2">
      <formula>AND(IF($Q164=2,1,0),IF($X164&lt;30,1,0))</formula>
    </cfRule>
    <cfRule type="expression" priority="299" dxfId="1">
      <formula>AND(IF($Q164=3,1,0),IF($X164&lt;30,1,0))</formula>
    </cfRule>
    <cfRule type="expression" priority="300" dxfId="0">
      <formula>AND(IF($Q164=3,1,IF($Q164=4,1,0)),IF($F164&lt;=85,1,0))</formula>
    </cfRule>
  </conditionalFormatting>
  <conditionalFormatting sqref="X164">
    <cfRule type="expression" priority="293" dxfId="3">
      <formula>AND(IF(OR($Q164=1,$Q164=2),1,0),IF($X164&lt;=20,1,0))</formula>
    </cfRule>
    <cfRule type="expression" priority="294" dxfId="2">
      <formula>AND(IF($Q164=2,1,0),IF($X164&lt;30,1,0))</formula>
    </cfRule>
    <cfRule type="expression" priority="295" dxfId="1">
      <formula>AND(IF($Q164=3,1,0),IF($X164&lt;30,1,0))</formula>
    </cfRule>
    <cfRule type="expression" priority="296" dxfId="0">
      <formula>AND(IF($Q164=3,1,IF($Q164=4,1,0)),IF($F164&lt;=85,1,0))</formula>
    </cfRule>
  </conditionalFormatting>
  <conditionalFormatting sqref="AI164">
    <cfRule type="expression" priority="289" dxfId="3">
      <formula>AND(IF(OR($Q164=1,$Q164=2),1,0),IF($X164&lt;=20,1,0))</formula>
    </cfRule>
    <cfRule type="expression" priority="290" dxfId="2">
      <formula>AND(IF($Q164=2,1,0),IF($X164&lt;30,1,0))</formula>
    </cfRule>
    <cfRule type="expression" priority="291" dxfId="1">
      <formula>AND(IF($Q164=3,1,0),IF($X164&lt;30,1,0))</formula>
    </cfRule>
    <cfRule type="expression" priority="292" dxfId="0">
      <formula>AND(IF($Q164=3,1,IF($Q164=4,1,0)),IF($F164&lt;=85,1,0))</formula>
    </cfRule>
  </conditionalFormatting>
  <conditionalFormatting sqref="AV165">
    <cfRule type="expression" priority="287" dxfId="23">
      <formula>AV165="X"</formula>
    </cfRule>
    <cfRule type="expression" priority="288" dxfId="22">
      <formula>AV165="후보"</formula>
    </cfRule>
  </conditionalFormatting>
  <conditionalFormatting sqref="AC16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16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165">
    <cfRule type="expression" priority="279" dxfId="3">
      <formula>AND(IF(OR($Q165=1,$Q165=2),1,0),IF($X165&lt;=20,1,0))</formula>
    </cfRule>
    <cfRule type="expression" priority="280" dxfId="2">
      <formula>AND(IF($Q165=2,1,0),IF($X165&lt;30,1,0))</formula>
    </cfRule>
    <cfRule type="expression" priority="281" dxfId="1">
      <formula>AND(IF($Q165=3,1,0),IF($X165&lt;30,1,0))</formula>
    </cfRule>
    <cfRule type="expression" priority="282" dxfId="0">
      <formula>AND(IF($Q165=3,1,IF($Q165=4,1,0)),IF($F165&lt;=85,1,0))</formula>
    </cfRule>
  </conditionalFormatting>
  <conditionalFormatting sqref="X165">
    <cfRule type="expression" priority="275" dxfId="3">
      <formula>AND(IF(OR($Q165=1,$Q165=2),1,0),IF($X165&lt;=20,1,0))</formula>
    </cfRule>
    <cfRule type="expression" priority="276" dxfId="2">
      <formula>AND(IF($Q165=2,1,0),IF($X165&lt;30,1,0))</formula>
    </cfRule>
    <cfRule type="expression" priority="277" dxfId="1">
      <formula>AND(IF($Q165=3,1,0),IF($X165&lt;30,1,0))</formula>
    </cfRule>
    <cfRule type="expression" priority="278" dxfId="0">
      <formula>AND(IF($Q165=3,1,IF($Q165=4,1,0)),IF($F165&lt;=85,1,0))</formula>
    </cfRule>
  </conditionalFormatting>
  <conditionalFormatting sqref="AI165">
    <cfRule type="expression" priority="271" dxfId="3">
      <formula>AND(IF(OR($Q165=1,$Q165=2),1,0),IF($X165&lt;=20,1,0))</formula>
    </cfRule>
    <cfRule type="expression" priority="272" dxfId="2">
      <formula>AND(IF($Q165=2,1,0),IF($X165&lt;30,1,0))</formula>
    </cfRule>
    <cfRule type="expression" priority="273" dxfId="1">
      <formula>AND(IF($Q165=3,1,0),IF($X165&lt;30,1,0))</formula>
    </cfRule>
    <cfRule type="expression" priority="274" dxfId="0">
      <formula>AND(IF($Q165=3,1,IF($Q165=4,1,0)),IF($F165&lt;=85,1,0))</formula>
    </cfRule>
  </conditionalFormatting>
  <conditionalFormatting sqref="AV166">
    <cfRule type="expression" priority="269" dxfId="23">
      <formula>AV166="X"</formula>
    </cfRule>
    <cfRule type="expression" priority="270" dxfId="22">
      <formula>AV166="후보"</formula>
    </cfRule>
  </conditionalFormatting>
  <conditionalFormatting sqref="AC16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6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66">
    <cfRule type="expression" priority="261" dxfId="3">
      <formula>AND(IF(OR($Q166=1,$Q166=2),1,0),IF($X166&lt;=20,1,0))</formula>
    </cfRule>
    <cfRule type="expression" priority="262" dxfId="2">
      <formula>AND(IF($Q166=2,1,0),IF($X166&lt;30,1,0))</formula>
    </cfRule>
    <cfRule type="expression" priority="263" dxfId="1">
      <formula>AND(IF($Q166=3,1,0),IF($X166&lt;30,1,0))</formula>
    </cfRule>
    <cfRule type="expression" priority="264" dxfId="0">
      <formula>AND(IF($Q166=3,1,IF($Q166=4,1,0)),IF($F166&lt;=85,1,0))</formula>
    </cfRule>
  </conditionalFormatting>
  <conditionalFormatting sqref="X166">
    <cfRule type="expression" priority="257" dxfId="3">
      <formula>AND(IF(OR($Q166=1,$Q166=2),1,0),IF($X166&lt;=20,1,0))</formula>
    </cfRule>
    <cfRule type="expression" priority="258" dxfId="2">
      <formula>AND(IF($Q166=2,1,0),IF($X166&lt;30,1,0))</formula>
    </cfRule>
    <cfRule type="expression" priority="259" dxfId="1">
      <formula>AND(IF($Q166=3,1,0),IF($X166&lt;30,1,0))</formula>
    </cfRule>
    <cfRule type="expression" priority="260" dxfId="0">
      <formula>AND(IF($Q166=3,1,IF($Q166=4,1,0)),IF($F166&lt;=85,1,0))</formula>
    </cfRule>
  </conditionalFormatting>
  <conditionalFormatting sqref="AI166">
    <cfRule type="expression" priority="253" dxfId="3">
      <formula>AND(IF(OR($Q166=1,$Q166=2),1,0),IF($X166&lt;=20,1,0))</formula>
    </cfRule>
    <cfRule type="expression" priority="254" dxfId="2">
      <formula>AND(IF($Q166=2,1,0),IF($X166&lt;30,1,0))</formula>
    </cfRule>
    <cfRule type="expression" priority="255" dxfId="1">
      <formula>AND(IF($Q166=3,1,0),IF($X166&lt;30,1,0))</formula>
    </cfRule>
    <cfRule type="expression" priority="256" dxfId="0">
      <formula>AND(IF($Q166=3,1,IF($Q166=4,1,0)),IF($F166&lt;=85,1,0))</formula>
    </cfRule>
  </conditionalFormatting>
  <conditionalFormatting sqref="AV167">
    <cfRule type="expression" priority="251" dxfId="23">
      <formula>AV167="X"</formula>
    </cfRule>
    <cfRule type="expression" priority="252" dxfId="22">
      <formula>AV167="후보"</formula>
    </cfRule>
  </conditionalFormatting>
  <conditionalFormatting sqref="AC16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6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67">
    <cfRule type="expression" priority="243" dxfId="3">
      <formula>AND(IF(OR($Q167=1,$Q167=2),1,0),IF($X167&lt;=20,1,0))</formula>
    </cfRule>
    <cfRule type="expression" priority="244" dxfId="2">
      <formula>AND(IF($Q167=2,1,0),IF($X167&lt;30,1,0))</formula>
    </cfRule>
    <cfRule type="expression" priority="245" dxfId="1">
      <formula>AND(IF($Q167=3,1,0),IF($X167&lt;30,1,0))</formula>
    </cfRule>
    <cfRule type="expression" priority="246" dxfId="0">
      <formula>AND(IF($Q167=3,1,IF($Q167=4,1,0)),IF($F167&lt;=85,1,0))</formula>
    </cfRule>
  </conditionalFormatting>
  <conditionalFormatting sqref="X167">
    <cfRule type="expression" priority="239" dxfId="3">
      <formula>AND(IF(OR($Q167=1,$Q167=2),1,0),IF($X167&lt;=20,1,0))</formula>
    </cfRule>
    <cfRule type="expression" priority="240" dxfId="2">
      <formula>AND(IF($Q167=2,1,0),IF($X167&lt;30,1,0))</formula>
    </cfRule>
    <cfRule type="expression" priority="241" dxfId="1">
      <formula>AND(IF($Q167=3,1,0),IF($X167&lt;30,1,0))</formula>
    </cfRule>
    <cfRule type="expression" priority="242" dxfId="0">
      <formula>AND(IF($Q167=3,1,IF($Q167=4,1,0)),IF($F167&lt;=85,1,0))</formula>
    </cfRule>
  </conditionalFormatting>
  <conditionalFormatting sqref="AI167">
    <cfRule type="expression" priority="235" dxfId="3">
      <formula>AND(IF(OR($Q167=1,$Q167=2),1,0),IF($X167&lt;=20,1,0))</formula>
    </cfRule>
    <cfRule type="expression" priority="236" dxfId="2">
      <formula>AND(IF($Q167=2,1,0),IF($X167&lt;30,1,0))</formula>
    </cfRule>
    <cfRule type="expression" priority="237" dxfId="1">
      <formula>AND(IF($Q167=3,1,0),IF($X167&lt;30,1,0))</formula>
    </cfRule>
    <cfRule type="expression" priority="238" dxfId="0">
      <formula>AND(IF($Q167=3,1,IF($Q167=4,1,0)),IF($F167&lt;=85,1,0))</formula>
    </cfRule>
  </conditionalFormatting>
  <conditionalFormatting sqref="AV168">
    <cfRule type="expression" priority="233" dxfId="23">
      <formula>AV168="X"</formula>
    </cfRule>
    <cfRule type="expression" priority="234" dxfId="22">
      <formula>AV168="후보"</formula>
    </cfRule>
  </conditionalFormatting>
  <conditionalFormatting sqref="AC16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6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168">
    <cfRule type="expression" priority="225" dxfId="3">
      <formula>AND(IF(OR($Q168=1,$Q168=2),1,0),IF($X168&lt;=20,1,0))</formula>
    </cfRule>
    <cfRule type="expression" priority="226" dxfId="2">
      <formula>AND(IF($Q168=2,1,0),IF($X168&lt;30,1,0))</formula>
    </cfRule>
    <cfRule type="expression" priority="227" dxfId="1">
      <formula>AND(IF($Q168=3,1,0),IF($X168&lt;30,1,0))</formula>
    </cfRule>
    <cfRule type="expression" priority="228" dxfId="0">
      <formula>AND(IF($Q168=3,1,IF($Q168=4,1,0)),IF($F168&lt;=85,1,0))</formula>
    </cfRule>
  </conditionalFormatting>
  <conditionalFormatting sqref="X168">
    <cfRule type="expression" priority="221" dxfId="3">
      <formula>AND(IF(OR($Q168=1,$Q168=2),1,0),IF($X168&lt;=20,1,0))</formula>
    </cfRule>
    <cfRule type="expression" priority="222" dxfId="2">
      <formula>AND(IF($Q168=2,1,0),IF($X168&lt;30,1,0))</formula>
    </cfRule>
    <cfRule type="expression" priority="223" dxfId="1">
      <formula>AND(IF($Q168=3,1,0),IF($X168&lt;30,1,0))</formula>
    </cfRule>
    <cfRule type="expression" priority="224" dxfId="0">
      <formula>AND(IF($Q168=3,1,IF($Q168=4,1,0)),IF($F168&lt;=85,1,0))</formula>
    </cfRule>
  </conditionalFormatting>
  <conditionalFormatting sqref="AI168">
    <cfRule type="expression" priority="217" dxfId="3">
      <formula>AND(IF(OR($Q168=1,$Q168=2),1,0),IF($X168&lt;=20,1,0))</formula>
    </cfRule>
    <cfRule type="expression" priority="218" dxfId="2">
      <formula>AND(IF($Q168=2,1,0),IF($X168&lt;30,1,0))</formula>
    </cfRule>
    <cfRule type="expression" priority="219" dxfId="1">
      <formula>AND(IF($Q168=3,1,0),IF($X168&lt;30,1,0))</formula>
    </cfRule>
    <cfRule type="expression" priority="220" dxfId="0">
      <formula>AND(IF($Q168=3,1,IF($Q168=4,1,0)),IF($F168&lt;=85,1,0))</formula>
    </cfRule>
  </conditionalFormatting>
  <conditionalFormatting sqref="AV169">
    <cfRule type="expression" priority="215" dxfId="23">
      <formula>AV169="X"</formula>
    </cfRule>
    <cfRule type="expression" priority="216" dxfId="22">
      <formula>AV169="후보"</formula>
    </cfRule>
  </conditionalFormatting>
  <conditionalFormatting sqref="AC16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16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169">
    <cfRule type="expression" priority="207" dxfId="3">
      <formula>AND(IF(OR($Q169=1,$Q169=2),1,0),IF($X169&lt;=20,1,0))</formula>
    </cfRule>
    <cfRule type="expression" priority="208" dxfId="2">
      <formula>AND(IF($Q169=2,1,0),IF($X169&lt;30,1,0))</formula>
    </cfRule>
    <cfRule type="expression" priority="209" dxfId="1">
      <formula>AND(IF($Q169=3,1,0),IF($X169&lt;30,1,0))</formula>
    </cfRule>
    <cfRule type="expression" priority="210" dxfId="0">
      <formula>AND(IF($Q169=3,1,IF($Q169=4,1,0)),IF($F169&lt;=85,1,0))</formula>
    </cfRule>
  </conditionalFormatting>
  <conditionalFormatting sqref="X169">
    <cfRule type="expression" priority="203" dxfId="3">
      <formula>AND(IF(OR($Q169=1,$Q169=2),1,0),IF($X169&lt;=20,1,0))</formula>
    </cfRule>
    <cfRule type="expression" priority="204" dxfId="2">
      <formula>AND(IF($Q169=2,1,0),IF($X169&lt;30,1,0))</formula>
    </cfRule>
    <cfRule type="expression" priority="205" dxfId="1">
      <formula>AND(IF($Q169=3,1,0),IF($X169&lt;30,1,0))</formula>
    </cfRule>
    <cfRule type="expression" priority="206" dxfId="0">
      <formula>AND(IF($Q169=3,1,IF($Q169=4,1,0)),IF($F169&lt;=85,1,0))</formula>
    </cfRule>
  </conditionalFormatting>
  <conditionalFormatting sqref="AI169">
    <cfRule type="expression" priority="199" dxfId="3">
      <formula>AND(IF(OR($Q169=1,$Q169=2),1,0),IF($X169&lt;=20,1,0))</formula>
    </cfRule>
    <cfRule type="expression" priority="200" dxfId="2">
      <formula>AND(IF($Q169=2,1,0),IF($X169&lt;30,1,0))</formula>
    </cfRule>
    <cfRule type="expression" priority="201" dxfId="1">
      <formula>AND(IF($Q169=3,1,0),IF($X169&lt;30,1,0))</formula>
    </cfRule>
    <cfRule type="expression" priority="202" dxfId="0">
      <formula>AND(IF($Q169=3,1,IF($Q169=4,1,0)),IF($F169&lt;=85,1,0))</formula>
    </cfRule>
  </conditionalFormatting>
  <conditionalFormatting sqref="AV170">
    <cfRule type="expression" priority="197" dxfId="23">
      <formula>AV170="X"</formula>
    </cfRule>
    <cfRule type="expression" priority="198" dxfId="22">
      <formula>AV170="후보"</formula>
    </cfRule>
  </conditionalFormatting>
  <conditionalFormatting sqref="AC17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17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170">
    <cfRule type="expression" priority="189" dxfId="3">
      <formula>AND(IF(OR($Q170=1,$Q170=2),1,0),IF($X170&lt;=20,1,0))</formula>
    </cfRule>
    <cfRule type="expression" priority="190" dxfId="2">
      <formula>AND(IF($Q170=2,1,0),IF($X170&lt;30,1,0))</formula>
    </cfRule>
    <cfRule type="expression" priority="191" dxfId="1">
      <formula>AND(IF($Q170=3,1,0),IF($X170&lt;30,1,0))</formula>
    </cfRule>
    <cfRule type="expression" priority="192" dxfId="0">
      <formula>AND(IF($Q170=3,1,IF($Q170=4,1,0)),IF($F170&lt;=85,1,0))</formula>
    </cfRule>
  </conditionalFormatting>
  <conditionalFormatting sqref="X170">
    <cfRule type="expression" priority="185" dxfId="3">
      <formula>AND(IF(OR($Q170=1,$Q170=2),1,0),IF($X170&lt;=20,1,0))</formula>
    </cfRule>
    <cfRule type="expression" priority="186" dxfId="2">
      <formula>AND(IF($Q170=2,1,0),IF($X170&lt;30,1,0))</formula>
    </cfRule>
    <cfRule type="expression" priority="187" dxfId="1">
      <formula>AND(IF($Q170=3,1,0),IF($X170&lt;30,1,0))</formula>
    </cfRule>
    <cfRule type="expression" priority="188" dxfId="0">
      <formula>AND(IF($Q170=3,1,IF($Q170=4,1,0)),IF($F170&lt;=85,1,0))</formula>
    </cfRule>
  </conditionalFormatting>
  <conditionalFormatting sqref="AI170">
    <cfRule type="expression" priority="181" dxfId="3">
      <formula>AND(IF(OR($Q170=1,$Q170=2),1,0),IF($X170&lt;=20,1,0))</formula>
    </cfRule>
    <cfRule type="expression" priority="182" dxfId="2">
      <formula>AND(IF($Q170=2,1,0),IF($X170&lt;30,1,0))</formula>
    </cfRule>
    <cfRule type="expression" priority="183" dxfId="1">
      <formula>AND(IF($Q170=3,1,0),IF($X170&lt;30,1,0))</formula>
    </cfRule>
    <cfRule type="expression" priority="184" dxfId="0">
      <formula>AND(IF($Q170=3,1,IF($Q170=4,1,0)),IF($F170&lt;=85,1,0))</formula>
    </cfRule>
  </conditionalFormatting>
  <conditionalFormatting sqref="AV171">
    <cfRule type="expression" priority="179" dxfId="23">
      <formula>AV171="X"</formula>
    </cfRule>
    <cfRule type="expression" priority="180" dxfId="22">
      <formula>AV171="후보"</formula>
    </cfRule>
  </conditionalFormatting>
  <conditionalFormatting sqref="AC17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7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71">
    <cfRule type="expression" priority="171" dxfId="3">
      <formula>AND(IF(OR($Q171=1,$Q171=2),1,0),IF($X171&lt;=20,1,0))</formula>
    </cfRule>
    <cfRule type="expression" priority="172" dxfId="2">
      <formula>AND(IF($Q171=2,1,0),IF($X171&lt;30,1,0))</formula>
    </cfRule>
    <cfRule type="expression" priority="173" dxfId="1">
      <formula>AND(IF($Q171=3,1,0),IF($X171&lt;30,1,0))</formula>
    </cfRule>
    <cfRule type="expression" priority="174" dxfId="0">
      <formula>AND(IF($Q171=3,1,IF($Q171=4,1,0)),IF($F171&lt;=85,1,0))</formula>
    </cfRule>
  </conditionalFormatting>
  <conditionalFormatting sqref="X171">
    <cfRule type="expression" priority="167" dxfId="3">
      <formula>AND(IF(OR($Q171=1,$Q171=2),1,0),IF($X171&lt;=20,1,0))</formula>
    </cfRule>
    <cfRule type="expression" priority="168" dxfId="2">
      <formula>AND(IF($Q171=2,1,0),IF($X171&lt;30,1,0))</formula>
    </cfRule>
    <cfRule type="expression" priority="169" dxfId="1">
      <formula>AND(IF($Q171=3,1,0),IF($X171&lt;30,1,0))</formula>
    </cfRule>
    <cfRule type="expression" priority="170" dxfId="0">
      <formula>AND(IF($Q171=3,1,IF($Q171=4,1,0)),IF($F171&lt;=85,1,0))</formula>
    </cfRule>
  </conditionalFormatting>
  <conditionalFormatting sqref="AI171">
    <cfRule type="expression" priority="163" dxfId="3">
      <formula>AND(IF(OR($Q171=1,$Q171=2),1,0),IF($X171&lt;=20,1,0))</formula>
    </cfRule>
    <cfRule type="expression" priority="164" dxfId="2">
      <formula>AND(IF($Q171=2,1,0),IF($X171&lt;30,1,0))</formula>
    </cfRule>
    <cfRule type="expression" priority="165" dxfId="1">
      <formula>AND(IF($Q171=3,1,0),IF($X171&lt;30,1,0))</formula>
    </cfRule>
    <cfRule type="expression" priority="166" dxfId="0">
      <formula>AND(IF($Q171=3,1,IF($Q171=4,1,0)),IF($F171&lt;=85,1,0))</formula>
    </cfRule>
  </conditionalFormatting>
  <conditionalFormatting sqref="AV172">
    <cfRule type="expression" priority="161" dxfId="23">
      <formula>AV172="X"</formula>
    </cfRule>
    <cfRule type="expression" priority="162" dxfId="22">
      <formula>AV172="후보"</formula>
    </cfRule>
  </conditionalFormatting>
  <conditionalFormatting sqref="AC17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7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72">
    <cfRule type="expression" priority="153" dxfId="3">
      <formula>AND(IF(OR($Q172=1,$Q172=2),1,0),IF($X172&lt;=20,1,0))</formula>
    </cfRule>
    <cfRule type="expression" priority="154" dxfId="2">
      <formula>AND(IF($Q172=2,1,0),IF($X172&lt;30,1,0))</formula>
    </cfRule>
    <cfRule type="expression" priority="155" dxfId="1">
      <formula>AND(IF($Q172=3,1,0),IF($X172&lt;30,1,0))</formula>
    </cfRule>
    <cfRule type="expression" priority="156" dxfId="0">
      <formula>AND(IF($Q172=3,1,IF($Q172=4,1,0)),IF($F172&lt;=85,1,0))</formula>
    </cfRule>
  </conditionalFormatting>
  <conditionalFormatting sqref="X172">
    <cfRule type="expression" priority="149" dxfId="3">
      <formula>AND(IF(OR($Q172=1,$Q172=2),1,0),IF($X172&lt;=20,1,0))</formula>
    </cfRule>
    <cfRule type="expression" priority="150" dxfId="2">
      <formula>AND(IF($Q172=2,1,0),IF($X172&lt;30,1,0))</formula>
    </cfRule>
    <cfRule type="expression" priority="151" dxfId="1">
      <formula>AND(IF($Q172=3,1,0),IF($X172&lt;30,1,0))</formula>
    </cfRule>
    <cfRule type="expression" priority="152" dxfId="0">
      <formula>AND(IF($Q172=3,1,IF($Q172=4,1,0)),IF($F172&lt;=85,1,0))</formula>
    </cfRule>
  </conditionalFormatting>
  <conditionalFormatting sqref="AI172">
    <cfRule type="expression" priority="145" dxfId="3">
      <formula>AND(IF(OR($Q172=1,$Q172=2),1,0),IF($X172&lt;=20,1,0))</formula>
    </cfRule>
    <cfRule type="expression" priority="146" dxfId="2">
      <formula>AND(IF($Q172=2,1,0),IF($X172&lt;30,1,0))</formula>
    </cfRule>
    <cfRule type="expression" priority="147" dxfId="1">
      <formula>AND(IF($Q172=3,1,0),IF($X172&lt;30,1,0))</formula>
    </cfRule>
    <cfRule type="expression" priority="148" dxfId="0">
      <formula>AND(IF($Q172=3,1,IF($Q172=4,1,0)),IF($F172&lt;=85,1,0))</formula>
    </cfRule>
  </conditionalFormatting>
  <conditionalFormatting sqref="AV173">
    <cfRule type="expression" priority="143" dxfId="23">
      <formula>AV173="X"</formula>
    </cfRule>
    <cfRule type="expression" priority="144" dxfId="22">
      <formula>AV173="후보"</formula>
    </cfRule>
  </conditionalFormatting>
  <conditionalFormatting sqref="AC17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7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173">
    <cfRule type="expression" priority="135" dxfId="3">
      <formula>AND(IF(OR($Q173=1,$Q173=2),1,0),IF($X173&lt;=20,1,0))</formula>
    </cfRule>
    <cfRule type="expression" priority="136" dxfId="2">
      <formula>AND(IF($Q173=2,1,0),IF($X173&lt;30,1,0))</formula>
    </cfRule>
    <cfRule type="expression" priority="137" dxfId="1">
      <formula>AND(IF($Q173=3,1,0),IF($X173&lt;30,1,0))</formula>
    </cfRule>
    <cfRule type="expression" priority="138" dxfId="0">
      <formula>AND(IF($Q173=3,1,IF($Q173=4,1,0)),IF($F173&lt;=85,1,0))</formula>
    </cfRule>
  </conditionalFormatting>
  <conditionalFormatting sqref="X173">
    <cfRule type="expression" priority="131" dxfId="3">
      <formula>AND(IF(OR($Q173=1,$Q173=2),1,0),IF($X173&lt;=20,1,0))</formula>
    </cfRule>
    <cfRule type="expression" priority="132" dxfId="2">
      <formula>AND(IF($Q173=2,1,0),IF($X173&lt;30,1,0))</formula>
    </cfRule>
    <cfRule type="expression" priority="133" dxfId="1">
      <formula>AND(IF($Q173=3,1,0),IF($X173&lt;30,1,0))</formula>
    </cfRule>
    <cfRule type="expression" priority="134" dxfId="0">
      <formula>AND(IF($Q173=3,1,IF($Q173=4,1,0)),IF($F173&lt;=85,1,0))</formula>
    </cfRule>
  </conditionalFormatting>
  <conditionalFormatting sqref="AI173">
    <cfRule type="expression" priority="127" dxfId="3">
      <formula>AND(IF(OR($Q173=1,$Q173=2),1,0),IF($X173&lt;=20,1,0))</formula>
    </cfRule>
    <cfRule type="expression" priority="128" dxfId="2">
      <formula>AND(IF($Q173=2,1,0),IF($X173&lt;30,1,0))</formula>
    </cfRule>
    <cfRule type="expression" priority="129" dxfId="1">
      <formula>AND(IF($Q173=3,1,0),IF($X173&lt;30,1,0))</formula>
    </cfRule>
    <cfRule type="expression" priority="130" dxfId="0">
      <formula>AND(IF($Q173=3,1,IF($Q173=4,1,0)),IF($F173&lt;=85,1,0))</formula>
    </cfRule>
  </conditionalFormatting>
  <conditionalFormatting sqref="AV174">
    <cfRule type="expression" priority="125" dxfId="23">
      <formula>AV174="X"</formula>
    </cfRule>
    <cfRule type="expression" priority="126" dxfId="22">
      <formula>AV174="후보"</formula>
    </cfRule>
  </conditionalFormatting>
  <conditionalFormatting sqref="AC17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17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174">
    <cfRule type="expression" priority="117" dxfId="3">
      <formula>AND(IF(OR($Q174=1,$Q174=2),1,0),IF($X174&lt;=20,1,0))</formula>
    </cfRule>
    <cfRule type="expression" priority="118" dxfId="2">
      <formula>AND(IF($Q174=2,1,0),IF($X174&lt;30,1,0))</formula>
    </cfRule>
    <cfRule type="expression" priority="119" dxfId="1">
      <formula>AND(IF($Q174=3,1,0),IF($X174&lt;30,1,0))</formula>
    </cfRule>
    <cfRule type="expression" priority="120" dxfId="0">
      <formula>AND(IF($Q174=3,1,IF($Q174=4,1,0)),IF($F174&lt;=85,1,0))</formula>
    </cfRule>
  </conditionalFormatting>
  <conditionalFormatting sqref="X174">
    <cfRule type="expression" priority="113" dxfId="3">
      <formula>AND(IF(OR($Q174=1,$Q174=2),1,0),IF($X174&lt;=20,1,0))</formula>
    </cfRule>
    <cfRule type="expression" priority="114" dxfId="2">
      <formula>AND(IF($Q174=2,1,0),IF($X174&lt;30,1,0))</formula>
    </cfRule>
    <cfRule type="expression" priority="115" dxfId="1">
      <formula>AND(IF($Q174=3,1,0),IF($X174&lt;30,1,0))</formula>
    </cfRule>
    <cfRule type="expression" priority="116" dxfId="0">
      <formula>AND(IF($Q174=3,1,IF($Q174=4,1,0)),IF($F174&lt;=85,1,0))</formula>
    </cfRule>
  </conditionalFormatting>
  <conditionalFormatting sqref="AI174">
    <cfRule type="expression" priority="109" dxfId="3">
      <formula>AND(IF(OR($Q174=1,$Q174=2),1,0),IF($X174&lt;=20,1,0))</formula>
    </cfRule>
    <cfRule type="expression" priority="110" dxfId="2">
      <formula>AND(IF($Q174=2,1,0),IF($X174&lt;30,1,0))</formula>
    </cfRule>
    <cfRule type="expression" priority="111" dxfId="1">
      <formula>AND(IF($Q174=3,1,0),IF($X174&lt;30,1,0))</formula>
    </cfRule>
    <cfRule type="expression" priority="112" dxfId="0">
      <formula>AND(IF($Q174=3,1,IF($Q174=4,1,0)),IF($F174&lt;=85,1,0))</formula>
    </cfRule>
  </conditionalFormatting>
  <conditionalFormatting sqref="AV175">
    <cfRule type="expression" priority="107" dxfId="23">
      <formula>AV175="X"</formula>
    </cfRule>
    <cfRule type="expression" priority="108" dxfId="22">
      <formula>AV175="후보"</formula>
    </cfRule>
  </conditionalFormatting>
  <conditionalFormatting sqref="AC17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17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175">
    <cfRule type="expression" priority="99" dxfId="3">
      <formula>AND(IF(OR($Q175=1,$Q175=2),1,0),IF($X175&lt;=20,1,0))</formula>
    </cfRule>
    <cfRule type="expression" priority="100" dxfId="2">
      <formula>AND(IF($Q175=2,1,0),IF($X175&lt;30,1,0))</formula>
    </cfRule>
    <cfRule type="expression" priority="101" dxfId="1">
      <formula>AND(IF($Q175=3,1,0),IF($X175&lt;30,1,0))</formula>
    </cfRule>
    <cfRule type="expression" priority="102" dxfId="0">
      <formula>AND(IF($Q175=3,1,IF($Q175=4,1,0)),IF($F175&lt;=85,1,0))</formula>
    </cfRule>
  </conditionalFormatting>
  <conditionalFormatting sqref="X175">
    <cfRule type="expression" priority="95" dxfId="3">
      <formula>AND(IF(OR($Q175=1,$Q175=2),1,0),IF($X175&lt;=20,1,0))</formula>
    </cfRule>
    <cfRule type="expression" priority="96" dxfId="2">
      <formula>AND(IF($Q175=2,1,0),IF($X175&lt;30,1,0))</formula>
    </cfRule>
    <cfRule type="expression" priority="97" dxfId="1">
      <formula>AND(IF($Q175=3,1,0),IF($X175&lt;30,1,0))</formula>
    </cfRule>
    <cfRule type="expression" priority="98" dxfId="0">
      <formula>AND(IF($Q175=3,1,IF($Q175=4,1,0)),IF($F175&lt;=85,1,0))</formula>
    </cfRule>
  </conditionalFormatting>
  <conditionalFormatting sqref="AI175">
    <cfRule type="expression" priority="91" dxfId="3">
      <formula>AND(IF(OR($Q175=1,$Q175=2),1,0),IF($X175&lt;=20,1,0))</formula>
    </cfRule>
    <cfRule type="expression" priority="92" dxfId="2">
      <formula>AND(IF($Q175=2,1,0),IF($X175&lt;30,1,0))</formula>
    </cfRule>
    <cfRule type="expression" priority="93" dxfId="1">
      <formula>AND(IF($Q175=3,1,0),IF($X175&lt;30,1,0))</formula>
    </cfRule>
    <cfRule type="expression" priority="94" dxfId="0">
      <formula>AND(IF($Q175=3,1,IF($Q175=4,1,0)),IF($F175&lt;=85,1,0))</formula>
    </cfRule>
  </conditionalFormatting>
  <conditionalFormatting sqref="AV176">
    <cfRule type="expression" priority="89" dxfId="23">
      <formula>AV176="X"</formula>
    </cfRule>
    <cfRule type="expression" priority="90" dxfId="22">
      <formula>AV176="후보"</formula>
    </cfRule>
  </conditionalFormatting>
  <conditionalFormatting sqref="AC17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7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76">
    <cfRule type="expression" priority="81" dxfId="3">
      <formula>AND(IF(OR($Q176=1,$Q176=2),1,0),IF($X176&lt;=20,1,0))</formula>
    </cfRule>
    <cfRule type="expression" priority="82" dxfId="2">
      <formula>AND(IF($Q176=2,1,0),IF($X176&lt;30,1,0))</formula>
    </cfRule>
    <cfRule type="expression" priority="83" dxfId="1">
      <formula>AND(IF($Q176=3,1,0),IF($X176&lt;30,1,0))</formula>
    </cfRule>
    <cfRule type="expression" priority="84" dxfId="0">
      <formula>AND(IF($Q176=3,1,IF($Q176=4,1,0)),IF($F176&lt;=85,1,0))</formula>
    </cfRule>
  </conditionalFormatting>
  <conditionalFormatting sqref="X176">
    <cfRule type="expression" priority="77" dxfId="3">
      <formula>AND(IF(OR($Q176=1,$Q176=2),1,0),IF($X176&lt;=20,1,0))</formula>
    </cfRule>
    <cfRule type="expression" priority="78" dxfId="2">
      <formula>AND(IF($Q176=2,1,0),IF($X176&lt;30,1,0))</formula>
    </cfRule>
    <cfRule type="expression" priority="79" dxfId="1">
      <formula>AND(IF($Q176=3,1,0),IF($X176&lt;30,1,0))</formula>
    </cfRule>
    <cfRule type="expression" priority="80" dxfId="0">
      <formula>AND(IF($Q176=3,1,IF($Q176=4,1,0)),IF($F176&lt;=85,1,0))</formula>
    </cfRule>
  </conditionalFormatting>
  <conditionalFormatting sqref="AI176">
    <cfRule type="expression" priority="73" dxfId="3">
      <formula>AND(IF(OR($Q176=1,$Q176=2),1,0),IF($X176&lt;=20,1,0))</formula>
    </cfRule>
    <cfRule type="expression" priority="74" dxfId="2">
      <formula>AND(IF($Q176=2,1,0),IF($X176&lt;30,1,0))</formula>
    </cfRule>
    <cfRule type="expression" priority="75" dxfId="1">
      <formula>AND(IF($Q176=3,1,0),IF($X176&lt;30,1,0))</formula>
    </cfRule>
    <cfRule type="expression" priority="76" dxfId="0">
      <formula>AND(IF($Q176=3,1,IF($Q176=4,1,0)),IF($F176&lt;=85,1,0))</formula>
    </cfRule>
  </conditionalFormatting>
  <conditionalFormatting sqref="AV177">
    <cfRule type="expression" priority="71" dxfId="23">
      <formula>AV177="X"</formula>
    </cfRule>
    <cfRule type="expression" priority="72" dxfId="22">
      <formula>AV177="후보"</formula>
    </cfRule>
  </conditionalFormatting>
  <conditionalFormatting sqref="AC17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17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177">
    <cfRule type="expression" priority="63" dxfId="3">
      <formula>AND(IF(OR($Q177=1,$Q177=2),1,0),IF($X177&lt;=20,1,0))</formula>
    </cfRule>
    <cfRule type="expression" priority="64" dxfId="2">
      <formula>AND(IF($Q177=2,1,0),IF($X177&lt;30,1,0))</formula>
    </cfRule>
    <cfRule type="expression" priority="65" dxfId="1">
      <formula>AND(IF($Q177=3,1,0),IF($X177&lt;30,1,0))</formula>
    </cfRule>
    <cfRule type="expression" priority="66" dxfId="0">
      <formula>AND(IF($Q177=3,1,IF($Q177=4,1,0)),IF($F177&lt;=85,1,0))</formula>
    </cfRule>
  </conditionalFormatting>
  <conditionalFormatting sqref="X177">
    <cfRule type="expression" priority="59" dxfId="3">
      <formula>AND(IF(OR($Q177=1,$Q177=2),1,0),IF($X177&lt;=20,1,0))</formula>
    </cfRule>
    <cfRule type="expression" priority="60" dxfId="2">
      <formula>AND(IF($Q177=2,1,0),IF($X177&lt;30,1,0))</formula>
    </cfRule>
    <cfRule type="expression" priority="61" dxfId="1">
      <formula>AND(IF($Q177=3,1,0),IF($X177&lt;30,1,0))</formula>
    </cfRule>
    <cfRule type="expression" priority="62" dxfId="0">
      <formula>AND(IF($Q177=3,1,IF($Q177=4,1,0)),IF($F177&lt;=85,1,0))</formula>
    </cfRule>
  </conditionalFormatting>
  <conditionalFormatting sqref="AI177">
    <cfRule type="expression" priority="55" dxfId="3">
      <formula>AND(IF(OR($Q177=1,$Q177=2),1,0),IF($X177&lt;=20,1,0))</formula>
    </cfRule>
    <cfRule type="expression" priority="56" dxfId="2">
      <formula>AND(IF($Q177=2,1,0),IF($X177&lt;30,1,0))</formula>
    </cfRule>
    <cfRule type="expression" priority="57" dxfId="1">
      <formula>AND(IF($Q177=3,1,0),IF($X177&lt;30,1,0))</formula>
    </cfRule>
    <cfRule type="expression" priority="58" dxfId="0">
      <formula>AND(IF($Q177=3,1,IF($Q177=4,1,0)),IF($F177&lt;=85,1,0))</formula>
    </cfRule>
  </conditionalFormatting>
  <conditionalFormatting sqref="AV178">
    <cfRule type="expression" priority="53" dxfId="23">
      <formula>AV178="X"</formula>
    </cfRule>
    <cfRule type="expression" priority="54" dxfId="22">
      <formula>AV178="후보"</formula>
    </cfRule>
  </conditionalFormatting>
  <conditionalFormatting sqref="AC17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17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178">
    <cfRule type="expression" priority="45" dxfId="3">
      <formula>AND(IF(OR($Q178=1,$Q178=2),1,0),IF($X178&lt;=20,1,0))</formula>
    </cfRule>
    <cfRule type="expression" priority="46" dxfId="2">
      <formula>AND(IF($Q178=2,1,0),IF($X178&lt;30,1,0))</formula>
    </cfRule>
    <cfRule type="expression" priority="47" dxfId="1">
      <formula>AND(IF($Q178=3,1,0),IF($X178&lt;30,1,0))</formula>
    </cfRule>
    <cfRule type="expression" priority="48" dxfId="0">
      <formula>AND(IF($Q178=3,1,IF($Q178=4,1,0)),IF($F178&lt;=85,1,0))</formula>
    </cfRule>
  </conditionalFormatting>
  <conditionalFormatting sqref="X178">
    <cfRule type="expression" priority="41" dxfId="3">
      <formula>AND(IF(OR($Q178=1,$Q178=2),1,0),IF($X178&lt;=20,1,0))</formula>
    </cfRule>
    <cfRule type="expression" priority="42" dxfId="2">
      <formula>AND(IF($Q178=2,1,0),IF($X178&lt;30,1,0))</formula>
    </cfRule>
    <cfRule type="expression" priority="43" dxfId="1">
      <formula>AND(IF($Q178=3,1,0),IF($X178&lt;30,1,0))</formula>
    </cfRule>
    <cfRule type="expression" priority="44" dxfId="0">
      <formula>AND(IF($Q178=3,1,IF($Q178=4,1,0)),IF($F178&lt;=85,1,0))</formula>
    </cfRule>
  </conditionalFormatting>
  <conditionalFormatting sqref="AI178">
    <cfRule type="expression" priority="37" dxfId="3">
      <formula>AND(IF(OR($Q178=1,$Q178=2),1,0),IF($X178&lt;=20,1,0))</formula>
    </cfRule>
    <cfRule type="expression" priority="38" dxfId="2">
      <formula>AND(IF($Q178=2,1,0),IF($X178&lt;30,1,0))</formula>
    </cfRule>
    <cfRule type="expression" priority="39" dxfId="1">
      <formula>AND(IF($Q178=3,1,0),IF($X178&lt;30,1,0))</formula>
    </cfRule>
    <cfRule type="expression" priority="40" dxfId="0">
      <formula>AND(IF($Q178=3,1,IF($Q178=4,1,0)),IF($F178&lt;=85,1,0))</formula>
    </cfRule>
  </conditionalFormatting>
  <conditionalFormatting sqref="AV179">
    <cfRule type="expression" priority="35" dxfId="23">
      <formula>AV179="X"</formula>
    </cfRule>
    <cfRule type="expression" priority="36" dxfId="22">
      <formula>AV179="후보"</formula>
    </cfRule>
  </conditionalFormatting>
  <conditionalFormatting sqref="AC17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17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179">
    <cfRule type="expression" priority="27" dxfId="3">
      <formula>AND(IF(OR($Q179=1,$Q179=2),1,0),IF($X179&lt;=20,1,0))</formula>
    </cfRule>
    <cfRule type="expression" priority="28" dxfId="2">
      <formula>AND(IF($Q179=2,1,0),IF($X179&lt;30,1,0))</formula>
    </cfRule>
    <cfRule type="expression" priority="29" dxfId="1">
      <formula>AND(IF($Q179=3,1,0),IF($X179&lt;30,1,0))</formula>
    </cfRule>
    <cfRule type="expression" priority="30" dxfId="0">
      <formula>AND(IF($Q179=3,1,IF($Q179=4,1,0)),IF($F179&lt;=85,1,0))</formula>
    </cfRule>
  </conditionalFormatting>
  <conditionalFormatting sqref="X179">
    <cfRule type="expression" priority="23" dxfId="3">
      <formula>AND(IF(OR($Q179=1,$Q179=2),1,0),IF($X179&lt;=20,1,0))</formula>
    </cfRule>
    <cfRule type="expression" priority="24" dxfId="2">
      <formula>AND(IF($Q179=2,1,0),IF($X179&lt;30,1,0))</formula>
    </cfRule>
    <cfRule type="expression" priority="25" dxfId="1">
      <formula>AND(IF($Q179=3,1,0),IF($X179&lt;30,1,0))</formula>
    </cfRule>
    <cfRule type="expression" priority="26" dxfId="0">
      <formula>AND(IF($Q179=3,1,IF($Q179=4,1,0)),IF($F179&lt;=85,1,0))</formula>
    </cfRule>
  </conditionalFormatting>
  <conditionalFormatting sqref="AI179">
    <cfRule type="expression" priority="19" dxfId="3">
      <formula>AND(IF(OR($Q179=1,$Q179=2),1,0),IF($X179&lt;=20,1,0))</formula>
    </cfRule>
    <cfRule type="expression" priority="20" dxfId="2">
      <formula>AND(IF($Q179=2,1,0),IF($X179&lt;30,1,0))</formula>
    </cfRule>
    <cfRule type="expression" priority="21" dxfId="1">
      <formula>AND(IF($Q179=3,1,0),IF($X179&lt;30,1,0))</formula>
    </cfRule>
    <cfRule type="expression" priority="22" dxfId="0">
      <formula>AND(IF($Q179=3,1,IF($Q179=4,1,0)),IF($F179&lt;=85,1,0))</formula>
    </cfRule>
  </conditionalFormatting>
  <conditionalFormatting sqref="AV180">
    <cfRule type="expression" priority="17" dxfId="23">
      <formula>AV180="X"</formula>
    </cfRule>
    <cfRule type="expression" priority="18" dxfId="22">
      <formula>AV180="후보"</formula>
    </cfRule>
  </conditionalFormatting>
  <conditionalFormatting sqref="AC18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0">
    <cfRule type="expression" priority="9" dxfId="3">
      <formula>AND(IF(OR($Q180=1,$Q180=2),1,0),IF($X180&lt;=20,1,0))</formula>
    </cfRule>
    <cfRule type="expression" priority="10" dxfId="2">
      <formula>AND(IF($Q180=2,1,0),IF($X180&lt;30,1,0))</formula>
    </cfRule>
    <cfRule type="expression" priority="11" dxfId="1">
      <formula>AND(IF($Q180=3,1,0),IF($X180&lt;30,1,0))</formula>
    </cfRule>
    <cfRule type="expression" priority="12" dxfId="0">
      <formula>AND(IF($Q180=3,1,IF($Q180=4,1,0)),IF($F180&lt;=85,1,0))</formula>
    </cfRule>
  </conditionalFormatting>
  <conditionalFormatting sqref="X180">
    <cfRule type="expression" priority="5" dxfId="3">
      <formula>AND(IF(OR($Q180=1,$Q180=2),1,0),IF($X180&lt;=20,1,0))</formula>
    </cfRule>
    <cfRule type="expression" priority="6" dxfId="2">
      <formula>AND(IF($Q180=2,1,0),IF($X180&lt;30,1,0))</formula>
    </cfRule>
    <cfRule type="expression" priority="7" dxfId="1">
      <formula>AND(IF($Q180=3,1,0),IF($X180&lt;30,1,0))</formula>
    </cfRule>
    <cfRule type="expression" priority="8" dxfId="0">
      <formula>AND(IF($Q180=3,1,IF($Q180=4,1,0)),IF($F180&lt;=85,1,0))</formula>
    </cfRule>
  </conditionalFormatting>
  <conditionalFormatting sqref="AI180">
    <cfRule type="expression" priority="1" dxfId="3">
      <formula>AND(IF(OR($Q180=1,$Q180=2),1,0),IF($X180&lt;=20,1,0))</formula>
    </cfRule>
    <cfRule type="expression" priority="2" dxfId="2">
      <formula>AND(IF($Q180=2,1,0),IF($X180&lt;30,1,0))</formula>
    </cfRule>
    <cfRule type="expression" priority="3" dxfId="1">
      <formula>AND(IF($Q180=3,1,0),IF($X180&lt;30,1,0))</formula>
    </cfRule>
    <cfRule type="expression" priority="4" dxfId="0">
      <formula>AND(IF($Q180=3,1,IF($Q180=4,1,0)),IF($F180&lt;=85,1,0))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중동 창원중동유니시티4단지</t>
        </is>
      </c>
      <c r="B4" s="76" t="inlineStr">
        <is>
          <t>19.12.</t>
        </is>
      </c>
      <c r="C4" s="130" t="n">
        <v>1768</v>
      </c>
      <c r="D4" s="131" t="n">
        <v>185.6</v>
      </c>
      <c r="E4" s="132" t="n">
        <v>56</v>
      </c>
      <c r="F4" s="131" t="n">
        <v>137.2</v>
      </c>
      <c r="G4" s="17" t="n">
        <v>41</v>
      </c>
      <c r="H4" s="133" t="n">
        <v>41</v>
      </c>
      <c r="I4" s="134" t="n">
        <v>190000</v>
      </c>
      <c r="J4" s="134" t="inlineStr">
        <is>
          <t>고</t>
        </is>
      </c>
      <c r="K4" s="134" t="n">
        <v>100000</v>
      </c>
      <c r="L4" s="134" t="inlineStr">
        <is>
          <t>27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4</v>
      </c>
      <c r="R4" s="121" t="n">
        <v>2</v>
      </c>
      <c r="S4" s="121" t="inlineStr">
        <is>
          <t>계</t>
        </is>
      </c>
      <c r="T4" s="5" t="inlineStr">
        <is>
          <t>185B</t>
        </is>
      </c>
      <c r="U4" s="9" t="n"/>
    </row>
    <row r="5" ht="12" customFormat="1" customHeight="1" s="37">
      <c r="A5" s="75" t="inlineStr">
        <is>
          <t>중동 창원중동유니시티1단지</t>
        </is>
      </c>
      <c r="B5" s="76" t="inlineStr">
        <is>
          <t>19.06.</t>
        </is>
      </c>
      <c r="C5" s="130" t="n">
        <v>1803</v>
      </c>
      <c r="D5" s="131" t="n">
        <v>158.6</v>
      </c>
      <c r="E5" s="132" t="n">
        <v>48</v>
      </c>
      <c r="F5" s="131" t="n">
        <v>115.7</v>
      </c>
      <c r="G5" s="17" t="n">
        <v>35</v>
      </c>
      <c r="H5" s="133" t="n">
        <v>128</v>
      </c>
      <c r="I5" s="134" t="n">
        <v>152000</v>
      </c>
      <c r="J5" s="134" t="inlineStr">
        <is>
          <t>고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4</v>
      </c>
      <c r="R5" s="121" t="n">
        <v>2</v>
      </c>
      <c r="S5" s="121" t="inlineStr">
        <is>
          <t>계</t>
        </is>
      </c>
      <c r="T5" s="5" t="n">
        <v>158</v>
      </c>
      <c r="U5" s="9" t="n"/>
    </row>
    <row r="6" ht="12" customFormat="1" customHeight="1" s="37">
      <c r="A6" s="75" t="inlineStr">
        <is>
          <t>중동 창원중동유니시티4단지</t>
        </is>
      </c>
      <c r="B6" s="76" t="inlineStr">
        <is>
          <t>19.12.</t>
        </is>
      </c>
      <c r="C6" s="130" t="n">
        <v>1768</v>
      </c>
      <c r="D6" s="131" t="n">
        <v>158.8</v>
      </c>
      <c r="E6" s="132" t="n">
        <v>48</v>
      </c>
      <c r="F6" s="131" t="n">
        <v>117.9</v>
      </c>
      <c r="G6" s="17" t="n">
        <v>36</v>
      </c>
      <c r="H6" s="133" t="n">
        <v>112</v>
      </c>
      <c r="I6" s="134" t="n">
        <v>128000</v>
      </c>
      <c r="J6" s="134" t="inlineStr">
        <is>
          <t>9</t>
        </is>
      </c>
      <c r="K6" s="134" t="n">
        <v>75000</v>
      </c>
      <c r="L6" s="134" t="inlineStr">
        <is>
          <t>29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n">
        <v>158</v>
      </c>
      <c r="U6" s="9" t="n"/>
    </row>
    <row r="7" ht="12" customFormat="1" customHeight="1" s="37">
      <c r="A7" s="75" t="inlineStr">
        <is>
          <t>중동 창원중동유니시티4단지</t>
        </is>
      </c>
      <c r="B7" s="76" t="inlineStr">
        <is>
          <t>19.12.</t>
        </is>
      </c>
      <c r="C7" s="130" t="n">
        <v>1768</v>
      </c>
      <c r="D7" s="131" t="n">
        <v>135.6</v>
      </c>
      <c r="E7" s="132" t="n">
        <v>41</v>
      </c>
      <c r="F7" s="131" t="n">
        <v>100.3</v>
      </c>
      <c r="G7" s="17" t="n">
        <v>30</v>
      </c>
      <c r="H7" s="133" t="n">
        <v>372</v>
      </c>
      <c r="I7" s="134" t="n">
        <v>100000</v>
      </c>
      <c r="J7" s="134" t="inlineStr">
        <is>
          <t>16</t>
        </is>
      </c>
      <c r="K7" s="134" t="n">
        <v>49000</v>
      </c>
      <c r="L7" s="134" t="inlineStr">
        <is>
          <t>고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135</v>
      </c>
      <c r="U7" s="9" t="n"/>
    </row>
    <row r="8" ht="12" customFormat="1" customHeight="1" s="37">
      <c r="A8" s="75" t="inlineStr">
        <is>
          <t>중동 창원중동유니시티1단지</t>
        </is>
      </c>
      <c r="B8" s="76" t="inlineStr">
        <is>
          <t>19.06.</t>
        </is>
      </c>
      <c r="C8" s="130" t="n">
        <v>1803</v>
      </c>
      <c r="D8" s="131" t="n">
        <v>136.5</v>
      </c>
      <c r="E8" s="132" t="n">
        <v>41</v>
      </c>
      <c r="F8" s="131" t="n">
        <v>99.2</v>
      </c>
      <c r="G8" s="17" t="n">
        <v>30</v>
      </c>
      <c r="H8" s="133" t="n">
        <v>474</v>
      </c>
      <c r="I8" s="134" t="n">
        <v>95000</v>
      </c>
      <c r="J8" s="134" t="inlineStr">
        <is>
          <t>고</t>
        </is>
      </c>
      <c r="K8" s="134" t="n">
        <v>50000</v>
      </c>
      <c r="L8" s="134" t="inlineStr">
        <is>
          <t>18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136</v>
      </c>
      <c r="U8" s="9" t="n"/>
    </row>
    <row r="9" ht="12" customFormat="1" customHeight="1" s="37">
      <c r="A9" s="75" t="inlineStr">
        <is>
          <t>중동 창원중동유니시티2단지</t>
        </is>
      </c>
      <c r="B9" s="76" t="inlineStr">
        <is>
          <t>19.06.</t>
        </is>
      </c>
      <c r="C9" s="130" t="n">
        <v>1064</v>
      </c>
      <c r="D9" s="131" t="n">
        <v>138.6</v>
      </c>
      <c r="E9" s="132" t="n">
        <v>42</v>
      </c>
      <c r="F9" s="131" t="n">
        <v>99.2</v>
      </c>
      <c r="G9" s="17" t="n">
        <v>30</v>
      </c>
      <c r="H9" s="133" t="n">
        <v>246</v>
      </c>
      <c r="I9" s="134" t="n">
        <v>95000</v>
      </c>
      <c r="J9" s="134" t="inlineStr">
        <is>
          <t>10</t>
        </is>
      </c>
      <c r="K9" s="134" t="n">
        <v>50000</v>
      </c>
      <c r="L9" s="134" t="inlineStr">
        <is>
          <t>10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138</v>
      </c>
      <c r="U9" s="9" t="n"/>
    </row>
    <row r="10" ht="12" customFormat="1" customHeight="1" s="37">
      <c r="A10" s="75" t="inlineStr">
        <is>
          <t>중동 창원중동유니시티3단지</t>
        </is>
      </c>
      <c r="B10" s="76" t="inlineStr">
        <is>
          <t>19.12.</t>
        </is>
      </c>
      <c r="C10" s="130" t="n">
        <v>1465</v>
      </c>
      <c r="D10" s="131" t="n">
        <v>137.9</v>
      </c>
      <c r="E10" s="132" t="n">
        <v>42</v>
      </c>
      <c r="F10" s="131" t="n">
        <v>100.3</v>
      </c>
      <c r="G10" s="17" t="n">
        <v>30</v>
      </c>
      <c r="H10" s="133" t="n">
        <v>324</v>
      </c>
      <c r="I10" s="134" t="n">
        <v>93500</v>
      </c>
      <c r="J10" s="134" t="inlineStr">
        <is>
          <t>12</t>
        </is>
      </c>
      <c r="K10" s="134" t="n">
        <v>50000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137</v>
      </c>
      <c r="U10" s="9" t="n"/>
    </row>
    <row r="11" ht="12" customFormat="1" customHeight="1" s="37">
      <c r="A11" s="75" t="inlineStr">
        <is>
          <t>중동 창원중동유니시티1단지</t>
        </is>
      </c>
      <c r="B11" s="76" t="inlineStr">
        <is>
          <t>19.06.</t>
        </is>
      </c>
      <c r="C11" s="130" t="n">
        <v>1803</v>
      </c>
      <c r="D11" s="131" t="n">
        <v>117.1</v>
      </c>
      <c r="E11" s="132" t="n">
        <v>35</v>
      </c>
      <c r="F11" s="131" t="n">
        <v>84.40000000000001</v>
      </c>
      <c r="G11" s="17" t="n">
        <v>26</v>
      </c>
      <c r="H11" s="133" t="n">
        <v>506</v>
      </c>
      <c r="I11" s="134" t="n">
        <v>85000</v>
      </c>
      <c r="J11" s="134" t="inlineStr">
        <is>
          <t>고</t>
        </is>
      </c>
      <c r="K11" s="134" t="n">
        <v>45000</v>
      </c>
      <c r="L11" s="134" t="inlineStr">
        <is>
          <t>고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117A</t>
        </is>
      </c>
      <c r="U11" s="9" t="n"/>
    </row>
    <row r="12" ht="12" customFormat="1" customHeight="1" s="37">
      <c r="A12" s="75" t="inlineStr">
        <is>
          <t>중동 창원중동유니시티2단지</t>
        </is>
      </c>
      <c r="B12" s="76" t="inlineStr">
        <is>
          <t>19.06.</t>
        </is>
      </c>
      <c r="C12" s="130" t="n">
        <v>1064</v>
      </c>
      <c r="D12" s="131" t="n">
        <v>118.9</v>
      </c>
      <c r="E12" s="132" t="n">
        <v>36</v>
      </c>
      <c r="F12" s="131" t="n">
        <v>84.40000000000001</v>
      </c>
      <c r="G12" s="17" t="n">
        <v>26</v>
      </c>
      <c r="H12" s="133" t="n">
        <v>411</v>
      </c>
      <c r="I12" s="134" t="n">
        <v>80000</v>
      </c>
      <c r="J12" s="134" t="inlineStr">
        <is>
          <t>27</t>
        </is>
      </c>
      <c r="K12" s="134" t="n">
        <v>43000</v>
      </c>
      <c r="L12" s="134" t="inlineStr">
        <is>
          <t>26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118A</t>
        </is>
      </c>
      <c r="U12" s="9" t="n"/>
    </row>
    <row r="13" ht="12" customFormat="1" customHeight="1" s="37">
      <c r="A13" s="75" t="inlineStr">
        <is>
          <t>중동 창원중동유니시티4단지</t>
        </is>
      </c>
      <c r="B13" s="76" t="inlineStr">
        <is>
          <t>19.12.</t>
        </is>
      </c>
      <c r="C13" s="130" t="n">
        <v>1768</v>
      </c>
      <c r="D13" s="131" t="n">
        <v>115.7</v>
      </c>
      <c r="E13" s="132" t="n">
        <v>35</v>
      </c>
      <c r="F13" s="131" t="n">
        <v>84.7</v>
      </c>
      <c r="G13" s="17" t="n">
        <v>26</v>
      </c>
      <c r="H13" s="133" t="n">
        <v>686</v>
      </c>
      <c r="I13" s="134" t="n">
        <v>79000</v>
      </c>
      <c r="J13" s="134" t="inlineStr">
        <is>
          <t>21</t>
        </is>
      </c>
      <c r="K13" s="134" t="n">
        <v>43000</v>
      </c>
      <c r="L13" s="134" t="inlineStr">
        <is>
          <t>24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115A</t>
        </is>
      </c>
      <c r="U13" s="9" t="n"/>
    </row>
    <row r="14" ht="12" customFormat="1" customHeight="1" s="37">
      <c r="A14" s="75" t="inlineStr">
        <is>
          <t>중동 창원중동유니시티3단지</t>
        </is>
      </c>
      <c r="B14" s="76" t="inlineStr">
        <is>
          <t>19.12.</t>
        </is>
      </c>
      <c r="C14" s="130" t="n">
        <v>1465</v>
      </c>
      <c r="D14" s="131" t="n">
        <v>117.6</v>
      </c>
      <c r="E14" s="132" t="n">
        <v>36</v>
      </c>
      <c r="F14" s="131" t="n">
        <v>84.7</v>
      </c>
      <c r="G14" s="17" t="n">
        <v>26</v>
      </c>
      <c r="H14" s="133" t="n">
        <v>658</v>
      </c>
      <c r="I14" s="134" t="n">
        <v>77000</v>
      </c>
      <c r="J14" s="134" t="inlineStr">
        <is>
          <t>7</t>
        </is>
      </c>
      <c r="K14" s="134" t="n">
        <v>42000</v>
      </c>
      <c r="L14" s="134" t="inlineStr">
        <is>
          <t>15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117A</t>
        </is>
      </c>
      <c r="U14" s="9" t="n"/>
    </row>
    <row r="15" ht="12" customFormat="1" customHeight="1" s="37">
      <c r="A15" s="75" t="inlineStr">
        <is>
          <t>중동 창원중동유니시티3단지</t>
        </is>
      </c>
      <c r="B15" s="76" t="inlineStr">
        <is>
          <t>19.12.</t>
        </is>
      </c>
      <c r="C15" s="130" t="n">
        <v>1465</v>
      </c>
      <c r="D15" s="131" t="n">
        <v>100.9</v>
      </c>
      <c r="E15" s="132" t="n">
        <v>31</v>
      </c>
      <c r="F15" s="131" t="n">
        <v>72.90000000000001</v>
      </c>
      <c r="G15" s="17" t="n">
        <v>22</v>
      </c>
      <c r="H15" s="133" t="n">
        <v>50</v>
      </c>
      <c r="I15" s="134" t="n">
        <v>75000</v>
      </c>
      <c r="J15" s="134" t="inlineStr">
        <is>
          <t>고</t>
        </is>
      </c>
      <c r="K15" s="134" t="n">
        <v>45000</v>
      </c>
      <c r="L15" s="134" t="inlineStr">
        <is>
          <t>21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100</v>
      </c>
      <c r="U15" s="9" t="n"/>
    </row>
    <row r="16" ht="12" customFormat="1" customHeight="1" s="37">
      <c r="A16" s="75" t="inlineStr">
        <is>
          <t>중동 창원중동유니시티1단지</t>
        </is>
      </c>
      <c r="B16" s="76" t="inlineStr">
        <is>
          <t>19.06.</t>
        </is>
      </c>
      <c r="C16" s="130" t="n">
        <v>1803</v>
      </c>
      <c r="D16" s="131" t="n">
        <v>100.8</v>
      </c>
      <c r="E16" s="132" t="n">
        <v>30</v>
      </c>
      <c r="F16" s="131" t="n">
        <v>72.90000000000001</v>
      </c>
      <c r="G16" s="17" t="n">
        <v>22</v>
      </c>
      <c r="H16" s="133" t="n">
        <v>182</v>
      </c>
      <c r="I16" s="134" t="n">
        <v>72000</v>
      </c>
      <c r="J16" s="134" t="inlineStr">
        <is>
          <t>중</t>
        </is>
      </c>
      <c r="K16" s="134" t="n">
        <v>40000</v>
      </c>
      <c r="L16" s="134" t="inlineStr">
        <is>
          <t>28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100</v>
      </c>
      <c r="U16" s="9" t="n"/>
    </row>
    <row r="17" ht="12" customFormat="1" customHeight="1" s="37">
      <c r="A17" s="75" t="inlineStr">
        <is>
          <t>중동 창원중동유니시티2단지</t>
        </is>
      </c>
      <c r="B17" s="76" t="inlineStr">
        <is>
          <t>19.06.</t>
        </is>
      </c>
      <c r="C17" s="130" t="n">
        <v>1064</v>
      </c>
      <c r="D17" s="131" t="n">
        <v>102.3</v>
      </c>
      <c r="E17" s="132" t="n">
        <v>31</v>
      </c>
      <c r="F17" s="131" t="n">
        <v>72.90000000000001</v>
      </c>
      <c r="G17" s="17" t="n">
        <v>22</v>
      </c>
      <c r="H17" s="133" t="n">
        <v>124</v>
      </c>
      <c r="I17" s="134" t="n">
        <v>72000</v>
      </c>
      <c r="J17" s="134" t="inlineStr">
        <is>
          <t>11</t>
        </is>
      </c>
      <c r="K17" s="134" t="n">
        <v>40000</v>
      </c>
      <c r="L17" s="134" t="inlineStr">
        <is>
          <t>8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102</v>
      </c>
      <c r="U17" s="9" t="n"/>
    </row>
    <row r="18" ht="12" customFormat="1" customHeight="1" s="37">
      <c r="A18" s="75" t="inlineStr">
        <is>
          <t>봉림동 엘에이치피닉스포레</t>
        </is>
      </c>
      <c r="B18" s="76" t="inlineStr">
        <is>
          <t>11.10.</t>
        </is>
      </c>
      <c r="C18" s="130" t="n">
        <v>507</v>
      </c>
      <c r="D18" s="131" t="n">
        <v>172.2</v>
      </c>
      <c r="E18" s="132" t="n">
        <v>52</v>
      </c>
      <c r="F18" s="131" t="n">
        <v>135</v>
      </c>
      <c r="G18" s="17" t="n">
        <v>41</v>
      </c>
      <c r="H18" s="133" t="n">
        <v>48</v>
      </c>
      <c r="I18" s="134" t="n">
        <v>68000</v>
      </c>
      <c r="J18" s="134" t="inlineStr">
        <is>
          <t>5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inlineStr">
        <is>
          <t>172A</t>
        </is>
      </c>
      <c r="U18" s="9" t="n"/>
    </row>
    <row r="19" ht="12" customFormat="1" customHeight="1" s="37">
      <c r="A19" s="75" t="inlineStr">
        <is>
          <t>중동 창원중동유니시티3단지</t>
        </is>
      </c>
      <c r="B19" s="76" t="inlineStr">
        <is>
          <t>19.12.</t>
        </is>
      </c>
      <c r="C19" s="130" t="n">
        <v>1465</v>
      </c>
      <c r="D19" s="131" t="n">
        <v>84</v>
      </c>
      <c r="E19" s="132" t="n">
        <v>25</v>
      </c>
      <c r="F19" s="131" t="n">
        <v>60</v>
      </c>
      <c r="G19" s="17" t="n">
        <v>18</v>
      </c>
      <c r="H19" s="133" t="n">
        <v>160</v>
      </c>
      <c r="I19" s="134" t="n">
        <v>67000</v>
      </c>
      <c r="J19" s="134" t="inlineStr">
        <is>
          <t>고</t>
        </is>
      </c>
      <c r="K19" s="134" t="n">
        <v>37000</v>
      </c>
      <c r="L19" s="134" t="inlineStr">
        <is>
          <t>5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84</v>
      </c>
      <c r="U19" s="9" t="n"/>
    </row>
    <row r="20" ht="12" customFormat="1" customHeight="1" s="37">
      <c r="A20" s="75" t="inlineStr">
        <is>
          <t>중동 창원중동유니시티4단지</t>
        </is>
      </c>
      <c r="B20" s="76" t="inlineStr">
        <is>
          <t>19.12.</t>
        </is>
      </c>
      <c r="C20" s="130" t="n">
        <v>1768</v>
      </c>
      <c r="D20" s="131" t="n">
        <v>82.7</v>
      </c>
      <c r="E20" s="132" t="n">
        <v>25</v>
      </c>
      <c r="F20" s="131" t="n">
        <v>60</v>
      </c>
      <c r="G20" s="17" t="n">
        <v>18</v>
      </c>
      <c r="H20" s="133" t="n">
        <v>104</v>
      </c>
      <c r="I20" s="134" t="n">
        <v>66000</v>
      </c>
      <c r="J20" s="134" t="inlineStr">
        <is>
          <t>11</t>
        </is>
      </c>
      <c r="K20" s="134" t="n">
        <v>38000</v>
      </c>
      <c r="L20" s="134" t="inlineStr">
        <is>
          <t>6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82</v>
      </c>
      <c r="U20" s="9" t="n"/>
    </row>
    <row r="21" ht="12" customFormat="1" customHeight="1" s="37">
      <c r="A21" s="75" t="inlineStr">
        <is>
          <t>명서동 두산위브</t>
        </is>
      </c>
      <c r="B21" s="76" t="inlineStr">
        <is>
          <t>10.06.</t>
        </is>
      </c>
      <c r="C21" s="130" t="n">
        <v>1522</v>
      </c>
      <c r="D21" s="131" t="n">
        <v>151.9</v>
      </c>
      <c r="E21" s="132" t="n">
        <v>46</v>
      </c>
      <c r="F21" s="131" t="n">
        <v>126</v>
      </c>
      <c r="G21" s="17" t="n">
        <v>38</v>
      </c>
      <c r="H21" s="133" t="n">
        <v>58</v>
      </c>
      <c r="I21" s="134" t="n">
        <v>65000</v>
      </c>
      <c r="J21" s="134" t="inlineStr">
        <is>
          <t>6</t>
        </is>
      </c>
      <c r="K21" s="134" t="n">
        <v>47000</v>
      </c>
      <c r="L21" s="134" t="inlineStr">
        <is>
          <t>중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복</t>
        </is>
      </c>
      <c r="T21" s="5" t="inlineStr">
        <is>
          <t>151A</t>
        </is>
      </c>
      <c r="U21" s="9" t="n"/>
    </row>
    <row r="22" ht="12" customFormat="1" customHeight="1" s="37">
      <c r="A22" s="75" t="inlineStr">
        <is>
          <t>명서동 두산위브</t>
        </is>
      </c>
      <c r="B22" s="76" t="inlineStr">
        <is>
          <t>10.06.</t>
        </is>
      </c>
      <c r="C22" s="130" t="n">
        <v>1522</v>
      </c>
      <c r="D22" s="131" t="n">
        <v>128.4</v>
      </c>
      <c r="E22" s="132" t="n">
        <v>39</v>
      </c>
      <c r="F22" s="131" t="n">
        <v>103.8</v>
      </c>
      <c r="G22" s="17" t="n">
        <v>31</v>
      </c>
      <c r="H22" s="133" t="n">
        <v>120</v>
      </c>
      <c r="I22" s="134" t="n">
        <v>63000</v>
      </c>
      <c r="J22" s="134" t="inlineStr">
        <is>
          <t>15</t>
        </is>
      </c>
      <c r="K22" s="134" t="n">
        <v>45000</v>
      </c>
      <c r="L22" s="134" t="inlineStr">
        <is>
          <t>고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복</t>
        </is>
      </c>
      <c r="T22" s="5" t="inlineStr">
        <is>
          <t>128C</t>
        </is>
      </c>
      <c r="U22" s="9" t="n"/>
    </row>
    <row r="23" ht="12" customFormat="1" customHeight="1" s="37">
      <c r="A23" s="75" t="inlineStr">
        <is>
          <t>명서동 두산위브</t>
        </is>
      </c>
      <c r="B23" s="76" t="inlineStr">
        <is>
          <t>10.06.</t>
        </is>
      </c>
      <c r="C23" s="130" t="n">
        <v>1522</v>
      </c>
      <c r="D23" s="131" t="n">
        <v>165.2</v>
      </c>
      <c r="E23" s="132" t="n">
        <v>50</v>
      </c>
      <c r="F23" s="131" t="n">
        <v>137.9</v>
      </c>
      <c r="G23" s="17" t="n">
        <v>42</v>
      </c>
      <c r="H23" s="133" t="n">
        <v>203</v>
      </c>
      <c r="I23" s="134" t="n">
        <v>62000</v>
      </c>
      <c r="J23" s="134" t="inlineStr">
        <is>
          <t>고</t>
        </is>
      </c>
      <c r="K23" s="134" t="n">
        <v>50000</v>
      </c>
      <c r="L23" s="134" t="inlineStr">
        <is>
          <t>고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계</t>
        </is>
      </c>
      <c r="T23" s="5" t="inlineStr">
        <is>
          <t>165A</t>
        </is>
      </c>
      <c r="U23" s="9" t="n"/>
    </row>
    <row r="24" ht="12" customFormat="1" customHeight="1" s="37">
      <c r="A24" s="75" t="inlineStr">
        <is>
          <t>중동 창원중동유니시티4단지</t>
        </is>
      </c>
      <c r="B24" s="76" t="inlineStr">
        <is>
          <t>19.12.</t>
        </is>
      </c>
      <c r="C24" s="130" t="n">
        <v>1768</v>
      </c>
      <c r="D24" s="131" t="n">
        <v>99.2</v>
      </c>
      <c r="E24" s="132" t="n">
        <v>30</v>
      </c>
      <c r="F24" s="131" t="n">
        <v>72.90000000000001</v>
      </c>
      <c r="G24" s="17" t="n">
        <v>22</v>
      </c>
      <c r="H24" s="133" t="n">
        <v>104</v>
      </c>
      <c r="I24" s="134" t="n">
        <v>61000</v>
      </c>
      <c r="J24" s="134" t="inlineStr">
        <is>
          <t>중</t>
        </is>
      </c>
      <c r="K24" s="134" t="n">
        <v>42000</v>
      </c>
      <c r="L24" s="134" t="inlineStr">
        <is>
          <t>고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99</v>
      </c>
      <c r="U24" s="9" t="n"/>
    </row>
    <row r="25" ht="12" customFormat="1" customHeight="1" s="37">
      <c r="A25" s="75" t="inlineStr">
        <is>
          <t>봉림동 엘에이치피닉스포레</t>
        </is>
      </c>
      <c r="B25" s="76" t="inlineStr">
        <is>
          <t>11.10.</t>
        </is>
      </c>
      <c r="C25" s="130" t="n">
        <v>507</v>
      </c>
      <c r="D25" s="131" t="n">
        <v>155.5</v>
      </c>
      <c r="E25" s="132" t="n">
        <v>47</v>
      </c>
      <c r="F25" s="131" t="n">
        <v>121.9</v>
      </c>
      <c r="G25" s="17" t="n">
        <v>37</v>
      </c>
      <c r="H25" s="133" t="n">
        <v>48</v>
      </c>
      <c r="I25" s="134" t="n">
        <v>58000</v>
      </c>
      <c r="J25" s="134" t="inlineStr">
        <is>
          <t>5</t>
        </is>
      </c>
      <c r="K25" s="134" t="n">
        <v>45000</v>
      </c>
      <c r="L25" s="134" t="inlineStr">
        <is>
          <t>12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inlineStr">
        <is>
          <t>155A</t>
        </is>
      </c>
      <c r="U25" s="9" t="n"/>
    </row>
    <row r="26" ht="12" customFormat="1" customHeight="1" s="37">
      <c r="A26" s="75" t="inlineStr">
        <is>
          <t>중동 창원중동유니시티1단지</t>
        </is>
      </c>
      <c r="B26" s="76" t="inlineStr">
        <is>
          <t>19.06.</t>
        </is>
      </c>
      <c r="C26" s="130" t="n">
        <v>1803</v>
      </c>
      <c r="D26" s="131" t="n">
        <v>83.8</v>
      </c>
      <c r="E26" s="132" t="n">
        <v>25</v>
      </c>
      <c r="F26" s="131" t="n">
        <v>60</v>
      </c>
      <c r="G26" s="17" t="n">
        <v>18</v>
      </c>
      <c r="H26" s="133" t="n">
        <v>162</v>
      </c>
      <c r="I26" s="134" t="n">
        <v>58000</v>
      </c>
      <c r="J26" s="134" t="inlineStr">
        <is>
          <t>5</t>
        </is>
      </c>
      <c r="K26" s="134" t="n">
        <v>35000</v>
      </c>
      <c r="L26" s="134" t="inlineStr">
        <is>
          <t>9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83</v>
      </c>
      <c r="U26" s="9" t="n"/>
    </row>
    <row r="27" ht="12" customFormat="1" customHeight="1" s="37">
      <c r="A27" s="75" t="inlineStr">
        <is>
          <t>봉림동 엘에이치피닉스포레</t>
        </is>
      </c>
      <c r="B27" s="76" t="inlineStr">
        <is>
          <t>11.10.</t>
        </is>
      </c>
      <c r="C27" s="130" t="n">
        <v>507</v>
      </c>
      <c r="D27" s="131" t="n">
        <v>129.7</v>
      </c>
      <c r="E27" s="132" t="n">
        <v>39</v>
      </c>
      <c r="F27" s="131" t="n">
        <v>101.6</v>
      </c>
      <c r="G27" s="17" t="n">
        <v>31</v>
      </c>
      <c r="H27" s="133" t="n">
        <v>30</v>
      </c>
      <c r="I27" s="134" t="n">
        <v>57000</v>
      </c>
      <c r="J27" s="134" t="inlineStr">
        <is>
          <t>13</t>
        </is>
      </c>
      <c r="K27" s="134" t="n">
        <v>45000</v>
      </c>
      <c r="L27" s="134" t="inlineStr">
        <is>
          <t>13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129B</t>
        </is>
      </c>
      <c r="U27" s="9" t="n"/>
    </row>
    <row r="28" ht="12" customFormat="1" customHeight="1" s="37">
      <c r="A28" s="75" t="inlineStr">
        <is>
          <t>중동 창원중동유니시티2단지</t>
        </is>
      </c>
      <c r="B28" s="76" t="inlineStr">
        <is>
          <t>19.06.</t>
        </is>
      </c>
      <c r="C28" s="130" t="n">
        <v>1064</v>
      </c>
      <c r="D28" s="131" t="n">
        <v>85.09999999999999</v>
      </c>
      <c r="E28" s="132" t="n">
        <v>26</v>
      </c>
      <c r="F28" s="131" t="n">
        <v>60</v>
      </c>
      <c r="G28" s="17" t="n">
        <v>18</v>
      </c>
      <c r="H28" s="133" t="n">
        <v>60</v>
      </c>
      <c r="I28" s="134" t="n">
        <v>57000</v>
      </c>
      <c r="J28" s="134" t="inlineStr">
        <is>
          <t>고</t>
        </is>
      </c>
      <c r="K28" s="134" t="n">
        <v>35000</v>
      </c>
      <c r="L28" s="134" t="inlineStr">
        <is>
          <t>고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85</v>
      </c>
      <c r="U28" s="9" t="n"/>
    </row>
    <row r="29" ht="12" customFormat="1" customHeight="1" s="37">
      <c r="A29" s="75" t="inlineStr">
        <is>
          <t>서상동 중동대동다숲</t>
        </is>
      </c>
      <c r="B29" s="76" t="inlineStr">
        <is>
          <t>05.12.</t>
        </is>
      </c>
      <c r="C29" s="130" t="n">
        <v>630</v>
      </c>
      <c r="D29" s="131" t="n">
        <v>158</v>
      </c>
      <c r="E29" s="132" t="n">
        <v>48</v>
      </c>
      <c r="F29" s="131" t="n">
        <v>131.1</v>
      </c>
      <c r="G29" s="17" t="n">
        <v>40</v>
      </c>
      <c r="H29" s="133" t="n">
        <v>30</v>
      </c>
      <c r="I29" s="134" t="n">
        <v>54000</v>
      </c>
      <c r="J29" s="134" t="inlineStr">
        <is>
          <t>고</t>
        </is>
      </c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158</v>
      </c>
      <c r="U29" s="9" t="n"/>
    </row>
    <row r="30" ht="12" customFormat="1" customHeight="1" s="37">
      <c r="A30" s="75" t="inlineStr">
        <is>
          <t>명서동 두산위브</t>
        </is>
      </c>
      <c r="B30" s="76" t="inlineStr">
        <is>
          <t>10.06.</t>
        </is>
      </c>
      <c r="C30" s="130" t="n">
        <v>1522</v>
      </c>
      <c r="D30" s="131" t="n">
        <v>113.1</v>
      </c>
      <c r="E30" s="132" t="n">
        <v>34</v>
      </c>
      <c r="F30" s="131" t="n">
        <v>85</v>
      </c>
      <c r="G30" s="17" t="n">
        <v>26</v>
      </c>
      <c r="H30" s="133" t="n">
        <v>294</v>
      </c>
      <c r="I30" s="134" t="n">
        <v>53000</v>
      </c>
      <c r="J30" s="134" t="inlineStr">
        <is>
          <t>중</t>
        </is>
      </c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113</v>
      </c>
      <c r="U30" s="9" t="n"/>
    </row>
    <row r="31" ht="12" customFormat="1" customHeight="1" s="37">
      <c r="A31" s="75" t="inlineStr">
        <is>
          <t>북면 창원감계힐스테이트2차</t>
        </is>
      </c>
      <c r="B31" s="76" t="inlineStr">
        <is>
          <t>17.10.</t>
        </is>
      </c>
      <c r="C31" s="130" t="n">
        <v>836</v>
      </c>
      <c r="D31" s="131" t="n">
        <v>132.1</v>
      </c>
      <c r="E31" s="132" t="n">
        <v>40</v>
      </c>
      <c r="F31" s="131" t="n">
        <v>101.4</v>
      </c>
      <c r="G31" s="17" t="n">
        <v>31</v>
      </c>
      <c r="H31" s="133" t="n">
        <v>89</v>
      </c>
      <c r="I31" s="134" t="n">
        <v>49000</v>
      </c>
      <c r="J31" s="134" t="inlineStr">
        <is>
          <t>중</t>
        </is>
      </c>
      <c r="K31" s="134" t="n">
        <v>32000</v>
      </c>
      <c r="L31" s="134" t="inlineStr">
        <is>
          <t>6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4</v>
      </c>
      <c r="R31" s="121" t="n">
        <v>2</v>
      </c>
      <c r="S31" s="121" t="inlineStr">
        <is>
          <t>계</t>
        </is>
      </c>
      <c r="T31" s="5" t="n">
        <v>132</v>
      </c>
      <c r="U31" s="9" t="n"/>
    </row>
    <row r="32" ht="12" customFormat="1" customHeight="1" s="37">
      <c r="A32" s="75" t="inlineStr">
        <is>
          <t>북면 창원감계힐스테이트3차</t>
        </is>
      </c>
      <c r="B32" s="76" t="inlineStr">
        <is>
          <t>14.12.</t>
        </is>
      </c>
      <c r="C32" s="130" t="n">
        <v>630</v>
      </c>
      <c r="D32" s="131" t="n">
        <v>132.2</v>
      </c>
      <c r="E32" s="132" t="n">
        <v>40</v>
      </c>
      <c r="F32" s="131" t="n">
        <v>101.7</v>
      </c>
      <c r="G32" s="17" t="n">
        <v>31</v>
      </c>
      <c r="H32" s="133" t="n">
        <v>66</v>
      </c>
      <c r="I32" s="134" t="n">
        <v>48000</v>
      </c>
      <c r="J32" s="134" t="inlineStr">
        <is>
          <t>고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4</v>
      </c>
      <c r="R32" s="121" t="n">
        <v>2</v>
      </c>
      <c r="S32" s="121" t="inlineStr">
        <is>
          <t>계</t>
        </is>
      </c>
      <c r="T32" s="5" t="n">
        <v>132</v>
      </c>
      <c r="U32" s="9" t="n"/>
    </row>
    <row r="33" ht="12" customFormat="1" customHeight="1" s="37">
      <c r="A33" s="75" t="inlineStr">
        <is>
          <t>팔용동 팔용벽산블루밍A단지</t>
        </is>
      </c>
      <c r="B33" s="76" t="inlineStr">
        <is>
          <t>00.01.</t>
        </is>
      </c>
      <c r="C33" s="130" t="n">
        <v>672</v>
      </c>
      <c r="D33" s="131" t="n">
        <v>106.9</v>
      </c>
      <c r="E33" s="132" t="n">
        <v>32</v>
      </c>
      <c r="F33" s="131" t="n">
        <v>84.90000000000001</v>
      </c>
      <c r="G33" s="17" t="n">
        <v>26</v>
      </c>
      <c r="H33" s="133" t="n">
        <v>80</v>
      </c>
      <c r="I33" s="134" t="n">
        <v>47000</v>
      </c>
      <c r="J33" s="134" t="inlineStr">
        <is>
          <t>9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106</v>
      </c>
      <c r="U33" s="9" t="n"/>
    </row>
    <row r="34" ht="12" customFormat="1" customHeight="1" s="37">
      <c r="A34" s="75" t="inlineStr">
        <is>
          <t>북면 창원감계힐스테이트4차</t>
        </is>
      </c>
      <c r="B34" s="76" t="inlineStr">
        <is>
          <t>17.04.</t>
        </is>
      </c>
      <c r="C34" s="130" t="n">
        <v>1665</v>
      </c>
      <c r="D34" s="131" t="n">
        <v>131.8</v>
      </c>
      <c r="E34" s="132" t="n">
        <v>40</v>
      </c>
      <c r="F34" s="131" t="n">
        <v>101.9</v>
      </c>
      <c r="G34" s="17" t="n">
        <v>31</v>
      </c>
      <c r="H34" s="133" t="n">
        <v>134</v>
      </c>
      <c r="I34" s="134" t="n">
        <v>44500</v>
      </c>
      <c r="J34" s="134" t="inlineStr">
        <is>
          <t>고</t>
        </is>
      </c>
      <c r="K34" s="134" t="n">
        <v>33000</v>
      </c>
      <c r="L34" s="134" t="inlineStr">
        <is>
          <t>고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131</v>
      </c>
      <c r="U34" s="9" t="n"/>
    </row>
    <row r="35" ht="12" customFormat="1" customHeight="1" s="37">
      <c r="A35" s="75" t="inlineStr">
        <is>
          <t>동정동 동정흥한웰가</t>
        </is>
      </c>
      <c r="B35" s="76" t="inlineStr">
        <is>
          <t>04.12.</t>
        </is>
      </c>
      <c r="C35" s="130" t="n">
        <v>418</v>
      </c>
      <c r="D35" s="131" t="n">
        <v>144.7</v>
      </c>
      <c r="E35" s="132" t="n">
        <v>44</v>
      </c>
      <c r="F35" s="131" t="n">
        <v>117</v>
      </c>
      <c r="G35" s="17" t="n">
        <v>35</v>
      </c>
      <c r="H35" s="133" t="n">
        <v>107</v>
      </c>
      <c r="I35" s="134" t="n">
        <v>44000</v>
      </c>
      <c r="J35" s="134" t="inlineStr">
        <is>
          <t>고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144</v>
      </c>
      <c r="U35" s="9" t="n"/>
    </row>
    <row r="36" ht="12" customFormat="1" customHeight="1" s="37">
      <c r="A36" s="75" t="inlineStr">
        <is>
          <t>봉림동 엘에이치피닉스포레</t>
        </is>
      </c>
      <c r="B36" s="76" t="inlineStr">
        <is>
          <t>11.10.</t>
        </is>
      </c>
      <c r="C36" s="130" t="n">
        <v>507</v>
      </c>
      <c r="D36" s="131" t="n">
        <v>108.4</v>
      </c>
      <c r="E36" s="132" t="n">
        <v>33</v>
      </c>
      <c r="F36" s="131" t="n">
        <v>85</v>
      </c>
      <c r="G36" s="17" t="n">
        <v>26</v>
      </c>
      <c r="H36" s="133" t="n">
        <v>150</v>
      </c>
      <c r="I36" s="134" t="n">
        <v>42000</v>
      </c>
      <c r="J36" s="134" t="inlineStr">
        <is>
          <t>5</t>
        </is>
      </c>
      <c r="K36" s="134" t="n">
        <v>36000</v>
      </c>
      <c r="L36" s="134" t="inlineStr">
        <is>
          <t>10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108A</t>
        </is>
      </c>
      <c r="U36" s="9" t="n"/>
    </row>
    <row r="37" ht="12" customFormat="1" customHeight="1" s="37">
      <c r="A37" s="75" t="inlineStr">
        <is>
          <t>팔용동 벽산블루밍B단지</t>
        </is>
      </c>
      <c r="B37" s="76" t="inlineStr">
        <is>
          <t>99.06.</t>
        </is>
      </c>
      <c r="C37" s="130" t="n">
        <v>1650</v>
      </c>
      <c r="D37" s="131" t="n">
        <v>108.1</v>
      </c>
      <c r="E37" s="132" t="n">
        <v>33</v>
      </c>
      <c r="F37" s="131" t="n">
        <v>84.90000000000001</v>
      </c>
      <c r="G37" s="17" t="n">
        <v>26</v>
      </c>
      <c r="H37" s="133" t="n">
        <v>720</v>
      </c>
      <c r="I37" s="134" t="n">
        <v>42000</v>
      </c>
      <c r="J37" s="134" t="inlineStr">
        <is>
          <t>고</t>
        </is>
      </c>
      <c r="K37" s="134" t="n">
        <v>32000</v>
      </c>
      <c r="L37" s="134" t="inlineStr">
        <is>
          <t>16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108</v>
      </c>
      <c r="U37" s="9" t="n"/>
    </row>
    <row r="38" ht="12" customFormat="1" customHeight="1" s="37">
      <c r="A38" s="75" t="inlineStr">
        <is>
          <t>북면 창원감계아내에코프리미엄2차</t>
        </is>
      </c>
      <c r="B38" s="76" t="inlineStr">
        <is>
          <t>19.01.</t>
        </is>
      </c>
      <c r="C38" s="130" t="n">
        <v>1393</v>
      </c>
      <c r="D38" s="131" t="n">
        <v>113.1</v>
      </c>
      <c r="E38" s="132" t="n">
        <v>34</v>
      </c>
      <c r="F38" s="131" t="n">
        <v>84.90000000000001</v>
      </c>
      <c r="G38" s="17" t="n">
        <v>26</v>
      </c>
      <c r="H38" s="133" t="n">
        <v>354</v>
      </c>
      <c r="I38" s="134" t="n">
        <v>37000</v>
      </c>
      <c r="J38" s="134" t="inlineStr">
        <is>
          <t>고</t>
        </is>
      </c>
      <c r="K38" s="134" t="n">
        <v>30000</v>
      </c>
      <c r="L38" s="134" t="inlineStr">
        <is>
          <t>고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113B</t>
        </is>
      </c>
      <c r="U38" s="9" t="n"/>
    </row>
    <row r="39" ht="12" customFormat="1" customHeight="1" s="37">
      <c r="A39" s="75" t="inlineStr">
        <is>
          <t>서상동 중동대동다숲</t>
        </is>
      </c>
      <c r="B39" s="76" t="inlineStr">
        <is>
          <t>05.12.</t>
        </is>
      </c>
      <c r="C39" s="130" t="n">
        <v>630</v>
      </c>
      <c r="D39" s="131" t="n">
        <v>106.9</v>
      </c>
      <c r="E39" s="132" t="n">
        <v>32</v>
      </c>
      <c r="F39" s="131" t="n">
        <v>84.90000000000001</v>
      </c>
      <c r="G39" s="17" t="n">
        <v>26</v>
      </c>
      <c r="H39" s="133" t="n">
        <v>230</v>
      </c>
      <c r="I39" s="134" t="n">
        <v>36000</v>
      </c>
      <c r="J39" s="134" t="inlineStr">
        <is>
          <t>고</t>
        </is>
      </c>
      <c r="K39" s="134" t="n">
        <v>30000</v>
      </c>
      <c r="L39" s="134" t="inlineStr">
        <is>
          <t>중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n">
        <v>106</v>
      </c>
      <c r="U39" s="9" t="n"/>
    </row>
    <row r="40" ht="12" customFormat="1" customHeight="1" s="37">
      <c r="A40" s="75" t="inlineStr">
        <is>
          <t>북면 창원감계푸르지오</t>
        </is>
      </c>
      <c r="B40" s="76" t="inlineStr">
        <is>
          <t>17.02.</t>
        </is>
      </c>
      <c r="C40" s="130" t="n">
        <v>583</v>
      </c>
      <c r="D40" s="131" t="n">
        <v>113.4</v>
      </c>
      <c r="E40" s="132" t="n">
        <v>34</v>
      </c>
      <c r="F40" s="131" t="n">
        <v>84.90000000000001</v>
      </c>
      <c r="G40" s="17" t="n">
        <v>26</v>
      </c>
      <c r="H40" s="133" t="n">
        <v>254</v>
      </c>
      <c r="I40" s="134" t="n">
        <v>35000</v>
      </c>
      <c r="J40" s="134" t="inlineStr">
        <is>
          <t>중</t>
        </is>
      </c>
      <c r="K40" s="134" t="n">
        <v>26000</v>
      </c>
      <c r="L40" s="134" t="inlineStr">
        <is>
          <t>13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113</v>
      </c>
      <c r="U40" s="9" t="n"/>
    </row>
    <row r="41" ht="12" customFormat="1" customHeight="1" s="37">
      <c r="A41" s="75" t="inlineStr">
        <is>
          <t>동정동 동정흥한웰가</t>
        </is>
      </c>
      <c r="B41" s="76" t="inlineStr">
        <is>
          <t>04.12.</t>
        </is>
      </c>
      <c r="C41" s="130" t="n">
        <v>418</v>
      </c>
      <c r="D41" s="131" t="n">
        <v>105</v>
      </c>
      <c r="E41" s="132" t="n">
        <v>32</v>
      </c>
      <c r="F41" s="131" t="n">
        <v>84.90000000000001</v>
      </c>
      <c r="G41" s="17" t="n">
        <v>26</v>
      </c>
      <c r="H41" s="133" t="n">
        <v>311</v>
      </c>
      <c r="I41" s="134" t="n">
        <v>34800</v>
      </c>
      <c r="J41" s="134" t="inlineStr">
        <is>
          <t>중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105</v>
      </c>
      <c r="U41" s="9" t="n"/>
    </row>
    <row r="42" ht="12" customFormat="1" customHeight="1" s="37">
      <c r="A42" s="75" t="inlineStr">
        <is>
          <t>팔용동 극동</t>
        </is>
      </c>
      <c r="B42" s="76" t="inlineStr">
        <is>
          <t>94.12.</t>
        </is>
      </c>
      <c r="C42" s="130" t="n">
        <v>1059</v>
      </c>
      <c r="D42" s="131" t="n">
        <v>135.1</v>
      </c>
      <c r="E42" s="132" t="n">
        <v>41</v>
      </c>
      <c r="F42" s="131" t="n">
        <v>108.7</v>
      </c>
      <c r="G42" s="17" t="n">
        <v>33</v>
      </c>
      <c r="H42" s="133" t="n">
        <v>292</v>
      </c>
      <c r="I42" s="134" t="n">
        <v>34500</v>
      </c>
      <c r="J42" s="134" t="inlineStr">
        <is>
          <t>중</t>
        </is>
      </c>
      <c r="K42" s="134" t="n">
        <v>31000</v>
      </c>
      <c r="L42" s="134" t="inlineStr">
        <is>
          <t>고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135</v>
      </c>
      <c r="U42" s="9" t="n"/>
    </row>
    <row r="43" ht="12" customFormat="1" customHeight="1" s="37">
      <c r="A43" s="75" t="inlineStr">
        <is>
          <t>북면 창원감계힐스테이트4차</t>
        </is>
      </c>
      <c r="B43" s="76" t="inlineStr">
        <is>
          <t>17.04.</t>
        </is>
      </c>
      <c r="C43" s="130" t="n">
        <v>1665</v>
      </c>
      <c r="D43" s="131" t="n">
        <v>108.1</v>
      </c>
      <c r="E43" s="132" t="n">
        <v>33</v>
      </c>
      <c r="F43" s="131" t="n">
        <v>79</v>
      </c>
      <c r="G43" s="17" t="n">
        <v>24</v>
      </c>
      <c r="H43" s="133" t="n">
        <v>143</v>
      </c>
      <c r="I43" s="134" t="n">
        <v>34000</v>
      </c>
      <c r="J43" s="134" t="inlineStr">
        <is>
          <t>고</t>
        </is>
      </c>
      <c r="K43" s="134" t="n">
        <v>26000</v>
      </c>
      <c r="L43" s="134" t="inlineStr">
        <is>
          <t>15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108A</t>
        </is>
      </c>
      <c r="U43" s="9" t="n"/>
    </row>
    <row r="44" ht="12" customFormat="1" customHeight="1" s="37">
      <c r="A44" s="75" t="inlineStr">
        <is>
          <t>북면 창원감계힐스테이트4차</t>
        </is>
      </c>
      <c r="B44" s="76" t="inlineStr">
        <is>
          <t>17.04.</t>
        </is>
      </c>
      <c r="C44" s="130" t="n">
        <v>1665</v>
      </c>
      <c r="D44" s="131" t="n">
        <v>115.7</v>
      </c>
      <c r="E44" s="132" t="n">
        <v>35</v>
      </c>
      <c r="F44" s="131" t="n">
        <v>85</v>
      </c>
      <c r="G44" s="17" t="n">
        <v>26</v>
      </c>
      <c r="H44" s="133" t="n">
        <v>514</v>
      </c>
      <c r="I44" s="134" t="n">
        <v>33000</v>
      </c>
      <c r="J44" s="134" t="inlineStr">
        <is>
          <t>중</t>
        </is>
      </c>
      <c r="K44" s="134" t="n">
        <v>26000</v>
      </c>
      <c r="L44" s="134" t="inlineStr">
        <is>
          <t>중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115</v>
      </c>
      <c r="U44" s="9" t="n"/>
    </row>
    <row r="45" ht="12" customFormat="1" customHeight="1" s="37">
      <c r="A45" s="75" t="inlineStr">
        <is>
          <t>북면 창원감계힐스테이트3차</t>
        </is>
      </c>
      <c r="B45" s="76" t="inlineStr">
        <is>
          <t>14.12.</t>
        </is>
      </c>
      <c r="C45" s="130" t="n">
        <v>630</v>
      </c>
      <c r="D45" s="131" t="n">
        <v>115</v>
      </c>
      <c r="E45" s="132" t="n">
        <v>35</v>
      </c>
      <c r="F45" s="131" t="n">
        <v>84.8</v>
      </c>
      <c r="G45" s="17" t="n">
        <v>26</v>
      </c>
      <c r="H45" s="133" t="n">
        <v>274</v>
      </c>
      <c r="I45" s="134" t="n">
        <v>33000</v>
      </c>
      <c r="J45" s="134" t="inlineStr">
        <is>
          <t>12</t>
        </is>
      </c>
      <c r="K45" s="134" t="n">
        <v>28000</v>
      </c>
      <c r="L45" s="134" t="inlineStr">
        <is>
          <t>중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114A</t>
        </is>
      </c>
      <c r="U45" s="9" t="n"/>
    </row>
    <row r="46" ht="12" customFormat="1" customHeight="1" s="37">
      <c r="A46" s="75" t="inlineStr">
        <is>
          <t>팔용동 벽산블루밍C단지</t>
        </is>
      </c>
      <c r="B46" s="76" t="inlineStr">
        <is>
          <t>99.08.</t>
        </is>
      </c>
      <c r="C46" s="130" t="n">
        <v>594</v>
      </c>
      <c r="D46" s="131" t="n">
        <v>106.5</v>
      </c>
      <c r="E46" s="132" t="n">
        <v>32</v>
      </c>
      <c r="F46" s="131" t="n">
        <v>84.90000000000001</v>
      </c>
      <c r="G46" s="17" t="n">
        <v>26</v>
      </c>
      <c r="H46" s="133" t="n">
        <v>276</v>
      </c>
      <c r="I46" s="134" t="n">
        <v>33000</v>
      </c>
      <c r="J46" s="134" t="inlineStr">
        <is>
          <t>16</t>
        </is>
      </c>
      <c r="K46" s="134" t="n">
        <v>30000</v>
      </c>
      <c r="L46" s="134" t="inlineStr">
        <is>
          <t>17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106</v>
      </c>
      <c r="U46" s="9" t="n"/>
    </row>
    <row r="47" ht="12" customFormat="1" customHeight="1" s="37">
      <c r="A47" s="75" t="inlineStr">
        <is>
          <t>북면 창원감계힐스테이트1차</t>
        </is>
      </c>
      <c r="B47" s="76" t="inlineStr">
        <is>
          <t>14.03.</t>
        </is>
      </c>
      <c r="C47" s="130" t="n">
        <v>1082</v>
      </c>
      <c r="D47" s="131" t="n">
        <v>95.59999999999999</v>
      </c>
      <c r="E47" s="132" t="n">
        <v>29</v>
      </c>
      <c r="F47" s="131" t="n">
        <v>68.8</v>
      </c>
      <c r="G47" s="17" t="n">
        <v>21</v>
      </c>
      <c r="H47" s="133" t="n">
        <v>74</v>
      </c>
      <c r="I47" s="134" t="n">
        <v>32000</v>
      </c>
      <c r="J47" s="134" t="inlineStr">
        <is>
          <t>15</t>
        </is>
      </c>
      <c r="K47" s="134" t="n">
        <v>26000</v>
      </c>
      <c r="L47" s="134" t="inlineStr">
        <is>
          <t>고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95A</t>
        </is>
      </c>
      <c r="U47" s="9" t="n"/>
    </row>
    <row r="48" ht="12" customFormat="1" customHeight="1" s="37">
      <c r="A48" s="75" t="inlineStr">
        <is>
          <t>북면 창원감계아내에코프리미엄2차</t>
        </is>
      </c>
      <c r="B48" s="76" t="inlineStr">
        <is>
          <t>19.01.</t>
        </is>
      </c>
      <c r="C48" s="130" t="n">
        <v>1393</v>
      </c>
      <c r="D48" s="131" t="n">
        <v>97.59999999999999</v>
      </c>
      <c r="E48" s="132" t="n">
        <v>30</v>
      </c>
      <c r="F48" s="131" t="n">
        <v>70.59999999999999</v>
      </c>
      <c r="G48" s="17" t="n">
        <v>21</v>
      </c>
      <c r="H48" s="133" t="n">
        <v>174</v>
      </c>
      <c r="I48" s="134" t="n">
        <v>32000</v>
      </c>
      <c r="J48" s="134" t="inlineStr">
        <is>
          <t>고</t>
        </is>
      </c>
      <c r="K48" s="134" t="n">
        <v>25000</v>
      </c>
      <c r="L48" s="134" t="inlineStr">
        <is>
          <t>고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97A</t>
        </is>
      </c>
      <c r="U48" s="9" t="n"/>
    </row>
    <row r="49" ht="12" customFormat="1" customHeight="1" s="37">
      <c r="A49" s="75" t="inlineStr">
        <is>
          <t>팔용동 극동</t>
        </is>
      </c>
      <c r="B49" s="76" t="inlineStr">
        <is>
          <t>94.12.</t>
        </is>
      </c>
      <c r="C49" s="130" t="n">
        <v>1059</v>
      </c>
      <c r="D49" s="131" t="n">
        <v>105.5</v>
      </c>
      <c r="E49" s="132" t="n">
        <v>32</v>
      </c>
      <c r="F49" s="131" t="n">
        <v>84.90000000000001</v>
      </c>
      <c r="G49" s="17" t="n">
        <v>26</v>
      </c>
      <c r="H49" s="133" t="n">
        <v>360</v>
      </c>
      <c r="I49" s="134" t="n">
        <v>31500</v>
      </c>
      <c r="J49" s="134" t="inlineStr">
        <is>
          <t>중</t>
        </is>
      </c>
      <c r="K49" s="134" t="n">
        <v>25000</v>
      </c>
      <c r="L49" s="134" t="inlineStr">
        <is>
          <t>중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105</v>
      </c>
      <c r="U49" s="9" t="n"/>
    </row>
    <row r="50" ht="12" customFormat="1" customHeight="1" s="37">
      <c r="A50" s="75" t="inlineStr">
        <is>
          <t>팔용동 벽산블루밍C단지</t>
        </is>
      </c>
      <c r="B50" s="76" t="inlineStr">
        <is>
          <t>99.08.</t>
        </is>
      </c>
      <c r="C50" s="130" t="n">
        <v>594</v>
      </c>
      <c r="D50" s="131" t="n">
        <v>94.7</v>
      </c>
      <c r="E50" s="132" t="n">
        <v>29</v>
      </c>
      <c r="F50" s="131" t="n">
        <v>74</v>
      </c>
      <c r="G50" s="17" t="n">
        <v>22</v>
      </c>
      <c r="H50" s="133" t="n">
        <v>87</v>
      </c>
      <c r="I50" s="134" t="n">
        <v>31000</v>
      </c>
      <c r="J50" s="134" t="inlineStr">
        <is>
          <t>고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1</v>
      </c>
      <c r="S50" s="121" t="inlineStr">
        <is>
          <t>계</t>
        </is>
      </c>
      <c r="T50" s="5" t="n">
        <v>94</v>
      </c>
      <c r="U50" s="9" t="n"/>
    </row>
    <row r="51" ht="12" customFormat="1" customHeight="1" s="37">
      <c r="A51" s="75" t="inlineStr">
        <is>
          <t>북면 창원감계힐스테이트2차</t>
        </is>
      </c>
      <c r="B51" s="76" t="inlineStr">
        <is>
          <t>17.10.</t>
        </is>
      </c>
      <c r="C51" s="130" t="n">
        <v>836</v>
      </c>
      <c r="D51" s="131" t="n">
        <v>95.7</v>
      </c>
      <c r="E51" s="132" t="n">
        <v>29</v>
      </c>
      <c r="F51" s="131" t="n">
        <v>70.09999999999999</v>
      </c>
      <c r="G51" s="17" t="n">
        <v>21</v>
      </c>
      <c r="H51" s="133" t="n">
        <v>215</v>
      </c>
      <c r="I51" s="134" t="n">
        <v>30500</v>
      </c>
      <c r="J51" s="134" t="inlineStr">
        <is>
          <t>중</t>
        </is>
      </c>
      <c r="K51" s="134" t="n">
        <v>26000</v>
      </c>
      <c r="L51" s="134" t="inlineStr">
        <is>
          <t>고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95</v>
      </c>
      <c r="U51" s="9" t="n"/>
    </row>
    <row r="52" ht="12" customFormat="1" customHeight="1" s="37">
      <c r="A52" s="75" t="inlineStr">
        <is>
          <t>북면 창원감계아내에코프리미엄</t>
        </is>
      </c>
      <c r="B52" s="76" t="inlineStr">
        <is>
          <t>14.09.</t>
        </is>
      </c>
      <c r="C52" s="130" t="n">
        <v>812</v>
      </c>
      <c r="D52" s="131" t="n">
        <v>111.8</v>
      </c>
      <c r="E52" s="132" t="n">
        <v>34</v>
      </c>
      <c r="F52" s="131" t="n">
        <v>85</v>
      </c>
      <c r="G52" s="17" t="n">
        <v>26</v>
      </c>
      <c r="H52" s="133" t="n">
        <v>442</v>
      </c>
      <c r="I52" s="134" t="n">
        <v>30000</v>
      </c>
      <c r="J52" s="134" t="inlineStr">
        <is>
          <t>고</t>
        </is>
      </c>
      <c r="K52" s="134" t="n">
        <v>27000</v>
      </c>
      <c r="L52" s="134" t="inlineStr">
        <is>
          <t>고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111A</t>
        </is>
      </c>
      <c r="U52" s="9" t="n"/>
    </row>
    <row r="53" ht="12" customFormat="1" customHeight="1" s="37">
      <c r="A53" s="75" t="inlineStr">
        <is>
          <t>팔용동 벽산블루밍B단지</t>
        </is>
      </c>
      <c r="B53" s="76" t="inlineStr">
        <is>
          <t>99.06.</t>
        </is>
      </c>
      <c r="C53" s="130" t="n">
        <v>1650</v>
      </c>
      <c r="D53" s="131" t="n">
        <v>79.8</v>
      </c>
      <c r="E53" s="132" t="n">
        <v>24</v>
      </c>
      <c r="F53" s="131" t="n">
        <v>60</v>
      </c>
      <c r="G53" s="17" t="n">
        <v>18</v>
      </c>
      <c r="H53" s="133" t="n">
        <v>360</v>
      </c>
      <c r="I53" s="134" t="n">
        <v>30000</v>
      </c>
      <c r="J53" s="134" t="inlineStr">
        <is>
          <t>중</t>
        </is>
      </c>
      <c r="K53" s="134" t="n">
        <v>25000</v>
      </c>
      <c r="L53" s="134" t="inlineStr">
        <is>
          <t>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79</v>
      </c>
      <c r="U53" s="9" t="n"/>
    </row>
    <row r="54" ht="12" customFormat="1" customHeight="1" s="37">
      <c r="A54" s="75" t="inlineStr">
        <is>
          <t>팔용동 벽산블루밍C단지</t>
        </is>
      </c>
      <c r="B54" s="76" t="inlineStr">
        <is>
          <t>99.08.</t>
        </is>
      </c>
      <c r="C54" s="130" t="n">
        <v>594</v>
      </c>
      <c r="D54" s="131" t="n">
        <v>79.59999999999999</v>
      </c>
      <c r="E54" s="132" t="n">
        <v>24</v>
      </c>
      <c r="F54" s="131" t="n">
        <v>60</v>
      </c>
      <c r="G54" s="17" t="n">
        <v>18</v>
      </c>
      <c r="H54" s="133" t="n">
        <v>231</v>
      </c>
      <c r="I54" s="134" t="n">
        <v>30000</v>
      </c>
      <c r="J54" s="134" t="inlineStr">
        <is>
          <t>중</t>
        </is>
      </c>
      <c r="K54" s="134" t="n">
        <v>23000</v>
      </c>
      <c r="L54" s="134" t="inlineStr">
        <is>
          <t>18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1</v>
      </c>
      <c r="S54" s="121" t="inlineStr">
        <is>
          <t>계</t>
        </is>
      </c>
      <c r="T54" s="5" t="n">
        <v>79</v>
      </c>
      <c r="U54" s="9" t="n"/>
    </row>
    <row r="55" ht="12" customFormat="1" customHeight="1" s="37">
      <c r="A55" s="75" t="inlineStr">
        <is>
          <t>북면 창원무동센텀파라디아</t>
        </is>
      </c>
      <c r="B55" s="76" t="inlineStr">
        <is>
          <t>18.03.</t>
        </is>
      </c>
      <c r="C55" s="130" t="n">
        <v>1034</v>
      </c>
      <c r="D55" s="131" t="n">
        <v>113.3</v>
      </c>
      <c r="E55" s="132" t="n">
        <v>34</v>
      </c>
      <c r="F55" s="131" t="n">
        <v>85</v>
      </c>
      <c r="G55" s="17" t="n">
        <v>26</v>
      </c>
      <c r="H55" s="133" t="n">
        <v>176</v>
      </c>
      <c r="I55" s="134" t="n">
        <v>29500</v>
      </c>
      <c r="J55" s="134" t="inlineStr">
        <is>
          <t>고</t>
        </is>
      </c>
      <c r="K55" s="134" t="n">
        <v>26000</v>
      </c>
      <c r="L55" s="134" t="inlineStr">
        <is>
          <t>고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113A</t>
        </is>
      </c>
      <c r="U55" s="9" t="n"/>
    </row>
    <row r="56" ht="12" customFormat="1" customHeight="1" s="37">
      <c r="A56" s="75" t="inlineStr">
        <is>
          <t>봉곡동 늘푸른마을코오롱</t>
        </is>
      </c>
      <c r="B56" s="76" t="inlineStr">
        <is>
          <t>99.11.</t>
        </is>
      </c>
      <c r="C56" s="130" t="n">
        <v>426</v>
      </c>
      <c r="D56" s="131" t="n">
        <v>103.4</v>
      </c>
      <c r="E56" s="132" t="n">
        <v>31</v>
      </c>
      <c r="F56" s="131" t="n">
        <v>84.40000000000001</v>
      </c>
      <c r="G56" s="17" t="n">
        <v>26</v>
      </c>
      <c r="H56" s="133" t="n">
        <v>382</v>
      </c>
      <c r="I56" s="134" t="n">
        <v>29000</v>
      </c>
      <c r="J56" s="134" t="inlineStr">
        <is>
          <t>고</t>
        </is>
      </c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103</v>
      </c>
      <c r="U56" s="9" t="n"/>
    </row>
    <row r="57" ht="12" customFormat="1" customHeight="1" s="37">
      <c r="A57" s="75" t="inlineStr">
        <is>
          <t>북면 창원감계힐스테이트1차</t>
        </is>
      </c>
      <c r="B57" s="76" t="inlineStr">
        <is>
          <t>14.03.</t>
        </is>
      </c>
      <c r="C57" s="130" t="n">
        <v>1082</v>
      </c>
      <c r="D57" s="131" t="n">
        <v>115.3</v>
      </c>
      <c r="E57" s="132" t="n">
        <v>35</v>
      </c>
      <c r="F57" s="131" t="n">
        <v>84.90000000000001</v>
      </c>
      <c r="G57" s="17" t="n">
        <v>26</v>
      </c>
      <c r="H57" s="133" t="n">
        <v>459</v>
      </c>
      <c r="I57" s="134" t="n">
        <v>29000</v>
      </c>
      <c r="J57" s="134" t="inlineStr">
        <is>
          <t>17</t>
        </is>
      </c>
      <c r="K57" s="134" t="n">
        <v>27000</v>
      </c>
      <c r="L57" s="134" t="inlineStr">
        <is>
          <t>7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115B</t>
        </is>
      </c>
      <c r="U57" s="9" t="n"/>
    </row>
    <row r="58" ht="12" customFormat="1" customHeight="1" s="37">
      <c r="A58" s="75" t="inlineStr">
        <is>
          <t>북면 창원무동지구휴먼빌3단지</t>
        </is>
      </c>
      <c r="B58" s="76" t="inlineStr">
        <is>
          <t>14.12.</t>
        </is>
      </c>
      <c r="C58" s="130" t="n">
        <v>451</v>
      </c>
      <c r="D58" s="131" t="n">
        <v>115.5</v>
      </c>
      <c r="E58" s="132" t="n">
        <v>35</v>
      </c>
      <c r="F58" s="131" t="n">
        <v>85</v>
      </c>
      <c r="G58" s="17" t="n">
        <v>26</v>
      </c>
      <c r="H58" s="133" t="n">
        <v>212</v>
      </c>
      <c r="I58" s="134" t="n">
        <v>28000</v>
      </c>
      <c r="J58" s="134" t="inlineStr">
        <is>
          <t>중</t>
        </is>
      </c>
      <c r="K58" s="134" t="n">
        <v>18000</v>
      </c>
      <c r="L58" s="134" t="inlineStr">
        <is>
          <t>중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115A</t>
        </is>
      </c>
      <c r="U58" s="9" t="n"/>
    </row>
    <row r="59" ht="12" customFormat="1" customHeight="1" s="37">
      <c r="A59" s="75" t="inlineStr">
        <is>
          <t>팔용동 팔용벽산블루밍A단지</t>
        </is>
      </c>
      <c r="B59" s="76" t="inlineStr">
        <is>
          <t>00.01.</t>
        </is>
      </c>
      <c r="C59" s="130" t="n">
        <v>672</v>
      </c>
      <c r="D59" s="131" t="n">
        <v>79.90000000000001</v>
      </c>
      <c r="E59" s="132" t="n">
        <v>24</v>
      </c>
      <c r="F59" s="131" t="n">
        <v>60</v>
      </c>
      <c r="G59" s="17" t="n">
        <v>18</v>
      </c>
      <c r="H59" s="133" t="n">
        <v>592</v>
      </c>
      <c r="I59" s="134" t="n">
        <v>28000</v>
      </c>
      <c r="J59" s="134" t="inlineStr">
        <is>
          <t>14</t>
        </is>
      </c>
      <c r="K59" s="134" t="n">
        <v>25000</v>
      </c>
      <c r="L59" s="134" t="inlineStr">
        <is>
          <t>10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n">
        <v>79</v>
      </c>
      <c r="U59" s="9" t="n"/>
    </row>
    <row r="60" ht="12" customFormat="1" customHeight="1" s="37">
      <c r="A60" s="75" t="inlineStr">
        <is>
          <t>북면 감계휴먼빌</t>
        </is>
      </c>
      <c r="B60" s="76" t="inlineStr">
        <is>
          <t>14.03.</t>
        </is>
      </c>
      <c r="C60" s="130" t="n">
        <v>697</v>
      </c>
      <c r="D60" s="131" t="n">
        <v>114.8</v>
      </c>
      <c r="E60" s="132" t="n">
        <v>35</v>
      </c>
      <c r="F60" s="131" t="n">
        <v>84.90000000000001</v>
      </c>
      <c r="G60" s="17" t="n">
        <v>26</v>
      </c>
      <c r="H60" s="133" t="n">
        <v>297</v>
      </c>
      <c r="I60" s="134" t="n">
        <v>27500</v>
      </c>
      <c r="J60" s="134" t="inlineStr">
        <is>
          <t>10</t>
        </is>
      </c>
      <c r="K60" s="134" t="n">
        <v>25000</v>
      </c>
      <c r="L60" s="134" t="inlineStr">
        <is>
          <t>13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114B</t>
        </is>
      </c>
      <c r="U60" s="9" t="n"/>
    </row>
    <row r="61" ht="12" customFormat="1" customHeight="1" s="37">
      <c r="A61" s="75" t="inlineStr">
        <is>
          <t>북면 창원감계아내에코프리미엄2차</t>
        </is>
      </c>
      <c r="B61" s="76" t="inlineStr">
        <is>
          <t>19.01.</t>
        </is>
      </c>
      <c r="C61" s="130" t="n">
        <v>1393</v>
      </c>
      <c r="D61" s="131" t="n">
        <v>85.09999999999999</v>
      </c>
      <c r="E61" s="132" t="n">
        <v>26</v>
      </c>
      <c r="F61" s="131" t="n">
        <v>59.9</v>
      </c>
      <c r="G61" s="17" t="n">
        <v>18</v>
      </c>
      <c r="H61" s="133" t="n">
        <v>408</v>
      </c>
      <c r="I61" s="134" t="n">
        <v>27000</v>
      </c>
      <c r="J61" s="134" t="inlineStr">
        <is>
          <t>고</t>
        </is>
      </c>
      <c r="K61" s="134" t="n">
        <v>23000</v>
      </c>
      <c r="L61" s="134" t="inlineStr">
        <is>
          <t>15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85</v>
      </c>
      <c r="U61" s="9" t="n"/>
    </row>
    <row r="62" ht="12" customFormat="1" customHeight="1" s="37">
      <c r="A62" s="75" t="inlineStr">
        <is>
          <t>팔용동 대동중앙</t>
        </is>
      </c>
      <c r="B62" s="76" t="inlineStr">
        <is>
          <t>93.09.</t>
        </is>
      </c>
      <c r="C62" s="130" t="n">
        <v>1040</v>
      </c>
      <c r="D62" s="131" t="n">
        <v>69.7</v>
      </c>
      <c r="E62" s="132" t="n">
        <v>21</v>
      </c>
      <c r="F62" s="131" t="n">
        <v>59.9</v>
      </c>
      <c r="G62" s="17" t="n">
        <v>18</v>
      </c>
      <c r="H62" s="133" t="n">
        <v>830</v>
      </c>
      <c r="I62" s="134" t="n">
        <v>27000</v>
      </c>
      <c r="J62" s="134" t="inlineStr">
        <is>
          <t>중</t>
        </is>
      </c>
      <c r="K62" s="134" t="n">
        <v>19000</v>
      </c>
      <c r="L62" s="134" t="inlineStr">
        <is>
          <t>10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n">
        <v>69</v>
      </c>
      <c r="U62" s="9" t="n"/>
    </row>
    <row r="63" ht="12" customFormat="1" customHeight="1" s="37">
      <c r="A63" s="75" t="inlineStr">
        <is>
          <t>북면 창원무동센텀파라디아</t>
        </is>
      </c>
      <c r="B63" s="76" t="inlineStr">
        <is>
          <t>18.03.</t>
        </is>
      </c>
      <c r="C63" s="130" t="n">
        <v>1034</v>
      </c>
      <c r="D63" s="131" t="n">
        <v>98.40000000000001</v>
      </c>
      <c r="E63" s="132" t="n">
        <v>30</v>
      </c>
      <c r="F63" s="131" t="n">
        <v>73</v>
      </c>
      <c r="G63" s="17" t="n">
        <v>22</v>
      </c>
      <c r="H63" s="133" t="n">
        <v>166</v>
      </c>
      <c r="I63" s="134" t="n">
        <v>25500</v>
      </c>
      <c r="J63" s="134" t="inlineStr">
        <is>
          <t>중</t>
        </is>
      </c>
      <c r="K63" s="134" t="n">
        <v>23000</v>
      </c>
      <c r="L63" s="134" t="inlineStr">
        <is>
          <t>중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98</v>
      </c>
      <c r="U63" s="9" t="n"/>
    </row>
    <row r="64" ht="12" customFormat="1" customHeight="1" s="37">
      <c r="A64" s="75" t="inlineStr">
        <is>
          <t>북면 창원감계힐스테이트2차</t>
        </is>
      </c>
      <c r="B64" s="76" t="inlineStr">
        <is>
          <t>17.10.</t>
        </is>
      </c>
      <c r="C64" s="130" t="n">
        <v>836</v>
      </c>
      <c r="D64" s="131" t="n">
        <v>85.59999999999999</v>
      </c>
      <c r="E64" s="132" t="n">
        <v>26</v>
      </c>
      <c r="F64" s="131" t="n">
        <v>59.3</v>
      </c>
      <c r="G64" s="17" t="n">
        <v>18</v>
      </c>
      <c r="H64" s="133" t="n">
        <v>147</v>
      </c>
      <c r="I64" s="134" t="n">
        <v>25000</v>
      </c>
      <c r="J64" s="134" t="inlineStr">
        <is>
          <t>고</t>
        </is>
      </c>
      <c r="K64" s="134" t="n">
        <v>23000</v>
      </c>
      <c r="L64" s="134" t="inlineStr">
        <is>
          <t>고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n">
        <v>85</v>
      </c>
      <c r="U64" s="9" t="n"/>
    </row>
    <row r="65" ht="12" customFormat="1" customHeight="1" s="37">
      <c r="A65" s="75" t="inlineStr">
        <is>
          <t>북면 감계휴먼빌</t>
        </is>
      </c>
      <c r="B65" s="76" t="inlineStr">
        <is>
          <t>14.03.</t>
        </is>
      </c>
      <c r="C65" s="130" t="n">
        <v>697</v>
      </c>
      <c r="D65" s="131" t="n">
        <v>81.3</v>
      </c>
      <c r="E65" s="132" t="n">
        <v>25</v>
      </c>
      <c r="F65" s="131" t="n">
        <v>60</v>
      </c>
      <c r="G65" s="17" t="n">
        <v>18</v>
      </c>
      <c r="H65" s="133" t="n">
        <v>134</v>
      </c>
      <c r="I65" s="134" t="n">
        <v>23500</v>
      </c>
      <c r="J65" s="134" t="inlineStr">
        <is>
          <t>고</t>
        </is>
      </c>
      <c r="K65" s="134" t="n">
        <v>23000</v>
      </c>
      <c r="L65" s="134" t="inlineStr">
        <is>
          <t>고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n">
        <v>81</v>
      </c>
      <c r="U65" s="9" t="n"/>
    </row>
    <row r="66" ht="12" customFormat="1" customHeight="1" s="37">
      <c r="A66" s="75" t="inlineStr">
        <is>
          <t>봉곡동 늘푸른마을코오롱</t>
        </is>
      </c>
      <c r="B66" s="76" t="inlineStr">
        <is>
          <t>99.11.</t>
        </is>
      </c>
      <c r="C66" s="130" t="n">
        <v>426</v>
      </c>
      <c r="D66" s="131" t="n">
        <v>77.5</v>
      </c>
      <c r="E66" s="132" t="n">
        <v>23</v>
      </c>
      <c r="F66" s="131" t="n">
        <v>59.4</v>
      </c>
      <c r="G66" s="17" t="n">
        <v>18</v>
      </c>
      <c r="H66" s="133" t="n">
        <v>43</v>
      </c>
      <c r="I66" s="134" t="n">
        <v>23000</v>
      </c>
      <c r="J66" s="134" t="inlineStr">
        <is>
          <t>중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1</v>
      </c>
      <c r="S66" s="121" t="inlineStr">
        <is>
          <t>계</t>
        </is>
      </c>
      <c r="T66" s="5" t="n">
        <v>77</v>
      </c>
      <c r="U66" s="9" t="n"/>
    </row>
    <row r="67" ht="12" customFormat="1" customHeight="1" s="37">
      <c r="A67" s="75" t="inlineStr">
        <is>
          <t>북면 창원무동휴먼빌2단지</t>
        </is>
      </c>
      <c r="B67" s="76" t="inlineStr">
        <is>
          <t>13.06.</t>
        </is>
      </c>
      <c r="C67" s="130" t="n">
        <v>315</v>
      </c>
      <c r="D67" s="131" t="n">
        <v>113.8</v>
      </c>
      <c r="E67" s="132" t="n">
        <v>34</v>
      </c>
      <c r="F67" s="131" t="n">
        <v>85</v>
      </c>
      <c r="G67" s="17" t="n">
        <v>26</v>
      </c>
      <c r="H67" s="133" t="n">
        <v>178</v>
      </c>
      <c r="I67" s="134" t="n">
        <v>23000</v>
      </c>
      <c r="J67" s="134" t="inlineStr">
        <is>
          <t>고</t>
        </is>
      </c>
      <c r="K67" s="134" t="n">
        <v>20000</v>
      </c>
      <c r="L67" s="134" t="inlineStr">
        <is>
          <t>고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inlineStr">
        <is>
          <t>113A</t>
        </is>
      </c>
      <c r="U67" s="9" t="n"/>
    </row>
    <row r="68" ht="12" customFormat="1" customHeight="1" s="37">
      <c r="A68" s="75" t="inlineStr">
        <is>
          <t>북면 창원감계힐스테이트4차</t>
        </is>
      </c>
      <c r="B68" s="76" t="inlineStr">
        <is>
          <t>17.04.</t>
        </is>
      </c>
      <c r="C68" s="130" t="n">
        <v>1665</v>
      </c>
      <c r="D68" s="131" t="n">
        <v>85.7</v>
      </c>
      <c r="E68" s="132" t="n">
        <v>26</v>
      </c>
      <c r="F68" s="131" t="n">
        <v>59.9</v>
      </c>
      <c r="G68" s="17" t="n">
        <v>18</v>
      </c>
      <c r="H68" s="133" t="n">
        <v>164</v>
      </c>
      <c r="I68" s="134" t="n">
        <v>23000</v>
      </c>
      <c r="J68" s="134" t="inlineStr">
        <is>
          <t>중</t>
        </is>
      </c>
      <c r="K68" s="134" t="n">
        <v>22000</v>
      </c>
      <c r="L68" s="134" t="inlineStr">
        <is>
          <t>17</t>
        </is>
      </c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85A</t>
        </is>
      </c>
      <c r="U68" s="9" t="n"/>
    </row>
    <row r="69" ht="12" customFormat="1" customHeight="1" s="37">
      <c r="A69" s="75" t="inlineStr">
        <is>
          <t>북면 창원감계푸르지오</t>
        </is>
      </c>
      <c r="B69" s="76" t="inlineStr">
        <is>
          <t>17.02.</t>
        </is>
      </c>
      <c r="C69" s="130" t="n">
        <v>583</v>
      </c>
      <c r="D69" s="131" t="n">
        <v>85.8</v>
      </c>
      <c r="E69" s="132" t="n">
        <v>26</v>
      </c>
      <c r="F69" s="131" t="n">
        <v>60</v>
      </c>
      <c r="G69" s="17" t="n">
        <v>18</v>
      </c>
      <c r="H69" s="133" t="n">
        <v>67</v>
      </c>
      <c r="I69" s="134" t="n">
        <v>23000</v>
      </c>
      <c r="J69" s="134" t="inlineStr">
        <is>
          <t>고</t>
        </is>
      </c>
      <c r="K69" s="134" t="n">
        <v>22000</v>
      </c>
      <c r="L69" s="134" t="inlineStr">
        <is>
          <t>고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85</v>
      </c>
      <c r="U69" s="9" t="n"/>
    </row>
    <row r="70" ht="12" customFormat="1" customHeight="1" s="37">
      <c r="A70" s="75" t="inlineStr">
        <is>
          <t>북면 창원무동휴먼빌1단지</t>
        </is>
      </c>
      <c r="B70" s="76" t="inlineStr">
        <is>
          <t>13.06.</t>
        </is>
      </c>
      <c r="C70" s="130" t="n">
        <v>546</v>
      </c>
      <c r="D70" s="131" t="n">
        <v>113.8</v>
      </c>
      <c r="E70" s="132" t="n">
        <v>34</v>
      </c>
      <c r="F70" s="131" t="n">
        <v>85</v>
      </c>
      <c r="G70" s="17" t="n">
        <v>26</v>
      </c>
      <c r="H70" s="133" t="n">
        <v>359</v>
      </c>
      <c r="I70" s="134" t="n">
        <v>22000</v>
      </c>
      <c r="J70" s="134" t="inlineStr">
        <is>
          <t>고</t>
        </is>
      </c>
      <c r="K70" s="134" t="n">
        <v>20000</v>
      </c>
      <c r="L70" s="134" t="inlineStr">
        <is>
          <t>고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113A</t>
        </is>
      </c>
      <c r="U70" s="9" t="n"/>
    </row>
    <row r="71" ht="12" customFormat="1" customHeight="1" s="37">
      <c r="A71" s="75" t="inlineStr">
        <is>
          <t>북면 창원무동STX칸1차</t>
        </is>
      </c>
      <c r="B71" s="76" t="inlineStr">
        <is>
          <t>15.01.</t>
        </is>
      </c>
      <c r="C71" s="130" t="n">
        <v>854</v>
      </c>
      <c r="D71" s="131" t="n">
        <v>112.6</v>
      </c>
      <c r="E71" s="132" t="n">
        <v>34</v>
      </c>
      <c r="F71" s="131" t="n">
        <v>85</v>
      </c>
      <c r="G71" s="17" t="n">
        <v>26</v>
      </c>
      <c r="H71" s="133" t="n">
        <v>449</v>
      </c>
      <c r="I71" s="134" t="n">
        <v>22000</v>
      </c>
      <c r="J71" s="134" t="inlineStr">
        <is>
          <t>11</t>
        </is>
      </c>
      <c r="K71" s="134" t="n">
        <v>19000</v>
      </c>
      <c r="L71" s="134" t="inlineStr">
        <is>
          <t>고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112A</t>
        </is>
      </c>
      <c r="U71" s="9" t="n"/>
    </row>
    <row r="72" ht="12" customFormat="1" customHeight="1" s="37">
      <c r="A72" s="75" t="inlineStr">
        <is>
          <t>팔용동 극동</t>
        </is>
      </c>
      <c r="B72" s="76" t="inlineStr">
        <is>
          <t>94.12.</t>
        </is>
      </c>
      <c r="C72" s="130" t="n">
        <v>1059</v>
      </c>
      <c r="D72" s="131" t="n">
        <v>86.7</v>
      </c>
      <c r="E72" s="132" t="n">
        <v>26</v>
      </c>
      <c r="F72" s="131" t="n">
        <v>59.3</v>
      </c>
      <c r="G72" s="17" t="n">
        <v>18</v>
      </c>
      <c r="H72" s="133" t="n">
        <v>299</v>
      </c>
      <c r="I72" s="134" t="n">
        <v>21500</v>
      </c>
      <c r="J72" s="134" t="inlineStr">
        <is>
          <t>중</t>
        </is>
      </c>
      <c r="K72" s="134" t="n">
        <v>19000</v>
      </c>
      <c r="L72" s="134" t="inlineStr">
        <is>
          <t>중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1</v>
      </c>
      <c r="S72" s="121" t="inlineStr">
        <is>
          <t>복</t>
        </is>
      </c>
      <c r="T72" s="5" t="n">
        <v>86</v>
      </c>
      <c r="U72" s="9" t="n"/>
    </row>
    <row r="73" ht="12" customFormat="1" customHeight="1" s="37">
      <c r="A73" s="75" t="inlineStr">
        <is>
          <t>북면 창원무동센텀파라디아</t>
        </is>
      </c>
      <c r="B73" s="76" t="inlineStr">
        <is>
          <t>18.03.</t>
        </is>
      </c>
      <c r="C73" s="130" t="n">
        <v>1034</v>
      </c>
      <c r="D73" s="131" t="n">
        <v>84</v>
      </c>
      <c r="E73" s="132" t="n">
        <v>25</v>
      </c>
      <c r="F73" s="131" t="n">
        <v>60</v>
      </c>
      <c r="G73" s="17" t="n">
        <v>18</v>
      </c>
      <c r="H73" s="133" t="n">
        <v>604</v>
      </c>
      <c r="I73" s="134" t="n">
        <v>20400</v>
      </c>
      <c r="J73" s="134" t="inlineStr">
        <is>
          <t>중</t>
        </is>
      </c>
      <c r="K73" s="134" t="n">
        <v>20000</v>
      </c>
      <c r="L73" s="134" t="inlineStr">
        <is>
          <t>고</t>
        </is>
      </c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84</v>
      </c>
      <c r="U73" s="9" t="n"/>
    </row>
    <row r="74" ht="12" customFormat="1" customHeight="1" s="37">
      <c r="A74" s="75" t="inlineStr">
        <is>
          <t>북면 창원무동지구휴먼빌3단지</t>
        </is>
      </c>
      <c r="B74" s="76" t="inlineStr">
        <is>
          <t>14.12.</t>
        </is>
      </c>
      <c r="C74" s="130" t="n">
        <v>451</v>
      </c>
      <c r="D74" s="131" t="n">
        <v>81.7</v>
      </c>
      <c r="E74" s="132" t="n">
        <v>25</v>
      </c>
      <c r="F74" s="131" t="n">
        <v>60</v>
      </c>
      <c r="G74" s="17" t="n">
        <v>18</v>
      </c>
      <c r="H74" s="133" t="n">
        <v>117</v>
      </c>
      <c r="I74" s="134" t="n">
        <v>19500</v>
      </c>
      <c r="J74" s="134" t="inlineStr">
        <is>
          <t>중</t>
        </is>
      </c>
      <c r="K74" s="134" t="n">
        <v>19000</v>
      </c>
      <c r="L74" s="134" t="inlineStr">
        <is>
          <t>중</t>
        </is>
      </c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81</v>
      </c>
      <c r="U74" s="9" t="n"/>
    </row>
    <row r="75" ht="12" customFormat="1" customHeight="1" s="37">
      <c r="A75" s="75" t="inlineStr">
        <is>
          <t>북면 창원무동휴먼빌1단지</t>
        </is>
      </c>
      <c r="B75" s="76" t="inlineStr">
        <is>
          <t>13.06.</t>
        </is>
      </c>
      <c r="C75" s="130" t="n">
        <v>546</v>
      </c>
      <c r="D75" s="131" t="n">
        <v>80.3</v>
      </c>
      <c r="E75" s="132" t="n">
        <v>24</v>
      </c>
      <c r="F75" s="131" t="n">
        <v>60</v>
      </c>
      <c r="G75" s="17" t="n">
        <v>18</v>
      </c>
      <c r="H75" s="133" t="n">
        <v>54</v>
      </c>
      <c r="I75" s="134" t="n">
        <v>19000</v>
      </c>
      <c r="J75" s="134" t="inlineStr">
        <is>
          <t>고</t>
        </is>
      </c>
      <c r="K75" s="134" t="n">
        <v>17500</v>
      </c>
      <c r="L75" s="134" t="inlineStr">
        <is>
          <t>고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80</v>
      </c>
      <c r="U75" s="9" t="n"/>
    </row>
    <row r="76" ht="12" customFormat="1" customHeight="1" s="37">
      <c r="A76" s="75" t="inlineStr">
        <is>
          <t>팔용동 극동</t>
        </is>
      </c>
      <c r="B76" s="76" t="inlineStr">
        <is>
          <t>94.12.</t>
        </is>
      </c>
      <c r="C76" s="130" t="n">
        <v>1059</v>
      </c>
      <c r="D76" s="131" t="n">
        <v>72.90000000000001</v>
      </c>
      <c r="E76" s="132" t="n">
        <v>22</v>
      </c>
      <c r="F76" s="131" t="n">
        <v>49.9</v>
      </c>
      <c r="G76" s="17" t="n">
        <v>15</v>
      </c>
      <c r="H76" s="133" t="n">
        <v>108</v>
      </c>
      <c r="I76" s="134" t="n">
        <v>17500</v>
      </c>
      <c r="J76" s="134" t="inlineStr">
        <is>
          <t>15</t>
        </is>
      </c>
      <c r="K76" s="134" t="n">
        <v>16000</v>
      </c>
      <c r="L76" s="134" t="inlineStr">
        <is>
          <t>15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2</v>
      </c>
      <c r="R76" s="121" t="n">
        <v>1</v>
      </c>
      <c r="S76" s="121" t="inlineStr">
        <is>
          <t>복</t>
        </is>
      </c>
      <c r="T76" s="5" t="n">
        <v>72</v>
      </c>
      <c r="U76" s="9" t="n"/>
    </row>
    <row r="77" ht="12" customFormat="1" customHeight="1" s="37">
      <c r="A77" s="75" t="inlineStr">
        <is>
          <t>동읍 삼진</t>
        </is>
      </c>
      <c r="B77" s="76" t="inlineStr">
        <is>
          <t>89.03.</t>
        </is>
      </c>
      <c r="C77" s="130" t="n">
        <v>325</v>
      </c>
      <c r="D77" s="131" t="n">
        <v>55.7</v>
      </c>
      <c r="E77" s="132" t="n">
        <v>17</v>
      </c>
      <c r="F77" s="131" t="n">
        <v>49.6</v>
      </c>
      <c r="G77" s="17" t="n">
        <v>15</v>
      </c>
      <c r="H77" s="133" t="n">
        <v>70</v>
      </c>
      <c r="I77" s="134" t="n">
        <v>6500</v>
      </c>
      <c r="J77" s="134" t="inlineStr">
        <is>
          <t>5</t>
        </is>
      </c>
      <c r="K77" s="134" t="n">
        <v>3500</v>
      </c>
      <c r="L77" s="134" t="inlineStr">
        <is>
          <t>5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2</v>
      </c>
      <c r="R77" s="121" t="n">
        <v>1</v>
      </c>
      <c r="S77" s="121" t="inlineStr">
        <is>
          <t>계</t>
        </is>
      </c>
      <c r="T77" s="5" t="n">
        <v>55</v>
      </c>
      <c r="U77" s="9" t="n"/>
    </row>
    <row r="78" ht="12" customFormat="1" customHeight="1" s="37">
      <c r="A78" s="75" t="inlineStr">
        <is>
          <t>도계동 한마음코아</t>
        </is>
      </c>
      <c r="B78" s="76" t="inlineStr">
        <is>
          <t>92.08.</t>
        </is>
      </c>
      <c r="C78" s="130" t="n">
        <v>225</v>
      </c>
      <c r="D78" s="131" t="n">
        <v>64</v>
      </c>
      <c r="E78" s="132" t="n">
        <v>19</v>
      </c>
      <c r="F78" s="131" t="n">
        <v>49.4</v>
      </c>
      <c r="G78" s="17" t="n">
        <v>15</v>
      </c>
      <c r="H78" s="133" t="n">
        <v>225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복</t>
        </is>
      </c>
      <c r="T78" s="5" t="n">
        <v>63</v>
      </c>
      <c r="U78" s="9" t="n"/>
    </row>
    <row r="79" ht="12" customFormat="1" customHeight="1" s="37">
      <c r="A79" s="75" t="inlineStr">
        <is>
          <t>동읍 창원한양립스더퍼스트</t>
        </is>
      </c>
      <c r="B79" s="76" t="inlineStr">
        <is>
          <t>23.12.</t>
        </is>
      </c>
      <c r="C79" s="130" t="n">
        <v>515</v>
      </c>
      <c r="D79" s="131" t="n">
        <v>94.59999999999999</v>
      </c>
      <c r="E79" s="132" t="n">
        <v>29</v>
      </c>
      <c r="F79" s="131" t="n">
        <v>68.8</v>
      </c>
      <c r="G79" s="17" t="n">
        <v>21</v>
      </c>
      <c r="H79" s="133" t="n">
        <v>263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n">
        <v>94</v>
      </c>
      <c r="U79" s="9" t="n"/>
    </row>
    <row r="80" ht="12" customFormat="1" customHeight="1" s="37">
      <c r="A80" s="75" t="inlineStr">
        <is>
          <t>동읍 창원한양립스더퍼스트</t>
        </is>
      </c>
      <c r="B80" s="76" t="inlineStr">
        <is>
          <t>23.12.</t>
        </is>
      </c>
      <c r="C80" s="130" t="n">
        <v>515</v>
      </c>
      <c r="D80" s="131" t="n">
        <v>116.3</v>
      </c>
      <c r="E80" s="132" t="n">
        <v>35</v>
      </c>
      <c r="F80" s="131" t="n">
        <v>84.90000000000001</v>
      </c>
      <c r="G80" s="17" t="n">
        <v>26</v>
      </c>
      <c r="H80" s="133" t="n">
        <v>106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4</v>
      </c>
      <c r="R80" s="121" t="n">
        <v>2</v>
      </c>
      <c r="S80" s="121" t="inlineStr">
        <is>
          <t>계</t>
        </is>
      </c>
      <c r="T80" s="5" t="n">
        <v>116</v>
      </c>
      <c r="U80" s="9" t="n"/>
    </row>
    <row r="81" ht="12" customFormat="1" customHeight="1" s="37">
      <c r="A81" s="75" t="inlineStr">
        <is>
          <t>동읍 삼진</t>
        </is>
      </c>
      <c r="B81" s="76" t="inlineStr">
        <is>
          <t>89.03.</t>
        </is>
      </c>
      <c r="C81" s="130" t="n">
        <v>325</v>
      </c>
      <c r="D81" s="131" t="n">
        <v>48.8</v>
      </c>
      <c r="E81" s="132" t="n">
        <v>15</v>
      </c>
      <c r="F81" s="131" t="n">
        <v>42.6</v>
      </c>
      <c r="G81" s="17" t="n">
        <v>13</v>
      </c>
      <c r="H81" s="133" t="n">
        <v>50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2</v>
      </c>
      <c r="R81" s="121" t="n">
        <v>1</v>
      </c>
      <c r="S81" s="121" t="inlineStr">
        <is>
          <t>계</t>
        </is>
      </c>
      <c r="T81" s="5" t="n">
        <v>48</v>
      </c>
      <c r="U81" s="9" t="n"/>
    </row>
    <row r="82" ht="12" customFormat="1" customHeight="1" s="37">
      <c r="A82" s="75" t="inlineStr">
        <is>
          <t>동읍 삼진</t>
        </is>
      </c>
      <c r="B82" s="76" t="inlineStr">
        <is>
          <t>89.03.</t>
        </is>
      </c>
      <c r="C82" s="130" t="n">
        <v>325</v>
      </c>
      <c r="D82" s="131" t="n">
        <v>58.7</v>
      </c>
      <c r="E82" s="132" t="n">
        <v>18</v>
      </c>
      <c r="F82" s="131" t="n">
        <v>52.2</v>
      </c>
      <c r="G82" s="17" t="n">
        <v>16</v>
      </c>
      <c r="H82" s="133" t="n">
        <v>200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계</t>
        </is>
      </c>
      <c r="T82" s="5" t="n">
        <v>58</v>
      </c>
      <c r="U82" s="9" t="n"/>
    </row>
    <row r="83" ht="12" customFormat="1" customHeight="1" s="37">
      <c r="A83" s="75" t="inlineStr">
        <is>
          <t>동읍 동읍대한</t>
        </is>
      </c>
      <c r="B83" s="76" t="inlineStr">
        <is>
          <t>97.02.</t>
        </is>
      </c>
      <c r="C83" s="130" t="n">
        <v>275</v>
      </c>
      <c r="D83" s="131" t="n">
        <v>76.8</v>
      </c>
      <c r="E83" s="132" t="n">
        <v>23</v>
      </c>
      <c r="F83" s="131" t="n">
        <v>59.9</v>
      </c>
      <c r="G83" s="17" t="n">
        <v>18</v>
      </c>
      <c r="H83" s="133" t="n">
        <v>121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계</t>
        </is>
      </c>
      <c r="T83" s="5" t="n">
        <v>76</v>
      </c>
      <c r="U83" s="9" t="n"/>
    </row>
    <row r="84" ht="12" customFormat="1" customHeight="1" s="37">
      <c r="A84" s="75" t="inlineStr">
        <is>
          <t>동읍 동읍대한</t>
        </is>
      </c>
      <c r="B84" s="76" t="inlineStr">
        <is>
          <t>97.02.</t>
        </is>
      </c>
      <c r="C84" s="130" t="n">
        <v>275</v>
      </c>
      <c r="D84" s="131" t="n">
        <v>101.3</v>
      </c>
      <c r="E84" s="132" t="n">
        <v>31</v>
      </c>
      <c r="F84" s="131" t="n">
        <v>79</v>
      </c>
      <c r="G84" s="17" t="n">
        <v>24</v>
      </c>
      <c r="H84" s="133" t="n">
        <v>40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1</v>
      </c>
      <c r="S84" s="121" t="inlineStr">
        <is>
          <t>계</t>
        </is>
      </c>
      <c r="T84" s="5" t="n">
        <v>101</v>
      </c>
      <c r="U84" s="9" t="n"/>
    </row>
    <row r="85" ht="12" customFormat="1" customHeight="1" s="37">
      <c r="A85" s="75" t="inlineStr">
        <is>
          <t>동읍 동읍대한</t>
        </is>
      </c>
      <c r="B85" s="76" t="inlineStr">
        <is>
          <t>97.02.</t>
        </is>
      </c>
      <c r="C85" s="130" t="n">
        <v>275</v>
      </c>
      <c r="D85" s="131" t="n">
        <v>108.9</v>
      </c>
      <c r="E85" s="132" t="n">
        <v>33</v>
      </c>
      <c r="F85" s="131" t="n">
        <v>85</v>
      </c>
      <c r="G85" s="17" t="n">
        <v>26</v>
      </c>
      <c r="H85" s="133" t="n">
        <v>114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108</v>
      </c>
      <c r="U85" s="9" t="n"/>
    </row>
    <row r="86" ht="12" customFormat="1" customHeight="1" s="37">
      <c r="A86" s="75" t="inlineStr">
        <is>
          <t>동읍 우성전원</t>
        </is>
      </c>
      <c r="B86" s="76" t="inlineStr">
        <is>
          <t>91.12.</t>
        </is>
      </c>
      <c r="C86" s="130" t="n">
        <v>220</v>
      </c>
      <c r="D86" s="131" t="n">
        <v>72.59999999999999</v>
      </c>
      <c r="E86" s="132" t="n">
        <v>22</v>
      </c>
      <c r="F86" s="131" t="n">
        <v>66.40000000000001</v>
      </c>
      <c r="G86" s="17" t="n">
        <v>20</v>
      </c>
      <c r="H86" s="133" t="n">
        <v>78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1</v>
      </c>
      <c r="S86" s="121" t="inlineStr">
        <is>
          <t>계</t>
        </is>
      </c>
      <c r="T86" s="5" t="n">
        <v>72</v>
      </c>
      <c r="U86" s="9" t="n"/>
    </row>
    <row r="87" ht="12" customFormat="1" customHeight="1" s="37">
      <c r="A87" s="75" t="inlineStr">
        <is>
          <t>동읍 우성전원</t>
        </is>
      </c>
      <c r="B87" s="76" t="inlineStr">
        <is>
          <t>91.12.</t>
        </is>
      </c>
      <c r="C87" s="130" t="n">
        <v>220</v>
      </c>
      <c r="D87" s="131" t="n">
        <v>81.7</v>
      </c>
      <c r="E87" s="132" t="n">
        <v>25</v>
      </c>
      <c r="F87" s="131" t="n">
        <v>75.40000000000001</v>
      </c>
      <c r="G87" s="17" t="n">
        <v>23</v>
      </c>
      <c r="H87" s="133" t="n">
        <v>40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1</v>
      </c>
      <c r="S87" s="121" t="inlineStr">
        <is>
          <t>계</t>
        </is>
      </c>
      <c r="T87" s="5" t="n">
        <v>81</v>
      </c>
      <c r="U87" s="9" t="n"/>
    </row>
    <row r="88" ht="12" customFormat="1" customHeight="1" s="37">
      <c r="A88" s="75" t="inlineStr">
        <is>
          <t>동정동 동정오성</t>
        </is>
      </c>
      <c r="B88" s="76" t="inlineStr">
        <is>
          <t>96.03.</t>
        </is>
      </c>
      <c r="C88" s="130" t="n">
        <v>254</v>
      </c>
      <c r="D88" s="131" t="n">
        <v>56.2</v>
      </c>
      <c r="E88" s="132" t="n">
        <v>17</v>
      </c>
      <c r="F88" s="131" t="n">
        <v>41.8</v>
      </c>
      <c r="G88" s="17" t="n">
        <v>13</v>
      </c>
      <c r="H88" s="133" t="n">
        <v>32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2</v>
      </c>
      <c r="R88" s="121" t="n">
        <v>1</v>
      </c>
      <c r="S88" s="121" t="inlineStr">
        <is>
          <t>계</t>
        </is>
      </c>
      <c r="T88" s="5" t="n">
        <v>56</v>
      </c>
      <c r="U88" s="9" t="n"/>
    </row>
    <row r="89" ht="12" customFormat="1" customHeight="1" s="37">
      <c r="A89" s="75" t="inlineStr">
        <is>
          <t>동정동 동정오성</t>
        </is>
      </c>
      <c r="B89" s="76" t="inlineStr">
        <is>
          <t>96.03.</t>
        </is>
      </c>
      <c r="C89" s="130" t="n">
        <v>254</v>
      </c>
      <c r="D89" s="131" t="n">
        <v>73.7</v>
      </c>
      <c r="E89" s="132" t="n">
        <v>22</v>
      </c>
      <c r="F89" s="131" t="n">
        <v>60</v>
      </c>
      <c r="G89" s="17" t="n">
        <v>18</v>
      </c>
      <c r="H89" s="133" t="n">
        <v>109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1</v>
      </c>
      <c r="S89" s="121" t="inlineStr">
        <is>
          <t>계</t>
        </is>
      </c>
      <c r="T89" s="5" t="n">
        <v>73</v>
      </c>
      <c r="U89" s="9" t="n"/>
    </row>
    <row r="90" ht="12" customFormat="1" customHeight="1" s="37">
      <c r="A90" s="75" t="inlineStr">
        <is>
          <t>동정동 동정오성</t>
        </is>
      </c>
      <c r="B90" s="76" t="inlineStr">
        <is>
          <t>96.03.</t>
        </is>
      </c>
      <c r="C90" s="130" t="n">
        <v>254</v>
      </c>
      <c r="D90" s="131" t="n">
        <v>96.59999999999999</v>
      </c>
      <c r="E90" s="132" t="n">
        <v>29</v>
      </c>
      <c r="F90" s="131" t="n">
        <v>84.7</v>
      </c>
      <c r="G90" s="17" t="n">
        <v>26</v>
      </c>
      <c r="H90" s="133" t="n">
        <v>112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n">
        <v>96</v>
      </c>
      <c r="U90" s="9" t="n"/>
    </row>
    <row r="91" ht="12" customFormat="1" customHeight="1" s="37">
      <c r="A91" s="75" t="inlineStr">
        <is>
          <t>명곡동 창원명곡A-1블록신혼희망타운</t>
        </is>
      </c>
      <c r="B91" s="76" t="inlineStr">
        <is>
          <t>24.10.</t>
        </is>
      </c>
      <c r="C91" s="130" t="n">
        <v>395</v>
      </c>
      <c r="D91" s="131" t="n">
        <v>78.90000000000001</v>
      </c>
      <c r="E91" s="132" t="n">
        <v>24</v>
      </c>
      <c r="F91" s="131" t="n">
        <v>55.9</v>
      </c>
      <c r="G91" s="17" t="n">
        <v>17</v>
      </c>
      <c r="H91" s="133" t="n">
        <v>172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2</v>
      </c>
      <c r="R91" s="121" t="n">
        <v>2</v>
      </c>
      <c r="S91" s="121" t="inlineStr">
        <is>
          <t>계</t>
        </is>
      </c>
      <c r="T91" s="5" t="inlineStr">
        <is>
          <t>78A2</t>
        </is>
      </c>
      <c r="U91" s="9" t="n"/>
    </row>
    <row r="92" ht="12" customFormat="1" customHeight="1" s="37">
      <c r="A92" s="75" t="inlineStr">
        <is>
          <t>명서동 두산위브</t>
        </is>
      </c>
      <c r="B92" s="76" t="inlineStr">
        <is>
          <t>10.06.</t>
        </is>
      </c>
      <c r="C92" s="130" t="n">
        <v>1522</v>
      </c>
      <c r="D92" s="131" t="n">
        <v>145.4</v>
      </c>
      <c r="E92" s="132" t="n">
        <v>44</v>
      </c>
      <c r="F92" s="131" t="n">
        <v>118.2</v>
      </c>
      <c r="G92" s="17" t="n">
        <v>36</v>
      </c>
      <c r="H92" s="133" t="n">
        <v>30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4</v>
      </c>
      <c r="R92" s="121" t="n">
        <v>2</v>
      </c>
      <c r="S92" s="121" t="inlineStr">
        <is>
          <t>계</t>
        </is>
      </c>
      <c r="T92" s="5" t="inlineStr">
        <is>
          <t>145B</t>
        </is>
      </c>
      <c r="U92" s="9" t="n"/>
    </row>
    <row r="93" ht="12" customFormat="1" customHeight="1" s="37">
      <c r="A93" s="75" t="inlineStr">
        <is>
          <t>명서동 두산위브</t>
        </is>
      </c>
      <c r="B93" s="76" t="inlineStr">
        <is>
          <t>10.06.</t>
        </is>
      </c>
      <c r="C93" s="130" t="n">
        <v>1522</v>
      </c>
      <c r="D93" s="131" t="n">
        <v>195.7</v>
      </c>
      <c r="E93" s="132" t="n">
        <v>59</v>
      </c>
      <c r="F93" s="131" t="n">
        <v>167.5</v>
      </c>
      <c r="G93" s="17" t="n">
        <v>51</v>
      </c>
      <c r="H93" s="133" t="n">
        <v>118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4</v>
      </c>
      <c r="R93" s="121" t="n">
        <v>2</v>
      </c>
      <c r="S93" s="121" t="inlineStr">
        <is>
          <t>계</t>
        </is>
      </c>
      <c r="T93" s="5" t="inlineStr">
        <is>
          <t>195A</t>
        </is>
      </c>
      <c r="U93" s="9" t="n"/>
    </row>
    <row r="94" ht="12" customFormat="1" customHeight="1" s="37">
      <c r="A94" s="75" t="inlineStr">
        <is>
          <t>명서동 두산위브</t>
        </is>
      </c>
      <c r="B94" s="76" t="inlineStr">
        <is>
          <t>10.06.</t>
        </is>
      </c>
      <c r="C94" s="130" t="n">
        <v>1522</v>
      </c>
      <c r="D94" s="131" t="n">
        <v>225.4</v>
      </c>
      <c r="E94" s="132" t="n">
        <v>68</v>
      </c>
      <c r="F94" s="131" t="n">
        <v>189.4</v>
      </c>
      <c r="G94" s="17" t="n">
        <v>57</v>
      </c>
      <c r="H94" s="133" t="n">
        <v>142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4</v>
      </c>
      <c r="R94" s="121" t="n">
        <v>3</v>
      </c>
      <c r="S94" s="121" t="inlineStr">
        <is>
          <t>계</t>
        </is>
      </c>
      <c r="T94" s="5" t="n">
        <v>225</v>
      </c>
      <c r="U94" s="9" t="n"/>
    </row>
    <row r="95" ht="12" customFormat="1" customHeight="1" s="37">
      <c r="A95" s="75" t="inlineStr">
        <is>
          <t>북면 창원무동동원로얄듀크</t>
        </is>
      </c>
      <c r="B95" s="76" t="inlineStr">
        <is>
          <t>23.12.</t>
        </is>
      </c>
      <c r="C95" s="130" t="n">
        <v>525</v>
      </c>
      <c r="D95" s="131" t="n">
        <v>84.09999999999999</v>
      </c>
      <c r="E95" s="132" t="n">
        <v>25</v>
      </c>
      <c r="F95" s="131" t="n">
        <v>63.8</v>
      </c>
      <c r="G95" s="17" t="n">
        <v>19</v>
      </c>
      <c r="H95" s="133" t="n">
        <v>137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84B</t>
        </is>
      </c>
      <c r="U95" s="9" t="n"/>
    </row>
    <row r="96" ht="12" customFormat="1" customHeight="1" s="37">
      <c r="A96" s="75" t="inlineStr">
        <is>
          <t>북면 창원무동동원로얄듀크</t>
        </is>
      </c>
      <c r="B96" s="76" t="inlineStr">
        <is>
          <t>23.12.</t>
        </is>
      </c>
      <c r="C96" s="130" t="n">
        <v>525</v>
      </c>
      <c r="D96" s="131" t="n">
        <v>98.8</v>
      </c>
      <c r="E96" s="132" t="n">
        <v>30</v>
      </c>
      <c r="F96" s="131" t="n">
        <v>75.8</v>
      </c>
      <c r="G96" s="17" t="n">
        <v>23</v>
      </c>
      <c r="H96" s="133" t="n">
        <v>353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98</v>
      </c>
      <c r="U96" s="9" t="n"/>
    </row>
    <row r="97" ht="12" customFormat="1" customHeight="1" s="37">
      <c r="A97" s="75" t="inlineStr">
        <is>
          <t>북면 창원무동코아루파크</t>
        </is>
      </c>
      <c r="B97" s="76" t="inlineStr">
        <is>
          <t>18.02.</t>
        </is>
      </c>
      <c r="C97" s="130" t="n">
        <v>253</v>
      </c>
      <c r="D97" s="131" t="n">
        <v>98.3</v>
      </c>
      <c r="E97" s="132" t="n">
        <v>30</v>
      </c>
      <c r="F97" s="131" t="n">
        <v>74.2</v>
      </c>
      <c r="G97" s="17" t="n">
        <v>22</v>
      </c>
      <c r="H97" s="133" t="n">
        <v>253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n">
        <v>98</v>
      </c>
      <c r="U97" s="9" t="n"/>
    </row>
    <row r="98" ht="12" customFormat="1" customHeight="1" s="37">
      <c r="A98" s="75" t="inlineStr">
        <is>
          <t>북면 춘광2차</t>
        </is>
      </c>
      <c r="B98" s="76" t="inlineStr">
        <is>
          <t>95.12.</t>
        </is>
      </c>
      <c r="C98" s="130" t="n">
        <v>218</v>
      </c>
      <c r="D98" s="131" t="n">
        <v>76.09999999999999</v>
      </c>
      <c r="E98" s="132" t="n">
        <v>23</v>
      </c>
      <c r="F98" s="131" t="n">
        <v>57.9</v>
      </c>
      <c r="G98" s="17" t="n">
        <v>18</v>
      </c>
      <c r="H98" s="133" t="n">
        <v>105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1</v>
      </c>
      <c r="S98" s="121" t="inlineStr">
        <is>
          <t>복</t>
        </is>
      </c>
      <c r="T98" s="5" t="n">
        <v>76</v>
      </c>
      <c r="U98" s="9" t="n"/>
    </row>
    <row r="99" ht="12" customFormat="1" customHeight="1" s="37">
      <c r="A99" s="75" t="inlineStr">
        <is>
          <t>북면 창원감계힐스테이트1차</t>
        </is>
      </c>
      <c r="B99" s="76" t="inlineStr">
        <is>
          <t>14.03.</t>
        </is>
      </c>
      <c r="C99" s="130" t="n">
        <v>1082</v>
      </c>
      <c r="D99" s="131" t="n">
        <v>132.2</v>
      </c>
      <c r="E99" s="132" t="n">
        <v>40</v>
      </c>
      <c r="F99" s="131" t="n">
        <v>101.9</v>
      </c>
      <c r="G99" s="17" t="n">
        <v>31</v>
      </c>
      <c r="H99" s="133" t="n">
        <v>128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4</v>
      </c>
      <c r="R99" s="121" t="n">
        <v>2</v>
      </c>
      <c r="S99" s="121" t="inlineStr">
        <is>
          <t>계</t>
        </is>
      </c>
      <c r="T99" s="5" t="n">
        <v>132</v>
      </c>
      <c r="U99" s="9" t="n"/>
    </row>
    <row r="100" ht="12" customFormat="1" customHeight="1" s="37">
      <c r="A100" s="75" t="inlineStr">
        <is>
          <t>북면 창원동전월드메르디앙</t>
        </is>
      </c>
      <c r="B100" s="76" t="inlineStr">
        <is>
          <t>16.10.</t>
        </is>
      </c>
      <c r="C100" s="130" t="n">
        <v>217</v>
      </c>
      <c r="D100" s="131" t="n">
        <v>86.7</v>
      </c>
      <c r="E100" s="132" t="n">
        <v>26</v>
      </c>
      <c r="F100" s="131" t="n">
        <v>67.59999999999999</v>
      </c>
      <c r="G100" s="17" t="n">
        <v>20</v>
      </c>
      <c r="H100" s="133" t="n">
        <v>77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inlineStr">
        <is>
          <t>86A</t>
        </is>
      </c>
      <c r="U100" s="9" t="n"/>
    </row>
    <row r="101" ht="12" customFormat="1" customHeight="1" s="37">
      <c r="A101" s="75" t="inlineStr">
        <is>
          <t>북면 창원동전월드메르디앙</t>
        </is>
      </c>
      <c r="B101" s="76" t="inlineStr">
        <is>
          <t>16.10.</t>
        </is>
      </c>
      <c r="C101" s="130" t="n">
        <v>217</v>
      </c>
      <c r="D101" s="131" t="n">
        <v>100.6</v>
      </c>
      <c r="E101" s="132" t="n">
        <v>30</v>
      </c>
      <c r="F101" s="131" t="n">
        <v>78.7</v>
      </c>
      <c r="G101" s="17" t="n">
        <v>24</v>
      </c>
      <c r="H101" s="133" t="n">
        <v>112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n">
        <v>100</v>
      </c>
      <c r="U101" s="9" t="n"/>
    </row>
    <row r="102" ht="12" customFormat="1" customHeight="1" s="37">
      <c r="A102" s="75" t="inlineStr">
        <is>
          <t>북면 창원감계힐스테이트4차</t>
        </is>
      </c>
      <c r="B102" s="76" t="inlineStr">
        <is>
          <t>17.04.</t>
        </is>
      </c>
      <c r="C102" s="130" t="n">
        <v>1665</v>
      </c>
      <c r="D102" s="131" t="n">
        <v>95.3</v>
      </c>
      <c r="E102" s="132" t="n">
        <v>29</v>
      </c>
      <c r="F102" s="131" t="n">
        <v>69</v>
      </c>
      <c r="G102" s="17" t="n">
        <v>21</v>
      </c>
      <c r="H102" s="133" t="n">
        <v>380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inlineStr">
        <is>
          <t>95A</t>
        </is>
      </c>
      <c r="U102" s="9" t="n"/>
    </row>
    <row r="103" ht="12" customFormat="1" customHeight="1" s="37">
      <c r="A103" s="75" t="inlineStr">
        <is>
          <t>북면 대호</t>
        </is>
      </c>
      <c r="B103" s="76" t="inlineStr">
        <is>
          <t>98.06.</t>
        </is>
      </c>
      <c r="C103" s="130" t="n">
        <v>294</v>
      </c>
      <c r="D103" s="131" t="n">
        <v>69.40000000000001</v>
      </c>
      <c r="E103" s="132" t="n">
        <v>21</v>
      </c>
      <c r="F103" s="131" t="n">
        <v>59.8</v>
      </c>
      <c r="G103" s="17" t="n">
        <v>18</v>
      </c>
      <c r="H103" s="133" t="n">
        <v>174</v>
      </c>
      <c r="I103" s="134" t="n"/>
      <c r="J103" s="134" t="n"/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1</v>
      </c>
      <c r="S103" s="121" t="inlineStr">
        <is>
          <t>계</t>
        </is>
      </c>
      <c r="T103" s="5" t="inlineStr">
        <is>
          <t>69B</t>
        </is>
      </c>
      <c r="U103" s="9" t="n"/>
    </row>
    <row r="104" ht="12" customFormat="1" customHeight="1" s="37">
      <c r="A104" s="75" t="inlineStr">
        <is>
          <t>북면 창원무동STX칸2차</t>
        </is>
      </c>
      <c r="B104" s="76" t="inlineStr">
        <is>
          <t>15.01.</t>
        </is>
      </c>
      <c r="C104" s="130" t="n">
        <v>231</v>
      </c>
      <c r="D104" s="131" t="n">
        <v>113.1</v>
      </c>
      <c r="E104" s="132" t="n">
        <v>34</v>
      </c>
      <c r="F104" s="131" t="n">
        <v>85</v>
      </c>
      <c r="G104" s="17" t="n">
        <v>26</v>
      </c>
      <c r="H104" s="133" t="n">
        <v>104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inlineStr">
        <is>
          <t>113A</t>
        </is>
      </c>
      <c r="U104" s="9" t="n"/>
    </row>
    <row r="105" ht="12" customFormat="1" customHeight="1" s="37">
      <c r="A105" s="75" t="inlineStr">
        <is>
          <t>북면 창원감계푸르지오</t>
        </is>
      </c>
      <c r="B105" s="76" t="inlineStr">
        <is>
          <t>17.02.</t>
        </is>
      </c>
      <c r="C105" s="130" t="n">
        <v>583</v>
      </c>
      <c r="D105" s="131" t="n">
        <v>97.90000000000001</v>
      </c>
      <c r="E105" s="132" t="n">
        <v>30</v>
      </c>
      <c r="F105" s="131" t="n">
        <v>72.90000000000001</v>
      </c>
      <c r="G105" s="17" t="n">
        <v>22</v>
      </c>
      <c r="H105" s="133" t="n">
        <v>262</v>
      </c>
      <c r="I105" s="134" t="n"/>
      <c r="J105" s="134" t="n"/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2</v>
      </c>
      <c r="S105" s="121" t="inlineStr">
        <is>
          <t>계</t>
        </is>
      </c>
      <c r="T105" s="5" t="n">
        <v>97</v>
      </c>
      <c r="U105" s="9" t="n"/>
    </row>
    <row r="106" ht="12" customFormat="1" customHeight="1" s="37">
      <c r="A106" s="75" t="inlineStr">
        <is>
          <t>북면 창원무동STX칸1차</t>
        </is>
      </c>
      <c r="B106" s="76" t="inlineStr">
        <is>
          <t>15.01.</t>
        </is>
      </c>
      <c r="C106" s="130" t="n">
        <v>854</v>
      </c>
      <c r="D106" s="131" t="n">
        <v>84.09999999999999</v>
      </c>
      <c r="E106" s="132" t="n">
        <v>25</v>
      </c>
      <c r="F106" s="131" t="n">
        <v>60</v>
      </c>
      <c r="G106" s="17" t="n">
        <v>18</v>
      </c>
      <c r="H106" s="133" t="n">
        <v>44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inlineStr">
        <is>
          <t>84B</t>
        </is>
      </c>
      <c r="U106" s="9" t="n"/>
    </row>
    <row r="107" ht="12" customFormat="1" customHeight="1" s="37">
      <c r="A107" s="75" t="inlineStr">
        <is>
          <t>북면 창원감계힐스테이트2차</t>
        </is>
      </c>
      <c r="B107" s="76" t="inlineStr">
        <is>
          <t>17.10.</t>
        </is>
      </c>
      <c r="C107" s="130" t="n">
        <v>836</v>
      </c>
      <c r="D107" s="131" t="n">
        <v>112.1</v>
      </c>
      <c r="E107" s="132" t="n">
        <v>34</v>
      </c>
      <c r="F107" s="131" t="n">
        <v>84.90000000000001</v>
      </c>
      <c r="G107" s="17" t="n">
        <v>26</v>
      </c>
      <c r="H107" s="133" t="n">
        <v>284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4</v>
      </c>
      <c r="R107" s="121" t="n">
        <v>2</v>
      </c>
      <c r="S107" s="121" t="inlineStr">
        <is>
          <t>계</t>
        </is>
      </c>
      <c r="T107" s="5" t="inlineStr">
        <is>
          <t>112A</t>
        </is>
      </c>
      <c r="U107" s="9" t="n"/>
    </row>
    <row r="108" ht="12" customFormat="1" customHeight="1" s="37">
      <c r="A108" s="75" t="inlineStr">
        <is>
          <t>소계동 소계럭키</t>
        </is>
      </c>
      <c r="B108" s="76" t="inlineStr">
        <is>
          <t>91.03.</t>
        </is>
      </c>
      <c r="C108" s="130" t="n">
        <v>243</v>
      </c>
      <c r="D108" s="131" t="n">
        <v>71.40000000000001</v>
      </c>
      <c r="E108" s="132" t="n">
        <v>22</v>
      </c>
      <c r="F108" s="131" t="n">
        <v>54.1</v>
      </c>
      <c r="G108" s="17" t="n">
        <v>16</v>
      </c>
      <c r="H108" s="133" t="n">
        <v>90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1</v>
      </c>
      <c r="S108" s="121" t="inlineStr">
        <is>
          <t>복</t>
        </is>
      </c>
      <c r="T108" s="5" t="n">
        <v>71</v>
      </c>
      <c r="U108" s="9" t="n"/>
    </row>
    <row r="109" ht="12" customFormat="1" customHeight="1" s="37">
      <c r="A109" s="75" t="inlineStr">
        <is>
          <t>소계동 소계럭키</t>
        </is>
      </c>
      <c r="B109" s="76" t="inlineStr">
        <is>
          <t>91.03.</t>
        </is>
      </c>
      <c r="C109" s="130" t="n">
        <v>243</v>
      </c>
      <c r="D109" s="131" t="n">
        <v>79.3</v>
      </c>
      <c r="E109" s="132" t="n">
        <v>24</v>
      </c>
      <c r="F109" s="131" t="n">
        <v>60</v>
      </c>
      <c r="G109" s="17" t="n">
        <v>18</v>
      </c>
      <c r="H109" s="133" t="n">
        <v>132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복</t>
        </is>
      </c>
      <c r="T109" s="5" t="n">
        <v>79</v>
      </c>
      <c r="U109" s="9" t="n"/>
    </row>
    <row r="110" ht="12" customFormat="1" customHeight="1" s="37">
      <c r="A110" s="75" t="inlineStr">
        <is>
          <t>중동 창원중동유니시티1단지</t>
        </is>
      </c>
      <c r="B110" s="76" t="inlineStr">
        <is>
          <t>19.06.</t>
        </is>
      </c>
      <c r="C110" s="130" t="n">
        <v>1803</v>
      </c>
      <c r="D110" s="131" t="n">
        <v>186.9</v>
      </c>
      <c r="E110" s="132" t="n">
        <v>57</v>
      </c>
      <c r="F110" s="131" t="n">
        <v>135.8</v>
      </c>
      <c r="G110" s="17" t="n">
        <v>41</v>
      </c>
      <c r="H110" s="133" t="n">
        <v>41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inlineStr">
        <is>
          <t>186B</t>
        </is>
      </c>
      <c r="U110" s="9" t="n"/>
    </row>
    <row r="111" ht="12" customFormat="1" customHeight="1" s="37">
      <c r="A111" s="75" t="inlineStr">
        <is>
          <t>팔용동 벽산블루밍B단지</t>
        </is>
      </c>
      <c r="B111" s="76" t="inlineStr">
        <is>
          <t>99.06.</t>
        </is>
      </c>
      <c r="C111" s="130" t="n">
        <v>1650</v>
      </c>
      <c r="D111" s="131" t="n">
        <v>95.09999999999999</v>
      </c>
      <c r="E111" s="132" t="n">
        <v>29</v>
      </c>
      <c r="F111" s="131" t="n">
        <v>74</v>
      </c>
      <c r="G111" s="17" t="n">
        <v>22</v>
      </c>
      <c r="H111" s="133" t="n">
        <v>570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1</v>
      </c>
      <c r="S111" s="121" t="inlineStr">
        <is>
          <t>계</t>
        </is>
      </c>
      <c r="T111" s="5" t="n">
        <v>95</v>
      </c>
      <c r="U111" s="9" t="n"/>
    </row>
    <row r="112" ht="12" customFormat="1" customHeight="1" s="37">
      <c r="A112" s="75" t="inlineStr">
        <is>
          <t>팔용동 힐스테이트아티움시티</t>
        </is>
      </c>
      <c r="B112" s="76" t="inlineStr">
        <is>
          <t>20.05.</t>
        </is>
      </c>
      <c r="C112" s="130" t="n">
        <v>1132</v>
      </c>
      <c r="D112" s="131" t="n">
        <v>114.3</v>
      </c>
      <c r="E112" s="132" t="n">
        <v>35</v>
      </c>
      <c r="F112" s="131" t="n">
        <v>84.59999999999999</v>
      </c>
      <c r="G112" s="17" t="n">
        <v>26</v>
      </c>
      <c r="H112" s="133" t="n">
        <v>378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2</v>
      </c>
      <c r="S112" s="121" t="inlineStr">
        <is>
          <t>계</t>
        </is>
      </c>
      <c r="T112" s="5" t="inlineStr">
        <is>
          <t>114C</t>
        </is>
      </c>
      <c r="U112" s="9" t="n"/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12">
    <sortState ref="A4:U11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8582" operator="greaterThan" dxfId="17">
      <formula>0.9</formula>
    </cfRule>
    <cfRule type="cellIs" priority="38583" operator="greaterThan" dxfId="16">
      <formula>0.85</formula>
    </cfRule>
  </conditionalFormatting>
  <conditionalFormatting sqref="N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4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4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4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4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4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4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4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4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4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4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5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5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5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5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5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5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5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6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6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6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6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6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6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66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6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6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6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7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7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7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7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7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7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7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7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7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8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8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8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8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8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8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8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8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8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8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9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9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9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9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9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9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9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9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9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0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0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0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0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0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0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0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0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0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1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1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N1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:E112">
    <cfRule type="expression" priority="82708" dxfId="3">
      <formula>AND(IF(OR($Q4=1,$Q4=2),1,0),IF(#REF!&lt;=20,1,0))</formula>
    </cfRule>
    <cfRule type="expression" priority="82709" dxfId="2">
      <formula>AND(IF($Q4=2,1,0),IF(#REF!&lt;30,1,0))</formula>
    </cfRule>
    <cfRule type="expression" priority="82710" dxfId="1">
      <formula>AND(IF($Q4=3,1,0),IF(#REF!&lt;30,1,0))</formula>
    </cfRule>
    <cfRule type="expression" priority="8271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3" sqref="E13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1"/>
    <col width="17.5" customWidth="1" style="120" min="52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중동</t>
        </is>
      </c>
      <c r="E4" s="120" t="inlineStr">
        <is>
          <t>팔용동</t>
        </is>
      </c>
      <c r="F4" s="120" t="inlineStr">
        <is>
          <t>명서동</t>
        </is>
      </c>
      <c r="G4" s="120" t="inlineStr">
        <is>
          <t>북면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24">
      <c r="A8" s="143" t="n">
        <v>8</v>
      </c>
      <c r="B8" s="57" t="inlineStr">
        <is>
          <t>~</t>
        </is>
      </c>
      <c r="C8" s="144" t="n"/>
      <c r="D8" s="58" t="inlineStr">
        <is>
          <t>창원중동유니시티1단지(35평/8.5)_x000D_
창원중동유니시티2단지(36평/8.0)</t>
        </is>
      </c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60" customHeight="1" s="124">
      <c r="A9" s="145" t="n">
        <v>7</v>
      </c>
      <c r="B9" s="59" t="inlineStr">
        <is>
          <t>~</t>
        </is>
      </c>
      <c r="C9" s="146" t="n">
        <v>8</v>
      </c>
      <c r="D9" s="58" t="inlineStr">
        <is>
          <t>창원중동유니시티4단지(35평/7.9)_x000D_
창원중동유니시티3단지(36평/7.7)_x000D_
창원중동유니시티3단지(31평/7.5)_x000D_
창원중동유니시티1단지(30평/7.2)_x000D_
창원중동유니시티2단지(31평/7.2)</t>
        </is>
      </c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24">
      <c r="A10" s="147" t="n">
        <v>6</v>
      </c>
      <c r="B10" s="55" t="inlineStr">
        <is>
          <t>~</t>
        </is>
      </c>
      <c r="C10" s="148" t="n">
        <v>7</v>
      </c>
      <c r="D10" s="56" t="inlineStr">
        <is>
          <t>창원중동유니시티3단지(25평/6.7)_x000D_
창원중동유니시티4단지(25평/6.6)_x000D_
창원중동유니시티4단지(30평/6.1)</t>
        </is>
      </c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4">
      <c r="A11" s="147" t="n">
        <v>5</v>
      </c>
      <c r="B11" s="55" t="inlineStr">
        <is>
          <t>~</t>
        </is>
      </c>
      <c r="C11" s="148" t="n">
        <v>6</v>
      </c>
      <c r="D11" s="56" t="inlineStr">
        <is>
          <t>창원중동유니시티1단지(25평/5.8)_x000D_
창원중동유니시티2단지(26평/5.7)</t>
        </is>
      </c>
      <c r="E11" s="56" t="n"/>
      <c r="F11" s="56" t="inlineStr">
        <is>
          <t>두산위브(34평/5.3)</t>
        </is>
      </c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4" customHeight="1" s="124">
      <c r="A12" s="147" t="n">
        <v>4</v>
      </c>
      <c r="B12" s="55" t="inlineStr">
        <is>
          <t>~</t>
        </is>
      </c>
      <c r="C12" s="148" t="n">
        <v>5</v>
      </c>
      <c r="D12" s="56" t="n"/>
      <c r="E12" s="56" t="inlineStr">
        <is>
          <t>팔용벽산블루밍A단지(32평/4.7)_x000D_
벽산블루밍B단지(33평/4.2)</t>
        </is>
      </c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4">
      <c r="A13" s="149" t="n">
        <v>3</v>
      </c>
      <c r="B13" s="60" t="inlineStr">
        <is>
          <t>~</t>
        </is>
      </c>
      <c r="C13" s="150" t="n">
        <v>4</v>
      </c>
      <c r="D13" s="61" t="n"/>
      <c r="E13" s="61" t="inlineStr">
        <is>
          <t>벽산블루밍C단지(32평/3.3)_x000D_
극동(32평/3.2)_x000D_
벽산블루밍C단지(29평/3.1)_x000D_
벽산블루밍B단지(24평/3.0)_x000D_
벽산블루밍C단지(24평/3.0)</t>
        </is>
      </c>
      <c r="F13" s="61" t="n"/>
      <c r="G13" s="61" t="inlineStr">
        <is>
          <t>창원감계아내에코프리미엄2차(34평/3.7)_x000D_
창원감계푸르지오(34평/3.5)_x000D_
창원감계힐스테이트4차(33평/3.4)_x000D_
창원감계힐스테이트4차(35평/3.3)_x000D_
창원감계힐스테이트3차(35평/3.3)_x000D_
창원감계힐스테이트1차(29평/3.2)_x000D_
창원감계아내에코프리미엄2차(30평/3.2)_x000D_
창원감계힐스테이트2차(29평/3.1)_x000D_
창원감계아내에코프리미엄(34평/3.0)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24">
      <c r="A14" s="149" t="n">
        <v>2.5</v>
      </c>
      <c r="B14" s="60" t="inlineStr">
        <is>
          <t>~</t>
        </is>
      </c>
      <c r="C14" s="150" t="n">
        <v>3</v>
      </c>
      <c r="D14" s="61" t="n"/>
      <c r="E14" s="61" t="inlineStr">
        <is>
          <t>팔용벽산블루밍A단지(24평/2.8)_x000D_
대동중앙(21평/2.7)</t>
        </is>
      </c>
      <c r="F14" s="61" t="n"/>
      <c r="G14" s="61" t="inlineStr">
        <is>
          <t>창원무동센텀파라디아(34평/3.0)_x000D_
창원감계힐스테이트1차(35평/2.9)_x000D_
창원무동지구휴먼빌3단지(35평/2.8)_x000D_
감계휴먼빌(35평/2.8)_x000D_
창원감계아내에코프리미엄2차(26평/2.7)_x000D_
창원무동센텀파라디아(30평/2.6)_x000D_
창원감계힐스테이트2차(26평/2.5)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4">
      <c r="A15" s="149" t="n">
        <v>2</v>
      </c>
      <c r="B15" s="60" t="inlineStr">
        <is>
          <t>~</t>
        </is>
      </c>
      <c r="C15" s="150" t="n">
        <v>2.5</v>
      </c>
      <c r="D15" s="61" t="n"/>
      <c r="E15" s="61" t="inlineStr">
        <is>
          <t>극동(26평/2.2)</t>
        </is>
      </c>
      <c r="F15" s="61" t="n"/>
      <c r="G15" s="61" t="inlineStr">
        <is>
          <t>감계휴먼빌(25평/2.4)_x000D_
창원무동휴먼빌2단지(34평/2.3)_x000D_
창원감계힐스테이트4차(26평/2.3)_x000D_
창원감계푸르지오(26평/2.3)_x000D_
창원무동휴먼빌1단지(34평/2.2)_x000D_
창원무동STX칸1차(34평/2.2)_x000D_
창원무동센텀파라디아(25평/2.0)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24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inlineStr">
        <is>
          <t>극동(22평/1.8)</t>
        </is>
      </c>
      <c r="F16" s="63" t="n"/>
      <c r="G16" s="63" t="inlineStr">
        <is>
          <t>창원무동지구휴먼빌3단지(25평/2.0)_x000D_
창원무동휴먼빌1단지(24평/1.9)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48" customHeight="1" s="124">
      <c r="A21" s="143">
        <f>IF(A8="","",A8)</f>
        <v/>
      </c>
      <c r="B21" s="57">
        <f>IF(B8="","",B8)</f>
        <v/>
      </c>
      <c r="C21" s="144">
        <f>IF(C8="","",C8)</f>
        <v/>
      </c>
      <c r="D21" s="58" t="inlineStr">
        <is>
          <t>창원중동유니시티1단지('19/8.5)_x000D_
창원중동유니시티2단지('19/8.0)</t>
        </is>
      </c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48" customHeight="1" s="124">
      <c r="A22" s="145">
        <f>IF(A9="","",A9)</f>
        <v/>
      </c>
      <c r="B22" s="59">
        <f>IF(B9="","",B9)</f>
        <v/>
      </c>
      <c r="C22" s="146">
        <f>IF(C9="","",C9)</f>
        <v/>
      </c>
      <c r="D22" s="58" t="inlineStr">
        <is>
          <t>창원중동유니시티4단지('19/7.9)_x000D_
창원중동유니시티3단지('19/7.7)_x000D_
창원중동유니시티3단지('19/7.5)_x000D_
창원중동유니시티1단지('19/7.2)_x000D_
창원중동유니시티2단지('19/7.2)</t>
        </is>
      </c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inlineStr">
        <is>
          <t>창원중동유니시티4단지('19/6.1)</t>
        </is>
      </c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n"/>
      <c r="E24" s="56" t="n"/>
      <c r="F24" s="56" t="inlineStr">
        <is>
          <t>두산위브('10/5.3)</t>
        </is>
      </c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24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n"/>
      <c r="E25" s="56" t="inlineStr">
        <is>
          <t>팔용벽산블루밍A단지('00/4.7)_x000D_
벽산블루밍B단지('99/4.2)</t>
        </is>
      </c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96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n"/>
      <c r="E26" s="61" t="inlineStr">
        <is>
          <t>벽산블루밍C단지('99/3.3)_x000D_
극동('94/3.2)</t>
        </is>
      </c>
      <c r="F26" s="61" t="n"/>
      <c r="G26" s="61" t="inlineStr">
        <is>
          <t>창원감계아내에코프리미엄2차('19/3.7)_x000D_
창원감계푸르지오('17/3.5)_x000D_
창원감계힐스테이트4차('17/3.4)_x000D_
창원감계힐스테이트4차('17/3.3)_x000D_
창원감계힐스테이트3차('14/3.3)_x000D_
창원감계아내에코프리미엄2차('19/3.2)_x000D_
창원감계아내에코프리미엄('14/3.0)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4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n"/>
      <c r="F27" s="61" t="n"/>
      <c r="G27" s="61" t="inlineStr">
        <is>
          <t>창원무동센텀파라디아('18/3.0)_x000D_
창원감계힐스테이트1차('14/2.9)_x000D_
창원무동지구휴먼빌3단지('14/2.8)_x000D_
감계휴먼빌('14/2.8)_x000D_
창원무동센텀파라디아('18/2.6)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36" customHeight="1" s="124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n"/>
      <c r="G28" s="61" t="inlineStr">
        <is>
          <t>창원무동휴먼빌2단지('13/2.3)_x000D_
창원무동휴먼빌1단지('13/2.2)_x000D_
창원무동STX칸1차('15/2.2)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24">
      <c r="A36" s="147">
        <f>IF(A23="","",A23)</f>
        <v/>
      </c>
      <c r="B36" s="55">
        <f>IF(B23="","",B23)</f>
        <v/>
      </c>
      <c r="C36" s="148">
        <f>IF(C23="","",C23)</f>
        <v/>
      </c>
      <c r="D36" s="56" t="inlineStr">
        <is>
          <t>창원중동유니시티3단지('19/6.7)_x000D_
창원중동유니시티4단지('19/6.6)</t>
        </is>
      </c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24">
      <c r="A37" s="147">
        <f>IF(A24="","",A24)</f>
        <v/>
      </c>
      <c r="B37" s="55">
        <f>IF(B24="","",B24)</f>
        <v/>
      </c>
      <c r="C37" s="148">
        <f>IF(C24="","",C24)</f>
        <v/>
      </c>
      <c r="D37" s="56" t="inlineStr">
        <is>
          <t>창원중동유니시티1단지('19/5.8)_x000D_
창원중동유니시티2단지('19/5.7)</t>
        </is>
      </c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36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inlineStr">
        <is>
          <t>벽산블루밍C단지('99/3.1)_x000D_
벽산블루밍B단지('99/3.0)_x000D_
벽산블루밍C단지('99/3.0)</t>
        </is>
      </c>
      <c r="F39" s="61" t="n"/>
      <c r="G39" s="61" t="inlineStr">
        <is>
          <t>창원감계힐스테이트1차('14/3.2)_x000D_
창원감계힐스테이트2차('17/3.1)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팔용벽산블루밍A단지('00/2.8)_x000D_
대동중앙('93/2.7)</t>
        </is>
      </c>
      <c r="F40" s="61" t="n"/>
      <c r="G40" s="61" t="inlineStr">
        <is>
          <t>창원감계아내에코프리미엄2차('19/2.7)_x000D_
창원감계힐스테이트2차('17/2.5)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24" customHeight="1" s="124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inlineStr">
        <is>
          <t>극동('94/2.2)</t>
        </is>
      </c>
      <c r="F41" s="61" t="n"/>
      <c r="G41" s="61" t="inlineStr">
        <is>
          <t>감계휴먼빌('14/2.4)_x000D_
창원감계힐스테이트4차('17/2.3)_x000D_
창원감계푸르지오('17/2.3)_x000D_
창원무동센텀파라디아('18/2.0)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24" customHeight="1" s="124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n"/>
      <c r="G42" s="63" t="inlineStr">
        <is>
          <t>창원무동지구휴먼빌3단지('14/2.0)_x000D_
창원무동휴먼빌1단지('13/1.9)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inlineStr">
        <is>
          <t>극동('94/1.8)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I582"/>
  <sheetViews>
    <sheetView zoomScaleNormal="100" workbookViewId="0">
      <selection activeCell="K18" sqref="K18"/>
    </sheetView>
  </sheetViews>
  <sheetFormatPr baseColWidth="8" defaultRowHeight="16.5"/>
  <sheetData>
    <row r="1">
      <c r="A1" s="0" t="inlineStr">
        <is>
          <t>[대산면]</t>
        </is>
      </c>
      <c r="B1" s="0" t="n">
        <v>15738</v>
      </c>
      <c r="C1" s="0" t="n">
        <v>1</v>
      </c>
      <c r="D1" s="0" t="inlineStr">
        <is>
          <t>해강그린</t>
        </is>
      </c>
      <c r="E1" s="0" t="inlineStr">
        <is>
          <t>1994.08.</t>
        </is>
      </c>
      <c r="F1" s="0" t="n">
        <v>120</v>
      </c>
      <c r="G1" s="0" t="n">
        <v>21.32</v>
      </c>
      <c r="H1" s="0" t="n">
        <v>70.5</v>
      </c>
      <c r="I1" s="0" t="n">
        <v>17.31</v>
      </c>
      <c r="J1" s="0" t="n">
        <v>57.24</v>
      </c>
      <c r="K1" s="0" t="n">
        <v>15</v>
      </c>
      <c r="T1" s="0" t="n">
        <v>3</v>
      </c>
      <c r="U1" s="0" t="n">
        <v>1</v>
      </c>
      <c r="V1" s="0" t="inlineStr">
        <is>
          <t>계단식</t>
        </is>
      </c>
      <c r="W1" s="0" t="inlineStr">
        <is>
          <t>70A</t>
        </is>
      </c>
      <c r="X1" s="0" t="n">
        <v>15</v>
      </c>
      <c r="Y1" s="0" t="n">
        <v>15</v>
      </c>
      <c r="Z1" s="0" t="inlineStr">
        <is>
          <t>https://new.land.naver.com/complexes/15738?tab=detail&amp;rf=Y</t>
        </is>
      </c>
      <c r="AA1" s="0" t="inlineStr">
        <is>
          <t>경상남도 창원시 의창구 대산면 가술리 108-1</t>
        </is>
      </c>
      <c r="AB1" s="0" t="inlineStr">
        <is>
          <t>경상남도</t>
        </is>
      </c>
      <c r="AC1" s="0" t="inlineStr">
        <is>
          <t>창원시</t>
        </is>
      </c>
      <c r="AD1" s="0" t="inlineStr">
        <is>
          <t>의창구</t>
        </is>
      </c>
      <c r="AE1" s="0" t="inlineStr">
        <is>
          <t>대산면</t>
        </is>
      </c>
      <c r="AG1" s="0" t="inlineStr">
        <is>
          <t>경상남도 창원시 의창구 진산대로 437</t>
        </is>
      </c>
      <c r="AH1" s="0" t="n">
        <v>0</v>
      </c>
      <c r="AI1" s="0" t="n">
        <v>236</v>
      </c>
    </row>
    <row r="2">
      <c r="A2" s="0" t="inlineStr">
        <is>
          <t>[대산면]</t>
        </is>
      </c>
      <c r="B2" s="0" t="n">
        <v>15738</v>
      </c>
      <c r="C2" s="0" t="n">
        <v>2</v>
      </c>
      <c r="D2" s="0" t="inlineStr">
        <is>
          <t>해강그린</t>
        </is>
      </c>
      <c r="E2" s="0" t="inlineStr">
        <is>
          <t>1994.08.</t>
        </is>
      </c>
      <c r="F2" s="0" t="n">
        <v>120</v>
      </c>
      <c r="G2" s="0" t="n">
        <v>21.6</v>
      </c>
      <c r="H2" s="0" t="n">
        <v>71.41</v>
      </c>
      <c r="I2" s="0" t="n">
        <v>17.53</v>
      </c>
      <c r="J2" s="0" t="n">
        <v>57.98</v>
      </c>
      <c r="K2" s="0" t="n">
        <v>15</v>
      </c>
      <c r="T2" s="0" t="n">
        <v>2</v>
      </c>
      <c r="U2" s="0" t="n">
        <v>1</v>
      </c>
      <c r="V2" s="0" t="inlineStr">
        <is>
          <t>계단식</t>
        </is>
      </c>
      <c r="W2" s="0" t="inlineStr">
        <is>
          <t>71B</t>
        </is>
      </c>
      <c r="X2" s="0" t="n">
        <v>15</v>
      </c>
      <c r="Y2" s="0" t="n">
        <v>15</v>
      </c>
      <c r="Z2" s="0" t="inlineStr">
        <is>
          <t>https://new.land.naver.com/complexes/15738?tab=detail&amp;rf=Y</t>
        </is>
      </c>
      <c r="AA2" s="0" t="inlineStr">
        <is>
          <t>경상남도 창원시 의창구 대산면 가술리 108-1</t>
        </is>
      </c>
      <c r="AB2" s="0" t="inlineStr">
        <is>
          <t>경상남도</t>
        </is>
      </c>
      <c r="AC2" s="0" t="inlineStr">
        <is>
          <t>창원시</t>
        </is>
      </c>
      <c r="AD2" s="0" t="inlineStr">
        <is>
          <t>의창구</t>
        </is>
      </c>
      <c r="AE2" s="0" t="inlineStr">
        <is>
          <t>대산면</t>
        </is>
      </c>
      <c r="AG2" s="0" t="inlineStr">
        <is>
          <t>경상남도 창원시 의창구 진산대로 437</t>
        </is>
      </c>
      <c r="AH2" s="0" t="n">
        <v>0</v>
      </c>
      <c r="AI2" s="0" t="n">
        <v>236</v>
      </c>
    </row>
    <row r="3">
      <c r="A3" s="0" t="inlineStr">
        <is>
          <t>[대산면]</t>
        </is>
      </c>
      <c r="B3" s="0" t="n">
        <v>15738</v>
      </c>
      <c r="C3" s="0" t="n">
        <v>3</v>
      </c>
      <c r="D3" s="0" t="inlineStr">
        <is>
          <t>해강그린</t>
        </is>
      </c>
      <c r="E3" s="0" t="inlineStr">
        <is>
          <t>1994.08.</t>
        </is>
      </c>
      <c r="F3" s="0" t="n">
        <v>120</v>
      </c>
      <c r="G3" s="0" t="n">
        <v>21.72</v>
      </c>
      <c r="H3" s="0" t="n">
        <v>71.83</v>
      </c>
      <c r="I3" s="0" t="n">
        <v>17.64</v>
      </c>
      <c r="J3" s="0" t="n">
        <v>58.32</v>
      </c>
      <c r="K3" s="0" t="n">
        <v>14</v>
      </c>
      <c r="T3" s="0" t="n">
        <v>3</v>
      </c>
      <c r="U3" s="0" t="n">
        <v>1</v>
      </c>
      <c r="V3" s="0" t="inlineStr">
        <is>
          <t>계단식</t>
        </is>
      </c>
      <c r="W3" s="0" t="inlineStr">
        <is>
          <t>71D</t>
        </is>
      </c>
      <c r="X3" s="0" t="n">
        <v>15</v>
      </c>
      <c r="Y3" s="0" t="n">
        <v>15</v>
      </c>
      <c r="Z3" s="0" t="inlineStr">
        <is>
          <t>https://new.land.naver.com/complexes/15738?tab=detail&amp;rf=Y</t>
        </is>
      </c>
      <c r="AA3" s="0" t="inlineStr">
        <is>
          <t>경상남도 창원시 의창구 대산면 가술리 108-1</t>
        </is>
      </c>
      <c r="AB3" s="0" t="inlineStr">
        <is>
          <t>경상남도</t>
        </is>
      </c>
      <c r="AC3" s="0" t="inlineStr">
        <is>
          <t>창원시</t>
        </is>
      </c>
      <c r="AD3" s="0" t="inlineStr">
        <is>
          <t>의창구</t>
        </is>
      </c>
      <c r="AE3" s="0" t="inlineStr">
        <is>
          <t>대산면</t>
        </is>
      </c>
      <c r="AG3" s="0" t="inlineStr">
        <is>
          <t>경상남도 창원시 의창구 진산대로 437</t>
        </is>
      </c>
      <c r="AH3" s="0" t="n">
        <v>0</v>
      </c>
      <c r="AI3" s="0" t="n">
        <v>236</v>
      </c>
    </row>
    <row r="4">
      <c r="A4" s="0" t="inlineStr">
        <is>
          <t>[대산면]</t>
        </is>
      </c>
      <c r="B4" s="0" t="n">
        <v>15738</v>
      </c>
      <c r="C4" s="0" t="n">
        <v>4</v>
      </c>
      <c r="D4" s="0" t="inlineStr">
        <is>
          <t>해강그린</t>
        </is>
      </c>
      <c r="E4" s="0" t="inlineStr">
        <is>
          <t>1994.08.</t>
        </is>
      </c>
      <c r="F4" s="0" t="n">
        <v>120</v>
      </c>
      <c r="G4" s="0" t="n">
        <v>21.72</v>
      </c>
      <c r="H4" s="0" t="n">
        <v>71.81999999999999</v>
      </c>
      <c r="I4" s="0" t="n">
        <v>17.64</v>
      </c>
      <c r="J4" s="0" t="n">
        <v>58.32</v>
      </c>
      <c r="K4" s="0" t="n">
        <v>1</v>
      </c>
      <c r="T4" s="0" t="n">
        <v>3</v>
      </c>
      <c r="U4" s="0" t="n">
        <v>1</v>
      </c>
      <c r="V4" s="0" t="inlineStr">
        <is>
          <t>계단식</t>
        </is>
      </c>
      <c r="W4" s="0" t="inlineStr">
        <is>
          <t>71C</t>
        </is>
      </c>
      <c r="X4" s="0" t="n">
        <v>15</v>
      </c>
      <c r="Y4" s="0" t="n">
        <v>15</v>
      </c>
      <c r="Z4" s="0" t="inlineStr">
        <is>
          <t>https://new.land.naver.com/complexes/15738?tab=detail&amp;rf=Y</t>
        </is>
      </c>
      <c r="AA4" s="0" t="inlineStr">
        <is>
          <t>경상남도 창원시 의창구 대산면 가술리 108-1</t>
        </is>
      </c>
      <c r="AB4" s="0" t="inlineStr">
        <is>
          <t>경상남도</t>
        </is>
      </c>
      <c r="AC4" s="0" t="inlineStr">
        <is>
          <t>창원시</t>
        </is>
      </c>
      <c r="AD4" s="0" t="inlineStr">
        <is>
          <t>의창구</t>
        </is>
      </c>
      <c r="AE4" s="0" t="inlineStr">
        <is>
          <t>대산면</t>
        </is>
      </c>
      <c r="AG4" s="0" t="inlineStr">
        <is>
          <t>경상남도 창원시 의창구 진산대로 437</t>
        </is>
      </c>
      <c r="AH4" s="0" t="n">
        <v>0</v>
      </c>
      <c r="AI4" s="0" t="n">
        <v>236</v>
      </c>
    </row>
    <row r="5">
      <c r="A5" s="0" t="inlineStr">
        <is>
          <t>[대산면]</t>
        </is>
      </c>
      <c r="B5" s="0" t="n">
        <v>15738</v>
      </c>
      <c r="C5" s="0" t="n">
        <v>5</v>
      </c>
      <c r="D5" s="0" t="inlineStr">
        <is>
          <t>해강그린</t>
        </is>
      </c>
      <c r="E5" s="0" t="inlineStr">
        <is>
          <t>1994.08.</t>
        </is>
      </c>
      <c r="F5" s="0" t="n">
        <v>120</v>
      </c>
      <c r="G5" s="0" t="n">
        <v>31.13</v>
      </c>
      <c r="H5" s="0" t="n">
        <v>102.94</v>
      </c>
      <c r="I5" s="0" t="n">
        <v>25.28</v>
      </c>
      <c r="J5" s="0" t="n">
        <v>83.58</v>
      </c>
      <c r="K5" s="0" t="n">
        <v>15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102A</t>
        </is>
      </c>
      <c r="X5" s="0" t="n">
        <v>15</v>
      </c>
      <c r="Y5" s="0" t="n">
        <v>15</v>
      </c>
      <c r="Z5" s="0" t="inlineStr">
        <is>
          <t>https://new.land.naver.com/complexes/15738?tab=detail&amp;rf=Y</t>
        </is>
      </c>
      <c r="AA5" s="0" t="inlineStr">
        <is>
          <t>경상남도 창원시 의창구 대산면 가술리 108-1</t>
        </is>
      </c>
      <c r="AB5" s="0" t="inlineStr">
        <is>
          <t>경상남도</t>
        </is>
      </c>
      <c r="AC5" s="0" t="inlineStr">
        <is>
          <t>창원시</t>
        </is>
      </c>
      <c r="AD5" s="0" t="inlineStr">
        <is>
          <t>의창구</t>
        </is>
      </c>
      <c r="AE5" s="0" t="inlineStr">
        <is>
          <t>대산면</t>
        </is>
      </c>
      <c r="AG5" s="0" t="inlineStr">
        <is>
          <t>경상남도 창원시 의창구 진산대로 437</t>
        </is>
      </c>
      <c r="AH5" s="0" t="n">
        <v>0</v>
      </c>
      <c r="AI5" s="0" t="n">
        <v>236</v>
      </c>
    </row>
    <row r="6">
      <c r="A6" s="0" t="inlineStr">
        <is>
          <t>[대산면]</t>
        </is>
      </c>
      <c r="B6" s="0" t="n">
        <v>15738</v>
      </c>
      <c r="C6" s="0" t="n">
        <v>6</v>
      </c>
      <c r="D6" s="0" t="inlineStr">
        <is>
          <t>해강그린</t>
        </is>
      </c>
      <c r="E6" s="0" t="inlineStr">
        <is>
          <t>1994.08.</t>
        </is>
      </c>
      <c r="F6" s="0" t="n">
        <v>120</v>
      </c>
      <c r="G6" s="0" t="n">
        <v>31.42</v>
      </c>
      <c r="H6" s="0" t="n">
        <v>103.9</v>
      </c>
      <c r="I6" s="0" t="n">
        <v>25.51</v>
      </c>
      <c r="J6" s="0" t="n">
        <v>84.36</v>
      </c>
      <c r="K6" s="0" t="n">
        <v>60</v>
      </c>
      <c r="T6" s="0" t="n">
        <v>3</v>
      </c>
      <c r="U6" s="0" t="n">
        <v>1</v>
      </c>
      <c r="V6" s="0" t="inlineStr">
        <is>
          <t>계단식</t>
        </is>
      </c>
      <c r="W6" s="0" t="inlineStr">
        <is>
          <t>103B</t>
        </is>
      </c>
      <c r="X6" s="0" t="n">
        <v>15</v>
      </c>
      <c r="Y6" s="0" t="n">
        <v>15</v>
      </c>
      <c r="Z6" s="0" t="inlineStr">
        <is>
          <t>https://new.land.naver.com/complexes/15738?tab=detail&amp;rf=Y</t>
        </is>
      </c>
      <c r="AA6" s="0" t="inlineStr">
        <is>
          <t>경상남도 창원시 의창구 대산면 가술리 108-1</t>
        </is>
      </c>
      <c r="AB6" s="0" t="inlineStr">
        <is>
          <t>경상남도</t>
        </is>
      </c>
      <c r="AC6" s="0" t="inlineStr">
        <is>
          <t>창원시</t>
        </is>
      </c>
      <c r="AD6" s="0" t="inlineStr">
        <is>
          <t>의창구</t>
        </is>
      </c>
      <c r="AE6" s="0" t="inlineStr">
        <is>
          <t>대산면</t>
        </is>
      </c>
      <c r="AG6" s="0" t="inlineStr">
        <is>
          <t>경상남도 창원시 의창구 진산대로 437</t>
        </is>
      </c>
      <c r="AH6" s="0" t="n">
        <v>0</v>
      </c>
      <c r="AI6" s="0" t="n">
        <v>236</v>
      </c>
    </row>
    <row r="7">
      <c r="A7" s="0" t="inlineStr">
        <is>
          <t>[도계동]</t>
        </is>
      </c>
      <c r="B7" s="0" t="n">
        <v>15750</v>
      </c>
      <c r="C7" s="0" t="n">
        <v>1</v>
      </c>
      <c r="D7" s="0" t="inlineStr">
        <is>
          <t>한효로얄코아</t>
        </is>
      </c>
      <c r="E7" s="0" t="inlineStr">
        <is>
          <t>1992.08.</t>
        </is>
      </c>
      <c r="F7" s="0" t="n">
        <v>102</v>
      </c>
      <c r="G7" s="0" t="n">
        <v>19.31</v>
      </c>
      <c r="H7" s="0" t="n">
        <v>63.85</v>
      </c>
      <c r="I7" s="0" t="n">
        <v>14.95</v>
      </c>
      <c r="J7" s="0" t="n">
        <v>49.44</v>
      </c>
      <c r="K7" s="0" t="n">
        <v>102</v>
      </c>
      <c r="T7" s="0" t="n">
        <v>2</v>
      </c>
      <c r="U7" s="0" t="n">
        <v>1</v>
      </c>
      <c r="V7" s="0" t="inlineStr">
        <is>
          <t>복도식</t>
        </is>
      </c>
      <c r="W7" s="0" t="n">
        <v>63</v>
      </c>
      <c r="X7" s="0" t="n">
        <v>15</v>
      </c>
      <c r="Y7" s="0" t="n">
        <v>12</v>
      </c>
      <c r="Z7" s="0" t="inlineStr">
        <is>
          <t>https://new.land.naver.com/complexes/15750?tab=detail&amp;rf=Y</t>
        </is>
      </c>
      <c r="AA7" s="0" t="inlineStr">
        <is>
          <t>경상남도 창원시 의창구 도계동 328-1</t>
        </is>
      </c>
      <c r="AB7" s="0" t="inlineStr">
        <is>
          <t>경상남도</t>
        </is>
      </c>
      <c r="AC7" s="0" t="inlineStr">
        <is>
          <t>창원시</t>
        </is>
      </c>
      <c r="AD7" s="0" t="inlineStr">
        <is>
          <t>의창구</t>
        </is>
      </c>
      <c r="AE7" s="0" t="inlineStr">
        <is>
          <t>도계동</t>
        </is>
      </c>
      <c r="AG7" s="0" t="inlineStr">
        <is>
          <t>경상남도 창원시 의창구 도계로50번길 6-18</t>
        </is>
      </c>
      <c r="AH7" s="0" t="n">
        <v>0</v>
      </c>
      <c r="AI7" s="0" t="n">
        <v>0</v>
      </c>
    </row>
    <row r="8">
      <c r="A8" s="0" t="inlineStr">
        <is>
          <t>[도계동]</t>
        </is>
      </c>
      <c r="B8" s="0" t="n">
        <v>142640</v>
      </c>
      <c r="C8" s="0" t="n">
        <v>1</v>
      </c>
      <c r="D8" s="0" t="inlineStr">
        <is>
          <t>장미</t>
        </is>
      </c>
      <c r="E8" s="0" t="inlineStr">
        <is>
          <t>1997.12.</t>
        </is>
      </c>
      <c r="F8" s="0" t="n">
        <v>38</v>
      </c>
      <c r="G8" s="0" t="n">
        <v>13.91</v>
      </c>
      <c r="H8" s="0" t="n">
        <v>46.01</v>
      </c>
      <c r="I8" s="0" t="n">
        <v>9.66</v>
      </c>
      <c r="J8" s="0" t="n">
        <v>31.95</v>
      </c>
      <c r="K8" s="0" t="n">
        <v>2</v>
      </c>
      <c r="T8" s="0" t="n">
        <v>2</v>
      </c>
      <c r="U8" s="0" t="n">
        <v>1</v>
      </c>
      <c r="V8" s="0" t="inlineStr">
        <is>
          <t>계단식</t>
        </is>
      </c>
      <c r="W8" s="0" t="n">
        <v>46</v>
      </c>
      <c r="X8" s="0" t="n">
        <v>9</v>
      </c>
      <c r="Y8" s="0" t="n">
        <v>8</v>
      </c>
      <c r="Z8" s="0" t="inlineStr">
        <is>
          <t>https://new.land.naver.com/complexes/142640?tab=detail&amp;rf=Y</t>
        </is>
      </c>
      <c r="AA8" s="0" t="inlineStr">
        <is>
          <t>경상남도 창원시 의창구 도계동 313-15</t>
        </is>
      </c>
      <c r="AB8" s="0" t="inlineStr">
        <is>
          <t>경상남도</t>
        </is>
      </c>
      <c r="AC8" s="0" t="inlineStr">
        <is>
          <t>창원시</t>
        </is>
      </c>
      <c r="AD8" s="0" t="inlineStr">
        <is>
          <t>의창구</t>
        </is>
      </c>
      <c r="AE8" s="0" t="inlineStr">
        <is>
          <t>도계동</t>
        </is>
      </c>
      <c r="AG8" s="0" t="inlineStr">
        <is>
          <t>경상남도 창원시 의창구 하남천서길15번길 20</t>
        </is>
      </c>
      <c r="AH8" s="0" t="n">
        <v>0</v>
      </c>
      <c r="AI8" s="0" t="n">
        <v>261</v>
      </c>
    </row>
    <row r="9">
      <c r="A9" s="0" t="inlineStr">
        <is>
          <t>[도계동]</t>
        </is>
      </c>
      <c r="B9" s="0" t="n">
        <v>142640</v>
      </c>
      <c r="C9" s="0" t="n">
        <v>2</v>
      </c>
      <c r="D9" s="0" t="inlineStr">
        <is>
          <t>장미</t>
        </is>
      </c>
      <c r="E9" s="0" t="inlineStr">
        <is>
          <t>1997.12.</t>
        </is>
      </c>
      <c r="F9" s="0" t="n">
        <v>38</v>
      </c>
      <c r="G9" s="0" t="n">
        <v>22.26</v>
      </c>
      <c r="H9" s="0" t="n">
        <v>73.61</v>
      </c>
      <c r="I9" s="0" t="n">
        <v>14.88</v>
      </c>
      <c r="J9" s="0" t="n">
        <v>49.2</v>
      </c>
      <c r="K9" s="0" t="n">
        <v>3</v>
      </c>
      <c r="T9" s="0" t="n">
        <v>2</v>
      </c>
      <c r="U9" s="0" t="n">
        <v>1</v>
      </c>
      <c r="V9" s="0" t="inlineStr">
        <is>
          <t>계단식</t>
        </is>
      </c>
      <c r="W9" s="0" t="n">
        <v>73</v>
      </c>
      <c r="X9" s="0" t="n">
        <v>9</v>
      </c>
      <c r="Y9" s="0" t="n">
        <v>8</v>
      </c>
      <c r="Z9" s="0" t="inlineStr">
        <is>
          <t>https://new.land.naver.com/complexes/142640?tab=detail&amp;rf=Y</t>
        </is>
      </c>
      <c r="AA9" s="0" t="inlineStr">
        <is>
          <t>경상남도 창원시 의창구 도계동 313-15</t>
        </is>
      </c>
      <c r="AB9" s="0" t="inlineStr">
        <is>
          <t>경상남도</t>
        </is>
      </c>
      <c r="AC9" s="0" t="inlineStr">
        <is>
          <t>창원시</t>
        </is>
      </c>
      <c r="AD9" s="0" t="inlineStr">
        <is>
          <t>의창구</t>
        </is>
      </c>
      <c r="AE9" s="0" t="inlineStr">
        <is>
          <t>도계동</t>
        </is>
      </c>
      <c r="AG9" s="0" t="inlineStr">
        <is>
          <t>경상남도 창원시 의창구 하남천서길15번길 20</t>
        </is>
      </c>
      <c r="AH9" s="0" t="n">
        <v>0</v>
      </c>
      <c r="AI9" s="0" t="n">
        <v>261</v>
      </c>
    </row>
    <row r="10">
      <c r="A10" s="0" t="inlineStr">
        <is>
          <t>[도계동]</t>
        </is>
      </c>
      <c r="B10" s="0" t="n">
        <v>142640</v>
      </c>
      <c r="C10" s="0" t="n">
        <v>3</v>
      </c>
      <c r="D10" s="0" t="inlineStr">
        <is>
          <t>장미</t>
        </is>
      </c>
      <c r="E10" s="0" t="inlineStr">
        <is>
          <t>1997.12.</t>
        </is>
      </c>
      <c r="F10" s="0" t="n">
        <v>38</v>
      </c>
      <c r="G10" s="0" t="n">
        <v>24.31</v>
      </c>
      <c r="H10" s="0" t="n">
        <v>80.39</v>
      </c>
      <c r="I10" s="0" t="n">
        <v>16.87</v>
      </c>
      <c r="J10" s="0" t="n">
        <v>55.8</v>
      </c>
      <c r="K10" s="0" t="n">
        <v>3</v>
      </c>
      <c r="T10" s="0" t="n">
        <v>3</v>
      </c>
      <c r="U10" s="0" t="n">
        <v>1</v>
      </c>
      <c r="V10" s="0" t="inlineStr">
        <is>
          <t>계단식</t>
        </is>
      </c>
      <c r="W10" s="0" t="n">
        <v>80</v>
      </c>
      <c r="X10" s="0" t="n">
        <v>9</v>
      </c>
      <c r="Y10" s="0" t="n">
        <v>8</v>
      </c>
      <c r="Z10" s="0" t="inlineStr">
        <is>
          <t>https://new.land.naver.com/complexes/142640?tab=detail&amp;rf=Y</t>
        </is>
      </c>
      <c r="AA10" s="0" t="inlineStr">
        <is>
          <t>경상남도 창원시 의창구 도계동 313-15</t>
        </is>
      </c>
      <c r="AB10" s="0" t="inlineStr">
        <is>
          <t>경상남도</t>
        </is>
      </c>
      <c r="AC10" s="0" t="inlineStr">
        <is>
          <t>창원시</t>
        </is>
      </c>
      <c r="AD10" s="0" t="inlineStr">
        <is>
          <t>의창구</t>
        </is>
      </c>
      <c r="AE10" s="0" t="inlineStr">
        <is>
          <t>도계동</t>
        </is>
      </c>
      <c r="AG10" s="0" t="inlineStr">
        <is>
          <t>경상남도 창원시 의창구 하남천서길15번길 20</t>
        </is>
      </c>
      <c r="AH10" s="0" t="n">
        <v>0</v>
      </c>
      <c r="AI10" s="0" t="n">
        <v>261</v>
      </c>
    </row>
    <row r="11">
      <c r="A11" s="0" t="inlineStr">
        <is>
          <t>[도계동]</t>
        </is>
      </c>
      <c r="B11" s="0" t="n">
        <v>142640</v>
      </c>
      <c r="C11" s="0" t="n">
        <v>4</v>
      </c>
      <c r="D11" s="0" t="inlineStr">
        <is>
          <t>장미</t>
        </is>
      </c>
      <c r="E11" s="0" t="inlineStr">
        <is>
          <t>1997.12.</t>
        </is>
      </c>
      <c r="F11" s="0" t="n">
        <v>38</v>
      </c>
      <c r="G11" s="0" t="n">
        <v>25.04</v>
      </c>
      <c r="H11" s="0" t="n">
        <v>82.78</v>
      </c>
      <c r="I11" s="0" t="n">
        <v>18.07</v>
      </c>
      <c r="J11" s="0" t="n">
        <v>59.76</v>
      </c>
      <c r="K11" s="0" t="n">
        <v>30</v>
      </c>
      <c r="T11" s="0" t="n">
        <v>3</v>
      </c>
      <c r="U11" s="0" t="n">
        <v>1</v>
      </c>
      <c r="V11" s="0" t="inlineStr">
        <is>
          <t>계단식</t>
        </is>
      </c>
      <c r="W11" s="0" t="n">
        <v>82</v>
      </c>
      <c r="X11" s="0" t="n">
        <v>9</v>
      </c>
      <c r="Y11" s="0" t="n">
        <v>8</v>
      </c>
      <c r="Z11" s="0" t="inlineStr">
        <is>
          <t>https://new.land.naver.com/complexes/142640?tab=detail&amp;rf=Y</t>
        </is>
      </c>
      <c r="AA11" s="0" t="inlineStr">
        <is>
          <t>경상남도 창원시 의창구 도계동 313-15</t>
        </is>
      </c>
      <c r="AB11" s="0" t="inlineStr">
        <is>
          <t>경상남도</t>
        </is>
      </c>
      <c r="AC11" s="0" t="inlineStr">
        <is>
          <t>창원시</t>
        </is>
      </c>
      <c r="AD11" s="0" t="inlineStr">
        <is>
          <t>의창구</t>
        </is>
      </c>
      <c r="AE11" s="0" t="inlineStr">
        <is>
          <t>도계동</t>
        </is>
      </c>
      <c r="AG11" s="0" t="inlineStr">
        <is>
          <t>경상남도 창원시 의창구 하남천서길15번길 20</t>
        </is>
      </c>
      <c r="AH11" s="0" t="n">
        <v>0</v>
      </c>
      <c r="AI11" s="0" t="n">
        <v>261</v>
      </c>
    </row>
    <row r="12">
      <c r="A12" s="0" t="inlineStr">
        <is>
          <t>[도계동]</t>
        </is>
      </c>
      <c r="B12" s="0" t="n">
        <v>16782</v>
      </c>
      <c r="C12" s="0" t="n">
        <v>1</v>
      </c>
      <c r="D12" s="0" t="inlineStr">
        <is>
          <t>건우맨션</t>
        </is>
      </c>
      <c r="E12" s="0" t="inlineStr">
        <is>
          <t>1996.05.</t>
        </is>
      </c>
      <c r="F12" s="0" t="n">
        <v>52</v>
      </c>
      <c r="G12" s="0" t="n">
        <v>22.43</v>
      </c>
      <c r="H12" s="0" t="n">
        <v>74.17</v>
      </c>
      <c r="I12" s="0" t="n">
        <v>17.96</v>
      </c>
      <c r="J12" s="0" t="n">
        <v>59.4</v>
      </c>
      <c r="K12" s="0" t="n">
        <v>26</v>
      </c>
      <c r="T12" s="0" t="n">
        <v>3</v>
      </c>
      <c r="U12" s="0" t="n">
        <v>1</v>
      </c>
      <c r="V12" s="0" t="inlineStr">
        <is>
          <t>복도식</t>
        </is>
      </c>
      <c r="W12" s="0" t="n">
        <v>74</v>
      </c>
      <c r="X12" s="0" t="n">
        <v>10</v>
      </c>
      <c r="Y12" s="0" t="n">
        <v>6</v>
      </c>
      <c r="Z12" s="0" t="inlineStr">
        <is>
          <t>https://new.land.naver.com/complexes/16782?tab=detail&amp;rf=Y</t>
        </is>
      </c>
      <c r="AA12" s="0" t="inlineStr">
        <is>
          <t>경상남도 창원시 의창구 도계동 398-2</t>
        </is>
      </c>
      <c r="AB12" s="0" t="inlineStr">
        <is>
          <t>경상남도</t>
        </is>
      </c>
      <c r="AC12" s="0" t="inlineStr">
        <is>
          <t>창원시</t>
        </is>
      </c>
      <c r="AD12" s="0" t="inlineStr">
        <is>
          <t>의창구</t>
        </is>
      </c>
      <c r="AE12" s="0" t="inlineStr">
        <is>
          <t>도계동</t>
        </is>
      </c>
      <c r="AG12" s="0" t="inlineStr">
        <is>
          <t>경상남도 창원시 의창구 원이대로69번길 30-14</t>
        </is>
      </c>
      <c r="AH12" s="0" t="n">
        <v>0</v>
      </c>
      <c r="AI12" s="0" t="n">
        <v>347</v>
      </c>
    </row>
    <row r="13">
      <c r="A13" s="0" t="inlineStr">
        <is>
          <t>[도계동]</t>
        </is>
      </c>
      <c r="B13" s="0" t="n">
        <v>16782</v>
      </c>
      <c r="C13" s="0" t="n">
        <v>2</v>
      </c>
      <c r="D13" s="0" t="inlineStr">
        <is>
          <t>건우맨션</t>
        </is>
      </c>
      <c r="E13" s="0" t="inlineStr">
        <is>
          <t>1996.05.</t>
        </is>
      </c>
      <c r="F13" s="0" t="n">
        <v>52</v>
      </c>
      <c r="G13" s="0" t="n">
        <v>23.86</v>
      </c>
      <c r="H13" s="0" t="n">
        <v>78.89</v>
      </c>
      <c r="I13" s="0" t="n">
        <v>19.11</v>
      </c>
      <c r="J13" s="0" t="n">
        <v>63.18</v>
      </c>
      <c r="K13" s="0" t="n">
        <v>20</v>
      </c>
      <c r="T13" s="0" t="n">
        <v>3</v>
      </c>
      <c r="U13" s="0" t="n">
        <v>1</v>
      </c>
      <c r="V13" s="0" t="inlineStr">
        <is>
          <t>복도식</t>
        </is>
      </c>
      <c r="W13" s="0" t="n">
        <v>78</v>
      </c>
      <c r="X13" s="0" t="n">
        <v>10</v>
      </c>
      <c r="Y13" s="0" t="n">
        <v>6</v>
      </c>
      <c r="Z13" s="0" t="inlineStr">
        <is>
          <t>https://new.land.naver.com/complexes/16782?tab=detail&amp;rf=Y</t>
        </is>
      </c>
      <c r="AA13" s="0" t="inlineStr">
        <is>
          <t>경상남도 창원시 의창구 도계동 398-2</t>
        </is>
      </c>
      <c r="AB13" s="0" t="inlineStr">
        <is>
          <t>경상남도</t>
        </is>
      </c>
      <c r="AC13" s="0" t="inlineStr">
        <is>
          <t>창원시</t>
        </is>
      </c>
      <c r="AD13" s="0" t="inlineStr">
        <is>
          <t>의창구</t>
        </is>
      </c>
      <c r="AE13" s="0" t="inlineStr">
        <is>
          <t>도계동</t>
        </is>
      </c>
      <c r="AG13" s="0" t="inlineStr">
        <is>
          <t>경상남도 창원시 의창구 원이대로69번길 30-14</t>
        </is>
      </c>
      <c r="AH13" s="0" t="n">
        <v>0</v>
      </c>
      <c r="AI13" s="0" t="n">
        <v>347</v>
      </c>
    </row>
    <row r="14">
      <c r="A14" s="0" t="inlineStr">
        <is>
          <t>[도계동]</t>
        </is>
      </c>
      <c r="B14" s="0" t="n">
        <v>16782</v>
      </c>
      <c r="C14" s="0" t="n">
        <v>3</v>
      </c>
      <c r="D14" s="0" t="inlineStr">
        <is>
          <t>건우맨션</t>
        </is>
      </c>
      <c r="E14" s="0" t="inlineStr">
        <is>
          <t>1996.05.</t>
        </is>
      </c>
      <c r="F14" s="0" t="n">
        <v>52</v>
      </c>
      <c r="G14" s="0" t="n">
        <v>28.45</v>
      </c>
      <c r="H14" s="0" t="n">
        <v>94.06999999999999</v>
      </c>
      <c r="I14" s="0" t="n">
        <v>22.78</v>
      </c>
      <c r="J14" s="0" t="n">
        <v>75.33</v>
      </c>
      <c r="K14" s="0" t="n">
        <v>6</v>
      </c>
      <c r="T14" s="0" t="n">
        <v>3</v>
      </c>
      <c r="U14" s="0" t="n">
        <v>1</v>
      </c>
      <c r="V14" s="0" t="inlineStr">
        <is>
          <t>복도식</t>
        </is>
      </c>
      <c r="W14" s="0" t="n">
        <v>94</v>
      </c>
      <c r="X14" s="0" t="n">
        <v>10</v>
      </c>
      <c r="Y14" s="0" t="n">
        <v>6</v>
      </c>
      <c r="Z14" s="0" t="inlineStr">
        <is>
          <t>https://new.land.naver.com/complexes/16782?tab=detail&amp;rf=Y</t>
        </is>
      </c>
      <c r="AA14" s="0" t="inlineStr">
        <is>
          <t>경상남도 창원시 의창구 도계동 398-2</t>
        </is>
      </c>
      <c r="AB14" s="0" t="inlineStr">
        <is>
          <t>경상남도</t>
        </is>
      </c>
      <c r="AC14" s="0" t="inlineStr">
        <is>
          <t>창원시</t>
        </is>
      </c>
      <c r="AD14" s="0" t="inlineStr">
        <is>
          <t>의창구</t>
        </is>
      </c>
      <c r="AE14" s="0" t="inlineStr">
        <is>
          <t>도계동</t>
        </is>
      </c>
      <c r="AG14" s="0" t="inlineStr">
        <is>
          <t>경상남도 창원시 의창구 원이대로69번길 30-14</t>
        </is>
      </c>
      <c r="AH14" s="0" t="n">
        <v>0</v>
      </c>
      <c r="AI14" s="0" t="n">
        <v>347</v>
      </c>
    </row>
    <row r="15">
      <c r="A15" s="0" t="inlineStr">
        <is>
          <t>[도계동]</t>
        </is>
      </c>
      <c r="B15" s="0" t="n">
        <v>140487</v>
      </c>
      <c r="C15" s="0" t="n">
        <v>1</v>
      </c>
      <c r="D15" s="0" t="inlineStr">
        <is>
          <t>유일파크</t>
        </is>
      </c>
      <c r="E15" s="0" t="inlineStr">
        <is>
          <t>1993.10.</t>
        </is>
      </c>
      <c r="F15" s="0" t="n">
        <v>50</v>
      </c>
      <c r="G15" s="0" t="n">
        <v>21.82</v>
      </c>
      <c r="H15" s="0" t="n">
        <v>72.16</v>
      </c>
      <c r="I15" s="0" t="n">
        <v>17.06</v>
      </c>
      <c r="J15" s="0" t="n">
        <v>56.42</v>
      </c>
      <c r="K15" s="0" t="n">
        <v>48</v>
      </c>
      <c r="T15" s="0" t="n">
        <v>3</v>
      </c>
      <c r="U15" s="0" t="n">
        <v>2</v>
      </c>
      <c r="V15" s="0" t="inlineStr">
        <is>
          <t>계단식</t>
        </is>
      </c>
      <c r="W15" s="0" t="n">
        <v>72</v>
      </c>
      <c r="X15" s="0" t="n">
        <v>9</v>
      </c>
      <c r="Y15" s="0" t="n">
        <v>8</v>
      </c>
      <c r="Z15" s="0" t="inlineStr">
        <is>
          <t>https://new.land.naver.com/complexes/140487?tab=detail&amp;rf=Y</t>
        </is>
      </c>
      <c r="AA15" s="0" t="inlineStr">
        <is>
          <t>경상남도 창원시 의창구 도계동 415-1</t>
        </is>
      </c>
      <c r="AB15" s="0" t="inlineStr">
        <is>
          <t>경상남도</t>
        </is>
      </c>
      <c r="AC15" s="0" t="inlineStr">
        <is>
          <t>창원시</t>
        </is>
      </c>
      <c r="AD15" s="0" t="inlineStr">
        <is>
          <t>의창구</t>
        </is>
      </c>
      <c r="AE15" s="0" t="inlineStr">
        <is>
          <t>도계동</t>
        </is>
      </c>
      <c r="AG15" s="0" t="inlineStr">
        <is>
          <t>경상남도 창원시 의창구 도계두리길 214</t>
        </is>
      </c>
      <c r="AH15" s="0" t="n">
        <v>0</v>
      </c>
      <c r="AI15" s="0" t="n">
        <v>199</v>
      </c>
    </row>
    <row r="16">
      <c r="A16" s="0" t="inlineStr">
        <is>
          <t>[도계동]</t>
        </is>
      </c>
      <c r="B16" s="0" t="n">
        <v>140487</v>
      </c>
      <c r="C16" s="0" t="n">
        <v>2</v>
      </c>
      <c r="D16" s="0" t="inlineStr">
        <is>
          <t>유일파크</t>
        </is>
      </c>
      <c r="E16" s="0" t="inlineStr">
        <is>
          <t>1993.10.</t>
        </is>
      </c>
      <c r="F16" s="0" t="n">
        <v>50</v>
      </c>
      <c r="G16" s="0" t="n">
        <v>24.96</v>
      </c>
      <c r="H16" s="0" t="n">
        <v>82.53</v>
      </c>
      <c r="I16" s="0" t="n">
        <v>17.06</v>
      </c>
      <c r="J16" s="0" t="n">
        <v>56.42</v>
      </c>
      <c r="K16" s="0" t="n">
        <v>2</v>
      </c>
      <c r="T16" s="0" t="n">
        <v>3</v>
      </c>
      <c r="U16" s="0" t="n">
        <v>2</v>
      </c>
      <c r="V16" s="0" t="inlineStr">
        <is>
          <t>계단식</t>
        </is>
      </c>
      <c r="W16" s="0" t="n">
        <v>82</v>
      </c>
      <c r="X16" s="0" t="n">
        <v>9</v>
      </c>
      <c r="Y16" s="0" t="n">
        <v>8</v>
      </c>
      <c r="Z16" s="0" t="inlineStr">
        <is>
          <t>https://new.land.naver.com/complexes/140487?tab=detail&amp;rf=Y</t>
        </is>
      </c>
      <c r="AA16" s="0" t="inlineStr">
        <is>
          <t>경상남도 창원시 의창구 도계동 415-1</t>
        </is>
      </c>
      <c r="AB16" s="0" t="inlineStr">
        <is>
          <t>경상남도</t>
        </is>
      </c>
      <c r="AC16" s="0" t="inlineStr">
        <is>
          <t>창원시</t>
        </is>
      </c>
      <c r="AD16" s="0" t="inlineStr">
        <is>
          <t>의창구</t>
        </is>
      </c>
      <c r="AE16" s="0" t="inlineStr">
        <is>
          <t>도계동</t>
        </is>
      </c>
      <c r="AG16" s="0" t="inlineStr">
        <is>
          <t>경상남도 창원시 의창구 도계두리길 214</t>
        </is>
      </c>
      <c r="AH16" s="0" t="n">
        <v>0</v>
      </c>
      <c r="AI16" s="0" t="n">
        <v>199</v>
      </c>
    </row>
    <row r="17">
      <c r="A17" s="0" t="inlineStr">
        <is>
          <t>[도계동]</t>
        </is>
      </c>
      <c r="B17" s="0" t="n">
        <v>100892</v>
      </c>
      <c r="C17" s="0" t="n">
        <v>1</v>
      </c>
      <c r="D17" s="0" t="inlineStr">
        <is>
          <t>동하라일락</t>
        </is>
      </c>
      <c r="E17" s="0" t="inlineStr">
        <is>
          <t>1991.10.</t>
        </is>
      </c>
      <c r="F17" s="0" t="n">
        <v>60</v>
      </c>
      <c r="G17" s="0" t="n">
        <v>27.27</v>
      </c>
      <c r="H17" s="0" t="n">
        <v>90.16</v>
      </c>
      <c r="I17" s="0" t="n">
        <v>22.6</v>
      </c>
      <c r="J17" s="0" t="n">
        <v>74.73999999999999</v>
      </c>
      <c r="K17" s="0" t="n">
        <v>3</v>
      </c>
      <c r="T17" s="0" t="n">
        <v>3</v>
      </c>
      <c r="U17" s="0" t="n">
        <v>1</v>
      </c>
      <c r="V17" s="0" t="inlineStr">
        <is>
          <t>계단식</t>
        </is>
      </c>
      <c r="W17" s="0" t="n">
        <v>90</v>
      </c>
      <c r="X17" s="0" t="n">
        <v>12</v>
      </c>
      <c r="Y17" s="0" t="n">
        <v>8</v>
      </c>
      <c r="Z17" s="0" t="inlineStr">
        <is>
          <t>https://new.land.naver.com/complexes/100892?tab=detail&amp;rf=Y</t>
        </is>
      </c>
      <c r="AA17" s="0" t="inlineStr">
        <is>
          <t>경상남도 창원시 의창구 도계동 309-2</t>
        </is>
      </c>
      <c r="AB17" s="0" t="inlineStr">
        <is>
          <t>경상남도</t>
        </is>
      </c>
      <c r="AC17" s="0" t="inlineStr">
        <is>
          <t>창원시</t>
        </is>
      </c>
      <c r="AD17" s="0" t="inlineStr">
        <is>
          <t>의창구</t>
        </is>
      </c>
      <c r="AE17" s="0" t="inlineStr">
        <is>
          <t>도계동</t>
        </is>
      </c>
      <c r="AG17" s="0" t="inlineStr">
        <is>
          <t>경상남도 창원시 의창구 도계로31번길 10</t>
        </is>
      </c>
      <c r="AH17" s="0" t="n">
        <v>0</v>
      </c>
      <c r="AI17" s="0" t="n">
        <v>0</v>
      </c>
    </row>
    <row r="18">
      <c r="A18" s="0" t="inlineStr">
        <is>
          <t>[도계동]</t>
        </is>
      </c>
      <c r="B18" s="0" t="n">
        <v>100892</v>
      </c>
      <c r="C18" s="0" t="n">
        <v>2</v>
      </c>
      <c r="D18" s="0" t="inlineStr">
        <is>
          <t>동하라일락</t>
        </is>
      </c>
      <c r="E18" s="0" t="inlineStr">
        <is>
          <t>1991.10.</t>
        </is>
      </c>
      <c r="F18" s="0" t="n">
        <v>60</v>
      </c>
      <c r="G18" s="0" t="n">
        <v>30.99</v>
      </c>
      <c r="H18" s="0" t="n">
        <v>102.45</v>
      </c>
      <c r="I18" s="0" t="n">
        <v>25.68</v>
      </c>
      <c r="J18" s="0" t="n">
        <v>84.91</v>
      </c>
      <c r="K18" s="0" t="n">
        <v>57</v>
      </c>
      <c r="T18" s="0" t="n">
        <v>3</v>
      </c>
      <c r="U18" s="0" t="n">
        <v>2</v>
      </c>
      <c r="V18" s="0" t="inlineStr">
        <is>
          <t>계단식</t>
        </is>
      </c>
      <c r="W18" s="0" t="n">
        <v>102</v>
      </c>
      <c r="X18" s="0" t="n">
        <v>12</v>
      </c>
      <c r="Y18" s="0" t="n">
        <v>8</v>
      </c>
      <c r="Z18" s="0" t="inlineStr">
        <is>
          <t>https://new.land.naver.com/complexes/100892?tab=detail&amp;rf=Y</t>
        </is>
      </c>
      <c r="AA18" s="0" t="inlineStr">
        <is>
          <t>경상남도 창원시 의창구 도계동 309-2</t>
        </is>
      </c>
      <c r="AB18" s="0" t="inlineStr">
        <is>
          <t>경상남도</t>
        </is>
      </c>
      <c r="AC18" s="0" t="inlineStr">
        <is>
          <t>창원시</t>
        </is>
      </c>
      <c r="AD18" s="0" t="inlineStr">
        <is>
          <t>의창구</t>
        </is>
      </c>
      <c r="AE18" s="0" t="inlineStr">
        <is>
          <t>도계동</t>
        </is>
      </c>
      <c r="AG18" s="0" t="inlineStr">
        <is>
          <t>경상남도 창원시 의창구 도계로31번길 10</t>
        </is>
      </c>
      <c r="AH18" s="0" t="n">
        <v>0</v>
      </c>
      <c r="AI18" s="0" t="n">
        <v>0</v>
      </c>
    </row>
    <row r="19">
      <c r="A19" s="0" t="inlineStr">
        <is>
          <t>[도계동]</t>
        </is>
      </c>
      <c r="B19" s="0" t="n">
        <v>126887</v>
      </c>
      <c r="C19" s="0" t="n">
        <v>1</v>
      </c>
      <c r="D19" s="0" t="inlineStr">
        <is>
          <t>형제골든</t>
        </is>
      </c>
      <c r="E19" s="0" t="inlineStr">
        <is>
          <t>1998.06.</t>
        </is>
      </c>
      <c r="F19" s="0" t="n">
        <v>19</v>
      </c>
      <c r="G19" s="0" t="n">
        <v>18.85</v>
      </c>
      <c r="H19" s="0" t="n">
        <v>62.32</v>
      </c>
      <c r="I19" s="0" t="n">
        <v>17.39</v>
      </c>
      <c r="J19" s="0" t="n">
        <v>57.5</v>
      </c>
      <c r="K19" s="0" t="n">
        <v>2</v>
      </c>
      <c r="T19" s="0" t="n">
        <v>3</v>
      </c>
      <c r="U19" s="0" t="n">
        <v>2</v>
      </c>
      <c r="V19" s="0" t="inlineStr">
        <is>
          <t>계단식</t>
        </is>
      </c>
      <c r="W19" s="0" t="n">
        <v>62</v>
      </c>
      <c r="X19" s="0" t="n">
        <v>6</v>
      </c>
      <c r="Y19" s="0" t="n">
        <v>5</v>
      </c>
      <c r="Z19" s="0" t="inlineStr">
        <is>
          <t>https://new.land.naver.com/complexes/126887?tab=detail&amp;rf=Y</t>
        </is>
      </c>
      <c r="AA19" s="0" t="inlineStr">
        <is>
          <t>경상남도 창원시 의창구 도계동 406-4</t>
        </is>
      </c>
      <c r="AB19" s="0" t="inlineStr">
        <is>
          <t>경상남도</t>
        </is>
      </c>
      <c r="AC19" s="0" t="inlineStr">
        <is>
          <t>창원시</t>
        </is>
      </c>
      <c r="AD19" s="0" t="inlineStr">
        <is>
          <t>의창구</t>
        </is>
      </c>
      <c r="AE19" s="0" t="inlineStr">
        <is>
          <t>도계동</t>
        </is>
      </c>
      <c r="AG19" s="0" t="inlineStr">
        <is>
          <t>경상남도 창원시 의창구 태복산로7번길 36</t>
        </is>
      </c>
      <c r="AH19" s="0" t="n">
        <v>0</v>
      </c>
      <c r="AI19" s="0" t="n">
        <v>268</v>
      </c>
    </row>
    <row r="20">
      <c r="A20" s="0" t="inlineStr">
        <is>
          <t>[도계동]</t>
        </is>
      </c>
      <c r="B20" s="0" t="n">
        <v>126887</v>
      </c>
      <c r="C20" s="0" t="n">
        <v>2</v>
      </c>
      <c r="D20" s="0" t="inlineStr">
        <is>
          <t>형제골든</t>
        </is>
      </c>
      <c r="E20" s="0" t="inlineStr">
        <is>
          <t>1998.06.</t>
        </is>
      </c>
      <c r="F20" s="0" t="n">
        <v>19</v>
      </c>
      <c r="G20" s="0" t="n">
        <v>25.29</v>
      </c>
      <c r="H20" s="0" t="n">
        <v>83.61</v>
      </c>
      <c r="I20" s="0" t="n">
        <v>23.33</v>
      </c>
      <c r="J20" s="0" t="n">
        <v>77.14</v>
      </c>
      <c r="K20" s="0" t="n">
        <v>4</v>
      </c>
      <c r="T20" s="0" t="n">
        <v>3</v>
      </c>
      <c r="U20" s="0" t="n">
        <v>2</v>
      </c>
      <c r="V20" s="0" t="inlineStr">
        <is>
          <t>계단식</t>
        </is>
      </c>
      <c r="W20" s="0" t="n">
        <v>83</v>
      </c>
      <c r="X20" s="0" t="n">
        <v>6</v>
      </c>
      <c r="Y20" s="0" t="n">
        <v>5</v>
      </c>
      <c r="Z20" s="0" t="inlineStr">
        <is>
          <t>https://new.land.naver.com/complexes/126887?tab=detail&amp;rf=Y</t>
        </is>
      </c>
      <c r="AA20" s="0" t="inlineStr">
        <is>
          <t>경상남도 창원시 의창구 도계동 406-4</t>
        </is>
      </c>
      <c r="AB20" s="0" t="inlineStr">
        <is>
          <t>경상남도</t>
        </is>
      </c>
      <c r="AC20" s="0" t="inlineStr">
        <is>
          <t>창원시</t>
        </is>
      </c>
      <c r="AD20" s="0" t="inlineStr">
        <is>
          <t>의창구</t>
        </is>
      </c>
      <c r="AE20" s="0" t="inlineStr">
        <is>
          <t>도계동</t>
        </is>
      </c>
      <c r="AG20" s="0" t="inlineStr">
        <is>
          <t>경상남도 창원시 의창구 태복산로7번길 36</t>
        </is>
      </c>
      <c r="AH20" s="0" t="n">
        <v>0</v>
      </c>
      <c r="AI20" s="0" t="n">
        <v>268</v>
      </c>
    </row>
    <row r="21">
      <c r="A21" s="0" t="inlineStr">
        <is>
          <t>[도계동]</t>
        </is>
      </c>
      <c r="B21" s="0" t="n">
        <v>126887</v>
      </c>
      <c r="C21" s="0" t="n">
        <v>3</v>
      </c>
      <c r="D21" s="0" t="inlineStr">
        <is>
          <t>형제골든</t>
        </is>
      </c>
      <c r="E21" s="0" t="inlineStr">
        <is>
          <t>1998.06.</t>
        </is>
      </c>
      <c r="F21" s="0" t="n">
        <v>19</v>
      </c>
      <c r="G21" s="0" t="n">
        <v>27.41</v>
      </c>
      <c r="H21" s="0" t="n">
        <v>90.64</v>
      </c>
      <c r="I21" s="0" t="n">
        <v>25.29</v>
      </c>
      <c r="J21" s="0" t="n">
        <v>83.62</v>
      </c>
      <c r="K21" s="0" t="n">
        <v>12</v>
      </c>
      <c r="T21" s="0" t="n">
        <v>3</v>
      </c>
      <c r="U21" s="0" t="n">
        <v>2</v>
      </c>
      <c r="V21" s="0" t="inlineStr">
        <is>
          <t>계단식</t>
        </is>
      </c>
      <c r="W21" s="0" t="n">
        <v>90</v>
      </c>
      <c r="X21" s="0" t="n">
        <v>6</v>
      </c>
      <c r="Y21" s="0" t="n">
        <v>5</v>
      </c>
      <c r="Z21" s="0" t="inlineStr">
        <is>
          <t>https://new.land.naver.com/complexes/126887?tab=detail&amp;rf=Y</t>
        </is>
      </c>
      <c r="AA21" s="0" t="inlineStr">
        <is>
          <t>경상남도 창원시 의창구 도계동 406-4</t>
        </is>
      </c>
      <c r="AB21" s="0" t="inlineStr">
        <is>
          <t>경상남도</t>
        </is>
      </c>
      <c r="AC21" s="0" t="inlineStr">
        <is>
          <t>창원시</t>
        </is>
      </c>
      <c r="AD21" s="0" t="inlineStr">
        <is>
          <t>의창구</t>
        </is>
      </c>
      <c r="AE21" s="0" t="inlineStr">
        <is>
          <t>도계동</t>
        </is>
      </c>
      <c r="AG21" s="0" t="inlineStr">
        <is>
          <t>경상남도 창원시 의창구 태복산로7번길 36</t>
        </is>
      </c>
      <c r="AH21" s="0" t="n">
        <v>0</v>
      </c>
      <c r="AI21" s="0" t="n">
        <v>268</v>
      </c>
    </row>
    <row r="22">
      <c r="A22" s="0" t="inlineStr">
        <is>
          <t>[도계동]</t>
        </is>
      </c>
      <c r="B22" s="0" t="n">
        <v>126887</v>
      </c>
      <c r="C22" s="0" t="n">
        <v>4</v>
      </c>
      <c r="D22" s="0" t="inlineStr">
        <is>
          <t>형제골든</t>
        </is>
      </c>
      <c r="E22" s="0" t="inlineStr">
        <is>
          <t>1998.06.</t>
        </is>
      </c>
      <c r="F22" s="0" t="n">
        <v>19</v>
      </c>
      <c r="G22" s="0" t="n">
        <v>35.53</v>
      </c>
      <c r="H22" s="0" t="n">
        <v>117.47</v>
      </c>
      <c r="I22" s="0" t="n">
        <v>32.8</v>
      </c>
      <c r="J22" s="0" t="n">
        <v>108.43</v>
      </c>
      <c r="K22" s="0" t="n">
        <v>1</v>
      </c>
      <c r="T22" s="0" t="n">
        <v>4</v>
      </c>
      <c r="U22" s="0" t="n">
        <v>2</v>
      </c>
      <c r="V22" s="0" t="inlineStr">
        <is>
          <t>계단식</t>
        </is>
      </c>
      <c r="W22" s="0" t="n">
        <v>117</v>
      </c>
      <c r="X22" s="0" t="n">
        <v>6</v>
      </c>
      <c r="Y22" s="0" t="n">
        <v>5</v>
      </c>
      <c r="Z22" s="0" t="inlineStr">
        <is>
          <t>https://new.land.naver.com/complexes/126887?tab=detail&amp;rf=Y</t>
        </is>
      </c>
      <c r="AA22" s="0" t="inlineStr">
        <is>
          <t>경상남도 창원시 의창구 도계동 406-4</t>
        </is>
      </c>
      <c r="AB22" s="0" t="inlineStr">
        <is>
          <t>경상남도</t>
        </is>
      </c>
      <c r="AC22" s="0" t="inlineStr">
        <is>
          <t>창원시</t>
        </is>
      </c>
      <c r="AD22" s="0" t="inlineStr">
        <is>
          <t>의창구</t>
        </is>
      </c>
      <c r="AE22" s="0" t="inlineStr">
        <is>
          <t>도계동</t>
        </is>
      </c>
      <c r="AG22" s="0" t="inlineStr">
        <is>
          <t>경상남도 창원시 의창구 태복산로7번길 36</t>
        </is>
      </c>
      <c r="AH22" s="0" t="n">
        <v>0</v>
      </c>
      <c r="AI22" s="0" t="n">
        <v>268</v>
      </c>
    </row>
    <row r="23">
      <c r="A23" s="0" t="inlineStr">
        <is>
          <t>[도계동]</t>
        </is>
      </c>
      <c r="B23" s="0" t="n">
        <v>127940</v>
      </c>
      <c r="C23" s="0" t="n">
        <v>1</v>
      </c>
      <c r="D23" s="0" t="inlineStr">
        <is>
          <t>제일파크</t>
        </is>
      </c>
      <c r="E23" s="0" t="inlineStr">
        <is>
          <t>1992.01.</t>
        </is>
      </c>
      <c r="F23" s="0" t="n">
        <v>46</v>
      </c>
      <c r="G23" s="0" t="n">
        <v>21.25</v>
      </c>
      <c r="H23" s="0" t="n">
        <v>70.26000000000001</v>
      </c>
      <c r="I23" s="0" t="n">
        <v>18.13</v>
      </c>
      <c r="J23" s="0" t="n">
        <v>59.94</v>
      </c>
      <c r="K23" s="0" t="n">
        <v>46</v>
      </c>
      <c r="T23" s="0" t="n">
        <v>3</v>
      </c>
      <c r="U23" s="0" t="n">
        <v>1</v>
      </c>
      <c r="V23" s="0" t="inlineStr">
        <is>
          <t>계단식</t>
        </is>
      </c>
      <c r="W23" s="0" t="n">
        <v>70</v>
      </c>
      <c r="X23" s="0" t="n">
        <v>14</v>
      </c>
      <c r="Y23" s="0" t="n">
        <v>9</v>
      </c>
      <c r="Z23" s="0" t="inlineStr">
        <is>
          <t>https://new.land.naver.com/complexes/127940?tab=detail&amp;rf=Y</t>
        </is>
      </c>
      <c r="AA23" s="0" t="inlineStr">
        <is>
          <t>경상남도 창원시 의창구 도계동 363-1</t>
        </is>
      </c>
      <c r="AB23" s="0" t="inlineStr">
        <is>
          <t>경상남도</t>
        </is>
      </c>
      <c r="AC23" s="0" t="inlineStr">
        <is>
          <t>창원시</t>
        </is>
      </c>
      <c r="AD23" s="0" t="inlineStr">
        <is>
          <t>의창구</t>
        </is>
      </c>
      <c r="AE23" s="0" t="inlineStr">
        <is>
          <t>도계동</t>
        </is>
      </c>
      <c r="AG23" s="0" t="inlineStr">
        <is>
          <t>경상남도 창원시 의창구 하남천동길 60</t>
        </is>
      </c>
      <c r="AH23" s="0" t="n">
        <v>0</v>
      </c>
      <c r="AI23" s="0" t="n">
        <v>0</v>
      </c>
    </row>
    <row r="24">
      <c r="A24" s="0" t="inlineStr">
        <is>
          <t>[도계동]</t>
        </is>
      </c>
      <c r="B24" s="0" t="n">
        <v>130487</v>
      </c>
      <c r="C24" s="0" t="n">
        <v>1</v>
      </c>
      <c r="D24" s="0" t="inlineStr">
        <is>
          <t>무지개</t>
        </is>
      </c>
      <c r="E24" s="0" t="inlineStr">
        <is>
          <t>1990.10.</t>
        </is>
      </c>
      <c r="F24" s="0" t="n">
        <v>40</v>
      </c>
      <c r="G24" s="0" t="n">
        <v>22.54</v>
      </c>
      <c r="H24" s="0" t="n">
        <v>74.53</v>
      </c>
      <c r="I24" s="0" t="n">
        <v>19.03</v>
      </c>
      <c r="J24" s="0" t="n">
        <v>62.93</v>
      </c>
      <c r="K24" s="0" t="n">
        <v>30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74A</t>
        </is>
      </c>
      <c r="X24" s="0" t="n">
        <v>5</v>
      </c>
      <c r="Y24" s="0" t="n">
        <v>5</v>
      </c>
      <c r="Z24" s="0" t="inlineStr">
        <is>
          <t>https://new.land.naver.com/complexes/130487?tab=detail&amp;rf=Y</t>
        </is>
      </c>
      <c r="AA24" s="0" t="inlineStr">
        <is>
          <t>경상남도 창원시 의창구 도계동 414-9</t>
        </is>
      </c>
      <c r="AB24" s="0" t="inlineStr">
        <is>
          <t>경상남도</t>
        </is>
      </c>
      <c r="AC24" s="0" t="inlineStr">
        <is>
          <t>창원시</t>
        </is>
      </c>
      <c r="AD24" s="0" t="inlineStr">
        <is>
          <t>의창구</t>
        </is>
      </c>
      <c r="AE24" s="0" t="inlineStr">
        <is>
          <t>도계동</t>
        </is>
      </c>
      <c r="AG24" s="0" t="inlineStr">
        <is>
          <t>경상남도 창원시 의창구 도계로83번길 14-20</t>
        </is>
      </c>
      <c r="AH24" s="0" t="n">
        <v>0</v>
      </c>
      <c r="AI24" s="0" t="n">
        <v>0</v>
      </c>
    </row>
    <row r="25">
      <c r="A25" s="0" t="inlineStr">
        <is>
          <t>[도계동]</t>
        </is>
      </c>
      <c r="B25" s="0" t="n">
        <v>130487</v>
      </c>
      <c r="C25" s="0" t="n">
        <v>2</v>
      </c>
      <c r="D25" s="0" t="inlineStr">
        <is>
          <t>무지개</t>
        </is>
      </c>
      <c r="E25" s="0" t="inlineStr">
        <is>
          <t>1990.10.</t>
        </is>
      </c>
      <c r="F25" s="0" t="n">
        <v>40</v>
      </c>
      <c r="G25" s="0" t="n">
        <v>23.46</v>
      </c>
      <c r="H25" s="0" t="n">
        <v>77.56</v>
      </c>
      <c r="I25" s="0" t="n">
        <v>19.88</v>
      </c>
      <c r="J25" s="0" t="n">
        <v>65.73999999999999</v>
      </c>
      <c r="K25" s="0" t="n">
        <v>5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77B</t>
        </is>
      </c>
      <c r="X25" s="0" t="n">
        <v>5</v>
      </c>
      <c r="Y25" s="0" t="n">
        <v>5</v>
      </c>
      <c r="Z25" s="0" t="inlineStr">
        <is>
          <t>https://new.land.naver.com/complexes/130487?tab=detail&amp;rf=Y</t>
        </is>
      </c>
      <c r="AA25" s="0" t="inlineStr">
        <is>
          <t>경상남도 창원시 의창구 도계동 414-9</t>
        </is>
      </c>
      <c r="AB25" s="0" t="inlineStr">
        <is>
          <t>경상남도</t>
        </is>
      </c>
      <c r="AC25" s="0" t="inlineStr">
        <is>
          <t>창원시</t>
        </is>
      </c>
      <c r="AD25" s="0" t="inlineStr">
        <is>
          <t>의창구</t>
        </is>
      </c>
      <c r="AE25" s="0" t="inlineStr">
        <is>
          <t>도계동</t>
        </is>
      </c>
      <c r="AG25" s="0" t="inlineStr">
        <is>
          <t>경상남도 창원시 의창구 도계로83번길 14-20</t>
        </is>
      </c>
      <c r="AH25" s="0" t="n">
        <v>0</v>
      </c>
      <c r="AI25" s="0" t="n">
        <v>0</v>
      </c>
    </row>
    <row r="26">
      <c r="A26" s="0" t="inlineStr">
        <is>
          <t>[도계동]</t>
        </is>
      </c>
      <c r="B26" s="0" t="n">
        <v>130487</v>
      </c>
      <c r="C26" s="0" t="n">
        <v>3</v>
      </c>
      <c r="D26" s="0" t="inlineStr">
        <is>
          <t>무지개</t>
        </is>
      </c>
      <c r="E26" s="0" t="inlineStr">
        <is>
          <t>1990.10.</t>
        </is>
      </c>
      <c r="F26" s="0" t="n">
        <v>40</v>
      </c>
      <c r="G26" s="0" t="n">
        <v>26.04</v>
      </c>
      <c r="H26" s="0" t="n">
        <v>86.09999999999999</v>
      </c>
      <c r="I26" s="0" t="n">
        <v>22.27</v>
      </c>
      <c r="J26" s="0" t="n">
        <v>73.65000000000001</v>
      </c>
      <c r="K26" s="0" t="n">
        <v>5</v>
      </c>
      <c r="T26" s="0" t="n">
        <v>3</v>
      </c>
      <c r="U26" s="0" t="n">
        <v>2</v>
      </c>
      <c r="V26" s="0" t="inlineStr">
        <is>
          <t>계단식</t>
        </is>
      </c>
      <c r="W26" s="0" t="n">
        <v>86</v>
      </c>
      <c r="X26" s="0" t="n">
        <v>5</v>
      </c>
      <c r="Y26" s="0" t="n">
        <v>5</v>
      </c>
      <c r="Z26" s="0" t="inlineStr">
        <is>
          <t>https://new.land.naver.com/complexes/130487?tab=detail&amp;rf=Y</t>
        </is>
      </c>
      <c r="AA26" s="0" t="inlineStr">
        <is>
          <t>경상남도 창원시 의창구 도계동 414-9</t>
        </is>
      </c>
      <c r="AB26" s="0" t="inlineStr">
        <is>
          <t>경상남도</t>
        </is>
      </c>
      <c r="AC26" s="0" t="inlineStr">
        <is>
          <t>창원시</t>
        </is>
      </c>
      <c r="AD26" s="0" t="inlineStr">
        <is>
          <t>의창구</t>
        </is>
      </c>
      <c r="AE26" s="0" t="inlineStr">
        <is>
          <t>도계동</t>
        </is>
      </c>
      <c r="AG26" s="0" t="inlineStr">
        <is>
          <t>경상남도 창원시 의창구 도계로83번길 14-20</t>
        </is>
      </c>
      <c r="AH26" s="0" t="n">
        <v>0</v>
      </c>
      <c r="AI26" s="0" t="n">
        <v>0</v>
      </c>
    </row>
    <row r="27">
      <c r="A27" s="0" t="inlineStr">
        <is>
          <t>[도계동]</t>
        </is>
      </c>
      <c r="B27" s="0" t="n">
        <v>7707</v>
      </c>
      <c r="C27" s="0" t="n">
        <v>1</v>
      </c>
      <c r="D27" s="0" t="inlineStr">
        <is>
          <t>해바라기맨션(328-3)</t>
        </is>
      </c>
      <c r="E27" s="0" t="inlineStr">
        <is>
          <t>1989.12.</t>
        </is>
      </c>
      <c r="F27" s="0" t="n">
        <v>19</v>
      </c>
      <c r="G27" s="0" t="n">
        <v>23.67</v>
      </c>
      <c r="H27" s="0" t="n">
        <v>78.28</v>
      </c>
      <c r="I27" s="0" t="n">
        <v>20.29</v>
      </c>
      <c r="J27" s="0" t="n">
        <v>67.08</v>
      </c>
      <c r="K27" s="0" t="n">
        <v>4</v>
      </c>
      <c r="T27" s="0" t="n">
        <v>3</v>
      </c>
      <c r="U27" s="0" t="n">
        <v>1</v>
      </c>
      <c r="V27" s="0" t="inlineStr">
        <is>
          <t>계단식</t>
        </is>
      </c>
      <c r="W27" s="0" t="n">
        <v>78</v>
      </c>
      <c r="X27" s="0" t="n">
        <v>5</v>
      </c>
      <c r="Y27" s="0" t="n">
        <v>5</v>
      </c>
      <c r="Z27" s="0" t="inlineStr">
        <is>
          <t>https://new.land.naver.com/complexes/7707?tab=detail&amp;rf=Y</t>
        </is>
      </c>
      <c r="AA27" s="0" t="inlineStr">
        <is>
          <t>경상남도 창원시 의창구 도계동 328-3</t>
        </is>
      </c>
      <c r="AB27" s="0" t="inlineStr">
        <is>
          <t>경상남도</t>
        </is>
      </c>
      <c r="AC27" s="0" t="inlineStr">
        <is>
          <t>창원시</t>
        </is>
      </c>
      <c r="AD27" s="0" t="inlineStr">
        <is>
          <t>의창구</t>
        </is>
      </c>
      <c r="AE27" s="0" t="inlineStr">
        <is>
          <t>도계동</t>
        </is>
      </c>
      <c r="AG27" s="0" t="inlineStr">
        <is>
          <t>경상남도 창원시 의창구 도계로50번길 6-8</t>
        </is>
      </c>
      <c r="AH27" s="0" t="n">
        <v>0</v>
      </c>
      <c r="AI27" s="0" t="n">
        <v>0</v>
      </c>
    </row>
    <row r="28">
      <c r="A28" s="0" t="inlineStr">
        <is>
          <t>[도계동]</t>
        </is>
      </c>
      <c r="B28" s="0" t="n">
        <v>7707</v>
      </c>
      <c r="C28" s="0" t="n">
        <v>2</v>
      </c>
      <c r="D28" s="0" t="inlineStr">
        <is>
          <t>해바라기맨션(328-3)</t>
        </is>
      </c>
      <c r="E28" s="0" t="inlineStr">
        <is>
          <t>1989.12.</t>
        </is>
      </c>
      <c r="F28" s="0" t="n">
        <v>19</v>
      </c>
      <c r="G28" s="0" t="n">
        <v>25.45</v>
      </c>
      <c r="H28" s="0" t="n">
        <v>84.14</v>
      </c>
      <c r="I28" s="0" t="n">
        <v>21.94</v>
      </c>
      <c r="J28" s="0" t="n">
        <v>72.54000000000001</v>
      </c>
      <c r="K28" s="0" t="n">
        <v>15</v>
      </c>
      <c r="T28" s="0" t="n">
        <v>3</v>
      </c>
      <c r="U28" s="0" t="n">
        <v>1</v>
      </c>
      <c r="V28" s="0" t="inlineStr">
        <is>
          <t>계단식</t>
        </is>
      </c>
      <c r="W28" s="0" t="n">
        <v>84</v>
      </c>
      <c r="X28" s="0" t="n">
        <v>5</v>
      </c>
      <c r="Y28" s="0" t="n">
        <v>5</v>
      </c>
      <c r="Z28" s="0" t="inlineStr">
        <is>
          <t>https://new.land.naver.com/complexes/7707?tab=detail&amp;rf=Y</t>
        </is>
      </c>
      <c r="AA28" s="0" t="inlineStr">
        <is>
          <t>경상남도 창원시 의창구 도계동 328-3</t>
        </is>
      </c>
      <c r="AB28" s="0" t="inlineStr">
        <is>
          <t>경상남도</t>
        </is>
      </c>
      <c r="AC28" s="0" t="inlineStr">
        <is>
          <t>창원시</t>
        </is>
      </c>
      <c r="AD28" s="0" t="inlineStr">
        <is>
          <t>의창구</t>
        </is>
      </c>
      <c r="AE28" s="0" t="inlineStr">
        <is>
          <t>도계동</t>
        </is>
      </c>
      <c r="AG28" s="0" t="inlineStr">
        <is>
          <t>경상남도 창원시 의창구 도계로50번길 6-8</t>
        </is>
      </c>
      <c r="AH28" s="0" t="n">
        <v>0</v>
      </c>
      <c r="AI28" s="0" t="n">
        <v>0</v>
      </c>
    </row>
    <row r="29">
      <c r="A29" s="0" t="inlineStr">
        <is>
          <t>[도계동]</t>
        </is>
      </c>
      <c r="B29" s="0" t="n">
        <v>125970</v>
      </c>
      <c r="C29" s="0" t="n">
        <v>1</v>
      </c>
      <c r="D29" s="0" t="inlineStr">
        <is>
          <t>영남</t>
        </is>
      </c>
      <c r="E29" s="0" t="inlineStr">
        <is>
          <t>1990.04.</t>
        </is>
      </c>
      <c r="F29" s="0" t="n">
        <v>48</v>
      </c>
      <c r="G29" s="0" t="n">
        <v>19.14</v>
      </c>
      <c r="H29" s="0" t="n">
        <v>63.29</v>
      </c>
      <c r="I29" s="0" t="n">
        <v>14.91</v>
      </c>
      <c r="J29" s="0" t="n">
        <v>49.32</v>
      </c>
      <c r="K29" s="0" t="n">
        <v>18</v>
      </c>
      <c r="T29" s="0" t="n">
        <v>2</v>
      </c>
      <c r="U29" s="0" t="n">
        <v>1</v>
      </c>
      <c r="V29" s="0" t="inlineStr">
        <is>
          <t>계단식</t>
        </is>
      </c>
      <c r="W29" s="0" t="n">
        <v>63</v>
      </c>
      <c r="X29" s="0" t="n">
        <v>6</v>
      </c>
      <c r="Y29" s="0" t="n">
        <v>6</v>
      </c>
      <c r="Z29" s="0" t="inlineStr">
        <is>
          <t>https://new.land.naver.com/complexes/125970?tab=detail&amp;rf=Y</t>
        </is>
      </c>
      <c r="AA29" s="0" t="inlineStr">
        <is>
          <t>경상남도 창원시 의창구 도계동 396-3</t>
        </is>
      </c>
      <c r="AB29" s="0" t="inlineStr">
        <is>
          <t>경상남도</t>
        </is>
      </c>
      <c r="AC29" s="0" t="inlineStr">
        <is>
          <t>창원시</t>
        </is>
      </c>
      <c r="AD29" s="0" t="inlineStr">
        <is>
          <t>의창구</t>
        </is>
      </c>
      <c r="AE29" s="0" t="inlineStr">
        <is>
          <t>도계동</t>
        </is>
      </c>
      <c r="AG29" s="0" t="inlineStr">
        <is>
          <t>경상남도 창원시 의창구 도계로73번길 12</t>
        </is>
      </c>
      <c r="AH29" s="0" t="n">
        <v>0</v>
      </c>
      <c r="AI29" s="0" t="n">
        <v>192</v>
      </c>
    </row>
    <row r="30">
      <c r="A30" s="0" t="inlineStr">
        <is>
          <t>[도계동]</t>
        </is>
      </c>
      <c r="B30" s="0" t="n">
        <v>125970</v>
      </c>
      <c r="C30" s="0" t="n">
        <v>2</v>
      </c>
      <c r="D30" s="0" t="inlineStr">
        <is>
          <t>영남</t>
        </is>
      </c>
      <c r="E30" s="0" t="inlineStr">
        <is>
          <t>1990.04.</t>
        </is>
      </c>
      <c r="F30" s="0" t="n">
        <v>48</v>
      </c>
      <c r="G30" s="0" t="n">
        <v>27.91</v>
      </c>
      <c r="H30" s="0" t="n">
        <v>92.27</v>
      </c>
      <c r="I30" s="0" t="n">
        <v>22.49</v>
      </c>
      <c r="J30" s="0" t="n">
        <v>74.37</v>
      </c>
      <c r="K30" s="0" t="n">
        <v>30</v>
      </c>
      <c r="T30" s="0" t="n">
        <v>3</v>
      </c>
      <c r="U30" s="0" t="n">
        <v>2</v>
      </c>
      <c r="V30" s="0" t="inlineStr">
        <is>
          <t>계단식</t>
        </is>
      </c>
      <c r="W30" s="0" t="n">
        <v>92</v>
      </c>
      <c r="X30" s="0" t="n">
        <v>6</v>
      </c>
      <c r="Y30" s="0" t="n">
        <v>6</v>
      </c>
      <c r="Z30" s="0" t="inlineStr">
        <is>
          <t>https://new.land.naver.com/complexes/125970?tab=detail&amp;rf=Y</t>
        </is>
      </c>
      <c r="AA30" s="0" t="inlineStr">
        <is>
          <t>경상남도 창원시 의창구 도계동 396-3</t>
        </is>
      </c>
      <c r="AB30" s="0" t="inlineStr">
        <is>
          <t>경상남도</t>
        </is>
      </c>
      <c r="AC30" s="0" t="inlineStr">
        <is>
          <t>창원시</t>
        </is>
      </c>
      <c r="AD30" s="0" t="inlineStr">
        <is>
          <t>의창구</t>
        </is>
      </c>
      <c r="AE30" s="0" t="inlineStr">
        <is>
          <t>도계동</t>
        </is>
      </c>
      <c r="AG30" s="0" t="inlineStr">
        <is>
          <t>경상남도 창원시 의창구 도계로73번길 12</t>
        </is>
      </c>
      <c r="AH30" s="0" t="n">
        <v>0</v>
      </c>
      <c r="AI30" s="0" t="n">
        <v>192</v>
      </c>
    </row>
    <row r="31">
      <c r="A31" s="0" t="inlineStr">
        <is>
          <t>[도계동]</t>
        </is>
      </c>
      <c r="B31" s="0" t="n">
        <v>16789</v>
      </c>
      <c r="C31" s="0" t="n">
        <v>1</v>
      </c>
      <c r="D31" s="0" t="inlineStr">
        <is>
          <t>강남프라자</t>
        </is>
      </c>
      <c r="E31" s="0" t="inlineStr">
        <is>
          <t>1995.02.</t>
        </is>
      </c>
      <c r="F31" s="0" t="n">
        <v>47</v>
      </c>
      <c r="G31" s="0" t="n">
        <v>23.38</v>
      </c>
      <c r="H31" s="0" t="n">
        <v>77.31999999999999</v>
      </c>
      <c r="I31" s="0" t="n">
        <v>17.03</v>
      </c>
      <c r="J31" s="0" t="n">
        <v>56.31</v>
      </c>
      <c r="K31" s="0" t="n">
        <v>4</v>
      </c>
      <c r="T31" s="0" t="n">
        <v>3</v>
      </c>
      <c r="U31" s="0" t="n">
        <v>1</v>
      </c>
      <c r="V31" s="0" t="inlineStr">
        <is>
          <t>계단식</t>
        </is>
      </c>
      <c r="W31" s="0" t="n">
        <v>77</v>
      </c>
      <c r="X31" s="0" t="n">
        <v>8</v>
      </c>
      <c r="Y31" s="0" t="n">
        <v>6</v>
      </c>
      <c r="Z31" s="0" t="inlineStr">
        <is>
          <t>https://new.land.naver.com/complexes/16789?tab=detail&amp;rf=Y</t>
        </is>
      </c>
      <c r="AA31" s="0" t="inlineStr">
        <is>
          <t>경상남도 창원시 의창구 도계동 326-1</t>
        </is>
      </c>
      <c r="AB31" s="0" t="inlineStr">
        <is>
          <t>경상남도</t>
        </is>
      </c>
      <c r="AC31" s="0" t="inlineStr">
        <is>
          <t>창원시</t>
        </is>
      </c>
      <c r="AD31" s="0" t="inlineStr">
        <is>
          <t>의창구</t>
        </is>
      </c>
      <c r="AE31" s="0" t="inlineStr">
        <is>
          <t>도계동</t>
        </is>
      </c>
      <c r="AG31" s="0" t="inlineStr">
        <is>
          <t>경상남도 창원시 의창구 하남천서길5번길 13</t>
        </is>
      </c>
      <c r="AH31" s="0" t="n">
        <v>0</v>
      </c>
      <c r="AI31" s="0" t="n">
        <v>270</v>
      </c>
    </row>
    <row r="32">
      <c r="A32" s="0" t="inlineStr">
        <is>
          <t>[도계동]</t>
        </is>
      </c>
      <c r="B32" s="0" t="n">
        <v>16789</v>
      </c>
      <c r="C32" s="0" t="n">
        <v>2</v>
      </c>
      <c r="D32" s="0" t="inlineStr">
        <is>
          <t>강남프라자</t>
        </is>
      </c>
      <c r="E32" s="0" t="inlineStr">
        <is>
          <t>1995.02.</t>
        </is>
      </c>
      <c r="F32" s="0" t="n">
        <v>47</v>
      </c>
      <c r="G32" s="0" t="n">
        <v>23.77</v>
      </c>
      <c r="H32" s="0" t="n">
        <v>78.59</v>
      </c>
      <c r="I32" s="0" t="n">
        <v>17.31</v>
      </c>
      <c r="J32" s="0" t="n">
        <v>57.24</v>
      </c>
      <c r="K32" s="0" t="n">
        <v>5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78A</t>
        </is>
      </c>
      <c r="X32" s="0" t="n">
        <v>8</v>
      </c>
      <c r="Y32" s="0" t="n">
        <v>6</v>
      </c>
      <c r="Z32" s="0" t="inlineStr">
        <is>
          <t>https://new.land.naver.com/complexes/16789?tab=detail&amp;rf=Y</t>
        </is>
      </c>
      <c r="AA32" s="0" t="inlineStr">
        <is>
          <t>경상남도 창원시 의창구 도계동 326-1</t>
        </is>
      </c>
      <c r="AB32" s="0" t="inlineStr">
        <is>
          <t>경상남도</t>
        </is>
      </c>
      <c r="AC32" s="0" t="inlineStr">
        <is>
          <t>창원시</t>
        </is>
      </c>
      <c r="AD32" s="0" t="inlineStr">
        <is>
          <t>의창구</t>
        </is>
      </c>
      <c r="AE32" s="0" t="inlineStr">
        <is>
          <t>도계동</t>
        </is>
      </c>
      <c r="AG32" s="0" t="inlineStr">
        <is>
          <t>경상남도 창원시 의창구 하남천서길5번길 13</t>
        </is>
      </c>
      <c r="AH32" s="0" t="n">
        <v>0</v>
      </c>
      <c r="AI32" s="0" t="n">
        <v>270</v>
      </c>
    </row>
    <row r="33">
      <c r="A33" s="0" t="inlineStr">
        <is>
          <t>[도계동]</t>
        </is>
      </c>
      <c r="B33" s="0" t="n">
        <v>16789</v>
      </c>
      <c r="C33" s="0" t="n">
        <v>3</v>
      </c>
      <c r="D33" s="0" t="inlineStr">
        <is>
          <t>강남프라자</t>
        </is>
      </c>
      <c r="E33" s="0" t="inlineStr">
        <is>
          <t>1995.02.</t>
        </is>
      </c>
      <c r="F33" s="0" t="n">
        <v>47</v>
      </c>
      <c r="G33" s="0" t="n">
        <v>24.09</v>
      </c>
      <c r="H33" s="0" t="n">
        <v>79.65000000000001</v>
      </c>
      <c r="I33" s="0" t="n">
        <v>17.54</v>
      </c>
      <c r="J33" s="0" t="n">
        <v>58.01</v>
      </c>
      <c r="K33" s="0" t="n">
        <v>1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79B</t>
        </is>
      </c>
      <c r="X33" s="0" t="n">
        <v>8</v>
      </c>
      <c r="Y33" s="0" t="n">
        <v>6</v>
      </c>
      <c r="Z33" s="0" t="inlineStr">
        <is>
          <t>https://new.land.naver.com/complexes/16789?tab=detail&amp;rf=Y</t>
        </is>
      </c>
      <c r="AA33" s="0" t="inlineStr">
        <is>
          <t>경상남도 창원시 의창구 도계동 326-1</t>
        </is>
      </c>
      <c r="AB33" s="0" t="inlineStr">
        <is>
          <t>경상남도</t>
        </is>
      </c>
      <c r="AC33" s="0" t="inlineStr">
        <is>
          <t>창원시</t>
        </is>
      </c>
      <c r="AD33" s="0" t="inlineStr">
        <is>
          <t>의창구</t>
        </is>
      </c>
      <c r="AE33" s="0" t="inlineStr">
        <is>
          <t>도계동</t>
        </is>
      </c>
      <c r="AG33" s="0" t="inlineStr">
        <is>
          <t>경상남도 창원시 의창구 하남천서길5번길 13</t>
        </is>
      </c>
      <c r="AH33" s="0" t="n">
        <v>0</v>
      </c>
      <c r="AI33" s="0" t="n">
        <v>270</v>
      </c>
    </row>
    <row r="34">
      <c r="A34" s="0" t="inlineStr">
        <is>
          <t>[도계동]</t>
        </is>
      </c>
      <c r="B34" s="0" t="n">
        <v>16789</v>
      </c>
      <c r="C34" s="0" t="n">
        <v>4</v>
      </c>
      <c r="D34" s="0" t="inlineStr">
        <is>
          <t>강남프라자</t>
        </is>
      </c>
      <c r="E34" s="0" t="inlineStr">
        <is>
          <t>1995.02.</t>
        </is>
      </c>
      <c r="F34" s="0" t="n">
        <v>47</v>
      </c>
      <c r="G34" s="0" t="n">
        <v>24.42</v>
      </c>
      <c r="H34" s="0" t="n">
        <v>80.73</v>
      </c>
      <c r="I34" s="0" t="n">
        <v>17.78</v>
      </c>
      <c r="J34" s="0" t="n">
        <v>58.8</v>
      </c>
      <c r="K34" s="0" t="n">
        <v>7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80C</t>
        </is>
      </c>
      <c r="X34" s="0" t="n">
        <v>8</v>
      </c>
      <c r="Y34" s="0" t="n">
        <v>6</v>
      </c>
      <c r="Z34" s="0" t="inlineStr">
        <is>
          <t>https://new.land.naver.com/complexes/16789?tab=detail&amp;rf=Y</t>
        </is>
      </c>
      <c r="AA34" s="0" t="inlineStr">
        <is>
          <t>경상남도 창원시 의창구 도계동 326-1</t>
        </is>
      </c>
      <c r="AB34" s="0" t="inlineStr">
        <is>
          <t>경상남도</t>
        </is>
      </c>
      <c r="AC34" s="0" t="inlineStr">
        <is>
          <t>창원시</t>
        </is>
      </c>
      <c r="AD34" s="0" t="inlineStr">
        <is>
          <t>의창구</t>
        </is>
      </c>
      <c r="AE34" s="0" t="inlineStr">
        <is>
          <t>도계동</t>
        </is>
      </c>
      <c r="AG34" s="0" t="inlineStr">
        <is>
          <t>경상남도 창원시 의창구 하남천서길5번길 13</t>
        </is>
      </c>
      <c r="AH34" s="0" t="n">
        <v>0</v>
      </c>
      <c r="AI34" s="0" t="n">
        <v>270</v>
      </c>
    </row>
    <row r="35">
      <c r="A35" s="0" t="inlineStr">
        <is>
          <t>[도계동]</t>
        </is>
      </c>
      <c r="B35" s="0" t="n">
        <v>16789</v>
      </c>
      <c r="C35" s="0" t="n">
        <v>5</v>
      </c>
      <c r="D35" s="0" t="inlineStr">
        <is>
          <t>강남프라자</t>
        </is>
      </c>
      <c r="E35" s="0" t="inlineStr">
        <is>
          <t>1995.02.</t>
        </is>
      </c>
      <c r="F35" s="0" t="n">
        <v>47</v>
      </c>
      <c r="G35" s="0" t="n">
        <v>24.82</v>
      </c>
      <c r="H35" s="0" t="n">
        <v>82.05</v>
      </c>
      <c r="I35" s="0" t="n">
        <v>18.07</v>
      </c>
      <c r="J35" s="0" t="n">
        <v>59.76</v>
      </c>
      <c r="K35" s="0" t="n">
        <v>24</v>
      </c>
      <c r="T35" s="0" t="n">
        <v>3</v>
      </c>
      <c r="U35" s="0" t="n">
        <v>1</v>
      </c>
      <c r="V35" s="0" t="inlineStr">
        <is>
          <t>계단식</t>
        </is>
      </c>
      <c r="W35" s="0" t="n">
        <v>82</v>
      </c>
      <c r="X35" s="0" t="n">
        <v>8</v>
      </c>
      <c r="Y35" s="0" t="n">
        <v>6</v>
      </c>
      <c r="Z35" s="0" t="inlineStr">
        <is>
          <t>https://new.land.naver.com/complexes/16789?tab=detail&amp;rf=Y</t>
        </is>
      </c>
      <c r="AA35" s="0" t="inlineStr">
        <is>
          <t>경상남도 창원시 의창구 도계동 326-1</t>
        </is>
      </c>
      <c r="AB35" s="0" t="inlineStr">
        <is>
          <t>경상남도</t>
        </is>
      </c>
      <c r="AC35" s="0" t="inlineStr">
        <is>
          <t>창원시</t>
        </is>
      </c>
      <c r="AD35" s="0" t="inlineStr">
        <is>
          <t>의창구</t>
        </is>
      </c>
      <c r="AE35" s="0" t="inlineStr">
        <is>
          <t>도계동</t>
        </is>
      </c>
      <c r="AG35" s="0" t="inlineStr">
        <is>
          <t>경상남도 창원시 의창구 하남천서길5번길 13</t>
        </is>
      </c>
      <c r="AH35" s="0" t="n">
        <v>0</v>
      </c>
      <c r="AI35" s="0" t="n">
        <v>270</v>
      </c>
    </row>
    <row r="36">
      <c r="A36" s="0" t="inlineStr">
        <is>
          <t>[도계동]</t>
        </is>
      </c>
      <c r="B36" s="0" t="n">
        <v>16789</v>
      </c>
      <c r="C36" s="0" t="n">
        <v>6</v>
      </c>
      <c r="D36" s="0" t="inlineStr">
        <is>
          <t>강남프라자</t>
        </is>
      </c>
      <c r="E36" s="0" t="inlineStr">
        <is>
          <t>1995.02.</t>
        </is>
      </c>
      <c r="F36" s="0" t="n">
        <v>47</v>
      </c>
      <c r="G36" s="0" t="n">
        <v>30.66</v>
      </c>
      <c r="H36" s="0" t="n">
        <v>101.37</v>
      </c>
      <c r="I36" s="0" t="n">
        <v>22.33</v>
      </c>
      <c r="J36" s="0" t="n">
        <v>73.83</v>
      </c>
      <c r="K36" s="0" t="n">
        <v>1</v>
      </c>
      <c r="T36" s="0" t="n">
        <v>3</v>
      </c>
      <c r="U36" s="0" t="n">
        <v>2</v>
      </c>
      <c r="V36" s="0" t="inlineStr">
        <is>
          <t>계단식</t>
        </is>
      </c>
      <c r="W36" s="0" t="n">
        <v>101</v>
      </c>
      <c r="X36" s="0" t="n">
        <v>8</v>
      </c>
      <c r="Y36" s="0" t="n">
        <v>6</v>
      </c>
      <c r="Z36" s="0" t="inlineStr">
        <is>
          <t>https://new.land.naver.com/complexes/16789?tab=detail&amp;rf=Y</t>
        </is>
      </c>
      <c r="AA36" s="0" t="inlineStr">
        <is>
          <t>경상남도 창원시 의창구 도계동 326-1</t>
        </is>
      </c>
      <c r="AB36" s="0" t="inlineStr">
        <is>
          <t>경상남도</t>
        </is>
      </c>
      <c r="AC36" s="0" t="inlineStr">
        <is>
          <t>창원시</t>
        </is>
      </c>
      <c r="AD36" s="0" t="inlineStr">
        <is>
          <t>의창구</t>
        </is>
      </c>
      <c r="AE36" s="0" t="inlineStr">
        <is>
          <t>도계동</t>
        </is>
      </c>
      <c r="AG36" s="0" t="inlineStr">
        <is>
          <t>경상남도 창원시 의창구 하남천서길5번길 13</t>
        </is>
      </c>
      <c r="AH36" s="0" t="n">
        <v>0</v>
      </c>
      <c r="AI36" s="0" t="n">
        <v>270</v>
      </c>
    </row>
    <row r="37">
      <c r="A37" s="0" t="inlineStr">
        <is>
          <t>[도계동]</t>
        </is>
      </c>
      <c r="B37" s="0" t="n">
        <v>16789</v>
      </c>
      <c r="C37" s="0" t="n">
        <v>7</v>
      </c>
      <c r="D37" s="0" t="inlineStr">
        <is>
          <t>강남프라자</t>
        </is>
      </c>
      <c r="E37" s="0" t="inlineStr">
        <is>
          <t>1995.02.</t>
        </is>
      </c>
      <c r="F37" s="0" t="n">
        <v>47</v>
      </c>
      <c r="G37" s="0" t="n">
        <v>32.9</v>
      </c>
      <c r="H37" s="0" t="n">
        <v>108.79</v>
      </c>
      <c r="I37" s="0" t="n">
        <v>23.96</v>
      </c>
      <c r="J37" s="0" t="n">
        <v>79.23</v>
      </c>
      <c r="K37" s="0" t="n">
        <v>5</v>
      </c>
      <c r="T37" s="0" t="n">
        <v>3</v>
      </c>
      <c r="U37" s="0" t="n">
        <v>2</v>
      </c>
      <c r="V37" s="0" t="inlineStr">
        <is>
          <t>계단식</t>
        </is>
      </c>
      <c r="W37" s="0" t="n">
        <v>108</v>
      </c>
      <c r="X37" s="0" t="n">
        <v>8</v>
      </c>
      <c r="Y37" s="0" t="n">
        <v>6</v>
      </c>
      <c r="Z37" s="0" t="inlineStr">
        <is>
          <t>https://new.land.naver.com/complexes/16789?tab=detail&amp;rf=Y</t>
        </is>
      </c>
      <c r="AA37" s="0" t="inlineStr">
        <is>
          <t>경상남도 창원시 의창구 도계동 326-1</t>
        </is>
      </c>
      <c r="AB37" s="0" t="inlineStr">
        <is>
          <t>경상남도</t>
        </is>
      </c>
      <c r="AC37" s="0" t="inlineStr">
        <is>
          <t>창원시</t>
        </is>
      </c>
      <c r="AD37" s="0" t="inlineStr">
        <is>
          <t>의창구</t>
        </is>
      </c>
      <c r="AE37" s="0" t="inlineStr">
        <is>
          <t>도계동</t>
        </is>
      </c>
      <c r="AG37" s="0" t="inlineStr">
        <is>
          <t>경상남도 창원시 의창구 하남천서길5번길 13</t>
        </is>
      </c>
      <c r="AH37" s="0" t="n">
        <v>0</v>
      </c>
      <c r="AI37" s="0" t="n">
        <v>270</v>
      </c>
    </row>
    <row r="38">
      <c r="A38" s="0" t="inlineStr">
        <is>
          <t>[도계동]</t>
        </is>
      </c>
      <c r="B38" s="0" t="n">
        <v>137263</v>
      </c>
      <c r="C38" s="0" t="n">
        <v>1</v>
      </c>
      <c r="D38" s="0" t="inlineStr">
        <is>
          <t>강남뉴프라자</t>
        </is>
      </c>
      <c r="E38" s="0" t="inlineStr">
        <is>
          <t>1995.12.</t>
        </is>
      </c>
      <c r="F38" s="0" t="n">
        <v>36</v>
      </c>
      <c r="G38" s="0" t="n">
        <v>22.94</v>
      </c>
      <c r="H38" s="0" t="n">
        <v>75.86</v>
      </c>
      <c r="I38" s="0" t="n">
        <v>18.13</v>
      </c>
      <c r="J38" s="0" t="n">
        <v>59.96</v>
      </c>
      <c r="K38" s="0" t="n">
        <v>18</v>
      </c>
      <c r="T38" s="0" t="n">
        <v>3</v>
      </c>
      <c r="U38" s="0" t="n">
        <v>2</v>
      </c>
      <c r="V38" s="0" t="inlineStr">
        <is>
          <t>계단식</t>
        </is>
      </c>
      <c r="W38" s="0" t="n">
        <v>75</v>
      </c>
      <c r="X38" s="0" t="n">
        <v>10</v>
      </c>
      <c r="Y38" s="0" t="n">
        <v>10</v>
      </c>
      <c r="Z38" s="0" t="inlineStr">
        <is>
          <t>https://new.land.naver.com/complexes/137263?tab=detail&amp;rf=Y</t>
        </is>
      </c>
      <c r="AA38" s="0" t="inlineStr">
        <is>
          <t>경상남도 창원시 의창구 도계동 353-4</t>
        </is>
      </c>
      <c r="AB38" s="0" t="inlineStr">
        <is>
          <t>경상남도</t>
        </is>
      </c>
      <c r="AC38" s="0" t="inlineStr">
        <is>
          <t>창원시</t>
        </is>
      </c>
      <c r="AD38" s="0" t="inlineStr">
        <is>
          <t>의창구</t>
        </is>
      </c>
      <c r="AE38" s="0" t="inlineStr">
        <is>
          <t>도계동</t>
        </is>
      </c>
      <c r="AG38" s="0" t="inlineStr">
        <is>
          <t>경상남도 창원시 의창구 도계로60번길 5-19</t>
        </is>
      </c>
      <c r="AH38" s="0" t="n">
        <v>0</v>
      </c>
      <c r="AI38" s="0" t="n">
        <v>330</v>
      </c>
    </row>
    <row r="39">
      <c r="A39" s="0" t="inlineStr">
        <is>
          <t>[도계동]</t>
        </is>
      </c>
      <c r="B39" s="0" t="n">
        <v>137263</v>
      </c>
      <c r="C39" s="0" t="n">
        <v>2</v>
      </c>
      <c r="D39" s="0" t="inlineStr">
        <is>
          <t>강남뉴프라자</t>
        </is>
      </c>
      <c r="E39" s="0" t="inlineStr">
        <is>
          <t>1995.12.</t>
        </is>
      </c>
      <c r="F39" s="0" t="n">
        <v>36</v>
      </c>
      <c r="G39" s="0" t="n">
        <v>29.91</v>
      </c>
      <c r="H39" s="0" t="n">
        <v>98.90000000000001</v>
      </c>
      <c r="I39" s="0" t="n">
        <v>23.64</v>
      </c>
      <c r="J39" s="0" t="n">
        <v>78.17</v>
      </c>
      <c r="K39" s="0" t="n">
        <v>9</v>
      </c>
      <c r="T39" s="0" t="n">
        <v>3</v>
      </c>
      <c r="U39" s="0" t="n">
        <v>2</v>
      </c>
      <c r="V39" s="0" t="inlineStr">
        <is>
          <t>계단식</t>
        </is>
      </c>
      <c r="W39" s="0" t="n">
        <v>98</v>
      </c>
      <c r="X39" s="0" t="n">
        <v>10</v>
      </c>
      <c r="Y39" s="0" t="n">
        <v>10</v>
      </c>
      <c r="Z39" s="0" t="inlineStr">
        <is>
          <t>https://new.land.naver.com/complexes/137263?tab=detail&amp;rf=Y</t>
        </is>
      </c>
      <c r="AA39" s="0" t="inlineStr">
        <is>
          <t>경상남도 창원시 의창구 도계동 353-4</t>
        </is>
      </c>
      <c r="AB39" s="0" t="inlineStr">
        <is>
          <t>경상남도</t>
        </is>
      </c>
      <c r="AC39" s="0" t="inlineStr">
        <is>
          <t>창원시</t>
        </is>
      </c>
      <c r="AD39" s="0" t="inlineStr">
        <is>
          <t>의창구</t>
        </is>
      </c>
      <c r="AE39" s="0" t="inlineStr">
        <is>
          <t>도계동</t>
        </is>
      </c>
      <c r="AG39" s="0" t="inlineStr">
        <is>
          <t>경상남도 창원시 의창구 도계로60번길 5-19</t>
        </is>
      </c>
      <c r="AH39" s="0" t="n">
        <v>0</v>
      </c>
      <c r="AI39" s="0" t="n">
        <v>330</v>
      </c>
    </row>
    <row r="40">
      <c r="A40" s="0" t="inlineStr">
        <is>
          <t>[도계동]</t>
        </is>
      </c>
      <c r="B40" s="0" t="n">
        <v>137263</v>
      </c>
      <c r="C40" s="0" t="n">
        <v>3</v>
      </c>
      <c r="D40" s="0" t="inlineStr">
        <is>
          <t>강남뉴프라자</t>
        </is>
      </c>
      <c r="E40" s="0" t="inlineStr">
        <is>
          <t>1995.12.</t>
        </is>
      </c>
      <c r="F40" s="0" t="n">
        <v>36</v>
      </c>
      <c r="G40" s="0" t="n">
        <v>31.09</v>
      </c>
      <c r="H40" s="0" t="n">
        <v>102.79</v>
      </c>
      <c r="I40" s="0" t="n">
        <v>24.57</v>
      </c>
      <c r="J40" s="0" t="n">
        <v>81.25</v>
      </c>
      <c r="K40" s="0" t="n">
        <v>9</v>
      </c>
      <c r="T40" s="0" t="n">
        <v>3</v>
      </c>
      <c r="U40" s="0" t="n">
        <v>2</v>
      </c>
      <c r="V40" s="0" t="inlineStr">
        <is>
          <t>계단식</t>
        </is>
      </c>
      <c r="W40" s="0" t="n">
        <v>102</v>
      </c>
      <c r="X40" s="0" t="n">
        <v>10</v>
      </c>
      <c r="Y40" s="0" t="n">
        <v>10</v>
      </c>
      <c r="Z40" s="0" t="inlineStr">
        <is>
          <t>https://new.land.naver.com/complexes/137263?tab=detail&amp;rf=Y</t>
        </is>
      </c>
      <c r="AA40" s="0" t="inlineStr">
        <is>
          <t>경상남도 창원시 의창구 도계동 353-4</t>
        </is>
      </c>
      <c r="AB40" s="0" t="inlineStr">
        <is>
          <t>경상남도</t>
        </is>
      </c>
      <c r="AC40" s="0" t="inlineStr">
        <is>
          <t>창원시</t>
        </is>
      </c>
      <c r="AD40" s="0" t="inlineStr">
        <is>
          <t>의창구</t>
        </is>
      </c>
      <c r="AE40" s="0" t="inlineStr">
        <is>
          <t>도계동</t>
        </is>
      </c>
      <c r="AG40" s="0" t="inlineStr">
        <is>
          <t>경상남도 창원시 의창구 도계로60번길 5-19</t>
        </is>
      </c>
      <c r="AH40" s="0" t="n">
        <v>0</v>
      </c>
      <c r="AI40" s="0" t="n">
        <v>330</v>
      </c>
    </row>
    <row r="41">
      <c r="A41" s="0" t="inlineStr">
        <is>
          <t>[도계동]</t>
        </is>
      </c>
      <c r="B41" s="0" t="n">
        <v>142940</v>
      </c>
      <c r="C41" s="0" t="n">
        <v>1</v>
      </c>
      <c r="D41" s="0" t="inlineStr">
        <is>
          <t>청방</t>
        </is>
      </c>
      <c r="E41" s="0" t="inlineStr">
        <is>
          <t>1994.11.</t>
        </is>
      </c>
      <c r="F41" s="0" t="n">
        <v>34</v>
      </c>
      <c r="G41" s="0" t="n">
        <v>22.61</v>
      </c>
      <c r="H41" s="0" t="n">
        <v>74.77</v>
      </c>
      <c r="I41" s="0" t="n">
        <v>18.13</v>
      </c>
      <c r="J41" s="0" t="n">
        <v>59.94</v>
      </c>
      <c r="K41" s="0" t="n">
        <v>14</v>
      </c>
      <c r="T41" s="0" t="n">
        <v>3</v>
      </c>
      <c r="U41" s="0" t="n">
        <v>2</v>
      </c>
      <c r="V41" s="0" t="inlineStr">
        <is>
          <t>계단식</t>
        </is>
      </c>
      <c r="W41" s="0" t="n">
        <v>74</v>
      </c>
      <c r="X41" s="0" t="n">
        <v>10</v>
      </c>
      <c r="Y41" s="0" t="n">
        <v>7</v>
      </c>
      <c r="Z41" s="0" t="inlineStr">
        <is>
          <t>https://new.land.naver.com/complexes/142940?tab=detail&amp;rf=Y</t>
        </is>
      </c>
      <c r="AA41" s="0" t="inlineStr">
        <is>
          <t>경상남도 창원시 의창구 도계동 315-2</t>
        </is>
      </c>
      <c r="AB41" s="0" t="inlineStr">
        <is>
          <t>경상남도</t>
        </is>
      </c>
      <c r="AC41" s="0" t="inlineStr">
        <is>
          <t>창원시</t>
        </is>
      </c>
      <c r="AD41" s="0" t="inlineStr">
        <is>
          <t>의창구</t>
        </is>
      </c>
      <c r="AE41" s="0" t="inlineStr">
        <is>
          <t>도계동</t>
        </is>
      </c>
      <c r="AG41" s="0" t="inlineStr">
        <is>
          <t>경상남도 창원시 의창구 도계두리길 76</t>
        </is>
      </c>
      <c r="AH41" s="0" t="n">
        <v>0</v>
      </c>
      <c r="AI41" s="0" t="n">
        <v>216</v>
      </c>
    </row>
    <row r="42">
      <c r="A42" s="0" t="inlineStr">
        <is>
          <t>[도계동]</t>
        </is>
      </c>
      <c r="B42" s="0" t="n">
        <v>142940</v>
      </c>
      <c r="C42" s="0" t="n">
        <v>2</v>
      </c>
      <c r="D42" s="0" t="inlineStr">
        <is>
          <t>청방</t>
        </is>
      </c>
      <c r="E42" s="0" t="inlineStr">
        <is>
          <t>1994.11.</t>
        </is>
      </c>
      <c r="F42" s="0" t="n">
        <v>34</v>
      </c>
      <c r="G42" s="0" t="n">
        <v>22.57</v>
      </c>
      <c r="H42" s="0" t="n">
        <v>74.64</v>
      </c>
      <c r="I42" s="0" t="n">
        <v>18.09</v>
      </c>
      <c r="J42" s="0" t="n">
        <v>59.83</v>
      </c>
      <c r="K42" s="0" t="n">
        <v>2</v>
      </c>
      <c r="T42" s="0" t="n">
        <v>3</v>
      </c>
      <c r="U42" s="0" t="n">
        <v>1</v>
      </c>
      <c r="V42" s="0" t="inlineStr">
        <is>
          <t>계단식</t>
        </is>
      </c>
      <c r="W42" s="0" t="inlineStr">
        <is>
          <t>74A</t>
        </is>
      </c>
      <c r="X42" s="0" t="n">
        <v>10</v>
      </c>
      <c r="Y42" s="0" t="n">
        <v>7</v>
      </c>
      <c r="Z42" s="0" t="inlineStr">
        <is>
          <t>https://new.land.naver.com/complexes/142940?tab=detail&amp;rf=Y</t>
        </is>
      </c>
      <c r="AA42" s="0" t="inlineStr">
        <is>
          <t>경상남도 창원시 의창구 도계동 315-2</t>
        </is>
      </c>
      <c r="AB42" s="0" t="inlineStr">
        <is>
          <t>경상남도</t>
        </is>
      </c>
      <c r="AC42" s="0" t="inlineStr">
        <is>
          <t>창원시</t>
        </is>
      </c>
      <c r="AD42" s="0" t="inlineStr">
        <is>
          <t>의창구</t>
        </is>
      </c>
      <c r="AE42" s="0" t="inlineStr">
        <is>
          <t>도계동</t>
        </is>
      </c>
      <c r="AG42" s="0" t="inlineStr">
        <is>
          <t>경상남도 창원시 의창구 도계두리길 76</t>
        </is>
      </c>
      <c r="AH42" s="0" t="n">
        <v>0</v>
      </c>
      <c r="AI42" s="0" t="n">
        <v>216</v>
      </c>
    </row>
    <row r="43">
      <c r="A43" s="0" t="inlineStr">
        <is>
          <t>[도계동]</t>
        </is>
      </c>
      <c r="B43" s="0" t="n">
        <v>142940</v>
      </c>
      <c r="C43" s="0" t="n">
        <v>3</v>
      </c>
      <c r="D43" s="0" t="inlineStr">
        <is>
          <t>청방</t>
        </is>
      </c>
      <c r="E43" s="0" t="inlineStr">
        <is>
          <t>1994.11.</t>
        </is>
      </c>
      <c r="F43" s="0" t="n">
        <v>34</v>
      </c>
      <c r="G43" s="0" t="n">
        <v>27.23</v>
      </c>
      <c r="H43" s="0" t="n">
        <v>90.04000000000001</v>
      </c>
      <c r="I43" s="0" t="n">
        <v>21.83</v>
      </c>
      <c r="J43" s="0" t="n">
        <v>72.18000000000001</v>
      </c>
      <c r="K43" s="0" t="n">
        <v>18</v>
      </c>
      <c r="T43" s="0" t="n">
        <v>3</v>
      </c>
      <c r="U43" s="0" t="n">
        <v>1</v>
      </c>
      <c r="V43" s="0" t="inlineStr">
        <is>
          <t>계단식</t>
        </is>
      </c>
      <c r="W43" s="0" t="inlineStr">
        <is>
          <t>90B</t>
        </is>
      </c>
      <c r="X43" s="0" t="n">
        <v>10</v>
      </c>
      <c r="Y43" s="0" t="n">
        <v>7</v>
      </c>
      <c r="Z43" s="0" t="inlineStr">
        <is>
          <t>https://new.land.naver.com/complexes/142940?tab=detail&amp;rf=Y</t>
        </is>
      </c>
      <c r="AA43" s="0" t="inlineStr">
        <is>
          <t>경상남도 창원시 의창구 도계동 315-2</t>
        </is>
      </c>
      <c r="AB43" s="0" t="inlineStr">
        <is>
          <t>경상남도</t>
        </is>
      </c>
      <c r="AC43" s="0" t="inlineStr">
        <is>
          <t>창원시</t>
        </is>
      </c>
      <c r="AD43" s="0" t="inlineStr">
        <is>
          <t>의창구</t>
        </is>
      </c>
      <c r="AE43" s="0" t="inlineStr">
        <is>
          <t>도계동</t>
        </is>
      </c>
      <c r="AG43" s="0" t="inlineStr">
        <is>
          <t>경상남도 창원시 의창구 도계두리길 76</t>
        </is>
      </c>
      <c r="AH43" s="0" t="n">
        <v>0</v>
      </c>
      <c r="AI43" s="0" t="n">
        <v>216</v>
      </c>
    </row>
    <row r="44">
      <c r="A44" s="0" t="inlineStr">
        <is>
          <t>[도계동]</t>
        </is>
      </c>
      <c r="B44" s="0" t="n">
        <v>16787</v>
      </c>
      <c r="C44" s="0" t="n">
        <v>1</v>
      </c>
      <c r="D44" s="0" t="inlineStr">
        <is>
          <t>금강장미</t>
        </is>
      </c>
      <c r="E44" s="0" t="inlineStr">
        <is>
          <t>1995.05.</t>
        </is>
      </c>
      <c r="F44" s="0" t="n">
        <v>28</v>
      </c>
      <c r="G44" s="0" t="n">
        <v>22.09</v>
      </c>
      <c r="H44" s="0" t="n">
        <v>73.05</v>
      </c>
      <c r="I44" s="0" t="n">
        <v>17.86</v>
      </c>
      <c r="J44" s="0" t="n">
        <v>59.07</v>
      </c>
      <c r="K44" s="0" t="n">
        <v>14</v>
      </c>
      <c r="T44" s="0" t="n">
        <v>3</v>
      </c>
      <c r="U44" s="0" t="n">
        <v>1</v>
      </c>
      <c r="V44" s="0" t="inlineStr">
        <is>
          <t>계단식</t>
        </is>
      </c>
      <c r="W44" s="0" t="n">
        <v>73</v>
      </c>
      <c r="X44" s="0" t="n">
        <v>7</v>
      </c>
      <c r="Y44" s="0" t="n">
        <v>7</v>
      </c>
      <c r="Z44" s="0" t="inlineStr">
        <is>
          <t>https://new.land.naver.com/complexes/16787?tab=detail&amp;rf=Y</t>
        </is>
      </c>
      <c r="AA44" s="0" t="inlineStr">
        <is>
          <t>경상남도 창원시 의창구 도계동 302-5</t>
        </is>
      </c>
      <c r="AB44" s="0" t="inlineStr">
        <is>
          <t>경상남도</t>
        </is>
      </c>
      <c r="AC44" s="0" t="inlineStr">
        <is>
          <t>창원시</t>
        </is>
      </c>
      <c r="AD44" s="0" t="inlineStr">
        <is>
          <t>의창구</t>
        </is>
      </c>
      <c r="AE44" s="0" t="inlineStr">
        <is>
          <t>도계동</t>
        </is>
      </c>
      <c r="AG44" s="0" t="inlineStr">
        <is>
          <t>경상남도 창원시 의창구 도계두리길6번길 5-8</t>
        </is>
      </c>
      <c r="AH44" s="0" t="n">
        <v>0</v>
      </c>
      <c r="AI44" s="0" t="n">
        <v>214</v>
      </c>
    </row>
    <row r="45">
      <c r="A45" s="0" t="inlineStr">
        <is>
          <t>[도계동]</t>
        </is>
      </c>
      <c r="B45" s="0" t="n">
        <v>16787</v>
      </c>
      <c r="C45" s="0" t="n">
        <v>2</v>
      </c>
      <c r="D45" s="0" t="inlineStr">
        <is>
          <t>금강장미</t>
        </is>
      </c>
      <c r="E45" s="0" t="inlineStr">
        <is>
          <t>1995.05.</t>
        </is>
      </c>
      <c r="F45" s="0" t="n">
        <v>28</v>
      </c>
      <c r="G45" s="0" t="n">
        <v>23.99</v>
      </c>
      <c r="H45" s="0" t="n">
        <v>79.31999999999999</v>
      </c>
      <c r="I45" s="0" t="n">
        <v>19.4</v>
      </c>
      <c r="J45" s="0" t="n">
        <v>64.14</v>
      </c>
      <c r="K45" s="0" t="n">
        <v>2</v>
      </c>
      <c r="T45" s="0" t="n">
        <v>3</v>
      </c>
      <c r="U45" s="0" t="n">
        <v>1</v>
      </c>
      <c r="V45" s="0" t="inlineStr">
        <is>
          <t>계단식</t>
        </is>
      </c>
      <c r="W45" s="0" t="n">
        <v>79</v>
      </c>
      <c r="X45" s="0" t="n">
        <v>7</v>
      </c>
      <c r="Y45" s="0" t="n">
        <v>7</v>
      </c>
      <c r="Z45" s="0" t="inlineStr">
        <is>
          <t>https://new.land.naver.com/complexes/16787?tab=detail&amp;rf=Y</t>
        </is>
      </c>
      <c r="AA45" s="0" t="inlineStr">
        <is>
          <t>경상남도 창원시 의창구 도계동 302-5</t>
        </is>
      </c>
      <c r="AB45" s="0" t="inlineStr">
        <is>
          <t>경상남도</t>
        </is>
      </c>
      <c r="AC45" s="0" t="inlineStr">
        <is>
          <t>창원시</t>
        </is>
      </c>
      <c r="AD45" s="0" t="inlineStr">
        <is>
          <t>의창구</t>
        </is>
      </c>
      <c r="AE45" s="0" t="inlineStr">
        <is>
          <t>도계동</t>
        </is>
      </c>
      <c r="AG45" s="0" t="inlineStr">
        <is>
          <t>경상남도 창원시 의창구 도계두리길6번길 5-8</t>
        </is>
      </c>
      <c r="AH45" s="0" t="n">
        <v>0</v>
      </c>
      <c r="AI45" s="0" t="n">
        <v>214</v>
      </c>
    </row>
    <row r="46">
      <c r="A46" s="0" t="inlineStr">
        <is>
          <t>[도계동]</t>
        </is>
      </c>
      <c r="B46" s="0" t="n">
        <v>16787</v>
      </c>
      <c r="C46" s="0" t="n">
        <v>3</v>
      </c>
      <c r="D46" s="0" t="inlineStr">
        <is>
          <t>금강장미</t>
        </is>
      </c>
      <c r="E46" s="0" t="inlineStr">
        <is>
          <t>1995.05.</t>
        </is>
      </c>
      <c r="F46" s="0" t="n">
        <v>28</v>
      </c>
      <c r="G46" s="0" t="n">
        <v>28.03</v>
      </c>
      <c r="H46" s="0" t="n">
        <v>92.67</v>
      </c>
      <c r="I46" s="0" t="n">
        <v>22.66</v>
      </c>
      <c r="J46" s="0" t="n">
        <v>74.94</v>
      </c>
      <c r="K46" s="0" t="n">
        <v>12</v>
      </c>
      <c r="T46" s="0" t="n">
        <v>3</v>
      </c>
      <c r="U46" s="0" t="n">
        <v>1</v>
      </c>
      <c r="V46" s="0" t="inlineStr">
        <is>
          <t>계단식</t>
        </is>
      </c>
      <c r="W46" s="0" t="n">
        <v>92</v>
      </c>
      <c r="X46" s="0" t="n">
        <v>7</v>
      </c>
      <c r="Y46" s="0" t="n">
        <v>7</v>
      </c>
      <c r="Z46" s="0" t="inlineStr">
        <is>
          <t>https://new.land.naver.com/complexes/16787?tab=detail&amp;rf=Y</t>
        </is>
      </c>
      <c r="AA46" s="0" t="inlineStr">
        <is>
          <t>경상남도 창원시 의창구 도계동 302-5</t>
        </is>
      </c>
      <c r="AB46" s="0" t="inlineStr">
        <is>
          <t>경상남도</t>
        </is>
      </c>
      <c r="AC46" s="0" t="inlineStr">
        <is>
          <t>창원시</t>
        </is>
      </c>
      <c r="AD46" s="0" t="inlineStr">
        <is>
          <t>의창구</t>
        </is>
      </c>
      <c r="AE46" s="0" t="inlineStr">
        <is>
          <t>도계동</t>
        </is>
      </c>
      <c r="AG46" s="0" t="inlineStr">
        <is>
          <t>경상남도 창원시 의창구 도계두리길6번길 5-8</t>
        </is>
      </c>
      <c r="AH46" s="0" t="n">
        <v>0</v>
      </c>
      <c r="AI46" s="0" t="n">
        <v>214</v>
      </c>
    </row>
    <row r="47">
      <c r="A47" s="0" t="inlineStr">
        <is>
          <t>[도계동]</t>
        </is>
      </c>
      <c r="B47" s="0" t="n">
        <v>124544</v>
      </c>
      <c r="C47" s="0" t="n">
        <v>1</v>
      </c>
      <c r="D47" s="0" t="inlineStr">
        <is>
          <t>청호</t>
        </is>
      </c>
      <c r="E47" s="0" t="inlineStr">
        <is>
          <t>1995.02.</t>
        </is>
      </c>
      <c r="F47" s="0" t="n">
        <v>46</v>
      </c>
      <c r="G47" s="0" t="n">
        <v>17.76</v>
      </c>
      <c r="H47" s="0" t="n">
        <v>58.74</v>
      </c>
      <c r="I47" s="0" t="n">
        <v>15.69</v>
      </c>
      <c r="J47" s="0" t="n">
        <v>51.9</v>
      </c>
      <c r="K47" s="0" t="n">
        <v>2</v>
      </c>
      <c r="T47" s="0" t="n">
        <v>2</v>
      </c>
      <c r="U47" s="0" t="n">
        <v>1</v>
      </c>
      <c r="V47" s="0" t="inlineStr">
        <is>
          <t>복도식</t>
        </is>
      </c>
      <c r="W47" s="0" t="n">
        <v>58</v>
      </c>
      <c r="X47" s="0" t="n">
        <v>15</v>
      </c>
      <c r="Y47" s="0" t="n">
        <v>14</v>
      </c>
      <c r="Z47" s="0" t="inlineStr">
        <is>
          <t>https://new.land.naver.com/complexes/124544?tab=detail&amp;rf=Y</t>
        </is>
      </c>
      <c r="AA47" s="0" t="inlineStr">
        <is>
          <t>경상남도 창원시 의창구 도계동 319-3</t>
        </is>
      </c>
      <c r="AB47" s="0" t="inlineStr">
        <is>
          <t>경상남도</t>
        </is>
      </c>
      <c r="AC47" s="0" t="inlineStr">
        <is>
          <t>창원시</t>
        </is>
      </c>
      <c r="AD47" s="0" t="inlineStr">
        <is>
          <t>의창구</t>
        </is>
      </c>
      <c r="AE47" s="0" t="inlineStr">
        <is>
          <t>도계동</t>
        </is>
      </c>
      <c r="AG47" s="0" t="inlineStr">
        <is>
          <t>경상남도 창원시 의창구 하남천서길 67</t>
        </is>
      </c>
      <c r="AH47" s="0" t="n">
        <v>0</v>
      </c>
      <c r="AI47" s="0" t="n">
        <v>387</v>
      </c>
    </row>
    <row r="48">
      <c r="A48" s="0" t="inlineStr">
        <is>
          <t>[도계동]</t>
        </is>
      </c>
      <c r="B48" s="0" t="n">
        <v>124544</v>
      </c>
      <c r="C48" s="0" t="n">
        <v>2</v>
      </c>
      <c r="D48" s="0" t="inlineStr">
        <is>
          <t>청호</t>
        </is>
      </c>
      <c r="E48" s="0" t="inlineStr">
        <is>
          <t>1995.02.</t>
        </is>
      </c>
      <c r="F48" s="0" t="n">
        <v>46</v>
      </c>
      <c r="G48" s="0" t="n">
        <v>20.28</v>
      </c>
      <c r="H48" s="0" t="n">
        <v>67.06</v>
      </c>
      <c r="I48" s="0" t="n">
        <v>17.95</v>
      </c>
      <c r="J48" s="0" t="n">
        <v>59.35</v>
      </c>
      <c r="K48" s="0" t="n">
        <v>15</v>
      </c>
      <c r="T48" s="0" t="n">
        <v>3</v>
      </c>
      <c r="U48" s="0" t="n">
        <v>1</v>
      </c>
      <c r="V48" s="0" t="inlineStr">
        <is>
          <t>계단식</t>
        </is>
      </c>
      <c r="W48" s="0" t="n">
        <v>67</v>
      </c>
      <c r="X48" s="0" t="n">
        <v>15</v>
      </c>
      <c r="Y48" s="0" t="n">
        <v>14</v>
      </c>
      <c r="Z48" s="0" t="inlineStr">
        <is>
          <t>https://new.land.naver.com/complexes/124544?tab=detail&amp;rf=Y</t>
        </is>
      </c>
      <c r="AA48" s="0" t="inlineStr">
        <is>
          <t>경상남도 창원시 의창구 도계동 319-3</t>
        </is>
      </c>
      <c r="AB48" s="0" t="inlineStr">
        <is>
          <t>경상남도</t>
        </is>
      </c>
      <c r="AC48" s="0" t="inlineStr">
        <is>
          <t>창원시</t>
        </is>
      </c>
      <c r="AD48" s="0" t="inlineStr">
        <is>
          <t>의창구</t>
        </is>
      </c>
      <c r="AE48" s="0" t="inlineStr">
        <is>
          <t>도계동</t>
        </is>
      </c>
      <c r="AG48" s="0" t="inlineStr">
        <is>
          <t>경상남도 창원시 의창구 하남천서길 67</t>
        </is>
      </c>
      <c r="AH48" s="0" t="n">
        <v>0</v>
      </c>
      <c r="AI48" s="0" t="n">
        <v>387</v>
      </c>
    </row>
    <row r="49">
      <c r="A49" s="0" t="inlineStr">
        <is>
          <t>[도계동]</t>
        </is>
      </c>
      <c r="B49" s="0" t="n">
        <v>124544</v>
      </c>
      <c r="C49" s="0" t="n">
        <v>3</v>
      </c>
      <c r="D49" s="0" t="inlineStr">
        <is>
          <t>청호</t>
        </is>
      </c>
      <c r="E49" s="0" t="inlineStr">
        <is>
          <t>1995.02.</t>
        </is>
      </c>
      <c r="F49" s="0" t="n">
        <v>46</v>
      </c>
      <c r="G49" s="0" t="n">
        <v>25</v>
      </c>
      <c r="H49" s="0" t="n">
        <v>82.66</v>
      </c>
      <c r="I49" s="0" t="n">
        <v>22.13</v>
      </c>
      <c r="J49" s="0" t="n">
        <v>73.16</v>
      </c>
      <c r="K49" s="0" t="n">
        <v>14</v>
      </c>
      <c r="T49" s="0" t="n">
        <v>3</v>
      </c>
      <c r="U49" s="0" t="n">
        <v>2</v>
      </c>
      <c r="V49" s="0" t="inlineStr">
        <is>
          <t>계단식</t>
        </is>
      </c>
      <c r="W49" s="0" t="n">
        <v>82</v>
      </c>
      <c r="X49" s="0" t="n">
        <v>15</v>
      </c>
      <c r="Y49" s="0" t="n">
        <v>14</v>
      </c>
      <c r="Z49" s="0" t="inlineStr">
        <is>
          <t>https://new.land.naver.com/complexes/124544?tab=detail&amp;rf=Y</t>
        </is>
      </c>
      <c r="AA49" s="0" t="inlineStr">
        <is>
          <t>경상남도 창원시 의창구 도계동 319-3</t>
        </is>
      </c>
      <c r="AB49" s="0" t="inlineStr">
        <is>
          <t>경상남도</t>
        </is>
      </c>
      <c r="AC49" s="0" t="inlineStr">
        <is>
          <t>창원시</t>
        </is>
      </c>
      <c r="AD49" s="0" t="inlineStr">
        <is>
          <t>의창구</t>
        </is>
      </c>
      <c r="AE49" s="0" t="inlineStr">
        <is>
          <t>도계동</t>
        </is>
      </c>
      <c r="AG49" s="0" t="inlineStr">
        <is>
          <t>경상남도 창원시 의창구 하남천서길 67</t>
        </is>
      </c>
      <c r="AH49" s="0" t="n">
        <v>0</v>
      </c>
      <c r="AI49" s="0" t="n">
        <v>387</v>
      </c>
    </row>
    <row r="50">
      <c r="A50" s="0" t="inlineStr">
        <is>
          <t>[도계동]</t>
        </is>
      </c>
      <c r="B50" s="0" t="n">
        <v>124544</v>
      </c>
      <c r="C50" s="0" t="n">
        <v>4</v>
      </c>
      <c r="D50" s="0" t="inlineStr">
        <is>
          <t>청호</t>
        </is>
      </c>
      <c r="E50" s="0" t="inlineStr">
        <is>
          <t>1995.02.</t>
        </is>
      </c>
      <c r="F50" s="0" t="n">
        <v>46</v>
      </c>
      <c r="G50" s="0" t="n">
        <v>28.12</v>
      </c>
      <c r="H50" s="0" t="n">
        <v>92.95999999999999</v>
      </c>
      <c r="I50" s="0" t="n">
        <v>24.88</v>
      </c>
      <c r="J50" s="0" t="n">
        <v>82.27</v>
      </c>
      <c r="K50" s="0" t="n">
        <v>12</v>
      </c>
      <c r="T50" s="0" t="n">
        <v>3</v>
      </c>
      <c r="U50" s="0" t="n">
        <v>2</v>
      </c>
      <c r="V50" s="0" t="inlineStr">
        <is>
          <t>계단식</t>
        </is>
      </c>
      <c r="W50" s="0" t="n">
        <v>92</v>
      </c>
      <c r="X50" s="0" t="n">
        <v>15</v>
      </c>
      <c r="Y50" s="0" t="n">
        <v>14</v>
      </c>
      <c r="Z50" s="0" t="inlineStr">
        <is>
          <t>https://new.land.naver.com/complexes/124544?tab=detail&amp;rf=Y</t>
        </is>
      </c>
      <c r="AA50" s="0" t="inlineStr">
        <is>
          <t>경상남도 창원시 의창구 도계동 319-3</t>
        </is>
      </c>
      <c r="AB50" s="0" t="inlineStr">
        <is>
          <t>경상남도</t>
        </is>
      </c>
      <c r="AC50" s="0" t="inlineStr">
        <is>
          <t>창원시</t>
        </is>
      </c>
      <c r="AD50" s="0" t="inlineStr">
        <is>
          <t>의창구</t>
        </is>
      </c>
      <c r="AE50" s="0" t="inlineStr">
        <is>
          <t>도계동</t>
        </is>
      </c>
      <c r="AG50" s="0" t="inlineStr">
        <is>
          <t>경상남도 창원시 의창구 하남천서길 67</t>
        </is>
      </c>
      <c r="AH50" s="0" t="n">
        <v>0</v>
      </c>
      <c r="AI50" s="0" t="n">
        <v>387</v>
      </c>
    </row>
    <row r="51">
      <c r="A51" s="0" t="inlineStr">
        <is>
          <t>[도계동]</t>
        </is>
      </c>
      <c r="B51" s="0" t="n">
        <v>132291</v>
      </c>
      <c r="C51" s="0" t="n">
        <v>1</v>
      </c>
      <c r="D51" s="0" t="inlineStr">
        <is>
          <t>보금</t>
        </is>
      </c>
      <c r="E51" s="0" t="inlineStr">
        <is>
          <t>1990.03.</t>
        </is>
      </c>
      <c r="F51" s="0" t="n">
        <v>50</v>
      </c>
      <c r="G51" s="0" t="n">
        <v>23.98</v>
      </c>
      <c r="H51" s="0" t="n">
        <v>79.29000000000001</v>
      </c>
      <c r="I51" s="0" t="n">
        <v>20.52</v>
      </c>
      <c r="J51" s="0" t="n">
        <v>67.86</v>
      </c>
      <c r="K51" s="0" t="n">
        <v>5</v>
      </c>
      <c r="T51" s="0" t="n">
        <v>3</v>
      </c>
      <c r="U51" s="0" t="n">
        <v>1</v>
      </c>
      <c r="V51" s="0" t="inlineStr">
        <is>
          <t>계단식</t>
        </is>
      </c>
      <c r="W51" s="0" t="n">
        <v>79</v>
      </c>
      <c r="X51" s="0" t="n">
        <v>5</v>
      </c>
      <c r="Y51" s="0" t="n">
        <v>5</v>
      </c>
      <c r="Z51" s="0" t="inlineStr">
        <is>
          <t>https://new.land.naver.com/complexes/132291?tab=detail&amp;rf=Y</t>
        </is>
      </c>
      <c r="AA51" s="0" t="inlineStr">
        <is>
          <t>경상남도 창원시 의창구 도계동 395-1</t>
        </is>
      </c>
      <c r="AB51" s="0" t="inlineStr">
        <is>
          <t>경상남도</t>
        </is>
      </c>
      <c r="AC51" s="0" t="inlineStr">
        <is>
          <t>창원시</t>
        </is>
      </c>
      <c r="AD51" s="0" t="inlineStr">
        <is>
          <t>의창구</t>
        </is>
      </c>
      <c r="AE51" s="0" t="inlineStr">
        <is>
          <t>도계동</t>
        </is>
      </c>
      <c r="AG51" s="0" t="inlineStr">
        <is>
          <t>경상남도 창원시 의창구 도계두리길 180-7</t>
        </is>
      </c>
      <c r="AH51" s="0" t="n">
        <v>0</v>
      </c>
      <c r="AI51" s="0" t="n">
        <v>0</v>
      </c>
    </row>
    <row r="52">
      <c r="A52" s="0" t="inlineStr">
        <is>
          <t>[도계동]</t>
        </is>
      </c>
      <c r="B52" s="0" t="n">
        <v>132291</v>
      </c>
      <c r="C52" s="0" t="n">
        <v>2</v>
      </c>
      <c r="D52" s="0" t="inlineStr">
        <is>
          <t>보금</t>
        </is>
      </c>
      <c r="E52" s="0" t="inlineStr">
        <is>
          <t>1990.03.</t>
        </is>
      </c>
      <c r="F52" s="0" t="n">
        <v>50</v>
      </c>
      <c r="G52" s="0" t="n">
        <v>24.8</v>
      </c>
      <c r="H52" s="0" t="n">
        <v>82</v>
      </c>
      <c r="I52" s="0" t="n">
        <v>21.28</v>
      </c>
      <c r="J52" s="0" t="n">
        <v>70.38</v>
      </c>
      <c r="K52" s="0" t="n">
        <v>10</v>
      </c>
      <c r="T52" s="0" t="n">
        <v>3</v>
      </c>
      <c r="U52" s="0" t="n">
        <v>1</v>
      </c>
      <c r="V52" s="0" t="inlineStr">
        <is>
          <t>계단식</t>
        </is>
      </c>
      <c r="W52" s="0" t="inlineStr">
        <is>
          <t>82A</t>
        </is>
      </c>
      <c r="X52" s="0" t="n">
        <v>5</v>
      </c>
      <c r="Y52" s="0" t="n">
        <v>5</v>
      </c>
      <c r="Z52" s="0" t="inlineStr">
        <is>
          <t>https://new.land.naver.com/complexes/132291?tab=detail&amp;rf=Y</t>
        </is>
      </c>
      <c r="AA52" s="0" t="inlineStr">
        <is>
          <t>경상남도 창원시 의창구 도계동 395-1</t>
        </is>
      </c>
      <c r="AB52" s="0" t="inlineStr">
        <is>
          <t>경상남도</t>
        </is>
      </c>
      <c r="AC52" s="0" t="inlineStr">
        <is>
          <t>창원시</t>
        </is>
      </c>
      <c r="AD52" s="0" t="inlineStr">
        <is>
          <t>의창구</t>
        </is>
      </c>
      <c r="AE52" s="0" t="inlineStr">
        <is>
          <t>도계동</t>
        </is>
      </c>
      <c r="AG52" s="0" t="inlineStr">
        <is>
          <t>경상남도 창원시 의창구 도계두리길 180-7</t>
        </is>
      </c>
      <c r="AH52" s="0" t="n">
        <v>0</v>
      </c>
      <c r="AI52" s="0" t="n">
        <v>0</v>
      </c>
    </row>
    <row r="53">
      <c r="A53" s="0" t="inlineStr">
        <is>
          <t>[도계동]</t>
        </is>
      </c>
      <c r="B53" s="0" t="n">
        <v>132291</v>
      </c>
      <c r="C53" s="0" t="n">
        <v>3</v>
      </c>
      <c r="D53" s="0" t="inlineStr">
        <is>
          <t>보금</t>
        </is>
      </c>
      <c r="E53" s="0" t="inlineStr">
        <is>
          <t>1990.03.</t>
        </is>
      </c>
      <c r="F53" s="0" t="n">
        <v>50</v>
      </c>
      <c r="G53" s="0" t="n">
        <v>25.17</v>
      </c>
      <c r="H53" s="0" t="n">
        <v>83.22</v>
      </c>
      <c r="I53" s="0" t="n">
        <v>21.63</v>
      </c>
      <c r="J53" s="0" t="n">
        <v>71.51000000000001</v>
      </c>
      <c r="K53" s="0" t="n">
        <v>10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83B</t>
        </is>
      </c>
      <c r="X53" s="0" t="n">
        <v>5</v>
      </c>
      <c r="Y53" s="0" t="n">
        <v>5</v>
      </c>
      <c r="Z53" s="0" t="inlineStr">
        <is>
          <t>https://new.land.naver.com/complexes/132291?tab=detail&amp;rf=Y</t>
        </is>
      </c>
      <c r="AA53" s="0" t="inlineStr">
        <is>
          <t>경상남도 창원시 의창구 도계동 395-1</t>
        </is>
      </c>
      <c r="AB53" s="0" t="inlineStr">
        <is>
          <t>경상남도</t>
        </is>
      </c>
      <c r="AC53" s="0" t="inlineStr">
        <is>
          <t>창원시</t>
        </is>
      </c>
      <c r="AD53" s="0" t="inlineStr">
        <is>
          <t>의창구</t>
        </is>
      </c>
      <c r="AE53" s="0" t="inlineStr">
        <is>
          <t>도계동</t>
        </is>
      </c>
      <c r="AG53" s="0" t="inlineStr">
        <is>
          <t>경상남도 창원시 의창구 도계두리길 180-7</t>
        </is>
      </c>
      <c r="AH53" s="0" t="n">
        <v>0</v>
      </c>
      <c r="AI53" s="0" t="n">
        <v>0</v>
      </c>
    </row>
    <row r="54">
      <c r="A54" s="0" t="inlineStr">
        <is>
          <t>[도계동]</t>
        </is>
      </c>
      <c r="B54" s="0" t="n">
        <v>132291</v>
      </c>
      <c r="C54" s="0" t="n">
        <v>4</v>
      </c>
      <c r="D54" s="0" t="inlineStr">
        <is>
          <t>보금</t>
        </is>
      </c>
      <c r="E54" s="0" t="inlineStr">
        <is>
          <t>1990.03.</t>
        </is>
      </c>
      <c r="F54" s="0" t="n">
        <v>50</v>
      </c>
      <c r="G54" s="0" t="n">
        <v>25.29</v>
      </c>
      <c r="H54" s="0" t="n">
        <v>83.63</v>
      </c>
      <c r="I54" s="0" t="n">
        <v>21.74</v>
      </c>
      <c r="J54" s="0" t="n">
        <v>71.89</v>
      </c>
      <c r="K54" s="0" t="n">
        <v>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83C</t>
        </is>
      </c>
      <c r="X54" s="0" t="n">
        <v>5</v>
      </c>
      <c r="Y54" s="0" t="n">
        <v>5</v>
      </c>
      <c r="Z54" s="0" t="inlineStr">
        <is>
          <t>https://new.land.naver.com/complexes/132291?tab=detail&amp;rf=Y</t>
        </is>
      </c>
      <c r="AA54" s="0" t="inlineStr">
        <is>
          <t>경상남도 창원시 의창구 도계동 395-1</t>
        </is>
      </c>
      <c r="AB54" s="0" t="inlineStr">
        <is>
          <t>경상남도</t>
        </is>
      </c>
      <c r="AC54" s="0" t="inlineStr">
        <is>
          <t>창원시</t>
        </is>
      </c>
      <c r="AD54" s="0" t="inlineStr">
        <is>
          <t>의창구</t>
        </is>
      </c>
      <c r="AE54" s="0" t="inlineStr">
        <is>
          <t>도계동</t>
        </is>
      </c>
      <c r="AG54" s="0" t="inlineStr">
        <is>
          <t>경상남도 창원시 의창구 도계두리길 180-7</t>
        </is>
      </c>
      <c r="AH54" s="0" t="n">
        <v>0</v>
      </c>
      <c r="AI54" s="0" t="n">
        <v>0</v>
      </c>
    </row>
    <row r="55">
      <c r="A55" s="0" t="inlineStr">
        <is>
          <t>[도계동]</t>
        </is>
      </c>
      <c r="B55" s="0" t="n">
        <v>132291</v>
      </c>
      <c r="C55" s="0" t="n">
        <v>5</v>
      </c>
      <c r="D55" s="0" t="inlineStr">
        <is>
          <t>보금</t>
        </is>
      </c>
      <c r="E55" s="0" t="inlineStr">
        <is>
          <t>1990.03.</t>
        </is>
      </c>
      <c r="F55" s="0" t="n">
        <v>50</v>
      </c>
      <c r="G55" s="0" t="n">
        <v>25.54</v>
      </c>
      <c r="H55" s="0" t="n">
        <v>84.45</v>
      </c>
      <c r="I55" s="0" t="n">
        <v>21.91</v>
      </c>
      <c r="J55" s="0" t="n">
        <v>72.43000000000001</v>
      </c>
      <c r="K55" s="0" t="n">
        <v>5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84A</t>
        </is>
      </c>
      <c r="X55" s="0" t="n">
        <v>5</v>
      </c>
      <c r="Y55" s="0" t="n">
        <v>5</v>
      </c>
      <c r="Z55" s="0" t="inlineStr">
        <is>
          <t>https://new.land.naver.com/complexes/132291?tab=detail&amp;rf=Y</t>
        </is>
      </c>
      <c r="AA55" s="0" t="inlineStr">
        <is>
          <t>경상남도 창원시 의창구 도계동 395-1</t>
        </is>
      </c>
      <c r="AB55" s="0" t="inlineStr">
        <is>
          <t>경상남도</t>
        </is>
      </c>
      <c r="AC55" s="0" t="inlineStr">
        <is>
          <t>창원시</t>
        </is>
      </c>
      <c r="AD55" s="0" t="inlineStr">
        <is>
          <t>의창구</t>
        </is>
      </c>
      <c r="AE55" s="0" t="inlineStr">
        <is>
          <t>도계동</t>
        </is>
      </c>
      <c r="AG55" s="0" t="inlineStr">
        <is>
          <t>경상남도 창원시 의창구 도계두리길 180-7</t>
        </is>
      </c>
      <c r="AH55" s="0" t="n">
        <v>0</v>
      </c>
      <c r="AI55" s="0" t="n">
        <v>0</v>
      </c>
    </row>
    <row r="56">
      <c r="A56" s="0" t="inlineStr">
        <is>
          <t>[도계동]</t>
        </is>
      </c>
      <c r="B56" s="0" t="n">
        <v>132291</v>
      </c>
      <c r="C56" s="0" t="n">
        <v>6</v>
      </c>
      <c r="D56" s="0" t="inlineStr">
        <is>
          <t>보금</t>
        </is>
      </c>
      <c r="E56" s="0" t="inlineStr">
        <is>
          <t>1990.03.</t>
        </is>
      </c>
      <c r="F56" s="0" t="n">
        <v>50</v>
      </c>
      <c r="G56" s="0" t="n">
        <v>25.84</v>
      </c>
      <c r="H56" s="0" t="n">
        <v>85.43000000000001</v>
      </c>
      <c r="I56" s="0" t="n">
        <v>22.23</v>
      </c>
      <c r="J56" s="0" t="n">
        <v>73.5</v>
      </c>
      <c r="K56" s="0" t="n">
        <v>5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85B</t>
        </is>
      </c>
      <c r="X56" s="0" t="n">
        <v>5</v>
      </c>
      <c r="Y56" s="0" t="n">
        <v>5</v>
      </c>
      <c r="Z56" s="0" t="inlineStr">
        <is>
          <t>https://new.land.naver.com/complexes/132291?tab=detail&amp;rf=Y</t>
        </is>
      </c>
      <c r="AA56" s="0" t="inlineStr">
        <is>
          <t>경상남도 창원시 의창구 도계동 395-1</t>
        </is>
      </c>
      <c r="AB56" s="0" t="inlineStr">
        <is>
          <t>경상남도</t>
        </is>
      </c>
      <c r="AC56" s="0" t="inlineStr">
        <is>
          <t>창원시</t>
        </is>
      </c>
      <c r="AD56" s="0" t="inlineStr">
        <is>
          <t>의창구</t>
        </is>
      </c>
      <c r="AE56" s="0" t="inlineStr">
        <is>
          <t>도계동</t>
        </is>
      </c>
      <c r="AG56" s="0" t="inlineStr">
        <is>
          <t>경상남도 창원시 의창구 도계두리길 180-7</t>
        </is>
      </c>
      <c r="AH56" s="0" t="n">
        <v>0</v>
      </c>
      <c r="AI56" s="0" t="n">
        <v>0</v>
      </c>
    </row>
    <row r="57">
      <c r="A57" s="0" t="inlineStr">
        <is>
          <t>[도계동]</t>
        </is>
      </c>
      <c r="B57" s="0" t="n">
        <v>132291</v>
      </c>
      <c r="C57" s="0" t="n">
        <v>7</v>
      </c>
      <c r="D57" s="0" t="inlineStr">
        <is>
          <t>보금</t>
        </is>
      </c>
      <c r="E57" s="0" t="inlineStr">
        <is>
          <t>1990.03.</t>
        </is>
      </c>
      <c r="F57" s="0" t="n">
        <v>50</v>
      </c>
      <c r="G57" s="0" t="n">
        <v>25.87</v>
      </c>
      <c r="H57" s="0" t="n">
        <v>85.54000000000001</v>
      </c>
      <c r="I57" s="0" t="n">
        <v>22.28</v>
      </c>
      <c r="J57" s="0" t="n">
        <v>73.66</v>
      </c>
      <c r="K57" s="0" t="n">
        <v>5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85C</t>
        </is>
      </c>
      <c r="X57" s="0" t="n">
        <v>5</v>
      </c>
      <c r="Y57" s="0" t="n">
        <v>5</v>
      </c>
      <c r="Z57" s="0" t="inlineStr">
        <is>
          <t>https://new.land.naver.com/complexes/132291?tab=detail&amp;rf=Y</t>
        </is>
      </c>
      <c r="AA57" s="0" t="inlineStr">
        <is>
          <t>경상남도 창원시 의창구 도계동 395-1</t>
        </is>
      </c>
      <c r="AB57" s="0" t="inlineStr">
        <is>
          <t>경상남도</t>
        </is>
      </c>
      <c r="AC57" s="0" t="inlineStr">
        <is>
          <t>창원시</t>
        </is>
      </c>
      <c r="AD57" s="0" t="inlineStr">
        <is>
          <t>의창구</t>
        </is>
      </c>
      <c r="AE57" s="0" t="inlineStr">
        <is>
          <t>도계동</t>
        </is>
      </c>
      <c r="AG57" s="0" t="inlineStr">
        <is>
          <t>경상남도 창원시 의창구 도계두리길 180-7</t>
        </is>
      </c>
      <c r="AH57" s="0" t="n">
        <v>0</v>
      </c>
      <c r="AI57" s="0" t="n">
        <v>0</v>
      </c>
    </row>
    <row r="58">
      <c r="A58" s="0" t="inlineStr">
        <is>
          <t>[도계동]</t>
        </is>
      </c>
      <c r="B58" s="0" t="n">
        <v>132291</v>
      </c>
      <c r="C58" s="0" t="n">
        <v>8</v>
      </c>
      <c r="D58" s="0" t="inlineStr">
        <is>
          <t>보금</t>
        </is>
      </c>
      <c r="E58" s="0" t="inlineStr">
        <is>
          <t>1990.03.</t>
        </is>
      </c>
      <c r="F58" s="0" t="n">
        <v>50</v>
      </c>
      <c r="G58" s="0" t="n">
        <v>26.38</v>
      </c>
      <c r="H58" s="0" t="n">
        <v>87.22</v>
      </c>
      <c r="I58" s="0" t="n">
        <v>22.68</v>
      </c>
      <c r="J58" s="0" t="n">
        <v>75</v>
      </c>
      <c r="K58" s="0" t="n">
        <v>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87D</t>
        </is>
      </c>
      <c r="X58" s="0" t="n">
        <v>5</v>
      </c>
      <c r="Y58" s="0" t="n">
        <v>5</v>
      </c>
      <c r="Z58" s="0" t="inlineStr">
        <is>
          <t>https://new.land.naver.com/complexes/132291?tab=detail&amp;rf=Y</t>
        </is>
      </c>
      <c r="AA58" s="0" t="inlineStr">
        <is>
          <t>경상남도 창원시 의창구 도계동 395-1</t>
        </is>
      </c>
      <c r="AB58" s="0" t="inlineStr">
        <is>
          <t>경상남도</t>
        </is>
      </c>
      <c r="AC58" s="0" t="inlineStr">
        <is>
          <t>창원시</t>
        </is>
      </c>
      <c r="AD58" s="0" t="inlineStr">
        <is>
          <t>의창구</t>
        </is>
      </c>
      <c r="AE58" s="0" t="inlineStr">
        <is>
          <t>도계동</t>
        </is>
      </c>
      <c r="AG58" s="0" t="inlineStr">
        <is>
          <t>경상남도 창원시 의창구 도계두리길 180-7</t>
        </is>
      </c>
      <c r="AH58" s="0" t="n">
        <v>0</v>
      </c>
      <c r="AI58" s="0" t="n">
        <v>0</v>
      </c>
    </row>
    <row r="59">
      <c r="A59" s="0" t="inlineStr">
        <is>
          <t>[도계동]</t>
        </is>
      </c>
      <c r="B59" s="0" t="n">
        <v>105386</v>
      </c>
      <c r="C59" s="0" t="n">
        <v>1</v>
      </c>
      <c r="D59" s="0" t="inlineStr">
        <is>
          <t>화목그린타워</t>
        </is>
      </c>
      <c r="E59" s="0" t="inlineStr">
        <is>
          <t>2002.06.</t>
        </is>
      </c>
      <c r="F59" s="0" t="n">
        <v>80</v>
      </c>
      <c r="G59" s="0" t="n">
        <v>17.95</v>
      </c>
      <c r="H59" s="0" t="n">
        <v>59.35</v>
      </c>
      <c r="I59" s="0" t="n">
        <v>15.68</v>
      </c>
      <c r="J59" s="0" t="n">
        <v>51.86</v>
      </c>
      <c r="K59" s="0" t="n">
        <v>1</v>
      </c>
      <c r="T59" s="0" t="n">
        <v>3</v>
      </c>
      <c r="U59" s="0" t="n">
        <v>1</v>
      </c>
      <c r="V59" s="0" t="inlineStr">
        <is>
          <t>계단식</t>
        </is>
      </c>
      <c r="W59" s="0" t="n">
        <v>59</v>
      </c>
      <c r="X59" s="0" t="n">
        <v>15</v>
      </c>
      <c r="Y59" s="0" t="n">
        <v>10</v>
      </c>
      <c r="Z59" s="0" t="inlineStr">
        <is>
          <t>https://new.land.naver.com/complexes/105386?tab=detail&amp;rf=Y</t>
        </is>
      </c>
      <c r="AA59" s="0" t="inlineStr">
        <is>
          <t>경상남도 창원시 의창구 도계동 408-4</t>
        </is>
      </c>
      <c r="AB59" s="0" t="inlineStr">
        <is>
          <t>경상남도</t>
        </is>
      </c>
      <c r="AC59" s="0" t="inlineStr">
        <is>
          <t>창원시</t>
        </is>
      </c>
      <c r="AD59" s="0" t="inlineStr">
        <is>
          <t>의창구</t>
        </is>
      </c>
      <c r="AE59" s="0" t="inlineStr">
        <is>
          <t>도계동</t>
        </is>
      </c>
      <c r="AG59" s="0" t="inlineStr">
        <is>
          <t>경상남도 창원시 의창구 태복산로15번길 36</t>
        </is>
      </c>
      <c r="AH59" s="0" t="n">
        <v>0</v>
      </c>
      <c r="AI59" s="0" t="n">
        <v>383</v>
      </c>
    </row>
    <row r="60">
      <c r="A60" s="0" t="inlineStr">
        <is>
          <t>[도계동]</t>
        </is>
      </c>
      <c r="B60" s="0" t="n">
        <v>105386</v>
      </c>
      <c r="C60" s="0" t="n">
        <v>2</v>
      </c>
      <c r="D60" s="0" t="inlineStr">
        <is>
          <t>화목그린타워</t>
        </is>
      </c>
      <c r="E60" s="0" t="inlineStr">
        <is>
          <t>2002.06.</t>
        </is>
      </c>
      <c r="F60" s="0" t="n">
        <v>80</v>
      </c>
      <c r="G60" s="0" t="n">
        <v>20.75</v>
      </c>
      <c r="H60" s="0" t="n">
        <v>68.62</v>
      </c>
      <c r="I60" s="0" t="n">
        <v>18.13</v>
      </c>
      <c r="J60" s="0" t="n">
        <v>59.96</v>
      </c>
      <c r="K60" s="0" t="n">
        <v>14</v>
      </c>
      <c r="T60" s="0" t="n">
        <v>3</v>
      </c>
      <c r="U60" s="0" t="n">
        <v>1</v>
      </c>
      <c r="V60" s="0" t="inlineStr">
        <is>
          <t>계단식</t>
        </is>
      </c>
      <c r="W60" s="0" t="inlineStr">
        <is>
          <t>68B</t>
        </is>
      </c>
      <c r="X60" s="0" t="n">
        <v>15</v>
      </c>
      <c r="Y60" s="0" t="n">
        <v>10</v>
      </c>
      <c r="Z60" s="0" t="inlineStr">
        <is>
          <t>https://new.land.naver.com/complexes/105386?tab=detail&amp;rf=Y</t>
        </is>
      </c>
      <c r="AA60" s="0" t="inlineStr">
        <is>
          <t>경상남도 창원시 의창구 도계동 408-4</t>
        </is>
      </c>
      <c r="AB60" s="0" t="inlineStr">
        <is>
          <t>경상남도</t>
        </is>
      </c>
      <c r="AC60" s="0" t="inlineStr">
        <is>
          <t>창원시</t>
        </is>
      </c>
      <c r="AD60" s="0" t="inlineStr">
        <is>
          <t>의창구</t>
        </is>
      </c>
      <c r="AE60" s="0" t="inlineStr">
        <is>
          <t>도계동</t>
        </is>
      </c>
      <c r="AG60" s="0" t="inlineStr">
        <is>
          <t>경상남도 창원시 의창구 태복산로15번길 36</t>
        </is>
      </c>
      <c r="AH60" s="0" t="n">
        <v>0</v>
      </c>
      <c r="AI60" s="0" t="n">
        <v>383</v>
      </c>
    </row>
    <row r="61">
      <c r="A61" s="0" t="inlineStr">
        <is>
          <t>[도계동]</t>
        </is>
      </c>
      <c r="B61" s="0" t="n">
        <v>105386</v>
      </c>
      <c r="C61" s="0" t="n">
        <v>3</v>
      </c>
      <c r="D61" s="0" t="inlineStr">
        <is>
          <t>화목그린타워</t>
        </is>
      </c>
      <c r="E61" s="0" t="inlineStr">
        <is>
          <t>2002.06.</t>
        </is>
      </c>
      <c r="F61" s="0" t="n">
        <v>80</v>
      </c>
      <c r="G61" s="0" t="n">
        <v>20.74</v>
      </c>
      <c r="H61" s="0" t="n">
        <v>68.59</v>
      </c>
      <c r="I61" s="0" t="n">
        <v>18.13</v>
      </c>
      <c r="J61" s="0" t="n">
        <v>59.94</v>
      </c>
      <c r="K61" s="0" t="n">
        <v>10</v>
      </c>
      <c r="T61" s="0" t="n">
        <v>3</v>
      </c>
      <c r="U61" s="0" t="n">
        <v>1</v>
      </c>
      <c r="V61" s="0" t="inlineStr">
        <is>
          <t>계단식</t>
        </is>
      </c>
      <c r="W61" s="0" t="inlineStr">
        <is>
          <t>68A</t>
        </is>
      </c>
      <c r="X61" s="0" t="n">
        <v>15</v>
      </c>
      <c r="Y61" s="0" t="n">
        <v>10</v>
      </c>
      <c r="Z61" s="0" t="inlineStr">
        <is>
          <t>https://new.land.naver.com/complexes/105386?tab=detail&amp;rf=Y</t>
        </is>
      </c>
      <c r="AA61" s="0" t="inlineStr">
        <is>
          <t>경상남도 창원시 의창구 도계동 408-4</t>
        </is>
      </c>
      <c r="AB61" s="0" t="inlineStr">
        <is>
          <t>경상남도</t>
        </is>
      </c>
      <c r="AC61" s="0" t="inlineStr">
        <is>
          <t>창원시</t>
        </is>
      </c>
      <c r="AD61" s="0" t="inlineStr">
        <is>
          <t>의창구</t>
        </is>
      </c>
      <c r="AE61" s="0" t="inlineStr">
        <is>
          <t>도계동</t>
        </is>
      </c>
      <c r="AG61" s="0" t="inlineStr">
        <is>
          <t>경상남도 창원시 의창구 태복산로15번길 36</t>
        </is>
      </c>
      <c r="AH61" s="0" t="n">
        <v>0</v>
      </c>
      <c r="AI61" s="0" t="n">
        <v>383</v>
      </c>
    </row>
    <row r="62">
      <c r="A62" s="0" t="inlineStr">
        <is>
          <t>[도계동]</t>
        </is>
      </c>
      <c r="B62" s="0" t="n">
        <v>105386</v>
      </c>
      <c r="C62" s="0" t="n">
        <v>4</v>
      </c>
      <c r="D62" s="0" t="inlineStr">
        <is>
          <t>화목그린타워</t>
        </is>
      </c>
      <c r="E62" s="0" t="inlineStr">
        <is>
          <t>2002.06.</t>
        </is>
      </c>
      <c r="F62" s="0" t="n">
        <v>80</v>
      </c>
      <c r="G62" s="0" t="n">
        <v>20.75</v>
      </c>
      <c r="H62" s="0" t="n">
        <v>68.62</v>
      </c>
      <c r="I62" s="0" t="n">
        <v>18.13</v>
      </c>
      <c r="J62" s="0" t="n">
        <v>59.96</v>
      </c>
      <c r="K62" s="0" t="n">
        <v>4</v>
      </c>
      <c r="T62" s="0" t="n">
        <v>3</v>
      </c>
      <c r="U62" s="0" t="n">
        <v>1</v>
      </c>
      <c r="V62" s="0" t="inlineStr">
        <is>
          <t>계단식</t>
        </is>
      </c>
      <c r="W62" s="0" t="inlineStr">
        <is>
          <t>68C</t>
        </is>
      </c>
      <c r="X62" s="0" t="n">
        <v>15</v>
      </c>
      <c r="Y62" s="0" t="n">
        <v>10</v>
      </c>
      <c r="Z62" s="0" t="inlineStr">
        <is>
          <t>https://new.land.naver.com/complexes/105386?tab=detail&amp;rf=Y</t>
        </is>
      </c>
      <c r="AA62" s="0" t="inlineStr">
        <is>
          <t>경상남도 창원시 의창구 도계동 408-4</t>
        </is>
      </c>
      <c r="AB62" s="0" t="inlineStr">
        <is>
          <t>경상남도</t>
        </is>
      </c>
      <c r="AC62" s="0" t="inlineStr">
        <is>
          <t>창원시</t>
        </is>
      </c>
      <c r="AD62" s="0" t="inlineStr">
        <is>
          <t>의창구</t>
        </is>
      </c>
      <c r="AE62" s="0" t="inlineStr">
        <is>
          <t>도계동</t>
        </is>
      </c>
      <c r="AG62" s="0" t="inlineStr">
        <is>
          <t>경상남도 창원시 의창구 태복산로15번길 36</t>
        </is>
      </c>
      <c r="AH62" s="0" t="n">
        <v>0</v>
      </c>
      <c r="AI62" s="0" t="n">
        <v>383</v>
      </c>
    </row>
    <row r="63">
      <c r="A63" s="0" t="inlineStr">
        <is>
          <t>[도계동]</t>
        </is>
      </c>
      <c r="B63" s="0" t="n">
        <v>105386</v>
      </c>
      <c r="C63" s="0" t="n">
        <v>5</v>
      </c>
      <c r="D63" s="0" t="inlineStr">
        <is>
          <t>화목그린타워</t>
        </is>
      </c>
      <c r="E63" s="0" t="inlineStr">
        <is>
          <t>2002.06.</t>
        </is>
      </c>
      <c r="F63" s="0" t="n">
        <v>80</v>
      </c>
      <c r="G63" s="0" t="n">
        <v>26.01</v>
      </c>
      <c r="H63" s="0" t="n">
        <v>86</v>
      </c>
      <c r="I63" s="0" t="n">
        <v>22.73</v>
      </c>
      <c r="J63" s="0" t="n">
        <v>75.15000000000001</v>
      </c>
      <c r="K63" s="0" t="n">
        <v>21</v>
      </c>
      <c r="T63" s="0" t="n">
        <v>3</v>
      </c>
      <c r="U63" s="0" t="n">
        <v>1</v>
      </c>
      <c r="V63" s="0" t="inlineStr">
        <is>
          <t>계단식</t>
        </is>
      </c>
      <c r="W63" s="0" t="n">
        <v>86</v>
      </c>
      <c r="X63" s="0" t="n">
        <v>15</v>
      </c>
      <c r="Y63" s="0" t="n">
        <v>10</v>
      </c>
      <c r="Z63" s="0" t="inlineStr">
        <is>
          <t>https://new.land.naver.com/complexes/105386?tab=detail&amp;rf=Y</t>
        </is>
      </c>
      <c r="AA63" s="0" t="inlineStr">
        <is>
          <t>경상남도 창원시 의창구 도계동 408-4</t>
        </is>
      </c>
      <c r="AB63" s="0" t="inlineStr">
        <is>
          <t>경상남도</t>
        </is>
      </c>
      <c r="AC63" s="0" t="inlineStr">
        <is>
          <t>창원시</t>
        </is>
      </c>
      <c r="AD63" s="0" t="inlineStr">
        <is>
          <t>의창구</t>
        </is>
      </c>
      <c r="AE63" s="0" t="inlineStr">
        <is>
          <t>도계동</t>
        </is>
      </c>
      <c r="AG63" s="0" t="inlineStr">
        <is>
          <t>경상남도 창원시 의창구 태복산로15번길 36</t>
        </is>
      </c>
      <c r="AH63" s="0" t="n">
        <v>0</v>
      </c>
      <c r="AI63" s="0" t="n">
        <v>383</v>
      </c>
    </row>
    <row r="64">
      <c r="A64" s="0" t="inlineStr">
        <is>
          <t>[도계동]</t>
        </is>
      </c>
      <c r="B64" s="0" t="n">
        <v>105386</v>
      </c>
      <c r="C64" s="0" t="n">
        <v>6</v>
      </c>
      <c r="D64" s="0" t="inlineStr">
        <is>
          <t>화목그린타워</t>
        </is>
      </c>
      <c r="E64" s="0" t="inlineStr">
        <is>
          <t>2002.06.</t>
        </is>
      </c>
      <c r="F64" s="0" t="n">
        <v>80</v>
      </c>
      <c r="G64" s="0" t="n">
        <v>28.99</v>
      </c>
      <c r="H64" s="0" t="n">
        <v>95.84</v>
      </c>
      <c r="I64" s="0" t="n">
        <v>25.33</v>
      </c>
      <c r="J64" s="0" t="n">
        <v>83.73999999999999</v>
      </c>
      <c r="K64" s="0" t="n">
        <v>30</v>
      </c>
      <c r="T64" s="0" t="n">
        <v>3</v>
      </c>
      <c r="U64" s="0" t="n">
        <v>2</v>
      </c>
      <c r="V64" s="0" t="inlineStr">
        <is>
          <t>계단식</t>
        </is>
      </c>
      <c r="W64" s="0" t="n">
        <v>95</v>
      </c>
      <c r="X64" s="0" t="n">
        <v>15</v>
      </c>
      <c r="Y64" s="0" t="n">
        <v>10</v>
      </c>
      <c r="Z64" s="0" t="inlineStr">
        <is>
          <t>https://new.land.naver.com/complexes/105386?tab=detail&amp;rf=Y</t>
        </is>
      </c>
      <c r="AA64" s="0" t="inlineStr">
        <is>
          <t>경상남도 창원시 의창구 도계동 408-4</t>
        </is>
      </c>
      <c r="AB64" s="0" t="inlineStr">
        <is>
          <t>경상남도</t>
        </is>
      </c>
      <c r="AC64" s="0" t="inlineStr">
        <is>
          <t>창원시</t>
        </is>
      </c>
      <c r="AD64" s="0" t="inlineStr">
        <is>
          <t>의창구</t>
        </is>
      </c>
      <c r="AE64" s="0" t="inlineStr">
        <is>
          <t>도계동</t>
        </is>
      </c>
      <c r="AG64" s="0" t="inlineStr">
        <is>
          <t>경상남도 창원시 의창구 태복산로15번길 36</t>
        </is>
      </c>
      <c r="AH64" s="0" t="n">
        <v>0</v>
      </c>
      <c r="AI64" s="0" t="n">
        <v>383</v>
      </c>
    </row>
    <row r="65">
      <c r="A65" s="0" t="inlineStr">
        <is>
          <t>[도계동]</t>
        </is>
      </c>
      <c r="B65" s="0" t="n">
        <v>15751</v>
      </c>
      <c r="C65" s="0" t="n">
        <v>1</v>
      </c>
      <c r="D65" s="0" t="inlineStr">
        <is>
          <t>상강한주맨션</t>
        </is>
      </c>
      <c r="E65" s="0" t="inlineStr">
        <is>
          <t>1993.03.</t>
        </is>
      </c>
      <c r="F65" s="0" t="n">
        <v>123</v>
      </c>
      <c r="G65" s="0" t="n">
        <v>20.28</v>
      </c>
      <c r="H65" s="0" t="n">
        <v>67.06</v>
      </c>
      <c r="I65" s="0" t="n">
        <v>17.39</v>
      </c>
      <c r="J65" s="0" t="n">
        <v>57.52</v>
      </c>
      <c r="K65" s="0" t="n">
        <v>45</v>
      </c>
      <c r="T65" s="0" t="n">
        <v>2</v>
      </c>
      <c r="U65" s="0" t="n">
        <v>1</v>
      </c>
      <c r="V65" s="0" t="inlineStr">
        <is>
          <t>계단식</t>
        </is>
      </c>
      <c r="W65" s="0" t="n">
        <v>67</v>
      </c>
      <c r="X65" s="0" t="n">
        <v>15</v>
      </c>
      <c r="Y65" s="0" t="n">
        <v>8</v>
      </c>
      <c r="Z65" s="0" t="inlineStr">
        <is>
          <t>https://new.land.naver.com/complexes/15751?tab=detail&amp;rf=Y</t>
        </is>
      </c>
      <c r="AA65" s="0" t="inlineStr">
        <is>
          <t>경상남도 창원시 의창구 도계동 395-2</t>
        </is>
      </c>
      <c r="AB65" s="0" t="inlineStr">
        <is>
          <t>경상남도</t>
        </is>
      </c>
      <c r="AC65" s="0" t="inlineStr">
        <is>
          <t>창원시</t>
        </is>
      </c>
      <c r="AD65" s="0" t="inlineStr">
        <is>
          <t>의창구</t>
        </is>
      </c>
      <c r="AE65" s="0" t="inlineStr">
        <is>
          <t>도계동</t>
        </is>
      </c>
      <c r="AG65" s="0" t="inlineStr">
        <is>
          <t>경상남도 창원시 의창구 하남천동길16번길 11</t>
        </is>
      </c>
      <c r="AH65" s="0" t="n">
        <v>0</v>
      </c>
      <c r="AI65" s="0" t="n">
        <v>287</v>
      </c>
    </row>
    <row r="66">
      <c r="A66" s="0" t="inlineStr">
        <is>
          <t>[도계동]</t>
        </is>
      </c>
      <c r="B66" s="0" t="n">
        <v>15751</v>
      </c>
      <c r="C66" s="0" t="n">
        <v>2</v>
      </c>
      <c r="D66" s="0" t="inlineStr">
        <is>
          <t>상강한주맨션</t>
        </is>
      </c>
      <c r="E66" s="0" t="inlineStr">
        <is>
          <t>1993.03.</t>
        </is>
      </c>
      <c r="F66" s="0" t="n">
        <v>123</v>
      </c>
      <c r="G66" s="0" t="n">
        <v>21.95</v>
      </c>
      <c r="H66" s="0" t="n">
        <v>72.58</v>
      </c>
      <c r="I66" s="0" t="n">
        <v>18.83</v>
      </c>
      <c r="J66" s="0" t="n">
        <v>62.26</v>
      </c>
      <c r="K66" s="0" t="n">
        <v>21</v>
      </c>
      <c r="T66" s="0" t="n">
        <v>2</v>
      </c>
      <c r="U66" s="0" t="n">
        <v>1</v>
      </c>
      <c r="V66" s="0" t="inlineStr">
        <is>
          <t>계단식</t>
        </is>
      </c>
      <c r="W66" s="0" t="n">
        <v>72</v>
      </c>
      <c r="X66" s="0" t="n">
        <v>15</v>
      </c>
      <c r="Y66" s="0" t="n">
        <v>8</v>
      </c>
      <c r="Z66" s="0" t="inlineStr">
        <is>
          <t>https://new.land.naver.com/complexes/15751?tab=detail&amp;rf=Y</t>
        </is>
      </c>
      <c r="AA66" s="0" t="inlineStr">
        <is>
          <t>경상남도 창원시 의창구 도계동 395-2</t>
        </is>
      </c>
      <c r="AB66" s="0" t="inlineStr">
        <is>
          <t>경상남도</t>
        </is>
      </c>
      <c r="AC66" s="0" t="inlineStr">
        <is>
          <t>창원시</t>
        </is>
      </c>
      <c r="AD66" s="0" t="inlineStr">
        <is>
          <t>의창구</t>
        </is>
      </c>
      <c r="AE66" s="0" t="inlineStr">
        <is>
          <t>도계동</t>
        </is>
      </c>
      <c r="AG66" s="0" t="inlineStr">
        <is>
          <t>경상남도 창원시 의창구 하남천동길16번길 11</t>
        </is>
      </c>
      <c r="AH66" s="0" t="n">
        <v>0</v>
      </c>
      <c r="AI66" s="0" t="n">
        <v>287</v>
      </c>
    </row>
    <row r="67">
      <c r="A67" s="0" t="inlineStr">
        <is>
          <t>[도계동]</t>
        </is>
      </c>
      <c r="B67" s="0" t="n">
        <v>15751</v>
      </c>
      <c r="C67" s="0" t="n">
        <v>3</v>
      </c>
      <c r="D67" s="0" t="inlineStr">
        <is>
          <t>상강한주맨션</t>
        </is>
      </c>
      <c r="E67" s="0" t="inlineStr">
        <is>
          <t>1993.03.</t>
        </is>
      </c>
      <c r="F67" s="0" t="n">
        <v>123</v>
      </c>
      <c r="G67" s="0" t="n">
        <v>23.89</v>
      </c>
      <c r="H67" s="0" t="n">
        <v>79</v>
      </c>
      <c r="I67" s="0" t="n">
        <v>20.49</v>
      </c>
      <c r="J67" s="0" t="n">
        <v>67.76000000000001</v>
      </c>
      <c r="K67" s="0" t="n">
        <v>7</v>
      </c>
      <c r="T67" s="0" t="n">
        <v>3</v>
      </c>
      <c r="U67" s="0" t="n">
        <v>1</v>
      </c>
      <c r="V67" s="0" t="inlineStr">
        <is>
          <t>계단식</t>
        </is>
      </c>
      <c r="W67" s="0" t="n">
        <v>79</v>
      </c>
      <c r="X67" s="0" t="n">
        <v>15</v>
      </c>
      <c r="Y67" s="0" t="n">
        <v>8</v>
      </c>
      <c r="Z67" s="0" t="inlineStr">
        <is>
          <t>https://new.land.naver.com/complexes/15751?tab=detail&amp;rf=Y</t>
        </is>
      </c>
      <c r="AA67" s="0" t="inlineStr">
        <is>
          <t>경상남도 창원시 의창구 도계동 395-2</t>
        </is>
      </c>
      <c r="AB67" s="0" t="inlineStr">
        <is>
          <t>경상남도</t>
        </is>
      </c>
      <c r="AC67" s="0" t="inlineStr">
        <is>
          <t>창원시</t>
        </is>
      </c>
      <c r="AD67" s="0" t="inlineStr">
        <is>
          <t>의창구</t>
        </is>
      </c>
      <c r="AE67" s="0" t="inlineStr">
        <is>
          <t>도계동</t>
        </is>
      </c>
      <c r="AG67" s="0" t="inlineStr">
        <is>
          <t>경상남도 창원시 의창구 하남천동길16번길 11</t>
        </is>
      </c>
      <c r="AH67" s="0" t="n">
        <v>0</v>
      </c>
      <c r="AI67" s="0" t="n">
        <v>287</v>
      </c>
    </row>
    <row r="68">
      <c r="A68" s="0" t="inlineStr">
        <is>
          <t>[도계동]</t>
        </is>
      </c>
      <c r="B68" s="0" t="n">
        <v>15751</v>
      </c>
      <c r="C68" s="0" t="n">
        <v>4</v>
      </c>
      <c r="D68" s="0" t="inlineStr">
        <is>
          <t>상강한주맨션</t>
        </is>
      </c>
      <c r="E68" s="0" t="inlineStr">
        <is>
          <t>1993.03.</t>
        </is>
      </c>
      <c r="F68" s="0" t="n">
        <v>123</v>
      </c>
      <c r="G68" s="0" t="n">
        <v>25.96</v>
      </c>
      <c r="H68" s="0" t="n">
        <v>85.81999999999999</v>
      </c>
      <c r="I68" s="0" t="n">
        <v>22.26</v>
      </c>
      <c r="J68" s="0" t="n">
        <v>73.61</v>
      </c>
      <c r="K68" s="0" t="n">
        <v>7</v>
      </c>
      <c r="T68" s="0" t="n">
        <v>3</v>
      </c>
      <c r="U68" s="0" t="n">
        <v>1</v>
      </c>
      <c r="V68" s="0" t="inlineStr">
        <is>
          <t>계단식</t>
        </is>
      </c>
      <c r="W68" s="0" t="n">
        <v>85</v>
      </c>
      <c r="X68" s="0" t="n">
        <v>15</v>
      </c>
      <c r="Y68" s="0" t="n">
        <v>8</v>
      </c>
      <c r="Z68" s="0" t="inlineStr">
        <is>
          <t>https://new.land.naver.com/complexes/15751?tab=detail&amp;rf=Y</t>
        </is>
      </c>
      <c r="AA68" s="0" t="inlineStr">
        <is>
          <t>경상남도 창원시 의창구 도계동 395-2</t>
        </is>
      </c>
      <c r="AB68" s="0" t="inlineStr">
        <is>
          <t>경상남도</t>
        </is>
      </c>
      <c r="AC68" s="0" t="inlineStr">
        <is>
          <t>창원시</t>
        </is>
      </c>
      <c r="AD68" s="0" t="inlineStr">
        <is>
          <t>의창구</t>
        </is>
      </c>
      <c r="AE68" s="0" t="inlineStr">
        <is>
          <t>도계동</t>
        </is>
      </c>
      <c r="AG68" s="0" t="inlineStr">
        <is>
          <t>경상남도 창원시 의창구 하남천동길16번길 11</t>
        </is>
      </c>
      <c r="AH68" s="0" t="n">
        <v>0</v>
      </c>
      <c r="AI68" s="0" t="n">
        <v>287</v>
      </c>
    </row>
    <row r="69">
      <c r="A69" s="0" t="inlineStr">
        <is>
          <t>[도계동]</t>
        </is>
      </c>
      <c r="B69" s="0" t="n">
        <v>15751</v>
      </c>
      <c r="C69" s="0" t="n">
        <v>5</v>
      </c>
      <c r="D69" s="0" t="inlineStr">
        <is>
          <t>상강한주맨션</t>
        </is>
      </c>
      <c r="E69" s="0" t="inlineStr">
        <is>
          <t>1993.03.</t>
        </is>
      </c>
      <c r="F69" s="0" t="n">
        <v>123</v>
      </c>
      <c r="G69" s="0" t="n">
        <v>27.28</v>
      </c>
      <c r="H69" s="0" t="n">
        <v>90.2</v>
      </c>
      <c r="I69" s="0" t="n">
        <v>23.4</v>
      </c>
      <c r="J69" s="0" t="n">
        <v>77.37</v>
      </c>
      <c r="K69" s="0" t="n">
        <v>14</v>
      </c>
      <c r="T69" s="0" t="n">
        <v>3</v>
      </c>
      <c r="U69" s="0" t="n">
        <v>1</v>
      </c>
      <c r="V69" s="0" t="inlineStr">
        <is>
          <t>계단식</t>
        </is>
      </c>
      <c r="W69" s="0" t="n">
        <v>90</v>
      </c>
      <c r="X69" s="0" t="n">
        <v>15</v>
      </c>
      <c r="Y69" s="0" t="n">
        <v>8</v>
      </c>
      <c r="Z69" s="0" t="inlineStr">
        <is>
          <t>https://new.land.naver.com/complexes/15751?tab=detail&amp;rf=Y</t>
        </is>
      </c>
      <c r="AA69" s="0" t="inlineStr">
        <is>
          <t>경상남도 창원시 의창구 도계동 395-2</t>
        </is>
      </c>
      <c r="AB69" s="0" t="inlineStr">
        <is>
          <t>경상남도</t>
        </is>
      </c>
      <c r="AC69" s="0" t="inlineStr">
        <is>
          <t>창원시</t>
        </is>
      </c>
      <c r="AD69" s="0" t="inlineStr">
        <is>
          <t>의창구</t>
        </is>
      </c>
      <c r="AE69" s="0" t="inlineStr">
        <is>
          <t>도계동</t>
        </is>
      </c>
      <c r="AG69" s="0" t="inlineStr">
        <is>
          <t>경상남도 창원시 의창구 하남천동길16번길 11</t>
        </is>
      </c>
      <c r="AH69" s="0" t="n">
        <v>0</v>
      </c>
      <c r="AI69" s="0" t="n">
        <v>287</v>
      </c>
    </row>
    <row r="70">
      <c r="A70" s="0" t="inlineStr">
        <is>
          <t>[도계동]</t>
        </is>
      </c>
      <c r="B70" s="0" t="n">
        <v>15751</v>
      </c>
      <c r="C70" s="0" t="n">
        <v>6</v>
      </c>
      <c r="D70" s="0" t="inlineStr">
        <is>
          <t>상강한주맨션</t>
        </is>
      </c>
      <c r="E70" s="0" t="inlineStr">
        <is>
          <t>1993.03.</t>
        </is>
      </c>
      <c r="F70" s="0" t="n">
        <v>123</v>
      </c>
      <c r="G70" s="0" t="n">
        <v>29.94</v>
      </c>
      <c r="H70" s="0" t="n">
        <v>98.98</v>
      </c>
      <c r="I70" s="0" t="n">
        <v>25.68</v>
      </c>
      <c r="J70" s="0" t="n">
        <v>84.90000000000001</v>
      </c>
      <c r="K70" s="0" t="n">
        <v>29</v>
      </c>
      <c r="T70" s="0" t="n">
        <v>3</v>
      </c>
      <c r="U70" s="0" t="n">
        <v>2</v>
      </c>
      <c r="V70" s="0" t="inlineStr">
        <is>
          <t>계단식</t>
        </is>
      </c>
      <c r="W70" s="0" t="n">
        <v>98</v>
      </c>
      <c r="X70" s="0" t="n">
        <v>15</v>
      </c>
      <c r="Y70" s="0" t="n">
        <v>8</v>
      </c>
      <c r="Z70" s="0" t="inlineStr">
        <is>
          <t>https://new.land.naver.com/complexes/15751?tab=detail&amp;rf=Y</t>
        </is>
      </c>
      <c r="AA70" s="0" t="inlineStr">
        <is>
          <t>경상남도 창원시 의창구 도계동 395-2</t>
        </is>
      </c>
      <c r="AB70" s="0" t="inlineStr">
        <is>
          <t>경상남도</t>
        </is>
      </c>
      <c r="AC70" s="0" t="inlineStr">
        <is>
          <t>창원시</t>
        </is>
      </c>
      <c r="AD70" s="0" t="inlineStr">
        <is>
          <t>의창구</t>
        </is>
      </c>
      <c r="AE70" s="0" t="inlineStr">
        <is>
          <t>도계동</t>
        </is>
      </c>
      <c r="AG70" s="0" t="inlineStr">
        <is>
          <t>경상남도 창원시 의창구 하남천동길16번길 11</t>
        </is>
      </c>
      <c r="AH70" s="0" t="n">
        <v>0</v>
      </c>
      <c r="AI70" s="0" t="n">
        <v>287</v>
      </c>
    </row>
    <row r="71">
      <c r="A71" s="0" t="inlineStr">
        <is>
          <t>[도계동]</t>
        </is>
      </c>
      <c r="B71" s="0" t="n">
        <v>109386</v>
      </c>
      <c r="C71" s="0" t="n">
        <v>1</v>
      </c>
      <c r="D71" s="0" t="inlineStr">
        <is>
          <t>유진에코블루하임</t>
        </is>
      </c>
      <c r="E71" s="0" t="inlineStr">
        <is>
          <t>2011.12.</t>
        </is>
      </c>
      <c r="F71" s="0" t="n">
        <v>79</v>
      </c>
      <c r="G71" s="0" t="n">
        <v>28.48</v>
      </c>
      <c r="H71" s="0" t="n">
        <v>94.16</v>
      </c>
      <c r="I71" s="0" t="n">
        <v>22.03</v>
      </c>
      <c r="J71" s="0" t="n">
        <v>72.84</v>
      </c>
      <c r="K71" s="0" t="n">
        <v>19</v>
      </c>
      <c r="T71" s="0" t="n">
        <v>3</v>
      </c>
      <c r="U71" s="0" t="n">
        <v>2</v>
      </c>
      <c r="V71" s="0" t="inlineStr">
        <is>
          <t>계단식</t>
        </is>
      </c>
      <c r="W71" s="0" t="n">
        <v>94</v>
      </c>
      <c r="X71" s="0" t="n">
        <v>5</v>
      </c>
      <c r="Y71" s="0" t="n">
        <v>5</v>
      </c>
      <c r="Z71" s="0" t="inlineStr">
        <is>
          <t>https://new.land.naver.com/complexes/109386?tab=detail&amp;rf=Y</t>
        </is>
      </c>
      <c r="AA71" s="0" t="inlineStr">
        <is>
          <t>경상남도 창원시 의창구 도계동 396-4</t>
        </is>
      </c>
      <c r="AB71" s="0" t="inlineStr">
        <is>
          <t>경상남도</t>
        </is>
      </c>
      <c r="AC71" s="0" t="inlineStr">
        <is>
          <t>창원시</t>
        </is>
      </c>
      <c r="AD71" s="0" t="inlineStr">
        <is>
          <t>의창구</t>
        </is>
      </c>
      <c r="AE71" s="0" t="inlineStr">
        <is>
          <t>도계동</t>
        </is>
      </c>
      <c r="AG71" s="0" t="inlineStr">
        <is>
          <t>경상남도 창원시 의창구 도계로83번길 5</t>
        </is>
      </c>
      <c r="AH71" s="0" t="n">
        <v>0</v>
      </c>
      <c r="AI71" s="0" t="n">
        <v>124</v>
      </c>
    </row>
    <row r="72">
      <c r="A72" s="0" t="inlineStr">
        <is>
          <t>[도계동]</t>
        </is>
      </c>
      <c r="B72" s="0" t="n">
        <v>109386</v>
      </c>
      <c r="C72" s="0" t="n">
        <v>2</v>
      </c>
      <c r="D72" s="0" t="inlineStr">
        <is>
          <t>유진에코블루하임</t>
        </is>
      </c>
      <c r="E72" s="0" t="inlineStr">
        <is>
          <t>2011.12.</t>
        </is>
      </c>
      <c r="F72" s="0" t="n">
        <v>79</v>
      </c>
      <c r="G72" s="0" t="n">
        <v>34.68</v>
      </c>
      <c r="H72" s="0" t="n">
        <v>114.65</v>
      </c>
      <c r="I72" s="0" t="n">
        <v>25.67</v>
      </c>
      <c r="J72" s="0" t="n">
        <v>84.88</v>
      </c>
      <c r="K72" s="0" t="n">
        <v>50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114A</t>
        </is>
      </c>
      <c r="X72" s="0" t="n">
        <v>5</v>
      </c>
      <c r="Y72" s="0" t="n">
        <v>5</v>
      </c>
      <c r="Z72" s="0" t="inlineStr">
        <is>
          <t>https://new.land.naver.com/complexes/109386?tab=detail&amp;rf=Y</t>
        </is>
      </c>
      <c r="AA72" s="0" t="inlineStr">
        <is>
          <t>경상남도 창원시 의창구 도계동 396-4</t>
        </is>
      </c>
      <c r="AB72" s="0" t="inlineStr">
        <is>
          <t>경상남도</t>
        </is>
      </c>
      <c r="AC72" s="0" t="inlineStr">
        <is>
          <t>창원시</t>
        </is>
      </c>
      <c r="AD72" s="0" t="inlineStr">
        <is>
          <t>의창구</t>
        </is>
      </c>
      <c r="AE72" s="0" t="inlineStr">
        <is>
          <t>도계동</t>
        </is>
      </c>
      <c r="AG72" s="0" t="inlineStr">
        <is>
          <t>경상남도 창원시 의창구 도계로83번길 5</t>
        </is>
      </c>
      <c r="AH72" s="0" t="n">
        <v>0</v>
      </c>
      <c r="AI72" s="0" t="n">
        <v>124</v>
      </c>
    </row>
    <row r="73">
      <c r="A73" s="0" t="inlineStr">
        <is>
          <t>[도계동]</t>
        </is>
      </c>
      <c r="B73" s="0" t="n">
        <v>109386</v>
      </c>
      <c r="C73" s="0" t="n">
        <v>3</v>
      </c>
      <c r="D73" s="0" t="inlineStr">
        <is>
          <t>유진에코블루하임</t>
        </is>
      </c>
      <c r="E73" s="0" t="inlineStr">
        <is>
          <t>2011.12.</t>
        </is>
      </c>
      <c r="F73" s="0" t="n">
        <v>79</v>
      </c>
      <c r="G73" s="0" t="n">
        <v>34.66</v>
      </c>
      <c r="H73" s="0" t="n">
        <v>114.6</v>
      </c>
      <c r="I73" s="0" t="n">
        <v>25.7</v>
      </c>
      <c r="J73" s="0" t="n">
        <v>84.98</v>
      </c>
      <c r="K73" s="0" t="n">
        <v>10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114B</t>
        </is>
      </c>
      <c r="X73" s="0" t="n">
        <v>5</v>
      </c>
      <c r="Y73" s="0" t="n">
        <v>5</v>
      </c>
      <c r="Z73" s="0" t="inlineStr">
        <is>
          <t>https://new.land.naver.com/complexes/109386?tab=detail&amp;rf=Y</t>
        </is>
      </c>
      <c r="AA73" s="0" t="inlineStr">
        <is>
          <t>경상남도 창원시 의창구 도계동 396-4</t>
        </is>
      </c>
      <c r="AB73" s="0" t="inlineStr">
        <is>
          <t>경상남도</t>
        </is>
      </c>
      <c r="AC73" s="0" t="inlineStr">
        <is>
          <t>창원시</t>
        </is>
      </c>
      <c r="AD73" s="0" t="inlineStr">
        <is>
          <t>의창구</t>
        </is>
      </c>
      <c r="AE73" s="0" t="inlineStr">
        <is>
          <t>도계동</t>
        </is>
      </c>
      <c r="AG73" s="0" t="inlineStr">
        <is>
          <t>경상남도 창원시 의창구 도계로83번길 5</t>
        </is>
      </c>
      <c r="AH73" s="0" t="n">
        <v>0</v>
      </c>
      <c r="AI73" s="0" t="n">
        <v>124</v>
      </c>
    </row>
    <row r="74">
      <c r="A74" s="0" t="inlineStr">
        <is>
          <t>[도계동]</t>
        </is>
      </c>
      <c r="B74" s="0" t="n">
        <v>16786</v>
      </c>
      <c r="C74" s="0" t="n">
        <v>1</v>
      </c>
      <c r="D74" s="0" t="inlineStr">
        <is>
          <t>금강목련</t>
        </is>
      </c>
      <c r="E74" s="0" t="inlineStr">
        <is>
          <t>1996.06.</t>
        </is>
      </c>
      <c r="F74" s="0" t="n">
        <v>77</v>
      </c>
      <c r="G74" s="0" t="n">
        <v>22.4</v>
      </c>
      <c r="H74" s="0" t="n">
        <v>74.06</v>
      </c>
      <c r="I74" s="0" t="n">
        <v>15.6</v>
      </c>
      <c r="J74" s="0" t="n">
        <v>51.59</v>
      </c>
      <c r="K74" s="0" t="n">
        <v>4</v>
      </c>
      <c r="T74" s="0" t="n">
        <v>3</v>
      </c>
      <c r="U74" s="0" t="n">
        <v>1</v>
      </c>
      <c r="V74" s="0" t="inlineStr">
        <is>
          <t>복도식</t>
        </is>
      </c>
      <c r="W74" s="0" t="n">
        <v>74</v>
      </c>
      <c r="X74" s="0" t="n">
        <v>15</v>
      </c>
      <c r="Y74" s="0" t="n">
        <v>5</v>
      </c>
      <c r="Z74" s="0" t="inlineStr">
        <is>
          <t>https://new.land.naver.com/complexes/16786?tab=detail&amp;rf=Y</t>
        </is>
      </c>
      <c r="AA74" s="0" t="inlineStr">
        <is>
          <t>경상남도 창원시 의창구 도계동 320-2</t>
        </is>
      </c>
      <c r="AB74" s="0" t="inlineStr">
        <is>
          <t>경상남도</t>
        </is>
      </c>
      <c r="AC74" s="0" t="inlineStr">
        <is>
          <t>창원시</t>
        </is>
      </c>
      <c r="AD74" s="0" t="inlineStr">
        <is>
          <t>의창구</t>
        </is>
      </c>
      <c r="AE74" s="0" t="inlineStr">
        <is>
          <t>도계동</t>
        </is>
      </c>
      <c r="AG74" s="0" t="inlineStr">
        <is>
          <t>경상남도 창원시 의창구 하남천서길37번길 6-12</t>
        </is>
      </c>
      <c r="AH74" s="0" t="n">
        <v>0</v>
      </c>
      <c r="AI74" s="0" t="n">
        <v>386</v>
      </c>
    </row>
    <row r="75">
      <c r="A75" s="0" t="inlineStr">
        <is>
          <t>[도계동]</t>
        </is>
      </c>
      <c r="B75" s="0" t="n">
        <v>16786</v>
      </c>
      <c r="C75" s="0" t="n">
        <v>2</v>
      </c>
      <c r="D75" s="0" t="inlineStr">
        <is>
          <t>금강목련</t>
        </is>
      </c>
      <c r="E75" s="0" t="inlineStr">
        <is>
          <t>1996.06.</t>
        </is>
      </c>
      <c r="F75" s="0" t="n">
        <v>77</v>
      </c>
      <c r="G75" s="0" t="n">
        <v>25.77</v>
      </c>
      <c r="H75" s="0" t="n">
        <v>85.2</v>
      </c>
      <c r="I75" s="0" t="n">
        <v>17.95</v>
      </c>
      <c r="J75" s="0" t="n">
        <v>59.36</v>
      </c>
      <c r="K75" s="0" t="n">
        <v>24</v>
      </c>
      <c r="T75" s="0" t="n">
        <v>3</v>
      </c>
      <c r="U75" s="0" t="n">
        <v>1</v>
      </c>
      <c r="V75" s="0" t="inlineStr">
        <is>
          <t>복도식</t>
        </is>
      </c>
      <c r="W75" s="0" t="inlineStr">
        <is>
          <t>85A</t>
        </is>
      </c>
      <c r="X75" s="0" t="n">
        <v>15</v>
      </c>
      <c r="Y75" s="0" t="n">
        <v>5</v>
      </c>
      <c r="Z75" s="0" t="inlineStr">
        <is>
          <t>https://new.land.naver.com/complexes/16786?tab=detail&amp;rf=Y</t>
        </is>
      </c>
      <c r="AA75" s="0" t="inlineStr">
        <is>
          <t>경상남도 창원시 의창구 도계동 320-2</t>
        </is>
      </c>
      <c r="AB75" s="0" t="inlineStr">
        <is>
          <t>경상남도</t>
        </is>
      </c>
      <c r="AC75" s="0" t="inlineStr">
        <is>
          <t>창원시</t>
        </is>
      </c>
      <c r="AD75" s="0" t="inlineStr">
        <is>
          <t>의창구</t>
        </is>
      </c>
      <c r="AE75" s="0" t="inlineStr">
        <is>
          <t>도계동</t>
        </is>
      </c>
      <c r="AG75" s="0" t="inlineStr">
        <is>
          <t>경상남도 창원시 의창구 하남천서길37번길 6-12</t>
        </is>
      </c>
      <c r="AH75" s="0" t="n">
        <v>0</v>
      </c>
      <c r="AI75" s="0" t="n">
        <v>386</v>
      </c>
    </row>
    <row r="76">
      <c r="A76" s="0" t="inlineStr">
        <is>
          <t>[도계동]</t>
        </is>
      </c>
      <c r="B76" s="0" t="n">
        <v>16786</v>
      </c>
      <c r="C76" s="0" t="n">
        <v>3</v>
      </c>
      <c r="D76" s="0" t="inlineStr">
        <is>
          <t>금강목련</t>
        </is>
      </c>
      <c r="E76" s="0" t="inlineStr">
        <is>
          <t>1996.06.</t>
        </is>
      </c>
      <c r="F76" s="0" t="n">
        <v>77</v>
      </c>
      <c r="G76" s="0" t="n">
        <v>26.04</v>
      </c>
      <c r="H76" s="0" t="n">
        <v>86.09</v>
      </c>
      <c r="I76" s="0" t="n">
        <v>18.14</v>
      </c>
      <c r="J76" s="0" t="n">
        <v>59.98</v>
      </c>
      <c r="K76" s="0" t="n">
        <v>11</v>
      </c>
      <c r="T76" s="0" t="n">
        <v>3</v>
      </c>
      <c r="U76" s="0" t="n">
        <v>1</v>
      </c>
      <c r="V76" s="0" t="inlineStr">
        <is>
          <t>계단식</t>
        </is>
      </c>
      <c r="W76" s="0" t="inlineStr">
        <is>
          <t>86B</t>
        </is>
      </c>
      <c r="X76" s="0" t="n">
        <v>15</v>
      </c>
      <c r="Y76" s="0" t="n">
        <v>5</v>
      </c>
      <c r="Z76" s="0" t="inlineStr">
        <is>
          <t>https://new.land.naver.com/complexes/16786?tab=detail&amp;rf=Y</t>
        </is>
      </c>
      <c r="AA76" s="0" t="inlineStr">
        <is>
          <t>경상남도 창원시 의창구 도계동 320-2</t>
        </is>
      </c>
      <c r="AB76" s="0" t="inlineStr">
        <is>
          <t>경상남도</t>
        </is>
      </c>
      <c r="AC76" s="0" t="inlineStr">
        <is>
          <t>창원시</t>
        </is>
      </c>
      <c r="AD76" s="0" t="inlineStr">
        <is>
          <t>의창구</t>
        </is>
      </c>
      <c r="AE76" s="0" t="inlineStr">
        <is>
          <t>도계동</t>
        </is>
      </c>
      <c r="AG76" s="0" t="inlineStr">
        <is>
          <t>경상남도 창원시 의창구 하남천서길37번길 6-12</t>
        </is>
      </c>
      <c r="AH76" s="0" t="n">
        <v>0</v>
      </c>
      <c r="AI76" s="0" t="n">
        <v>386</v>
      </c>
    </row>
    <row r="77">
      <c r="A77" s="0" t="inlineStr">
        <is>
          <t>[도계동]</t>
        </is>
      </c>
      <c r="B77" s="0" t="n">
        <v>16786</v>
      </c>
      <c r="C77" s="0" t="n">
        <v>4</v>
      </c>
      <c r="D77" s="0" t="inlineStr">
        <is>
          <t>금강목련</t>
        </is>
      </c>
      <c r="E77" s="0" t="inlineStr">
        <is>
          <t>1996.06.</t>
        </is>
      </c>
      <c r="F77" s="0" t="n">
        <v>77</v>
      </c>
      <c r="G77" s="0" t="n">
        <v>27.96</v>
      </c>
      <c r="H77" s="0" t="n">
        <v>92.44</v>
      </c>
      <c r="I77" s="0" t="n">
        <v>19.48</v>
      </c>
      <c r="J77" s="0" t="n">
        <v>64.40000000000001</v>
      </c>
      <c r="K77" s="0" t="n">
        <v>15</v>
      </c>
      <c r="T77" s="0" t="n">
        <v>3</v>
      </c>
      <c r="U77" s="0" t="n">
        <v>1</v>
      </c>
      <c r="V77" s="0" t="inlineStr">
        <is>
          <t>복도식</t>
        </is>
      </c>
      <c r="W77" s="0" t="n">
        <v>92</v>
      </c>
      <c r="X77" s="0" t="n">
        <v>15</v>
      </c>
      <c r="Y77" s="0" t="n">
        <v>5</v>
      </c>
      <c r="Z77" s="0" t="inlineStr">
        <is>
          <t>https://new.land.naver.com/complexes/16786?tab=detail&amp;rf=Y</t>
        </is>
      </c>
      <c r="AA77" s="0" t="inlineStr">
        <is>
          <t>경상남도 창원시 의창구 도계동 320-2</t>
        </is>
      </c>
      <c r="AB77" s="0" t="inlineStr">
        <is>
          <t>경상남도</t>
        </is>
      </c>
      <c r="AC77" s="0" t="inlineStr">
        <is>
          <t>창원시</t>
        </is>
      </c>
      <c r="AD77" s="0" t="inlineStr">
        <is>
          <t>의창구</t>
        </is>
      </c>
      <c r="AE77" s="0" t="inlineStr">
        <is>
          <t>도계동</t>
        </is>
      </c>
      <c r="AG77" s="0" t="inlineStr">
        <is>
          <t>경상남도 창원시 의창구 하남천서길37번길 6-12</t>
        </is>
      </c>
      <c r="AH77" s="0" t="n">
        <v>0</v>
      </c>
      <c r="AI77" s="0" t="n">
        <v>386</v>
      </c>
    </row>
    <row r="78">
      <c r="A78" s="0" t="inlineStr">
        <is>
          <t>[도계동]</t>
        </is>
      </c>
      <c r="B78" s="0" t="n">
        <v>16786</v>
      </c>
      <c r="C78" s="0" t="n">
        <v>5</v>
      </c>
      <c r="D78" s="0" t="inlineStr">
        <is>
          <t>금강목련</t>
        </is>
      </c>
      <c r="E78" s="0" t="inlineStr">
        <is>
          <t>1996.06.</t>
        </is>
      </c>
      <c r="F78" s="0" t="n">
        <v>77</v>
      </c>
      <c r="G78" s="0" t="n">
        <v>29.09</v>
      </c>
      <c r="H78" s="0" t="n">
        <v>96.19</v>
      </c>
      <c r="I78" s="0" t="n">
        <v>20.27</v>
      </c>
      <c r="J78" s="0" t="n">
        <v>67.01000000000001</v>
      </c>
      <c r="K78" s="0" t="n">
        <v>15</v>
      </c>
      <c r="T78" s="0" t="n">
        <v>3</v>
      </c>
      <c r="U78" s="0" t="n">
        <v>1</v>
      </c>
      <c r="V78" s="0" t="inlineStr">
        <is>
          <t>복도식</t>
        </is>
      </c>
      <c r="W78" s="0" t="n">
        <v>96</v>
      </c>
      <c r="X78" s="0" t="n">
        <v>15</v>
      </c>
      <c r="Y78" s="0" t="n">
        <v>5</v>
      </c>
      <c r="Z78" s="0" t="inlineStr">
        <is>
          <t>https://new.land.naver.com/complexes/16786?tab=detail&amp;rf=Y</t>
        </is>
      </c>
      <c r="AA78" s="0" t="inlineStr">
        <is>
          <t>경상남도 창원시 의창구 도계동 320-2</t>
        </is>
      </c>
      <c r="AB78" s="0" t="inlineStr">
        <is>
          <t>경상남도</t>
        </is>
      </c>
      <c r="AC78" s="0" t="inlineStr">
        <is>
          <t>창원시</t>
        </is>
      </c>
      <c r="AD78" s="0" t="inlineStr">
        <is>
          <t>의창구</t>
        </is>
      </c>
      <c r="AE78" s="0" t="inlineStr">
        <is>
          <t>도계동</t>
        </is>
      </c>
      <c r="AG78" s="0" t="inlineStr">
        <is>
          <t>경상남도 창원시 의창구 하남천서길37번길 6-12</t>
        </is>
      </c>
      <c r="AH78" s="0" t="n">
        <v>0</v>
      </c>
      <c r="AI78" s="0" t="n">
        <v>386</v>
      </c>
    </row>
    <row r="79">
      <c r="A79" s="0" t="inlineStr">
        <is>
          <t>[도계동]</t>
        </is>
      </c>
      <c r="B79" s="0" t="n">
        <v>16786</v>
      </c>
      <c r="C79" s="0" t="n">
        <v>6</v>
      </c>
      <c r="D79" s="0" t="inlineStr">
        <is>
          <t>금강목련</t>
        </is>
      </c>
      <c r="E79" s="0" t="inlineStr">
        <is>
          <t>1996.06.</t>
        </is>
      </c>
      <c r="F79" s="0" t="n">
        <v>77</v>
      </c>
      <c r="G79" s="0" t="n">
        <v>32.02</v>
      </c>
      <c r="H79" s="0" t="n">
        <v>105.87</v>
      </c>
      <c r="I79" s="0" t="n">
        <v>22.31</v>
      </c>
      <c r="J79" s="0" t="n">
        <v>73.76000000000001</v>
      </c>
      <c r="K79" s="0" t="n">
        <v>8</v>
      </c>
      <c r="T79" s="0" t="n">
        <v>3</v>
      </c>
      <c r="U79" s="0" t="n">
        <v>1</v>
      </c>
      <c r="V79" s="0" t="inlineStr">
        <is>
          <t>복도식</t>
        </is>
      </c>
      <c r="W79" s="0" t="n">
        <v>105</v>
      </c>
      <c r="X79" s="0" t="n">
        <v>15</v>
      </c>
      <c r="Y79" s="0" t="n">
        <v>5</v>
      </c>
      <c r="Z79" s="0" t="inlineStr">
        <is>
          <t>https://new.land.naver.com/complexes/16786?tab=detail&amp;rf=Y</t>
        </is>
      </c>
      <c r="AA79" s="0" t="inlineStr">
        <is>
          <t>경상남도 창원시 의창구 도계동 320-2</t>
        </is>
      </c>
      <c r="AB79" s="0" t="inlineStr">
        <is>
          <t>경상남도</t>
        </is>
      </c>
      <c r="AC79" s="0" t="inlineStr">
        <is>
          <t>창원시</t>
        </is>
      </c>
      <c r="AD79" s="0" t="inlineStr">
        <is>
          <t>의창구</t>
        </is>
      </c>
      <c r="AE79" s="0" t="inlineStr">
        <is>
          <t>도계동</t>
        </is>
      </c>
      <c r="AG79" s="0" t="inlineStr">
        <is>
          <t>경상남도 창원시 의창구 하남천서길37번길 6-12</t>
        </is>
      </c>
      <c r="AH79" s="0" t="n">
        <v>0</v>
      </c>
      <c r="AI79" s="0" t="n">
        <v>386</v>
      </c>
    </row>
    <row r="80">
      <c r="A80" s="0" t="inlineStr">
        <is>
          <t>[도계동]</t>
        </is>
      </c>
      <c r="B80" s="0" t="n">
        <v>138727</v>
      </c>
      <c r="C80" s="0" t="n">
        <v>1</v>
      </c>
      <c r="D80" s="0" t="inlineStr">
        <is>
          <t>대동맨션</t>
        </is>
      </c>
      <c r="E80" s="0" t="inlineStr">
        <is>
          <t>1991.01.</t>
        </is>
      </c>
      <c r="F80" s="0" t="n">
        <v>64</v>
      </c>
      <c r="G80" s="0" t="n">
        <v>23.27</v>
      </c>
      <c r="H80" s="0" t="n">
        <v>76.95</v>
      </c>
      <c r="I80" s="0" t="n">
        <v>19.75</v>
      </c>
      <c r="J80" s="0" t="n">
        <v>65.29000000000001</v>
      </c>
      <c r="K80" s="0" t="n">
        <v>6</v>
      </c>
      <c r="T80" s="0" t="n">
        <v>3</v>
      </c>
      <c r="U80" s="0" t="n">
        <v>1</v>
      </c>
      <c r="V80" s="0" t="inlineStr">
        <is>
          <t>복도식</t>
        </is>
      </c>
      <c r="W80" s="0" t="inlineStr">
        <is>
          <t>76A</t>
        </is>
      </c>
      <c r="X80" s="0" t="n">
        <v>6</v>
      </c>
      <c r="Y80" s="0" t="n">
        <v>6</v>
      </c>
      <c r="Z80" s="0" t="inlineStr">
        <is>
          <t>https://new.land.naver.com/complexes/138727?tab=detail&amp;rf=Y</t>
        </is>
      </c>
      <c r="AA80" s="0" t="inlineStr">
        <is>
          <t>경상남도 창원시 의창구 도계동 359-3</t>
        </is>
      </c>
      <c r="AB80" s="0" t="inlineStr">
        <is>
          <t>경상남도</t>
        </is>
      </c>
      <c r="AC80" s="0" t="inlineStr">
        <is>
          <t>창원시</t>
        </is>
      </c>
      <c r="AD80" s="0" t="inlineStr">
        <is>
          <t>의창구</t>
        </is>
      </c>
      <c r="AE80" s="0" t="inlineStr">
        <is>
          <t>도계동</t>
        </is>
      </c>
      <c r="AG80" s="0" t="inlineStr">
        <is>
          <t>경상남도 창원시 의창구 하남천동길32번길 3-5</t>
        </is>
      </c>
      <c r="AH80" s="0" t="n">
        <v>0</v>
      </c>
      <c r="AI80" s="0" t="n">
        <v>0</v>
      </c>
    </row>
    <row r="81">
      <c r="A81" s="0" t="inlineStr">
        <is>
          <t>[도계동]</t>
        </is>
      </c>
      <c r="B81" s="0" t="n">
        <v>138727</v>
      </c>
      <c r="C81" s="0" t="n">
        <v>2</v>
      </c>
      <c r="D81" s="0" t="inlineStr">
        <is>
          <t>대동맨션</t>
        </is>
      </c>
      <c r="E81" s="0" t="inlineStr">
        <is>
          <t>1991.01.</t>
        </is>
      </c>
      <c r="F81" s="0" t="n">
        <v>64</v>
      </c>
      <c r="G81" s="0" t="n">
        <v>23.3</v>
      </c>
      <c r="H81" s="0" t="n">
        <v>77.03</v>
      </c>
      <c r="I81" s="0" t="n">
        <v>19.77</v>
      </c>
      <c r="J81" s="0" t="n">
        <v>65.36</v>
      </c>
      <c r="K81" s="0" t="n">
        <v>6</v>
      </c>
      <c r="T81" s="0" t="n">
        <v>3</v>
      </c>
      <c r="U81" s="0" t="n">
        <v>1</v>
      </c>
      <c r="V81" s="0" t="inlineStr">
        <is>
          <t>복도식</t>
        </is>
      </c>
      <c r="W81" s="0" t="inlineStr">
        <is>
          <t>77B</t>
        </is>
      </c>
      <c r="X81" s="0" t="n">
        <v>6</v>
      </c>
      <c r="Y81" s="0" t="n">
        <v>6</v>
      </c>
      <c r="Z81" s="0" t="inlineStr">
        <is>
          <t>https://new.land.naver.com/complexes/138727?tab=detail&amp;rf=Y</t>
        </is>
      </c>
      <c r="AA81" s="0" t="inlineStr">
        <is>
          <t>경상남도 창원시 의창구 도계동 359-3</t>
        </is>
      </c>
      <c r="AB81" s="0" t="inlineStr">
        <is>
          <t>경상남도</t>
        </is>
      </c>
      <c r="AC81" s="0" t="inlineStr">
        <is>
          <t>창원시</t>
        </is>
      </c>
      <c r="AD81" s="0" t="inlineStr">
        <is>
          <t>의창구</t>
        </is>
      </c>
      <c r="AE81" s="0" t="inlineStr">
        <is>
          <t>도계동</t>
        </is>
      </c>
      <c r="AG81" s="0" t="inlineStr">
        <is>
          <t>경상남도 창원시 의창구 하남천동길32번길 3-5</t>
        </is>
      </c>
      <c r="AH81" s="0" t="n">
        <v>0</v>
      </c>
      <c r="AI81" s="0" t="n">
        <v>0</v>
      </c>
    </row>
    <row r="82">
      <c r="A82" s="0" t="inlineStr">
        <is>
          <t>[도계동]</t>
        </is>
      </c>
      <c r="B82" s="0" t="n">
        <v>138727</v>
      </c>
      <c r="C82" s="0" t="n">
        <v>3</v>
      </c>
      <c r="D82" s="0" t="inlineStr">
        <is>
          <t>대동맨션</t>
        </is>
      </c>
      <c r="E82" s="0" t="inlineStr">
        <is>
          <t>1991.01.</t>
        </is>
      </c>
      <c r="F82" s="0" t="n">
        <v>64</v>
      </c>
      <c r="G82" s="0" t="n">
        <v>24.76</v>
      </c>
      <c r="H82" s="0" t="n">
        <v>81.86</v>
      </c>
      <c r="I82" s="0" t="n">
        <v>21.15</v>
      </c>
      <c r="J82" s="0" t="n">
        <v>69.93000000000001</v>
      </c>
      <c r="K82" s="0" t="n">
        <v>6</v>
      </c>
      <c r="T82" s="0" t="n">
        <v>3</v>
      </c>
      <c r="U82" s="0" t="n">
        <v>1</v>
      </c>
      <c r="V82" s="0" t="inlineStr">
        <is>
          <t>복도식</t>
        </is>
      </c>
      <c r="W82" s="0" t="inlineStr">
        <is>
          <t>81A</t>
        </is>
      </c>
      <c r="X82" s="0" t="n">
        <v>6</v>
      </c>
      <c r="Y82" s="0" t="n">
        <v>6</v>
      </c>
      <c r="Z82" s="0" t="inlineStr">
        <is>
          <t>https://new.land.naver.com/complexes/138727?tab=detail&amp;rf=Y</t>
        </is>
      </c>
      <c r="AA82" s="0" t="inlineStr">
        <is>
          <t>경상남도 창원시 의창구 도계동 359-3</t>
        </is>
      </c>
      <c r="AB82" s="0" t="inlineStr">
        <is>
          <t>경상남도</t>
        </is>
      </c>
      <c r="AC82" s="0" t="inlineStr">
        <is>
          <t>창원시</t>
        </is>
      </c>
      <c r="AD82" s="0" t="inlineStr">
        <is>
          <t>의창구</t>
        </is>
      </c>
      <c r="AE82" s="0" t="inlineStr">
        <is>
          <t>도계동</t>
        </is>
      </c>
      <c r="AG82" s="0" t="inlineStr">
        <is>
          <t>경상남도 창원시 의창구 하남천동길32번길 3-5</t>
        </is>
      </c>
      <c r="AH82" s="0" t="n">
        <v>0</v>
      </c>
      <c r="AI82" s="0" t="n">
        <v>0</v>
      </c>
    </row>
    <row r="83">
      <c r="A83" s="0" t="inlineStr">
        <is>
          <t>[도계동]</t>
        </is>
      </c>
      <c r="B83" s="0" t="n">
        <v>138727</v>
      </c>
      <c r="C83" s="0" t="n">
        <v>4</v>
      </c>
      <c r="D83" s="0" t="inlineStr">
        <is>
          <t>대동맨션</t>
        </is>
      </c>
      <c r="E83" s="0" t="inlineStr">
        <is>
          <t>1991.01.</t>
        </is>
      </c>
      <c r="F83" s="0" t="n">
        <v>64</v>
      </c>
      <c r="G83" s="0" t="n">
        <v>25.15</v>
      </c>
      <c r="H83" s="0" t="n">
        <v>83.16</v>
      </c>
      <c r="I83" s="0" t="n">
        <v>21.48</v>
      </c>
      <c r="J83" s="0" t="n">
        <v>71.01000000000001</v>
      </c>
      <c r="K83" s="0" t="n">
        <v>6</v>
      </c>
      <c r="T83" s="0" t="n">
        <v>3</v>
      </c>
      <c r="U83" s="0" t="n">
        <v>2</v>
      </c>
      <c r="V83" s="0" t="inlineStr">
        <is>
          <t>복도식</t>
        </is>
      </c>
      <c r="W83" s="0" t="inlineStr">
        <is>
          <t>83B</t>
        </is>
      </c>
      <c r="X83" s="0" t="n">
        <v>6</v>
      </c>
      <c r="Y83" s="0" t="n">
        <v>6</v>
      </c>
      <c r="Z83" s="0" t="inlineStr">
        <is>
          <t>https://new.land.naver.com/complexes/138727?tab=detail&amp;rf=Y</t>
        </is>
      </c>
      <c r="AA83" s="0" t="inlineStr">
        <is>
          <t>경상남도 창원시 의창구 도계동 359-3</t>
        </is>
      </c>
      <c r="AB83" s="0" t="inlineStr">
        <is>
          <t>경상남도</t>
        </is>
      </c>
      <c r="AC83" s="0" t="inlineStr">
        <is>
          <t>창원시</t>
        </is>
      </c>
      <c r="AD83" s="0" t="inlineStr">
        <is>
          <t>의창구</t>
        </is>
      </c>
      <c r="AE83" s="0" t="inlineStr">
        <is>
          <t>도계동</t>
        </is>
      </c>
      <c r="AG83" s="0" t="inlineStr">
        <is>
          <t>경상남도 창원시 의창구 하남천동길32번길 3-5</t>
        </is>
      </c>
      <c r="AH83" s="0" t="n">
        <v>0</v>
      </c>
      <c r="AI83" s="0" t="n">
        <v>0</v>
      </c>
    </row>
    <row r="84">
      <c r="A84" s="0" t="inlineStr">
        <is>
          <t>[도계동]</t>
        </is>
      </c>
      <c r="B84" s="0" t="n">
        <v>138727</v>
      </c>
      <c r="C84" s="0" t="n">
        <v>5</v>
      </c>
      <c r="D84" s="0" t="inlineStr">
        <is>
          <t>대동맨션</t>
        </is>
      </c>
      <c r="E84" s="0" t="inlineStr">
        <is>
          <t>1991.01.</t>
        </is>
      </c>
      <c r="F84" s="0" t="n">
        <v>64</v>
      </c>
      <c r="G84" s="0" t="n">
        <v>25.66</v>
      </c>
      <c r="H84" s="0" t="n">
        <v>84.84999999999999</v>
      </c>
      <c r="I84" s="0" t="n">
        <v>21.97</v>
      </c>
      <c r="J84" s="0" t="n">
        <v>72.63</v>
      </c>
      <c r="K84" s="0" t="n">
        <v>18</v>
      </c>
      <c r="T84" s="0" t="n">
        <v>3</v>
      </c>
      <c r="U84" s="0" t="n">
        <v>2</v>
      </c>
      <c r="V84" s="0" t="inlineStr">
        <is>
          <t>복도식</t>
        </is>
      </c>
      <c r="W84" s="0" t="inlineStr">
        <is>
          <t>84B</t>
        </is>
      </c>
      <c r="X84" s="0" t="n">
        <v>6</v>
      </c>
      <c r="Y84" s="0" t="n">
        <v>6</v>
      </c>
      <c r="Z84" s="0" t="inlineStr">
        <is>
          <t>https://new.land.naver.com/complexes/138727?tab=detail&amp;rf=Y</t>
        </is>
      </c>
      <c r="AA84" s="0" t="inlineStr">
        <is>
          <t>경상남도 창원시 의창구 도계동 359-3</t>
        </is>
      </c>
      <c r="AB84" s="0" t="inlineStr">
        <is>
          <t>경상남도</t>
        </is>
      </c>
      <c r="AC84" s="0" t="inlineStr">
        <is>
          <t>창원시</t>
        </is>
      </c>
      <c r="AD84" s="0" t="inlineStr">
        <is>
          <t>의창구</t>
        </is>
      </c>
      <c r="AE84" s="0" t="inlineStr">
        <is>
          <t>도계동</t>
        </is>
      </c>
      <c r="AG84" s="0" t="inlineStr">
        <is>
          <t>경상남도 창원시 의창구 하남천동길32번길 3-5</t>
        </is>
      </c>
      <c r="AH84" s="0" t="n">
        <v>0</v>
      </c>
      <c r="AI84" s="0" t="n">
        <v>0</v>
      </c>
    </row>
    <row r="85">
      <c r="A85" s="0" t="inlineStr">
        <is>
          <t>[도계동]</t>
        </is>
      </c>
      <c r="B85" s="0" t="n">
        <v>138727</v>
      </c>
      <c r="C85" s="0" t="n">
        <v>6</v>
      </c>
      <c r="D85" s="0" t="inlineStr">
        <is>
          <t>대동맨션</t>
        </is>
      </c>
      <c r="E85" s="0" t="inlineStr">
        <is>
          <t>1991.01.</t>
        </is>
      </c>
      <c r="F85" s="0" t="n">
        <v>64</v>
      </c>
      <c r="G85" s="0" t="n">
        <v>25.54</v>
      </c>
      <c r="H85" s="0" t="n">
        <v>84.44</v>
      </c>
      <c r="I85" s="0" t="n">
        <v>21.87</v>
      </c>
      <c r="J85" s="0" t="n">
        <v>72.33</v>
      </c>
      <c r="K85" s="0" t="n">
        <v>6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84A</t>
        </is>
      </c>
      <c r="X85" s="0" t="n">
        <v>6</v>
      </c>
      <c r="Y85" s="0" t="n">
        <v>6</v>
      </c>
      <c r="Z85" s="0" t="inlineStr">
        <is>
          <t>https://new.land.naver.com/complexes/138727?tab=detail&amp;rf=Y</t>
        </is>
      </c>
      <c r="AA85" s="0" t="inlineStr">
        <is>
          <t>경상남도 창원시 의창구 도계동 359-3</t>
        </is>
      </c>
      <c r="AB85" s="0" t="inlineStr">
        <is>
          <t>경상남도</t>
        </is>
      </c>
      <c r="AC85" s="0" t="inlineStr">
        <is>
          <t>창원시</t>
        </is>
      </c>
      <c r="AD85" s="0" t="inlineStr">
        <is>
          <t>의창구</t>
        </is>
      </c>
      <c r="AE85" s="0" t="inlineStr">
        <is>
          <t>도계동</t>
        </is>
      </c>
      <c r="AG85" s="0" t="inlineStr">
        <is>
          <t>경상남도 창원시 의창구 하남천동길32번길 3-5</t>
        </is>
      </c>
      <c r="AH85" s="0" t="n">
        <v>0</v>
      </c>
      <c r="AI85" s="0" t="n">
        <v>0</v>
      </c>
    </row>
    <row r="86">
      <c r="A86" s="0" t="inlineStr">
        <is>
          <t>[도계동]</t>
        </is>
      </c>
      <c r="B86" s="0" t="n">
        <v>138727</v>
      </c>
      <c r="C86" s="0" t="n">
        <v>7</v>
      </c>
      <c r="D86" s="0" t="inlineStr">
        <is>
          <t>대동맨션</t>
        </is>
      </c>
      <c r="E86" s="0" t="inlineStr">
        <is>
          <t>1991.01.</t>
        </is>
      </c>
      <c r="F86" s="0" t="n">
        <v>64</v>
      </c>
      <c r="G86" s="0" t="n">
        <v>25.47</v>
      </c>
      <c r="H86" s="0" t="n">
        <v>84.22</v>
      </c>
      <c r="I86" s="0" t="n">
        <v>21.81</v>
      </c>
      <c r="J86" s="0" t="n">
        <v>72.12</v>
      </c>
      <c r="K86" s="0" t="n">
        <v>1</v>
      </c>
      <c r="T86" s="0" t="n">
        <v>3</v>
      </c>
      <c r="U86" s="0" t="n">
        <v>2</v>
      </c>
      <c r="V86" s="0" t="inlineStr">
        <is>
          <t>복도식</t>
        </is>
      </c>
      <c r="W86" s="0" t="inlineStr">
        <is>
          <t>84C</t>
        </is>
      </c>
      <c r="X86" s="0" t="n">
        <v>6</v>
      </c>
      <c r="Y86" s="0" t="n">
        <v>6</v>
      </c>
      <c r="Z86" s="0" t="inlineStr">
        <is>
          <t>https://new.land.naver.com/complexes/138727?tab=detail&amp;rf=Y</t>
        </is>
      </c>
      <c r="AA86" s="0" t="inlineStr">
        <is>
          <t>경상남도 창원시 의창구 도계동 359-3</t>
        </is>
      </c>
      <c r="AB86" s="0" t="inlineStr">
        <is>
          <t>경상남도</t>
        </is>
      </c>
      <c r="AC86" s="0" t="inlineStr">
        <is>
          <t>창원시</t>
        </is>
      </c>
      <c r="AD86" s="0" t="inlineStr">
        <is>
          <t>의창구</t>
        </is>
      </c>
      <c r="AE86" s="0" t="inlineStr">
        <is>
          <t>도계동</t>
        </is>
      </c>
      <c r="AG86" s="0" t="inlineStr">
        <is>
          <t>경상남도 창원시 의창구 하남천동길32번길 3-5</t>
        </is>
      </c>
      <c r="AH86" s="0" t="n">
        <v>0</v>
      </c>
      <c r="AI86" s="0" t="n">
        <v>0</v>
      </c>
    </row>
    <row r="87">
      <c r="A87" s="0" t="inlineStr">
        <is>
          <t>[도계동]</t>
        </is>
      </c>
      <c r="B87" s="0" t="n">
        <v>138727</v>
      </c>
      <c r="C87" s="0" t="n">
        <v>8</v>
      </c>
      <c r="D87" s="0" t="inlineStr">
        <is>
          <t>대동맨션</t>
        </is>
      </c>
      <c r="E87" s="0" t="inlineStr">
        <is>
          <t>1991.01.</t>
        </is>
      </c>
      <c r="F87" s="0" t="n">
        <v>64</v>
      </c>
      <c r="G87" s="0" t="n">
        <v>26.22</v>
      </c>
      <c r="H87" s="0" t="n">
        <v>86.70999999999999</v>
      </c>
      <c r="I87" s="0" t="n">
        <v>22.46</v>
      </c>
      <c r="J87" s="0" t="n">
        <v>74.28</v>
      </c>
      <c r="K87" s="0" t="n">
        <v>6</v>
      </c>
      <c r="T87" s="0" t="n">
        <v>3</v>
      </c>
      <c r="U87" s="0" t="n">
        <v>2</v>
      </c>
      <c r="V87" s="0" t="inlineStr">
        <is>
          <t>복도식</t>
        </is>
      </c>
      <c r="W87" s="0" t="inlineStr">
        <is>
          <t>86D</t>
        </is>
      </c>
      <c r="X87" s="0" t="n">
        <v>6</v>
      </c>
      <c r="Y87" s="0" t="n">
        <v>6</v>
      </c>
      <c r="Z87" s="0" t="inlineStr">
        <is>
          <t>https://new.land.naver.com/complexes/138727?tab=detail&amp;rf=Y</t>
        </is>
      </c>
      <c r="AA87" s="0" t="inlineStr">
        <is>
          <t>경상남도 창원시 의창구 도계동 359-3</t>
        </is>
      </c>
      <c r="AB87" s="0" t="inlineStr">
        <is>
          <t>경상남도</t>
        </is>
      </c>
      <c r="AC87" s="0" t="inlineStr">
        <is>
          <t>창원시</t>
        </is>
      </c>
      <c r="AD87" s="0" t="inlineStr">
        <is>
          <t>의창구</t>
        </is>
      </c>
      <c r="AE87" s="0" t="inlineStr">
        <is>
          <t>도계동</t>
        </is>
      </c>
      <c r="AG87" s="0" t="inlineStr">
        <is>
          <t>경상남도 창원시 의창구 하남천동길32번길 3-5</t>
        </is>
      </c>
      <c r="AH87" s="0" t="n">
        <v>0</v>
      </c>
      <c r="AI87" s="0" t="n">
        <v>0</v>
      </c>
    </row>
    <row r="88">
      <c r="A88" s="0" t="inlineStr">
        <is>
          <t>[도계동]</t>
        </is>
      </c>
      <c r="B88" s="0" t="n">
        <v>138727</v>
      </c>
      <c r="C88" s="0" t="n">
        <v>9</v>
      </c>
      <c r="D88" s="0" t="inlineStr">
        <is>
          <t>대동맨션</t>
        </is>
      </c>
      <c r="E88" s="0" t="inlineStr">
        <is>
          <t>1991.01.</t>
        </is>
      </c>
      <c r="F88" s="0" t="n">
        <v>64</v>
      </c>
      <c r="G88" s="0" t="n">
        <v>26.05</v>
      </c>
      <c r="H88" s="0" t="n">
        <v>86.13</v>
      </c>
      <c r="I88" s="0" t="n">
        <v>22.3</v>
      </c>
      <c r="J88" s="0" t="n">
        <v>73.75</v>
      </c>
      <c r="K88" s="0" t="n">
        <v>1</v>
      </c>
      <c r="T88" s="0" t="n">
        <v>3</v>
      </c>
      <c r="U88" s="0" t="n">
        <v>2</v>
      </c>
      <c r="V88" s="0" t="inlineStr">
        <is>
          <t>복도식</t>
        </is>
      </c>
      <c r="W88" s="0" t="inlineStr">
        <is>
          <t>86C</t>
        </is>
      </c>
      <c r="X88" s="0" t="n">
        <v>6</v>
      </c>
      <c r="Y88" s="0" t="n">
        <v>6</v>
      </c>
      <c r="Z88" s="0" t="inlineStr">
        <is>
          <t>https://new.land.naver.com/complexes/138727?tab=detail&amp;rf=Y</t>
        </is>
      </c>
      <c r="AA88" s="0" t="inlineStr">
        <is>
          <t>경상남도 창원시 의창구 도계동 359-3</t>
        </is>
      </c>
      <c r="AB88" s="0" t="inlineStr">
        <is>
          <t>경상남도</t>
        </is>
      </c>
      <c r="AC88" s="0" t="inlineStr">
        <is>
          <t>창원시</t>
        </is>
      </c>
      <c r="AD88" s="0" t="inlineStr">
        <is>
          <t>의창구</t>
        </is>
      </c>
      <c r="AE88" s="0" t="inlineStr">
        <is>
          <t>도계동</t>
        </is>
      </c>
      <c r="AG88" s="0" t="inlineStr">
        <is>
          <t>경상남도 창원시 의창구 하남천동길32번길 3-5</t>
        </is>
      </c>
      <c r="AH88" s="0" t="n">
        <v>0</v>
      </c>
      <c r="AI88" s="0" t="n">
        <v>0</v>
      </c>
    </row>
    <row r="89">
      <c r="A89" s="0" t="inlineStr">
        <is>
          <t>[도계동]</t>
        </is>
      </c>
      <c r="B89" s="0" t="n">
        <v>138727</v>
      </c>
      <c r="C89" s="0" t="n">
        <v>10</v>
      </c>
      <c r="D89" s="0" t="inlineStr">
        <is>
          <t>대동맨션</t>
        </is>
      </c>
      <c r="E89" s="0" t="inlineStr">
        <is>
          <t>1991.01.</t>
        </is>
      </c>
      <c r="F89" s="0" t="n">
        <v>64</v>
      </c>
      <c r="G89" s="0" t="n">
        <v>28.71</v>
      </c>
      <c r="H89" s="0" t="n">
        <v>94.94</v>
      </c>
      <c r="I89" s="0" t="n">
        <v>24.59</v>
      </c>
      <c r="J89" s="0" t="n">
        <v>81.3</v>
      </c>
      <c r="K89" s="0" t="n">
        <v>4</v>
      </c>
      <c r="T89" s="0" t="n">
        <v>3</v>
      </c>
      <c r="U89" s="0" t="n">
        <v>2</v>
      </c>
      <c r="V89" s="0" t="inlineStr">
        <is>
          <t>복도식</t>
        </is>
      </c>
      <c r="W89" s="0" t="inlineStr">
        <is>
          <t>94A</t>
        </is>
      </c>
      <c r="X89" s="0" t="n">
        <v>6</v>
      </c>
      <c r="Y89" s="0" t="n">
        <v>6</v>
      </c>
      <c r="Z89" s="0" t="inlineStr">
        <is>
          <t>https://new.land.naver.com/complexes/138727?tab=detail&amp;rf=Y</t>
        </is>
      </c>
      <c r="AA89" s="0" t="inlineStr">
        <is>
          <t>경상남도 창원시 의창구 도계동 359-3</t>
        </is>
      </c>
      <c r="AB89" s="0" t="inlineStr">
        <is>
          <t>경상남도</t>
        </is>
      </c>
      <c r="AC89" s="0" t="inlineStr">
        <is>
          <t>창원시</t>
        </is>
      </c>
      <c r="AD89" s="0" t="inlineStr">
        <is>
          <t>의창구</t>
        </is>
      </c>
      <c r="AE89" s="0" t="inlineStr">
        <is>
          <t>도계동</t>
        </is>
      </c>
      <c r="AG89" s="0" t="inlineStr">
        <is>
          <t>경상남도 창원시 의창구 하남천동길32번길 3-5</t>
        </is>
      </c>
      <c r="AH89" s="0" t="n">
        <v>0</v>
      </c>
      <c r="AI89" s="0" t="n">
        <v>0</v>
      </c>
    </row>
    <row r="90">
      <c r="A90" s="0" t="inlineStr">
        <is>
          <t>[도계동]</t>
        </is>
      </c>
      <c r="B90" s="0" t="n">
        <v>138727</v>
      </c>
      <c r="C90" s="0" t="n">
        <v>11</v>
      </c>
      <c r="D90" s="0" t="inlineStr">
        <is>
          <t>대동맨션</t>
        </is>
      </c>
      <c r="E90" s="0" t="inlineStr">
        <is>
          <t>1991.01.</t>
        </is>
      </c>
      <c r="F90" s="0" t="n">
        <v>64</v>
      </c>
      <c r="G90" s="0" t="n">
        <v>29.05</v>
      </c>
      <c r="H90" s="0" t="n">
        <v>96.06</v>
      </c>
      <c r="I90" s="0" t="n">
        <v>24.88</v>
      </c>
      <c r="J90" s="0" t="n">
        <v>82.25</v>
      </c>
      <c r="K90" s="0" t="n">
        <v>4</v>
      </c>
      <c r="T90" s="0" t="n">
        <v>3</v>
      </c>
      <c r="U90" s="0" t="n">
        <v>2</v>
      </c>
      <c r="V90" s="0" t="inlineStr">
        <is>
          <t>복도식</t>
        </is>
      </c>
      <c r="W90" s="0" t="inlineStr">
        <is>
          <t>96B</t>
        </is>
      </c>
      <c r="X90" s="0" t="n">
        <v>6</v>
      </c>
      <c r="Y90" s="0" t="n">
        <v>6</v>
      </c>
      <c r="Z90" s="0" t="inlineStr">
        <is>
          <t>https://new.land.naver.com/complexes/138727?tab=detail&amp;rf=Y</t>
        </is>
      </c>
      <c r="AA90" s="0" t="inlineStr">
        <is>
          <t>경상남도 창원시 의창구 도계동 359-3</t>
        </is>
      </c>
      <c r="AB90" s="0" t="inlineStr">
        <is>
          <t>경상남도</t>
        </is>
      </c>
      <c r="AC90" s="0" t="inlineStr">
        <is>
          <t>창원시</t>
        </is>
      </c>
      <c r="AD90" s="0" t="inlineStr">
        <is>
          <t>의창구</t>
        </is>
      </c>
      <c r="AE90" s="0" t="inlineStr">
        <is>
          <t>도계동</t>
        </is>
      </c>
      <c r="AG90" s="0" t="inlineStr">
        <is>
          <t>경상남도 창원시 의창구 하남천동길32번길 3-5</t>
        </is>
      </c>
      <c r="AH90" s="0" t="n">
        <v>0</v>
      </c>
      <c r="AI90" s="0" t="n">
        <v>0</v>
      </c>
    </row>
    <row r="91">
      <c r="A91" s="0" t="inlineStr">
        <is>
          <t>[도계동]</t>
        </is>
      </c>
      <c r="B91" s="0" t="n">
        <v>101217</v>
      </c>
      <c r="C91" s="0" t="n">
        <v>1</v>
      </c>
      <c r="D91" s="0" t="inlineStr">
        <is>
          <t>한효해바라기</t>
        </is>
      </c>
      <c r="E91" s="0" t="inlineStr">
        <is>
          <t>1990.12.</t>
        </is>
      </c>
      <c r="F91" s="0" t="n">
        <v>100</v>
      </c>
      <c r="G91" s="0" t="n">
        <v>29.75</v>
      </c>
      <c r="H91" s="0" t="n">
        <v>98.34999999999999</v>
      </c>
      <c r="I91" s="0" t="n">
        <v>25.68</v>
      </c>
      <c r="J91" s="0" t="n">
        <v>84.90000000000001</v>
      </c>
      <c r="K91" s="0" t="n">
        <v>100</v>
      </c>
      <c r="T91" s="0" t="n">
        <v>3</v>
      </c>
      <c r="U91" s="0" t="n">
        <v>2</v>
      </c>
      <c r="V91" s="0" t="inlineStr">
        <is>
          <t>계단식</t>
        </is>
      </c>
      <c r="W91" s="0" t="n">
        <v>98</v>
      </c>
      <c r="X91" s="0" t="n">
        <v>5</v>
      </c>
      <c r="Y91" s="0" t="n">
        <v>5</v>
      </c>
      <c r="Z91" s="0" t="inlineStr">
        <is>
          <t>https://new.land.naver.com/complexes/101217?tab=detail&amp;rf=Y</t>
        </is>
      </c>
      <c r="AA91" s="0" t="inlineStr">
        <is>
          <t>경상남도 창원시 의창구 도계동 339</t>
        </is>
      </c>
      <c r="AB91" s="0" t="inlineStr">
        <is>
          <t>경상남도</t>
        </is>
      </c>
      <c r="AC91" s="0" t="inlineStr">
        <is>
          <t>창원시</t>
        </is>
      </c>
      <c r="AD91" s="0" t="inlineStr">
        <is>
          <t>의창구</t>
        </is>
      </c>
      <c r="AE91" s="0" t="inlineStr">
        <is>
          <t>도계동</t>
        </is>
      </c>
      <c r="AG91" s="0" t="inlineStr">
        <is>
          <t>경상남도 창원시 의창구 도계로50번길 6-33</t>
        </is>
      </c>
      <c r="AH91" s="0" t="n">
        <v>0</v>
      </c>
      <c r="AI91" s="0" t="n">
        <v>191</v>
      </c>
    </row>
    <row r="92">
      <c r="A92" s="0" t="inlineStr">
        <is>
          <t>[도계동]</t>
        </is>
      </c>
      <c r="B92" s="0" t="n">
        <v>100896</v>
      </c>
      <c r="C92" s="0" t="n">
        <v>1</v>
      </c>
      <c r="D92" s="0" t="inlineStr">
        <is>
          <t>상아그로리아맨션</t>
        </is>
      </c>
      <c r="E92" s="0" t="inlineStr">
        <is>
          <t>1992.08.</t>
        </is>
      </c>
      <c r="F92" s="0" t="n">
        <v>48</v>
      </c>
      <c r="G92" s="0" t="n">
        <v>21.06</v>
      </c>
      <c r="H92" s="0" t="n">
        <v>69.65000000000001</v>
      </c>
      <c r="I92" s="0" t="n">
        <v>18.11</v>
      </c>
      <c r="J92" s="0" t="n">
        <v>59.9</v>
      </c>
      <c r="K92" s="0" t="n">
        <v>24</v>
      </c>
      <c r="T92" s="0" t="n">
        <v>3</v>
      </c>
      <c r="U92" s="0" t="n">
        <v>1</v>
      </c>
      <c r="V92" s="0" t="inlineStr">
        <is>
          <t>계단식</t>
        </is>
      </c>
      <c r="W92" s="0" t="n">
        <v>69</v>
      </c>
      <c r="X92" s="0" t="n">
        <v>13</v>
      </c>
      <c r="Y92" s="0" t="n">
        <v>13</v>
      </c>
      <c r="Z92" s="0" t="inlineStr">
        <is>
          <t>https://new.land.naver.com/complexes/100896?tab=detail&amp;rf=Y</t>
        </is>
      </c>
      <c r="AA92" s="0" t="inlineStr">
        <is>
          <t>경상남도 창원시 의창구 도계동 358-2</t>
        </is>
      </c>
      <c r="AB92" s="0" t="inlineStr">
        <is>
          <t>경상남도</t>
        </is>
      </c>
      <c r="AC92" s="0" t="inlineStr">
        <is>
          <t>창원시</t>
        </is>
      </c>
      <c r="AD92" s="0" t="inlineStr">
        <is>
          <t>의창구</t>
        </is>
      </c>
      <c r="AE92" s="0" t="inlineStr">
        <is>
          <t>도계동</t>
        </is>
      </c>
      <c r="AG92" s="0" t="inlineStr">
        <is>
          <t>경상남도 창원시 의창구 하남천동길16번길 3-19</t>
        </is>
      </c>
      <c r="AH92" s="0" t="n">
        <v>0</v>
      </c>
      <c r="AI92" s="0" t="n">
        <v>389</v>
      </c>
    </row>
    <row r="93">
      <c r="A93" s="0" t="inlineStr">
        <is>
          <t>[도계동]</t>
        </is>
      </c>
      <c r="B93" s="0" t="n">
        <v>100896</v>
      </c>
      <c r="C93" s="0" t="n">
        <v>2</v>
      </c>
      <c r="D93" s="0" t="inlineStr">
        <is>
          <t>상아그로리아맨션</t>
        </is>
      </c>
      <c r="E93" s="0" t="inlineStr">
        <is>
          <t>1992.08.</t>
        </is>
      </c>
      <c r="F93" s="0" t="n">
        <v>48</v>
      </c>
      <c r="G93" s="0" t="n">
        <v>28.42</v>
      </c>
      <c r="H93" s="0" t="n">
        <v>93.98</v>
      </c>
      <c r="I93" s="0" t="n">
        <v>24.44</v>
      </c>
      <c r="J93" s="0" t="n">
        <v>80.81999999999999</v>
      </c>
      <c r="K93" s="0" t="n">
        <v>24</v>
      </c>
      <c r="T93" s="0" t="n">
        <v>3</v>
      </c>
      <c r="U93" s="0" t="n">
        <v>1</v>
      </c>
      <c r="V93" s="0" t="inlineStr">
        <is>
          <t>계단식</t>
        </is>
      </c>
      <c r="W93" s="0" t="n">
        <v>93</v>
      </c>
      <c r="X93" s="0" t="n">
        <v>13</v>
      </c>
      <c r="Y93" s="0" t="n">
        <v>13</v>
      </c>
      <c r="Z93" s="0" t="inlineStr">
        <is>
          <t>https://new.land.naver.com/complexes/100896?tab=detail&amp;rf=Y</t>
        </is>
      </c>
      <c r="AA93" s="0" t="inlineStr">
        <is>
          <t>경상남도 창원시 의창구 도계동 358-2</t>
        </is>
      </c>
      <c r="AB93" s="0" t="inlineStr">
        <is>
          <t>경상남도</t>
        </is>
      </c>
      <c r="AC93" s="0" t="inlineStr">
        <is>
          <t>창원시</t>
        </is>
      </c>
      <c r="AD93" s="0" t="inlineStr">
        <is>
          <t>의창구</t>
        </is>
      </c>
      <c r="AE93" s="0" t="inlineStr">
        <is>
          <t>도계동</t>
        </is>
      </c>
      <c r="AG93" s="0" t="inlineStr">
        <is>
          <t>경상남도 창원시 의창구 하남천동길16번길 3-19</t>
        </is>
      </c>
      <c r="AH93" s="0" t="n">
        <v>0</v>
      </c>
      <c r="AI93" s="0" t="n">
        <v>389</v>
      </c>
    </row>
    <row r="94">
      <c r="A94" s="0" t="inlineStr">
        <is>
          <t>[도계동]</t>
        </is>
      </c>
      <c r="B94" s="0" t="n">
        <v>127945</v>
      </c>
      <c r="C94" s="0" t="n">
        <v>1</v>
      </c>
      <c r="D94" s="0" t="inlineStr">
        <is>
          <t>영남양지맨션</t>
        </is>
      </c>
      <c r="E94" s="0" t="inlineStr">
        <is>
          <t>1992.07.</t>
        </is>
      </c>
      <c r="F94" s="0" t="n">
        <v>49</v>
      </c>
      <c r="G94" s="0" t="n">
        <v>23.87</v>
      </c>
      <c r="H94" s="0" t="n">
        <v>78.92</v>
      </c>
      <c r="I94" s="0" t="n">
        <v>17.96</v>
      </c>
      <c r="J94" s="0" t="n">
        <v>59.4</v>
      </c>
      <c r="K94" s="0" t="n">
        <v>18</v>
      </c>
      <c r="T94" s="0" t="n">
        <v>3</v>
      </c>
      <c r="U94" s="0" t="n">
        <v>1</v>
      </c>
      <c r="V94" s="0" t="inlineStr">
        <is>
          <t>계단식</t>
        </is>
      </c>
      <c r="W94" s="0" t="n">
        <v>78</v>
      </c>
      <c r="X94" s="0" t="n">
        <v>9</v>
      </c>
      <c r="Y94" s="0" t="n">
        <v>7</v>
      </c>
      <c r="Z94" s="0" t="inlineStr">
        <is>
          <t>https://new.land.naver.com/complexes/127945?tab=detail&amp;rf=Y</t>
        </is>
      </c>
      <c r="AA94" s="0" t="inlineStr">
        <is>
          <t>경상남도 창원시 의창구 도계동 415-5</t>
        </is>
      </c>
      <c r="AB94" s="0" t="inlineStr">
        <is>
          <t>경상남도</t>
        </is>
      </c>
      <c r="AC94" s="0" t="inlineStr">
        <is>
          <t>창원시</t>
        </is>
      </c>
      <c r="AD94" s="0" t="inlineStr">
        <is>
          <t>의창구</t>
        </is>
      </c>
      <c r="AE94" s="0" t="inlineStr">
        <is>
          <t>도계동</t>
        </is>
      </c>
      <c r="AG94" s="0" t="inlineStr">
        <is>
          <t>경상남도 창원시 의창구 도계로95번길 14-16</t>
        </is>
      </c>
      <c r="AH94" s="0" t="n">
        <v>0</v>
      </c>
      <c r="AI94" s="0" t="n">
        <v>309</v>
      </c>
    </row>
    <row r="95">
      <c r="A95" s="0" t="inlineStr">
        <is>
          <t>[도계동]</t>
        </is>
      </c>
      <c r="B95" s="0" t="n">
        <v>127945</v>
      </c>
      <c r="C95" s="0" t="n">
        <v>2</v>
      </c>
      <c r="D95" s="0" t="inlineStr">
        <is>
          <t>영남양지맨션</t>
        </is>
      </c>
      <c r="E95" s="0" t="inlineStr">
        <is>
          <t>1992.07.</t>
        </is>
      </c>
      <c r="F95" s="0" t="n">
        <v>49</v>
      </c>
      <c r="G95" s="0" t="n">
        <v>34.05</v>
      </c>
      <c r="H95" s="0" t="n">
        <v>112.59</v>
      </c>
      <c r="I95" s="0" t="n">
        <v>25.63</v>
      </c>
      <c r="J95" s="0" t="n">
        <v>84.73999999999999</v>
      </c>
      <c r="K95" s="0" t="n">
        <v>25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112A</t>
        </is>
      </c>
      <c r="X95" s="0" t="n">
        <v>9</v>
      </c>
      <c r="Y95" s="0" t="n">
        <v>7</v>
      </c>
      <c r="Z95" s="0" t="inlineStr">
        <is>
          <t>https://new.land.naver.com/complexes/127945?tab=detail&amp;rf=Y</t>
        </is>
      </c>
      <c r="AA95" s="0" t="inlineStr">
        <is>
          <t>경상남도 창원시 의창구 도계동 415-5</t>
        </is>
      </c>
      <c r="AB95" s="0" t="inlineStr">
        <is>
          <t>경상남도</t>
        </is>
      </c>
      <c r="AC95" s="0" t="inlineStr">
        <is>
          <t>창원시</t>
        </is>
      </c>
      <c r="AD95" s="0" t="inlineStr">
        <is>
          <t>의창구</t>
        </is>
      </c>
      <c r="AE95" s="0" t="inlineStr">
        <is>
          <t>도계동</t>
        </is>
      </c>
      <c r="AG95" s="0" t="inlineStr">
        <is>
          <t>경상남도 창원시 의창구 도계로95번길 14-16</t>
        </is>
      </c>
      <c r="AH95" s="0" t="n">
        <v>0</v>
      </c>
      <c r="AI95" s="0" t="n">
        <v>309</v>
      </c>
    </row>
    <row r="96">
      <c r="A96" s="0" t="inlineStr">
        <is>
          <t>[도계동]</t>
        </is>
      </c>
      <c r="B96" s="0" t="n">
        <v>127945</v>
      </c>
      <c r="C96" s="0" t="n">
        <v>3</v>
      </c>
      <c r="D96" s="0" t="inlineStr">
        <is>
          <t>영남양지맨션</t>
        </is>
      </c>
      <c r="E96" s="0" t="inlineStr">
        <is>
          <t>1992.07.</t>
        </is>
      </c>
      <c r="F96" s="0" t="n">
        <v>49</v>
      </c>
      <c r="G96" s="0" t="n">
        <v>34.1</v>
      </c>
      <c r="H96" s="0" t="n">
        <v>112.75</v>
      </c>
      <c r="I96" s="0" t="n">
        <v>25.67</v>
      </c>
      <c r="J96" s="0" t="n">
        <v>84.86</v>
      </c>
      <c r="K96" s="0" t="n">
        <v>6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112B</t>
        </is>
      </c>
      <c r="X96" s="0" t="n">
        <v>9</v>
      </c>
      <c r="Y96" s="0" t="n">
        <v>7</v>
      </c>
      <c r="Z96" s="0" t="inlineStr">
        <is>
          <t>https://new.land.naver.com/complexes/127945?tab=detail&amp;rf=Y</t>
        </is>
      </c>
      <c r="AA96" s="0" t="inlineStr">
        <is>
          <t>경상남도 창원시 의창구 도계동 415-5</t>
        </is>
      </c>
      <c r="AB96" s="0" t="inlineStr">
        <is>
          <t>경상남도</t>
        </is>
      </c>
      <c r="AC96" s="0" t="inlineStr">
        <is>
          <t>창원시</t>
        </is>
      </c>
      <c r="AD96" s="0" t="inlineStr">
        <is>
          <t>의창구</t>
        </is>
      </c>
      <c r="AE96" s="0" t="inlineStr">
        <is>
          <t>도계동</t>
        </is>
      </c>
      <c r="AG96" s="0" t="inlineStr">
        <is>
          <t>경상남도 창원시 의창구 도계로95번길 14-16</t>
        </is>
      </c>
      <c r="AH96" s="0" t="n">
        <v>0</v>
      </c>
      <c r="AI96" s="0" t="n">
        <v>309</v>
      </c>
    </row>
    <row r="97">
      <c r="A97" s="0" t="inlineStr">
        <is>
          <t>[도계동]</t>
        </is>
      </c>
      <c r="B97" s="0" t="n">
        <v>101105</v>
      </c>
      <c r="C97" s="0" t="n">
        <v>1</v>
      </c>
      <c r="D97" s="0" t="inlineStr">
        <is>
          <t>대풍</t>
        </is>
      </c>
      <c r="E97" s="0" t="inlineStr">
        <is>
          <t>1992.11.</t>
        </is>
      </c>
      <c r="F97" s="0" t="n">
        <v>62</v>
      </c>
      <c r="G97" s="0" t="n">
        <v>19.5</v>
      </c>
      <c r="H97" s="0" t="n">
        <v>64.48999999999999</v>
      </c>
      <c r="I97" s="0" t="n">
        <v>16.49</v>
      </c>
      <c r="J97" s="0" t="n">
        <v>54.53</v>
      </c>
      <c r="K97" s="0" t="n">
        <v>2</v>
      </c>
      <c r="T97" s="0" t="n">
        <v>3</v>
      </c>
      <c r="U97" s="0" t="n">
        <v>1</v>
      </c>
      <c r="V97" s="0" t="inlineStr">
        <is>
          <t>계단식</t>
        </is>
      </c>
      <c r="W97" s="0" t="n">
        <v>64</v>
      </c>
      <c r="X97" s="0" t="n">
        <v>11</v>
      </c>
      <c r="Y97" s="0" t="n">
        <v>8</v>
      </c>
      <c r="Z97" s="0" t="inlineStr">
        <is>
          <t>https://new.land.naver.com/complexes/101105?tab=detail&amp;rf=Y</t>
        </is>
      </c>
      <c r="AA97" s="0" t="inlineStr">
        <is>
          <t>경상남도 창원시 의창구 도계동 317-10</t>
        </is>
      </c>
      <c r="AB97" s="0" t="inlineStr">
        <is>
          <t>경상남도</t>
        </is>
      </c>
      <c r="AC97" s="0" t="inlineStr">
        <is>
          <t>창원시</t>
        </is>
      </c>
      <c r="AD97" s="0" t="inlineStr">
        <is>
          <t>의창구</t>
        </is>
      </c>
      <c r="AE97" s="0" t="inlineStr">
        <is>
          <t>도계동</t>
        </is>
      </c>
      <c r="AG97" s="0" t="inlineStr">
        <is>
          <t>경상남도 창원시 의창구 하남천서길51번길 10</t>
        </is>
      </c>
      <c r="AH97" s="0" t="n">
        <v>0</v>
      </c>
      <c r="AI97" s="0" t="n">
        <v>328</v>
      </c>
    </row>
    <row r="98">
      <c r="A98" s="0" t="inlineStr">
        <is>
          <t>[도계동]</t>
        </is>
      </c>
      <c r="B98" s="0" t="n">
        <v>101105</v>
      </c>
      <c r="C98" s="0" t="n">
        <v>2</v>
      </c>
      <c r="D98" s="0" t="inlineStr">
        <is>
          <t>대풍</t>
        </is>
      </c>
      <c r="E98" s="0" t="inlineStr">
        <is>
          <t>1992.11.</t>
        </is>
      </c>
      <c r="F98" s="0" t="n">
        <v>62</v>
      </c>
      <c r="G98" s="0" t="n">
        <v>20.77</v>
      </c>
      <c r="H98" s="0" t="n">
        <v>68.69</v>
      </c>
      <c r="I98" s="0" t="n">
        <v>17.99</v>
      </c>
      <c r="J98" s="0" t="n">
        <v>59.5</v>
      </c>
      <c r="K98" s="0" t="n">
        <v>1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68B</t>
        </is>
      </c>
      <c r="X98" s="0" t="n">
        <v>11</v>
      </c>
      <c r="Y98" s="0" t="n">
        <v>8</v>
      </c>
      <c r="Z98" s="0" t="inlineStr">
        <is>
          <t>https://new.land.naver.com/complexes/101105?tab=detail&amp;rf=Y</t>
        </is>
      </c>
      <c r="AA98" s="0" t="inlineStr">
        <is>
          <t>경상남도 창원시 의창구 도계동 317-10</t>
        </is>
      </c>
      <c r="AB98" s="0" t="inlineStr">
        <is>
          <t>경상남도</t>
        </is>
      </c>
      <c r="AC98" s="0" t="inlineStr">
        <is>
          <t>창원시</t>
        </is>
      </c>
      <c r="AD98" s="0" t="inlineStr">
        <is>
          <t>의창구</t>
        </is>
      </c>
      <c r="AE98" s="0" t="inlineStr">
        <is>
          <t>도계동</t>
        </is>
      </c>
      <c r="AG98" s="0" t="inlineStr">
        <is>
          <t>경상남도 창원시 의창구 하남천서길51번길 10</t>
        </is>
      </c>
      <c r="AH98" s="0" t="n">
        <v>0</v>
      </c>
      <c r="AI98" s="0" t="n">
        <v>328</v>
      </c>
    </row>
    <row r="99">
      <c r="A99" s="0" t="inlineStr">
        <is>
          <t>[도계동]</t>
        </is>
      </c>
      <c r="B99" s="0" t="n">
        <v>101105</v>
      </c>
      <c r="C99" s="0" t="n">
        <v>3</v>
      </c>
      <c r="D99" s="0" t="inlineStr">
        <is>
          <t>대풍</t>
        </is>
      </c>
      <c r="E99" s="0" t="inlineStr">
        <is>
          <t>1992.11.</t>
        </is>
      </c>
      <c r="F99" s="0" t="n">
        <v>62</v>
      </c>
      <c r="G99" s="0" t="n">
        <v>21.22</v>
      </c>
      <c r="H99" s="0" t="n">
        <v>70.17</v>
      </c>
      <c r="I99" s="0" t="n">
        <v>17.94</v>
      </c>
      <c r="J99" s="0" t="n">
        <v>59.33</v>
      </c>
      <c r="K99" s="0" t="n">
        <v>19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70A</t>
        </is>
      </c>
      <c r="X99" s="0" t="n">
        <v>11</v>
      </c>
      <c r="Y99" s="0" t="n">
        <v>8</v>
      </c>
      <c r="Z99" s="0" t="inlineStr">
        <is>
          <t>https://new.land.naver.com/complexes/101105?tab=detail&amp;rf=Y</t>
        </is>
      </c>
      <c r="AA99" s="0" t="inlineStr">
        <is>
          <t>경상남도 창원시 의창구 도계동 317-10</t>
        </is>
      </c>
      <c r="AB99" s="0" t="inlineStr">
        <is>
          <t>경상남도</t>
        </is>
      </c>
      <c r="AC99" s="0" t="inlineStr">
        <is>
          <t>창원시</t>
        </is>
      </c>
      <c r="AD99" s="0" t="inlineStr">
        <is>
          <t>의창구</t>
        </is>
      </c>
      <c r="AE99" s="0" t="inlineStr">
        <is>
          <t>도계동</t>
        </is>
      </c>
      <c r="AG99" s="0" t="inlineStr">
        <is>
          <t>경상남도 창원시 의창구 하남천서길51번길 10</t>
        </is>
      </c>
      <c r="AH99" s="0" t="n">
        <v>0</v>
      </c>
      <c r="AI99" s="0" t="n">
        <v>328</v>
      </c>
    </row>
    <row r="100">
      <c r="A100" s="0" t="inlineStr">
        <is>
          <t>[도계동]</t>
        </is>
      </c>
      <c r="B100" s="0" t="n">
        <v>101105</v>
      </c>
      <c r="C100" s="0" t="n">
        <v>4</v>
      </c>
      <c r="D100" s="0" t="inlineStr">
        <is>
          <t>대풍</t>
        </is>
      </c>
      <c r="E100" s="0" t="inlineStr">
        <is>
          <t>1992.11.</t>
        </is>
      </c>
      <c r="F100" s="0" t="n">
        <v>62</v>
      </c>
      <c r="G100" s="0" t="n">
        <v>21.51</v>
      </c>
      <c r="H100" s="0" t="n">
        <v>71.13</v>
      </c>
      <c r="I100" s="0" t="n">
        <v>18.71</v>
      </c>
      <c r="J100" s="0" t="n">
        <v>61.88</v>
      </c>
      <c r="K100" s="0" t="n">
        <v>2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71C</t>
        </is>
      </c>
      <c r="X100" s="0" t="n">
        <v>11</v>
      </c>
      <c r="Y100" s="0" t="n">
        <v>8</v>
      </c>
      <c r="Z100" s="0" t="inlineStr">
        <is>
          <t>https://new.land.naver.com/complexes/101105?tab=detail&amp;rf=Y</t>
        </is>
      </c>
      <c r="AA100" s="0" t="inlineStr">
        <is>
          <t>경상남도 창원시 의창구 도계동 317-10</t>
        </is>
      </c>
      <c r="AB100" s="0" t="inlineStr">
        <is>
          <t>경상남도</t>
        </is>
      </c>
      <c r="AC100" s="0" t="inlineStr">
        <is>
          <t>창원시</t>
        </is>
      </c>
      <c r="AD100" s="0" t="inlineStr">
        <is>
          <t>의창구</t>
        </is>
      </c>
      <c r="AE100" s="0" t="inlineStr">
        <is>
          <t>도계동</t>
        </is>
      </c>
      <c r="AG100" s="0" t="inlineStr">
        <is>
          <t>경상남도 창원시 의창구 하남천서길51번길 10</t>
        </is>
      </c>
      <c r="AH100" s="0" t="n">
        <v>0</v>
      </c>
      <c r="AI100" s="0" t="n">
        <v>328</v>
      </c>
    </row>
    <row r="101">
      <c r="A101" s="0" t="inlineStr">
        <is>
          <t>[도계동]</t>
        </is>
      </c>
      <c r="B101" s="0" t="n">
        <v>101105</v>
      </c>
      <c r="C101" s="0" t="n">
        <v>5</v>
      </c>
      <c r="D101" s="0" t="inlineStr">
        <is>
          <t>대풍</t>
        </is>
      </c>
      <c r="E101" s="0" t="inlineStr">
        <is>
          <t>1992.11.</t>
        </is>
      </c>
      <c r="F101" s="0" t="n">
        <v>62</v>
      </c>
      <c r="G101" s="0" t="n">
        <v>23.64</v>
      </c>
      <c r="H101" s="0" t="n">
        <v>78.16</v>
      </c>
      <c r="I101" s="0" t="n">
        <v>20.57</v>
      </c>
      <c r="J101" s="0" t="n">
        <v>68</v>
      </c>
      <c r="K101" s="0" t="n">
        <v>2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78A</t>
        </is>
      </c>
      <c r="X101" s="0" t="n">
        <v>11</v>
      </c>
      <c r="Y101" s="0" t="n">
        <v>8</v>
      </c>
      <c r="Z101" s="0" t="inlineStr">
        <is>
          <t>https://new.land.naver.com/complexes/101105?tab=detail&amp;rf=Y</t>
        </is>
      </c>
      <c r="AA101" s="0" t="inlineStr">
        <is>
          <t>경상남도 창원시 의창구 도계동 317-10</t>
        </is>
      </c>
      <c r="AB101" s="0" t="inlineStr">
        <is>
          <t>경상남도</t>
        </is>
      </c>
      <c r="AC101" s="0" t="inlineStr">
        <is>
          <t>창원시</t>
        </is>
      </c>
      <c r="AD101" s="0" t="inlineStr">
        <is>
          <t>의창구</t>
        </is>
      </c>
      <c r="AE101" s="0" t="inlineStr">
        <is>
          <t>도계동</t>
        </is>
      </c>
      <c r="AG101" s="0" t="inlineStr">
        <is>
          <t>경상남도 창원시 의창구 하남천서길51번길 10</t>
        </is>
      </c>
      <c r="AH101" s="0" t="n">
        <v>0</v>
      </c>
      <c r="AI101" s="0" t="n">
        <v>328</v>
      </c>
    </row>
    <row r="102">
      <c r="A102" s="0" t="inlineStr">
        <is>
          <t>[도계동]</t>
        </is>
      </c>
      <c r="B102" s="0" t="n">
        <v>101105</v>
      </c>
      <c r="C102" s="0" t="n">
        <v>6</v>
      </c>
      <c r="D102" s="0" t="inlineStr">
        <is>
          <t>대풍</t>
        </is>
      </c>
      <c r="E102" s="0" t="inlineStr">
        <is>
          <t>1992.11.</t>
        </is>
      </c>
      <c r="F102" s="0" t="n">
        <v>62</v>
      </c>
      <c r="G102" s="0" t="n">
        <v>24.17</v>
      </c>
      <c r="H102" s="0" t="n">
        <v>79.92</v>
      </c>
      <c r="I102" s="0" t="n">
        <v>21.03</v>
      </c>
      <c r="J102" s="0" t="n">
        <v>69.53</v>
      </c>
      <c r="K102" s="0" t="n">
        <v>18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79</v>
      </c>
      <c r="X102" s="0" t="n">
        <v>11</v>
      </c>
      <c r="Y102" s="0" t="n">
        <v>8</v>
      </c>
      <c r="Z102" s="0" t="inlineStr">
        <is>
          <t>https://new.land.naver.com/complexes/101105?tab=detail&amp;rf=Y</t>
        </is>
      </c>
      <c r="AA102" s="0" t="inlineStr">
        <is>
          <t>경상남도 창원시 의창구 도계동 317-10</t>
        </is>
      </c>
      <c r="AB102" s="0" t="inlineStr">
        <is>
          <t>경상남도</t>
        </is>
      </c>
      <c r="AC102" s="0" t="inlineStr">
        <is>
          <t>창원시</t>
        </is>
      </c>
      <c r="AD102" s="0" t="inlineStr">
        <is>
          <t>의창구</t>
        </is>
      </c>
      <c r="AE102" s="0" t="inlineStr">
        <is>
          <t>도계동</t>
        </is>
      </c>
      <c r="AG102" s="0" t="inlineStr">
        <is>
          <t>경상남도 창원시 의창구 하남천서길51번길 10</t>
        </is>
      </c>
      <c r="AH102" s="0" t="n">
        <v>0</v>
      </c>
      <c r="AI102" s="0" t="n">
        <v>328</v>
      </c>
    </row>
    <row r="103">
      <c r="A103" s="0" t="inlineStr">
        <is>
          <t>[도계동]</t>
        </is>
      </c>
      <c r="B103" s="0" t="n">
        <v>101105</v>
      </c>
      <c r="C103" s="0" t="n">
        <v>7</v>
      </c>
      <c r="D103" s="0" t="inlineStr">
        <is>
          <t>대풍</t>
        </is>
      </c>
      <c r="E103" s="0" t="inlineStr">
        <is>
          <t>1992.11.</t>
        </is>
      </c>
      <c r="F103" s="0" t="n">
        <v>62</v>
      </c>
      <c r="G103" s="0" t="n">
        <v>24</v>
      </c>
      <c r="H103" s="0" t="n">
        <v>79.37</v>
      </c>
      <c r="I103" s="0" t="n">
        <v>20.79</v>
      </c>
      <c r="J103" s="0" t="n">
        <v>68.75</v>
      </c>
      <c r="K103" s="0" t="n">
        <v>8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79B</t>
        </is>
      </c>
      <c r="X103" s="0" t="n">
        <v>11</v>
      </c>
      <c r="Y103" s="0" t="n">
        <v>8</v>
      </c>
      <c r="Z103" s="0" t="inlineStr">
        <is>
          <t>https://new.land.naver.com/complexes/101105?tab=detail&amp;rf=Y</t>
        </is>
      </c>
      <c r="AA103" s="0" t="inlineStr">
        <is>
          <t>경상남도 창원시 의창구 도계동 317-10</t>
        </is>
      </c>
      <c r="AB103" s="0" t="inlineStr">
        <is>
          <t>경상남도</t>
        </is>
      </c>
      <c r="AC103" s="0" t="inlineStr">
        <is>
          <t>창원시</t>
        </is>
      </c>
      <c r="AD103" s="0" t="inlineStr">
        <is>
          <t>의창구</t>
        </is>
      </c>
      <c r="AE103" s="0" t="inlineStr">
        <is>
          <t>도계동</t>
        </is>
      </c>
      <c r="AG103" s="0" t="inlineStr">
        <is>
          <t>경상남도 창원시 의창구 하남천서길51번길 10</t>
        </is>
      </c>
      <c r="AH103" s="0" t="n">
        <v>0</v>
      </c>
      <c r="AI103" s="0" t="n">
        <v>328</v>
      </c>
    </row>
    <row r="104">
      <c r="A104" s="0" t="inlineStr">
        <is>
          <t>[도계동]</t>
        </is>
      </c>
      <c r="B104" s="0" t="n">
        <v>101105</v>
      </c>
      <c r="C104" s="0" t="n">
        <v>8</v>
      </c>
      <c r="D104" s="0" t="inlineStr">
        <is>
          <t>대풍</t>
        </is>
      </c>
      <c r="E104" s="0" t="inlineStr">
        <is>
          <t>1992.11.</t>
        </is>
      </c>
      <c r="F104" s="0" t="n">
        <v>62</v>
      </c>
      <c r="G104" s="0" t="n">
        <v>26.09</v>
      </c>
      <c r="H104" s="0" t="n">
        <v>86.26000000000001</v>
      </c>
      <c r="I104" s="0" t="n">
        <v>22.6</v>
      </c>
      <c r="J104" s="0" t="n">
        <v>74.72</v>
      </c>
      <c r="K104" s="0" t="n">
        <v>1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86</v>
      </c>
      <c r="X104" s="0" t="n">
        <v>11</v>
      </c>
      <c r="Y104" s="0" t="n">
        <v>8</v>
      </c>
      <c r="Z104" s="0" t="inlineStr">
        <is>
          <t>https://new.land.naver.com/complexes/101105?tab=detail&amp;rf=Y</t>
        </is>
      </c>
      <c r="AA104" s="0" t="inlineStr">
        <is>
          <t>경상남도 창원시 의창구 도계동 317-10</t>
        </is>
      </c>
      <c r="AB104" s="0" t="inlineStr">
        <is>
          <t>경상남도</t>
        </is>
      </c>
      <c r="AC104" s="0" t="inlineStr">
        <is>
          <t>창원시</t>
        </is>
      </c>
      <c r="AD104" s="0" t="inlineStr">
        <is>
          <t>의창구</t>
        </is>
      </c>
      <c r="AE104" s="0" t="inlineStr">
        <is>
          <t>도계동</t>
        </is>
      </c>
      <c r="AG104" s="0" t="inlineStr">
        <is>
          <t>경상남도 창원시 의창구 하남천서길51번길 10</t>
        </is>
      </c>
      <c r="AH104" s="0" t="n">
        <v>0</v>
      </c>
      <c r="AI104" s="0" t="n">
        <v>328</v>
      </c>
    </row>
    <row r="105">
      <c r="A105" s="0" t="inlineStr">
        <is>
          <t>[도계동]</t>
        </is>
      </c>
      <c r="B105" s="0" t="n">
        <v>101105</v>
      </c>
      <c r="C105" s="0" t="n">
        <v>9</v>
      </c>
      <c r="D105" s="0" t="inlineStr">
        <is>
          <t>대풍</t>
        </is>
      </c>
      <c r="E105" s="0" t="inlineStr">
        <is>
          <t>1992.11.</t>
        </is>
      </c>
      <c r="F105" s="0" t="n">
        <v>62</v>
      </c>
      <c r="G105" s="0" t="n">
        <v>27.56</v>
      </c>
      <c r="H105" s="0" t="n">
        <v>91.11</v>
      </c>
      <c r="I105" s="0" t="n">
        <v>23.87</v>
      </c>
      <c r="J105" s="0" t="n">
        <v>78.92</v>
      </c>
      <c r="K105" s="0" t="n">
        <v>9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91</v>
      </c>
      <c r="X105" s="0" t="n">
        <v>11</v>
      </c>
      <c r="Y105" s="0" t="n">
        <v>8</v>
      </c>
      <c r="Z105" s="0" t="inlineStr">
        <is>
          <t>https://new.land.naver.com/complexes/101105?tab=detail&amp;rf=Y</t>
        </is>
      </c>
      <c r="AA105" s="0" t="inlineStr">
        <is>
          <t>경상남도 창원시 의창구 도계동 317-10</t>
        </is>
      </c>
      <c r="AB105" s="0" t="inlineStr">
        <is>
          <t>경상남도</t>
        </is>
      </c>
      <c r="AC105" s="0" t="inlineStr">
        <is>
          <t>창원시</t>
        </is>
      </c>
      <c r="AD105" s="0" t="inlineStr">
        <is>
          <t>의창구</t>
        </is>
      </c>
      <c r="AE105" s="0" t="inlineStr">
        <is>
          <t>도계동</t>
        </is>
      </c>
      <c r="AG105" s="0" t="inlineStr">
        <is>
          <t>경상남도 창원시 의창구 하남천서길51번길 10</t>
        </is>
      </c>
      <c r="AH105" s="0" t="n">
        <v>0</v>
      </c>
      <c r="AI105" s="0" t="n">
        <v>328</v>
      </c>
    </row>
    <row r="106">
      <c r="A106" s="0" t="inlineStr">
        <is>
          <t>[도계동]</t>
        </is>
      </c>
      <c r="B106" s="0" t="n">
        <v>16784</v>
      </c>
      <c r="C106" s="0" t="n">
        <v>1</v>
      </c>
      <c r="D106" s="0" t="inlineStr">
        <is>
          <t>국도무궁화맨션</t>
        </is>
      </c>
      <c r="E106" s="0" t="inlineStr">
        <is>
          <t>1996.02.</t>
        </is>
      </c>
      <c r="F106" s="0" t="n">
        <v>78</v>
      </c>
      <c r="G106" s="0" t="n">
        <v>25.97</v>
      </c>
      <c r="H106" s="0" t="n">
        <v>85.86</v>
      </c>
      <c r="I106" s="0" t="n">
        <v>17.83</v>
      </c>
      <c r="J106" s="0" t="n">
        <v>58.97</v>
      </c>
      <c r="K106" s="0" t="n">
        <v>78</v>
      </c>
      <c r="T106" s="0" t="n">
        <v>3</v>
      </c>
      <c r="U106" s="0" t="n">
        <v>1</v>
      </c>
      <c r="V106" s="0" t="inlineStr">
        <is>
          <t>복도식</t>
        </is>
      </c>
      <c r="W106" s="0" t="n">
        <v>85</v>
      </c>
      <c r="X106" s="0" t="n">
        <v>14</v>
      </c>
      <c r="Y106" s="0" t="n">
        <v>13</v>
      </c>
      <c r="Z106" s="0" t="inlineStr">
        <is>
          <t>https://new.land.naver.com/complexes/16784?tab=detail&amp;rf=Y</t>
        </is>
      </c>
      <c r="AA106" s="0" t="inlineStr">
        <is>
          <t>경상남도 창원시 의창구 도계동 416-1</t>
        </is>
      </c>
      <c r="AB106" s="0" t="inlineStr">
        <is>
          <t>경상남도</t>
        </is>
      </c>
      <c r="AC106" s="0" t="inlineStr">
        <is>
          <t>창원시</t>
        </is>
      </c>
      <c r="AD106" s="0" t="inlineStr">
        <is>
          <t>의창구</t>
        </is>
      </c>
      <c r="AE106" s="0" t="inlineStr">
        <is>
          <t>도계동</t>
        </is>
      </c>
      <c r="AG106" s="0" t="inlineStr">
        <is>
          <t>경상남도 창원시 의창구 도계로95번길 6-5</t>
        </is>
      </c>
      <c r="AH106" s="0" t="n">
        <v>0</v>
      </c>
      <c r="AI106" s="0" t="n">
        <v>397</v>
      </c>
    </row>
    <row r="107">
      <c r="A107" s="0" t="inlineStr">
        <is>
          <t>[도계동]</t>
        </is>
      </c>
      <c r="B107" s="0" t="n">
        <v>130188</v>
      </c>
      <c r="C107" s="0" t="n">
        <v>1</v>
      </c>
      <c r="D107" s="0" t="inlineStr">
        <is>
          <t>더좋은집2차</t>
        </is>
      </c>
      <c r="E107" s="0" t="inlineStr">
        <is>
          <t>1999.03.</t>
        </is>
      </c>
      <c r="F107" s="0" t="n">
        <v>32</v>
      </c>
      <c r="G107" s="0" t="n">
        <v>15.76</v>
      </c>
      <c r="H107" s="0" t="n">
        <v>52.1</v>
      </c>
      <c r="I107" s="0" t="n">
        <v>11.84</v>
      </c>
      <c r="J107" s="0" t="n">
        <v>39.15</v>
      </c>
      <c r="K107" s="0" t="n">
        <v>21</v>
      </c>
      <c r="T107" s="0" t="n">
        <v>2</v>
      </c>
      <c r="U107" s="0" t="n">
        <v>1</v>
      </c>
      <c r="V107" s="0" t="inlineStr">
        <is>
          <t>계단식</t>
        </is>
      </c>
      <c r="W107" s="0" t="inlineStr">
        <is>
          <t>52A</t>
        </is>
      </c>
      <c r="X107" s="0" t="n">
        <v>7</v>
      </c>
      <c r="Y107" s="0" t="n">
        <v>6</v>
      </c>
      <c r="Z107" s="0" t="inlineStr">
        <is>
          <t>https://new.land.naver.com/complexes/130188?tab=detail&amp;rf=Y</t>
        </is>
      </c>
      <c r="AA107" s="0" t="inlineStr">
        <is>
          <t>경상남도 창원시 의창구 도계동 415-2</t>
        </is>
      </c>
      <c r="AB107" s="0" t="inlineStr">
        <is>
          <t>경상남도</t>
        </is>
      </c>
      <c r="AC107" s="0" t="inlineStr">
        <is>
          <t>창원시</t>
        </is>
      </c>
      <c r="AD107" s="0" t="inlineStr">
        <is>
          <t>의창구</t>
        </is>
      </c>
      <c r="AE107" s="0" t="inlineStr">
        <is>
          <t>도계동</t>
        </is>
      </c>
      <c r="AG107" s="0" t="inlineStr">
        <is>
          <t>경상남도 창원시 의창구 도계두리길 218</t>
        </is>
      </c>
      <c r="AH107" s="0" t="n">
        <v>0</v>
      </c>
      <c r="AI107" s="0" t="n">
        <v>164</v>
      </c>
    </row>
    <row r="108">
      <c r="A108" s="0" t="inlineStr">
        <is>
          <t>[도계동]</t>
        </is>
      </c>
      <c r="B108" s="0" t="n">
        <v>130188</v>
      </c>
      <c r="C108" s="0" t="n">
        <v>2</v>
      </c>
      <c r="D108" s="0" t="inlineStr">
        <is>
          <t>더좋은집2차</t>
        </is>
      </c>
      <c r="E108" s="0" t="inlineStr">
        <is>
          <t>1999.03.</t>
        </is>
      </c>
      <c r="F108" s="0" t="n">
        <v>32</v>
      </c>
      <c r="G108" s="0" t="n">
        <v>15.93</v>
      </c>
      <c r="H108" s="0" t="n">
        <v>52.69</v>
      </c>
      <c r="I108" s="0" t="n">
        <v>11.97</v>
      </c>
      <c r="J108" s="0" t="n">
        <v>39.59</v>
      </c>
      <c r="K108" s="0" t="n">
        <v>11</v>
      </c>
      <c r="T108" s="0" t="n">
        <v>2</v>
      </c>
      <c r="U108" s="0" t="n">
        <v>1</v>
      </c>
      <c r="V108" s="0" t="inlineStr">
        <is>
          <t>계단식</t>
        </is>
      </c>
      <c r="W108" s="0" t="inlineStr">
        <is>
          <t>52B</t>
        </is>
      </c>
      <c r="X108" s="0" t="n">
        <v>7</v>
      </c>
      <c r="Y108" s="0" t="n">
        <v>6</v>
      </c>
      <c r="Z108" s="0" t="inlineStr">
        <is>
          <t>https://new.land.naver.com/complexes/130188?tab=detail&amp;rf=Y</t>
        </is>
      </c>
      <c r="AA108" s="0" t="inlineStr">
        <is>
          <t>경상남도 창원시 의창구 도계동 415-2</t>
        </is>
      </c>
      <c r="AB108" s="0" t="inlineStr">
        <is>
          <t>경상남도</t>
        </is>
      </c>
      <c r="AC108" s="0" t="inlineStr">
        <is>
          <t>창원시</t>
        </is>
      </c>
      <c r="AD108" s="0" t="inlineStr">
        <is>
          <t>의창구</t>
        </is>
      </c>
      <c r="AE108" s="0" t="inlineStr">
        <is>
          <t>도계동</t>
        </is>
      </c>
      <c r="AG108" s="0" t="inlineStr">
        <is>
          <t>경상남도 창원시 의창구 도계두리길 218</t>
        </is>
      </c>
      <c r="AH108" s="0" t="n">
        <v>0</v>
      </c>
      <c r="AI108" s="0" t="n">
        <v>164</v>
      </c>
    </row>
    <row r="109">
      <c r="A109" s="0" t="inlineStr">
        <is>
          <t>[도계동]</t>
        </is>
      </c>
      <c r="B109" s="0" t="n">
        <v>104824</v>
      </c>
      <c r="C109" s="0" t="n">
        <v>1</v>
      </c>
      <c r="D109" s="0" t="inlineStr">
        <is>
          <t>상아리더스맨션</t>
        </is>
      </c>
      <c r="E109" s="0" t="inlineStr">
        <is>
          <t>1992.08.</t>
        </is>
      </c>
      <c r="F109" s="0" t="n">
        <v>73</v>
      </c>
      <c r="G109" s="0" t="n">
        <v>21.37</v>
      </c>
      <c r="H109" s="0" t="n">
        <v>70.67</v>
      </c>
      <c r="I109" s="0" t="n">
        <v>18.11</v>
      </c>
      <c r="J109" s="0" t="n">
        <v>59.9</v>
      </c>
      <c r="K109" s="0" t="n">
        <v>43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70</v>
      </c>
      <c r="X109" s="0" t="n">
        <v>15</v>
      </c>
      <c r="Y109" s="0" t="n">
        <v>14</v>
      </c>
      <c r="Z109" s="0" t="inlineStr">
        <is>
          <t>https://new.land.naver.com/complexes/104824?tab=detail&amp;rf=Y</t>
        </is>
      </c>
      <c r="AA109" s="0" t="inlineStr">
        <is>
          <t>경상남도 창원시 의창구 도계동 320-11</t>
        </is>
      </c>
      <c r="AB109" s="0" t="inlineStr">
        <is>
          <t>경상남도</t>
        </is>
      </c>
      <c r="AC109" s="0" t="inlineStr">
        <is>
          <t>창원시</t>
        </is>
      </c>
      <c r="AD109" s="0" t="inlineStr">
        <is>
          <t>의창구</t>
        </is>
      </c>
      <c r="AE109" s="0" t="inlineStr">
        <is>
          <t>도계동</t>
        </is>
      </c>
      <c r="AG109" s="0" t="inlineStr">
        <is>
          <t>경상남도 창원시 의창구 하남천서길51번길 3</t>
        </is>
      </c>
      <c r="AH109" s="0" t="n">
        <v>0</v>
      </c>
      <c r="AI109" s="0" t="n">
        <v>348</v>
      </c>
    </row>
    <row r="110">
      <c r="A110" s="0" t="inlineStr">
        <is>
          <t>[도계동]</t>
        </is>
      </c>
      <c r="B110" s="0" t="n">
        <v>104824</v>
      </c>
      <c r="C110" s="0" t="n">
        <v>2</v>
      </c>
      <c r="D110" s="0" t="inlineStr">
        <is>
          <t>상아리더스맨션</t>
        </is>
      </c>
      <c r="E110" s="0" t="inlineStr">
        <is>
          <t>1992.08.</t>
        </is>
      </c>
      <c r="F110" s="0" t="n">
        <v>73</v>
      </c>
      <c r="G110" s="0" t="n">
        <v>21.91</v>
      </c>
      <c r="H110" s="0" t="n">
        <v>72.43000000000001</v>
      </c>
      <c r="I110" s="0" t="n">
        <v>18.57</v>
      </c>
      <c r="J110" s="0" t="n">
        <v>61.4</v>
      </c>
      <c r="K110" s="0" t="n">
        <v>15</v>
      </c>
      <c r="T110" s="0" t="n">
        <v>2</v>
      </c>
      <c r="U110" s="0" t="n">
        <v>1</v>
      </c>
      <c r="V110" s="0" t="inlineStr">
        <is>
          <t>복도식</t>
        </is>
      </c>
      <c r="W110" s="0" t="n">
        <v>72</v>
      </c>
      <c r="X110" s="0" t="n">
        <v>15</v>
      </c>
      <c r="Y110" s="0" t="n">
        <v>14</v>
      </c>
      <c r="Z110" s="0" t="inlineStr">
        <is>
          <t>https://new.land.naver.com/complexes/104824?tab=detail&amp;rf=Y</t>
        </is>
      </c>
      <c r="AA110" s="0" t="inlineStr">
        <is>
          <t>경상남도 창원시 의창구 도계동 320-11</t>
        </is>
      </c>
      <c r="AB110" s="0" t="inlineStr">
        <is>
          <t>경상남도</t>
        </is>
      </c>
      <c r="AC110" s="0" t="inlineStr">
        <is>
          <t>창원시</t>
        </is>
      </c>
      <c r="AD110" s="0" t="inlineStr">
        <is>
          <t>의창구</t>
        </is>
      </c>
      <c r="AE110" s="0" t="inlineStr">
        <is>
          <t>도계동</t>
        </is>
      </c>
      <c r="AG110" s="0" t="inlineStr">
        <is>
          <t>경상남도 창원시 의창구 하남천서길51번길 3</t>
        </is>
      </c>
      <c r="AH110" s="0" t="n">
        <v>0</v>
      </c>
      <c r="AI110" s="0" t="n">
        <v>348</v>
      </c>
    </row>
    <row r="111">
      <c r="A111" s="0" t="inlineStr">
        <is>
          <t>[도계동]</t>
        </is>
      </c>
      <c r="B111" s="0" t="n">
        <v>104824</v>
      </c>
      <c r="C111" s="0" t="n">
        <v>3</v>
      </c>
      <c r="D111" s="0" t="inlineStr">
        <is>
          <t>상아리더스맨션</t>
        </is>
      </c>
      <c r="E111" s="0" t="inlineStr">
        <is>
          <t>1992.08.</t>
        </is>
      </c>
      <c r="F111" s="0" t="n">
        <v>73</v>
      </c>
      <c r="G111" s="0" t="n">
        <v>27.52</v>
      </c>
      <c r="H111" s="0" t="n">
        <v>91</v>
      </c>
      <c r="I111" s="0" t="n">
        <v>21.42</v>
      </c>
      <c r="J111" s="0" t="n">
        <v>70.83</v>
      </c>
      <c r="K111" s="0" t="n">
        <v>15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91</v>
      </c>
      <c r="X111" s="0" t="n">
        <v>15</v>
      </c>
      <c r="Y111" s="0" t="n">
        <v>14</v>
      </c>
      <c r="Z111" s="0" t="inlineStr">
        <is>
          <t>https://new.land.naver.com/complexes/104824?tab=detail&amp;rf=Y</t>
        </is>
      </c>
      <c r="AA111" s="0" t="inlineStr">
        <is>
          <t>경상남도 창원시 의창구 도계동 320-11</t>
        </is>
      </c>
      <c r="AB111" s="0" t="inlineStr">
        <is>
          <t>경상남도</t>
        </is>
      </c>
      <c r="AC111" s="0" t="inlineStr">
        <is>
          <t>창원시</t>
        </is>
      </c>
      <c r="AD111" s="0" t="inlineStr">
        <is>
          <t>의창구</t>
        </is>
      </c>
      <c r="AE111" s="0" t="inlineStr">
        <is>
          <t>도계동</t>
        </is>
      </c>
      <c r="AG111" s="0" t="inlineStr">
        <is>
          <t>경상남도 창원시 의창구 하남천서길51번길 3</t>
        </is>
      </c>
      <c r="AH111" s="0" t="n">
        <v>0</v>
      </c>
      <c r="AI111" s="0" t="n">
        <v>348</v>
      </c>
    </row>
    <row r="112">
      <c r="A112" s="0" t="inlineStr">
        <is>
          <t>[도계동]</t>
        </is>
      </c>
      <c r="B112" s="0" t="n">
        <v>128633</v>
      </c>
      <c r="C112" s="0" t="n">
        <v>1</v>
      </c>
      <c r="D112" s="0" t="inlineStr">
        <is>
          <t>청방그린</t>
        </is>
      </c>
      <c r="E112" s="0" t="inlineStr">
        <is>
          <t>1996.05.</t>
        </is>
      </c>
      <c r="F112" s="0" t="n">
        <v>49</v>
      </c>
      <c r="G112" s="0" t="n">
        <v>19.21</v>
      </c>
      <c r="H112" s="0" t="n">
        <v>63.51</v>
      </c>
      <c r="I112" s="0" t="n">
        <v>16.78</v>
      </c>
      <c r="J112" s="0" t="n">
        <v>55.48</v>
      </c>
      <c r="K112" s="0" t="n">
        <v>2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63</v>
      </c>
      <c r="X112" s="0" t="n">
        <v>9</v>
      </c>
      <c r="Y112" s="0" t="n">
        <v>8</v>
      </c>
      <c r="Z112" s="0" t="inlineStr">
        <is>
          <t>https://new.land.naver.com/complexes/128633?tab=detail&amp;rf=Y</t>
        </is>
      </c>
      <c r="AA112" s="0" t="inlineStr">
        <is>
          <t>경상남도 창원시 의창구 도계동 394-20</t>
        </is>
      </c>
      <c r="AB112" s="0" t="inlineStr">
        <is>
          <t>경상남도</t>
        </is>
      </c>
      <c r="AC112" s="0" t="inlineStr">
        <is>
          <t>창원시</t>
        </is>
      </c>
      <c r="AD112" s="0" t="inlineStr">
        <is>
          <t>의창구</t>
        </is>
      </c>
      <c r="AE112" s="0" t="inlineStr">
        <is>
          <t>도계동</t>
        </is>
      </c>
      <c r="AG112" s="0" t="inlineStr">
        <is>
          <t>경상남도 창원시 의창구 하남천동길32번길 8</t>
        </is>
      </c>
      <c r="AH112" s="0" t="n">
        <v>0</v>
      </c>
      <c r="AI112" s="0" t="n">
        <v>290</v>
      </c>
    </row>
    <row r="113">
      <c r="A113" s="0" t="inlineStr">
        <is>
          <t>[도계동]</t>
        </is>
      </c>
      <c r="B113" s="0" t="n">
        <v>128633</v>
      </c>
      <c r="C113" s="0" t="n">
        <v>2</v>
      </c>
      <c r="D113" s="0" t="inlineStr">
        <is>
          <t>청방그린</t>
        </is>
      </c>
      <c r="E113" s="0" t="inlineStr">
        <is>
          <t>1996.05.</t>
        </is>
      </c>
      <c r="F113" s="0" t="n">
        <v>49</v>
      </c>
      <c r="G113" s="0" t="n">
        <v>20.08</v>
      </c>
      <c r="H113" s="0" t="n">
        <v>66.41</v>
      </c>
      <c r="I113" s="0" t="n">
        <v>17.54</v>
      </c>
      <c r="J113" s="0" t="n">
        <v>58</v>
      </c>
      <c r="K113" s="0" t="n">
        <v>4</v>
      </c>
      <c r="T113" s="0" t="n">
        <v>3</v>
      </c>
      <c r="U113" s="0" t="n">
        <v>1</v>
      </c>
      <c r="V113" s="0" t="inlineStr">
        <is>
          <t>계단식</t>
        </is>
      </c>
      <c r="W113" s="0" t="inlineStr">
        <is>
          <t>66A</t>
        </is>
      </c>
      <c r="X113" s="0" t="n">
        <v>9</v>
      </c>
      <c r="Y113" s="0" t="n">
        <v>8</v>
      </c>
      <c r="Z113" s="0" t="inlineStr">
        <is>
          <t>https://new.land.naver.com/complexes/128633?tab=detail&amp;rf=Y</t>
        </is>
      </c>
      <c r="AA113" s="0" t="inlineStr">
        <is>
          <t>경상남도 창원시 의창구 도계동 394-20</t>
        </is>
      </c>
      <c r="AB113" s="0" t="inlineStr">
        <is>
          <t>경상남도</t>
        </is>
      </c>
      <c r="AC113" s="0" t="inlineStr">
        <is>
          <t>창원시</t>
        </is>
      </c>
      <c r="AD113" s="0" t="inlineStr">
        <is>
          <t>의창구</t>
        </is>
      </c>
      <c r="AE113" s="0" t="inlineStr">
        <is>
          <t>도계동</t>
        </is>
      </c>
      <c r="AG113" s="0" t="inlineStr">
        <is>
          <t>경상남도 창원시 의창구 하남천동길32번길 8</t>
        </is>
      </c>
      <c r="AH113" s="0" t="n">
        <v>0</v>
      </c>
      <c r="AI113" s="0" t="n">
        <v>290</v>
      </c>
    </row>
    <row r="114">
      <c r="A114" s="0" t="inlineStr">
        <is>
          <t>[도계동]</t>
        </is>
      </c>
      <c r="B114" s="0" t="n">
        <v>128633</v>
      </c>
      <c r="C114" s="0" t="n">
        <v>3</v>
      </c>
      <c r="D114" s="0" t="inlineStr">
        <is>
          <t>청방그린</t>
        </is>
      </c>
      <c r="E114" s="0" t="inlineStr">
        <is>
          <t>1996.05.</t>
        </is>
      </c>
      <c r="F114" s="0" t="n">
        <v>49</v>
      </c>
      <c r="G114" s="0" t="n">
        <v>20.3</v>
      </c>
      <c r="H114" s="0" t="n">
        <v>67.12</v>
      </c>
      <c r="I114" s="0" t="n">
        <v>17.73</v>
      </c>
      <c r="J114" s="0" t="n">
        <v>58.63</v>
      </c>
      <c r="K114" s="0" t="n">
        <v>14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67B</t>
        </is>
      </c>
      <c r="X114" s="0" t="n">
        <v>9</v>
      </c>
      <c r="Y114" s="0" t="n">
        <v>8</v>
      </c>
      <c r="Z114" s="0" t="inlineStr">
        <is>
          <t>https://new.land.naver.com/complexes/128633?tab=detail&amp;rf=Y</t>
        </is>
      </c>
      <c r="AA114" s="0" t="inlineStr">
        <is>
          <t>경상남도 창원시 의창구 도계동 394-20</t>
        </is>
      </c>
      <c r="AB114" s="0" t="inlineStr">
        <is>
          <t>경상남도</t>
        </is>
      </c>
      <c r="AC114" s="0" t="inlineStr">
        <is>
          <t>창원시</t>
        </is>
      </c>
      <c r="AD114" s="0" t="inlineStr">
        <is>
          <t>의창구</t>
        </is>
      </c>
      <c r="AE114" s="0" t="inlineStr">
        <is>
          <t>도계동</t>
        </is>
      </c>
      <c r="AG114" s="0" t="inlineStr">
        <is>
          <t>경상남도 창원시 의창구 하남천동길32번길 8</t>
        </is>
      </c>
      <c r="AH114" s="0" t="n">
        <v>0</v>
      </c>
      <c r="AI114" s="0" t="n">
        <v>290</v>
      </c>
    </row>
    <row r="115">
      <c r="A115" s="0" t="inlineStr">
        <is>
          <t>[도계동]</t>
        </is>
      </c>
      <c r="B115" s="0" t="n">
        <v>128633</v>
      </c>
      <c r="C115" s="0" t="n">
        <v>4</v>
      </c>
      <c r="D115" s="0" t="inlineStr">
        <is>
          <t>청방그린</t>
        </is>
      </c>
      <c r="E115" s="0" t="inlineStr">
        <is>
          <t>1996.05.</t>
        </is>
      </c>
      <c r="F115" s="0" t="n">
        <v>49</v>
      </c>
      <c r="G115" s="0" t="n">
        <v>22.51</v>
      </c>
      <c r="H115" s="0" t="n">
        <v>74.42</v>
      </c>
      <c r="I115" s="0" t="n">
        <v>19.66</v>
      </c>
      <c r="J115" s="0" t="n">
        <v>65</v>
      </c>
      <c r="K115" s="0" t="n">
        <v>2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74A</t>
        </is>
      </c>
      <c r="X115" s="0" t="n">
        <v>9</v>
      </c>
      <c r="Y115" s="0" t="n">
        <v>8</v>
      </c>
      <c r="Z115" s="0" t="inlineStr">
        <is>
          <t>https://new.land.naver.com/complexes/128633?tab=detail&amp;rf=Y</t>
        </is>
      </c>
      <c r="AA115" s="0" t="inlineStr">
        <is>
          <t>경상남도 창원시 의창구 도계동 394-20</t>
        </is>
      </c>
      <c r="AB115" s="0" t="inlineStr">
        <is>
          <t>경상남도</t>
        </is>
      </c>
      <c r="AC115" s="0" t="inlineStr">
        <is>
          <t>창원시</t>
        </is>
      </c>
      <c r="AD115" s="0" t="inlineStr">
        <is>
          <t>의창구</t>
        </is>
      </c>
      <c r="AE115" s="0" t="inlineStr">
        <is>
          <t>도계동</t>
        </is>
      </c>
      <c r="AG115" s="0" t="inlineStr">
        <is>
          <t>경상남도 창원시 의창구 하남천동길32번길 8</t>
        </is>
      </c>
      <c r="AH115" s="0" t="n">
        <v>0</v>
      </c>
      <c r="AI115" s="0" t="n">
        <v>290</v>
      </c>
    </row>
    <row r="116">
      <c r="A116" s="0" t="inlineStr">
        <is>
          <t>[도계동]</t>
        </is>
      </c>
      <c r="B116" s="0" t="n">
        <v>128633</v>
      </c>
      <c r="C116" s="0" t="n">
        <v>5</v>
      </c>
      <c r="D116" s="0" t="inlineStr">
        <is>
          <t>청방그린</t>
        </is>
      </c>
      <c r="E116" s="0" t="inlineStr">
        <is>
          <t>1996.05.</t>
        </is>
      </c>
      <c r="F116" s="0" t="n">
        <v>49</v>
      </c>
      <c r="G116" s="0" t="n">
        <v>23.05</v>
      </c>
      <c r="H116" s="0" t="n">
        <v>76.2</v>
      </c>
      <c r="I116" s="0" t="n">
        <v>20.13</v>
      </c>
      <c r="J116" s="0" t="n">
        <v>66.56</v>
      </c>
      <c r="K116" s="0" t="n">
        <v>14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76B</t>
        </is>
      </c>
      <c r="X116" s="0" t="n">
        <v>9</v>
      </c>
      <c r="Y116" s="0" t="n">
        <v>8</v>
      </c>
      <c r="Z116" s="0" t="inlineStr">
        <is>
          <t>https://new.land.naver.com/complexes/128633?tab=detail&amp;rf=Y</t>
        </is>
      </c>
      <c r="AA116" s="0" t="inlineStr">
        <is>
          <t>경상남도 창원시 의창구 도계동 394-20</t>
        </is>
      </c>
      <c r="AB116" s="0" t="inlineStr">
        <is>
          <t>경상남도</t>
        </is>
      </c>
      <c r="AC116" s="0" t="inlineStr">
        <is>
          <t>창원시</t>
        </is>
      </c>
      <c r="AD116" s="0" t="inlineStr">
        <is>
          <t>의창구</t>
        </is>
      </c>
      <c r="AE116" s="0" t="inlineStr">
        <is>
          <t>도계동</t>
        </is>
      </c>
      <c r="AG116" s="0" t="inlineStr">
        <is>
          <t>경상남도 창원시 의창구 하남천동길32번길 8</t>
        </is>
      </c>
      <c r="AH116" s="0" t="n">
        <v>0</v>
      </c>
      <c r="AI116" s="0" t="n">
        <v>290</v>
      </c>
    </row>
    <row r="117">
      <c r="A117" s="0" t="inlineStr">
        <is>
          <t>[도계동]</t>
        </is>
      </c>
      <c r="B117" s="0" t="n">
        <v>128633</v>
      </c>
      <c r="C117" s="0" t="n">
        <v>6</v>
      </c>
      <c r="D117" s="0" t="inlineStr">
        <is>
          <t>청방그린</t>
        </is>
      </c>
      <c r="E117" s="0" t="inlineStr">
        <is>
          <t>1996.05.</t>
        </is>
      </c>
      <c r="F117" s="0" t="n">
        <v>49</v>
      </c>
      <c r="G117" s="0" t="n">
        <v>24.1</v>
      </c>
      <c r="H117" s="0" t="n">
        <v>79.67</v>
      </c>
      <c r="I117" s="0" t="n">
        <v>21.05</v>
      </c>
      <c r="J117" s="0" t="n">
        <v>69.59</v>
      </c>
      <c r="K117" s="0" t="n">
        <v>13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79</v>
      </c>
      <c r="X117" s="0" t="n">
        <v>9</v>
      </c>
      <c r="Y117" s="0" t="n">
        <v>8</v>
      </c>
      <c r="Z117" s="0" t="inlineStr">
        <is>
          <t>https://new.land.naver.com/complexes/128633?tab=detail&amp;rf=Y</t>
        </is>
      </c>
      <c r="AA117" s="0" t="inlineStr">
        <is>
          <t>경상남도 창원시 의창구 도계동 394-20</t>
        </is>
      </c>
      <c r="AB117" s="0" t="inlineStr">
        <is>
          <t>경상남도</t>
        </is>
      </c>
      <c r="AC117" s="0" t="inlineStr">
        <is>
          <t>창원시</t>
        </is>
      </c>
      <c r="AD117" s="0" t="inlineStr">
        <is>
          <t>의창구</t>
        </is>
      </c>
      <c r="AE117" s="0" t="inlineStr">
        <is>
          <t>도계동</t>
        </is>
      </c>
      <c r="AG117" s="0" t="inlineStr">
        <is>
          <t>경상남도 창원시 의창구 하남천동길32번길 8</t>
        </is>
      </c>
      <c r="AH117" s="0" t="n">
        <v>0</v>
      </c>
      <c r="AI117" s="0" t="n">
        <v>290</v>
      </c>
    </row>
    <row r="118">
      <c r="A118" s="0" t="inlineStr">
        <is>
          <t>[도계동]</t>
        </is>
      </c>
      <c r="B118" s="0" t="n">
        <v>7706</v>
      </c>
      <c r="C118" s="0" t="n">
        <v>1</v>
      </c>
      <c r="D118" s="0" t="inlineStr">
        <is>
          <t>한마음코아</t>
        </is>
      </c>
      <c r="E118" s="0" t="inlineStr">
        <is>
          <t>1992.08.</t>
        </is>
      </c>
      <c r="F118" s="0" t="n">
        <v>225</v>
      </c>
      <c r="G118" s="0" t="n">
        <v>19.34</v>
      </c>
      <c r="H118" s="0" t="n">
        <v>63.95</v>
      </c>
      <c r="I118" s="0" t="n">
        <v>14.95</v>
      </c>
      <c r="J118" s="0" t="n">
        <v>49.44</v>
      </c>
      <c r="K118" s="0" t="n">
        <v>225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63</v>
      </c>
      <c r="X118" s="0" t="n">
        <v>15</v>
      </c>
      <c r="Y118" s="0" t="n">
        <v>15</v>
      </c>
      <c r="Z118" s="0" t="inlineStr">
        <is>
          <t>https://new.land.naver.com/complexes/7706?tab=detail&amp;rf=Y</t>
        </is>
      </c>
      <c r="AA118" s="0" t="inlineStr">
        <is>
          <t>경상남도 창원시 의창구 도계동 329</t>
        </is>
      </c>
      <c r="AB118" s="0" t="inlineStr">
        <is>
          <t>경상남도</t>
        </is>
      </c>
      <c r="AC118" s="0" t="inlineStr">
        <is>
          <t>창원시</t>
        </is>
      </c>
      <c r="AD118" s="0" t="inlineStr">
        <is>
          <t>의창구</t>
        </is>
      </c>
      <c r="AE118" s="0" t="inlineStr">
        <is>
          <t>도계동</t>
        </is>
      </c>
      <c r="AG118" s="0" t="inlineStr">
        <is>
          <t>경상남도 창원시 의창구 도계로50번길 6-46</t>
        </is>
      </c>
      <c r="AH118" s="0" t="n">
        <v>0</v>
      </c>
      <c r="AI118" s="0" t="n">
        <v>295</v>
      </c>
    </row>
    <row r="119">
      <c r="A119" s="0" t="inlineStr">
        <is>
          <t>[도계동]</t>
        </is>
      </c>
      <c r="B119" s="0" t="n">
        <v>127938</v>
      </c>
      <c r="C119" s="0" t="n">
        <v>1</v>
      </c>
      <c r="D119" s="0" t="inlineStr">
        <is>
          <t>국도하이츠</t>
        </is>
      </c>
      <c r="E119" s="0" t="inlineStr">
        <is>
          <t>1996.08.</t>
        </is>
      </c>
      <c r="F119" s="0" t="n">
        <v>15</v>
      </c>
      <c r="G119" s="0" t="n">
        <v>21.47</v>
      </c>
      <c r="H119" s="0" t="n">
        <v>70.98</v>
      </c>
      <c r="I119" s="0" t="n">
        <v>18.67</v>
      </c>
      <c r="J119" s="0" t="n">
        <v>61.74</v>
      </c>
      <c r="K119" s="0" t="n">
        <v>1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70</v>
      </c>
      <c r="X119" s="0" t="n">
        <v>6</v>
      </c>
      <c r="Y119" s="0" t="n">
        <v>6</v>
      </c>
      <c r="Z119" s="0" t="inlineStr">
        <is>
          <t>https://new.land.naver.com/complexes/127938?tab=detail&amp;rf=Y</t>
        </is>
      </c>
      <c r="AA119" s="0" t="inlineStr">
        <is>
          <t>경상남도 창원시 의창구 도계동 407-4</t>
        </is>
      </c>
      <c r="AB119" s="0" t="inlineStr">
        <is>
          <t>경상남도</t>
        </is>
      </c>
      <c r="AC119" s="0" t="inlineStr">
        <is>
          <t>창원시</t>
        </is>
      </c>
      <c r="AD119" s="0" t="inlineStr">
        <is>
          <t>의창구</t>
        </is>
      </c>
      <c r="AE119" s="0" t="inlineStr">
        <is>
          <t>도계동</t>
        </is>
      </c>
      <c r="AG119" s="0" t="inlineStr">
        <is>
          <t>경상남도 창원시 의창구 태복산로13번길 33</t>
        </is>
      </c>
      <c r="AH119" s="0" t="n">
        <v>0</v>
      </c>
      <c r="AI119" s="0" t="n">
        <v>262</v>
      </c>
    </row>
    <row r="120">
      <c r="A120" s="0" t="inlineStr">
        <is>
          <t>[도계동]</t>
        </is>
      </c>
      <c r="B120" s="0" t="n">
        <v>127938</v>
      </c>
      <c r="C120" s="0" t="n">
        <v>2</v>
      </c>
      <c r="D120" s="0" t="inlineStr">
        <is>
          <t>국도하이츠</t>
        </is>
      </c>
      <c r="E120" s="0" t="inlineStr">
        <is>
          <t>1996.08.</t>
        </is>
      </c>
      <c r="F120" s="0" t="n">
        <v>15</v>
      </c>
      <c r="G120" s="0" t="n">
        <v>22.94</v>
      </c>
      <c r="H120" s="0" t="n">
        <v>75.84999999999999</v>
      </c>
      <c r="I120" s="0" t="n">
        <v>19.95</v>
      </c>
      <c r="J120" s="0" t="n">
        <v>65.97</v>
      </c>
      <c r="K120" s="0" t="n">
        <v>1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75</v>
      </c>
      <c r="X120" s="0" t="n">
        <v>6</v>
      </c>
      <c r="Y120" s="0" t="n">
        <v>6</v>
      </c>
      <c r="Z120" s="0" t="inlineStr">
        <is>
          <t>https://new.land.naver.com/complexes/127938?tab=detail&amp;rf=Y</t>
        </is>
      </c>
      <c r="AA120" s="0" t="inlineStr">
        <is>
          <t>경상남도 창원시 의창구 도계동 407-4</t>
        </is>
      </c>
      <c r="AB120" s="0" t="inlineStr">
        <is>
          <t>경상남도</t>
        </is>
      </c>
      <c r="AC120" s="0" t="inlineStr">
        <is>
          <t>창원시</t>
        </is>
      </c>
      <c r="AD120" s="0" t="inlineStr">
        <is>
          <t>의창구</t>
        </is>
      </c>
      <c r="AE120" s="0" t="inlineStr">
        <is>
          <t>도계동</t>
        </is>
      </c>
      <c r="AG120" s="0" t="inlineStr">
        <is>
          <t>경상남도 창원시 의창구 태복산로13번길 33</t>
        </is>
      </c>
      <c r="AH120" s="0" t="n">
        <v>0</v>
      </c>
      <c r="AI120" s="0" t="n">
        <v>262</v>
      </c>
    </row>
    <row r="121">
      <c r="A121" s="0" t="inlineStr">
        <is>
          <t>[도계동]</t>
        </is>
      </c>
      <c r="B121" s="0" t="n">
        <v>127938</v>
      </c>
      <c r="C121" s="0" t="n">
        <v>3</v>
      </c>
      <c r="D121" s="0" t="inlineStr">
        <is>
          <t>국도하이츠</t>
        </is>
      </c>
      <c r="E121" s="0" t="inlineStr">
        <is>
          <t>1996.08.</t>
        </is>
      </c>
      <c r="F121" s="0" t="n">
        <v>15</v>
      </c>
      <c r="G121" s="0" t="n">
        <v>24.19</v>
      </c>
      <c r="H121" s="0" t="n">
        <v>79.98999999999999</v>
      </c>
      <c r="I121" s="0" t="n">
        <v>21.04</v>
      </c>
      <c r="J121" s="0" t="n">
        <v>69.56999999999999</v>
      </c>
      <c r="K121" s="0" t="n">
        <v>1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79</v>
      </c>
      <c r="X121" s="0" t="n">
        <v>6</v>
      </c>
      <c r="Y121" s="0" t="n">
        <v>6</v>
      </c>
      <c r="Z121" s="0" t="inlineStr">
        <is>
          <t>https://new.land.naver.com/complexes/127938?tab=detail&amp;rf=Y</t>
        </is>
      </c>
      <c r="AA121" s="0" t="inlineStr">
        <is>
          <t>경상남도 창원시 의창구 도계동 407-4</t>
        </is>
      </c>
      <c r="AB121" s="0" t="inlineStr">
        <is>
          <t>경상남도</t>
        </is>
      </c>
      <c r="AC121" s="0" t="inlineStr">
        <is>
          <t>창원시</t>
        </is>
      </c>
      <c r="AD121" s="0" t="inlineStr">
        <is>
          <t>의창구</t>
        </is>
      </c>
      <c r="AE121" s="0" t="inlineStr">
        <is>
          <t>도계동</t>
        </is>
      </c>
      <c r="AG121" s="0" t="inlineStr">
        <is>
          <t>경상남도 창원시 의창구 태복산로13번길 33</t>
        </is>
      </c>
      <c r="AH121" s="0" t="n">
        <v>0</v>
      </c>
      <c r="AI121" s="0" t="n">
        <v>262</v>
      </c>
    </row>
    <row r="122">
      <c r="A122" s="0" t="inlineStr">
        <is>
          <t>[도계동]</t>
        </is>
      </c>
      <c r="B122" s="0" t="n">
        <v>127938</v>
      </c>
      <c r="C122" s="0" t="n">
        <v>4</v>
      </c>
      <c r="D122" s="0" t="inlineStr">
        <is>
          <t>국도하이츠</t>
        </is>
      </c>
      <c r="E122" s="0" t="inlineStr">
        <is>
          <t>1996.08.</t>
        </is>
      </c>
      <c r="F122" s="0" t="n">
        <v>15</v>
      </c>
      <c r="G122" s="0" t="n">
        <v>24.63</v>
      </c>
      <c r="H122" s="0" t="n">
        <v>81.44</v>
      </c>
      <c r="I122" s="0" t="n">
        <v>21.42</v>
      </c>
      <c r="J122" s="0" t="n">
        <v>70.83</v>
      </c>
      <c r="K122" s="0" t="n">
        <v>4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81</v>
      </c>
      <c r="X122" s="0" t="n">
        <v>6</v>
      </c>
      <c r="Y122" s="0" t="n">
        <v>6</v>
      </c>
      <c r="Z122" s="0" t="inlineStr">
        <is>
          <t>https://new.land.naver.com/complexes/127938?tab=detail&amp;rf=Y</t>
        </is>
      </c>
      <c r="AA122" s="0" t="inlineStr">
        <is>
          <t>경상남도 창원시 의창구 도계동 407-4</t>
        </is>
      </c>
      <c r="AB122" s="0" t="inlineStr">
        <is>
          <t>경상남도</t>
        </is>
      </c>
      <c r="AC122" s="0" t="inlineStr">
        <is>
          <t>창원시</t>
        </is>
      </c>
      <c r="AD122" s="0" t="inlineStr">
        <is>
          <t>의창구</t>
        </is>
      </c>
      <c r="AE122" s="0" t="inlineStr">
        <is>
          <t>도계동</t>
        </is>
      </c>
      <c r="AG122" s="0" t="inlineStr">
        <is>
          <t>경상남도 창원시 의창구 태복산로13번길 33</t>
        </is>
      </c>
      <c r="AH122" s="0" t="n">
        <v>0</v>
      </c>
      <c r="AI122" s="0" t="n">
        <v>262</v>
      </c>
    </row>
    <row r="123">
      <c r="A123" s="0" t="inlineStr">
        <is>
          <t>[도계동]</t>
        </is>
      </c>
      <c r="B123" s="0" t="n">
        <v>127938</v>
      </c>
      <c r="C123" s="0" t="n">
        <v>5</v>
      </c>
      <c r="D123" s="0" t="inlineStr">
        <is>
          <t>국도하이츠</t>
        </is>
      </c>
      <c r="E123" s="0" t="inlineStr">
        <is>
          <t>1996.08.</t>
        </is>
      </c>
      <c r="F123" s="0" t="n">
        <v>15</v>
      </c>
      <c r="G123" s="0" t="n">
        <v>26.01</v>
      </c>
      <c r="H123" s="0" t="n">
        <v>85.98999999999999</v>
      </c>
      <c r="I123" s="0" t="n">
        <v>22.62</v>
      </c>
      <c r="J123" s="0" t="n">
        <v>74.79000000000001</v>
      </c>
      <c r="K123" s="0" t="n">
        <v>8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85</v>
      </c>
      <c r="X123" s="0" t="n">
        <v>6</v>
      </c>
      <c r="Y123" s="0" t="n">
        <v>6</v>
      </c>
      <c r="Z123" s="0" t="inlineStr">
        <is>
          <t>https://new.land.naver.com/complexes/127938?tab=detail&amp;rf=Y</t>
        </is>
      </c>
      <c r="AA123" s="0" t="inlineStr">
        <is>
          <t>경상남도 창원시 의창구 도계동 407-4</t>
        </is>
      </c>
      <c r="AB123" s="0" t="inlineStr">
        <is>
          <t>경상남도</t>
        </is>
      </c>
      <c r="AC123" s="0" t="inlineStr">
        <is>
          <t>창원시</t>
        </is>
      </c>
      <c r="AD123" s="0" t="inlineStr">
        <is>
          <t>의창구</t>
        </is>
      </c>
      <c r="AE123" s="0" t="inlineStr">
        <is>
          <t>도계동</t>
        </is>
      </c>
      <c r="AG123" s="0" t="inlineStr">
        <is>
          <t>경상남도 창원시 의창구 태복산로13번길 33</t>
        </is>
      </c>
      <c r="AH123" s="0" t="n">
        <v>0</v>
      </c>
      <c r="AI123" s="0" t="n">
        <v>262</v>
      </c>
    </row>
    <row r="124">
      <c r="A124" s="0" t="inlineStr">
        <is>
          <t>[도계동]</t>
        </is>
      </c>
      <c r="B124" s="0" t="n">
        <v>139272</v>
      </c>
      <c r="C124" s="0" t="n">
        <v>1</v>
      </c>
      <c r="D124" s="0" t="inlineStr">
        <is>
          <t>송광파크</t>
        </is>
      </c>
      <c r="E124" s="0" t="inlineStr">
        <is>
          <t>1993.05.</t>
        </is>
      </c>
      <c r="F124" s="0" t="n">
        <v>14</v>
      </c>
      <c r="G124" s="0" t="n">
        <v>32.98</v>
      </c>
      <c r="H124" s="0" t="n">
        <v>109.03</v>
      </c>
      <c r="I124" s="0" t="n">
        <v>24.27</v>
      </c>
      <c r="J124" s="0" t="n">
        <v>80.25</v>
      </c>
      <c r="K124" s="0" t="n">
        <v>1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109A</t>
        </is>
      </c>
      <c r="X124" s="0" t="n">
        <v>7</v>
      </c>
      <c r="Y124" s="0" t="n">
        <v>7</v>
      </c>
      <c r="Z124" s="0" t="inlineStr">
        <is>
          <t>https://new.land.naver.com/complexes/139272?tab=detail&amp;rf=Y</t>
        </is>
      </c>
      <c r="AA124" s="0" t="inlineStr">
        <is>
          <t>경상남도 창원시 의창구 도계동 305-1</t>
        </is>
      </c>
      <c r="AB124" s="0" t="inlineStr">
        <is>
          <t>경상남도</t>
        </is>
      </c>
      <c r="AC124" s="0" t="inlineStr">
        <is>
          <t>창원시</t>
        </is>
      </c>
      <c r="AD124" s="0" t="inlineStr">
        <is>
          <t>의창구</t>
        </is>
      </c>
      <c r="AE124" s="0" t="inlineStr">
        <is>
          <t>도계동</t>
        </is>
      </c>
      <c r="AG124" s="0" t="inlineStr">
        <is>
          <t>경상남도 창원시 의창구 도계두리길 38</t>
        </is>
      </c>
      <c r="AH124" s="0" t="n">
        <v>0</v>
      </c>
      <c r="AI124" s="0" t="n">
        <v>253</v>
      </c>
    </row>
    <row r="125">
      <c r="A125" s="0" t="inlineStr">
        <is>
          <t>[도계동]</t>
        </is>
      </c>
      <c r="B125" s="0" t="n">
        <v>139272</v>
      </c>
      <c r="C125" s="0" t="n">
        <v>2</v>
      </c>
      <c r="D125" s="0" t="inlineStr">
        <is>
          <t>송광파크</t>
        </is>
      </c>
      <c r="E125" s="0" t="inlineStr">
        <is>
          <t>1993.05.</t>
        </is>
      </c>
      <c r="F125" s="0" t="n">
        <v>14</v>
      </c>
      <c r="G125" s="0" t="n">
        <v>33.38</v>
      </c>
      <c r="H125" s="0" t="n">
        <v>110.38</v>
      </c>
      <c r="I125" s="0" t="n">
        <v>24.57</v>
      </c>
      <c r="J125" s="0" t="n">
        <v>81.23</v>
      </c>
      <c r="K125" s="0" t="n">
        <v>1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110B</t>
        </is>
      </c>
      <c r="X125" s="0" t="n">
        <v>7</v>
      </c>
      <c r="Y125" s="0" t="n">
        <v>7</v>
      </c>
      <c r="Z125" s="0" t="inlineStr">
        <is>
          <t>https://new.land.naver.com/complexes/139272?tab=detail&amp;rf=Y</t>
        </is>
      </c>
      <c r="AA125" s="0" t="inlineStr">
        <is>
          <t>경상남도 창원시 의창구 도계동 305-1</t>
        </is>
      </c>
      <c r="AB125" s="0" t="inlineStr">
        <is>
          <t>경상남도</t>
        </is>
      </c>
      <c r="AC125" s="0" t="inlineStr">
        <is>
          <t>창원시</t>
        </is>
      </c>
      <c r="AD125" s="0" t="inlineStr">
        <is>
          <t>의창구</t>
        </is>
      </c>
      <c r="AE125" s="0" t="inlineStr">
        <is>
          <t>도계동</t>
        </is>
      </c>
      <c r="AG125" s="0" t="inlineStr">
        <is>
          <t>경상남도 창원시 의창구 도계두리길 38</t>
        </is>
      </c>
      <c r="AH125" s="0" t="n">
        <v>0</v>
      </c>
      <c r="AI125" s="0" t="n">
        <v>253</v>
      </c>
    </row>
    <row r="126">
      <c r="A126" s="0" t="inlineStr">
        <is>
          <t>[도계동]</t>
        </is>
      </c>
      <c r="B126" s="0" t="n">
        <v>139272</v>
      </c>
      <c r="C126" s="0" t="n">
        <v>3</v>
      </c>
      <c r="D126" s="0" t="inlineStr">
        <is>
          <t>송광파크</t>
        </is>
      </c>
      <c r="E126" s="0" t="inlineStr">
        <is>
          <t>1993.05.</t>
        </is>
      </c>
      <c r="F126" s="0" t="n">
        <v>14</v>
      </c>
      <c r="G126" s="0" t="n">
        <v>38.94</v>
      </c>
      <c r="H126" s="0" t="n">
        <v>128.75</v>
      </c>
      <c r="I126" s="0" t="n">
        <v>28.24</v>
      </c>
      <c r="J126" s="0" t="n">
        <v>93.37</v>
      </c>
      <c r="K126" s="0" t="n">
        <v>6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128A</t>
        </is>
      </c>
      <c r="X126" s="0" t="n">
        <v>7</v>
      </c>
      <c r="Y126" s="0" t="n">
        <v>7</v>
      </c>
      <c r="Z126" s="0" t="inlineStr">
        <is>
          <t>https://new.land.naver.com/complexes/139272?tab=detail&amp;rf=Y</t>
        </is>
      </c>
      <c r="AA126" s="0" t="inlineStr">
        <is>
          <t>경상남도 창원시 의창구 도계동 305-1</t>
        </is>
      </c>
      <c r="AB126" s="0" t="inlineStr">
        <is>
          <t>경상남도</t>
        </is>
      </c>
      <c r="AC126" s="0" t="inlineStr">
        <is>
          <t>창원시</t>
        </is>
      </c>
      <c r="AD126" s="0" t="inlineStr">
        <is>
          <t>의창구</t>
        </is>
      </c>
      <c r="AE126" s="0" t="inlineStr">
        <is>
          <t>도계동</t>
        </is>
      </c>
      <c r="AG126" s="0" t="inlineStr">
        <is>
          <t>경상남도 창원시 의창구 도계두리길 38</t>
        </is>
      </c>
      <c r="AH126" s="0" t="n">
        <v>0</v>
      </c>
      <c r="AI126" s="0" t="n">
        <v>253</v>
      </c>
    </row>
    <row r="127">
      <c r="A127" s="0" t="inlineStr">
        <is>
          <t>[도계동]</t>
        </is>
      </c>
      <c r="B127" s="0" t="n">
        <v>139272</v>
      </c>
      <c r="C127" s="0" t="n">
        <v>4</v>
      </c>
      <c r="D127" s="0" t="inlineStr">
        <is>
          <t>송광파크</t>
        </is>
      </c>
      <c r="E127" s="0" t="inlineStr">
        <is>
          <t>1993.05.</t>
        </is>
      </c>
      <c r="F127" s="0" t="n">
        <v>14</v>
      </c>
      <c r="G127" s="0" t="n">
        <v>39.25</v>
      </c>
      <c r="H127" s="0" t="n">
        <v>129.76</v>
      </c>
      <c r="I127" s="0" t="n">
        <v>28.46</v>
      </c>
      <c r="J127" s="0" t="n">
        <v>94.09999999999999</v>
      </c>
      <c r="K127" s="0" t="n">
        <v>6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129B</t>
        </is>
      </c>
      <c r="X127" s="0" t="n">
        <v>7</v>
      </c>
      <c r="Y127" s="0" t="n">
        <v>7</v>
      </c>
      <c r="Z127" s="0" t="inlineStr">
        <is>
          <t>https://new.land.naver.com/complexes/139272?tab=detail&amp;rf=Y</t>
        </is>
      </c>
      <c r="AA127" s="0" t="inlineStr">
        <is>
          <t>경상남도 창원시 의창구 도계동 305-1</t>
        </is>
      </c>
      <c r="AB127" s="0" t="inlineStr">
        <is>
          <t>경상남도</t>
        </is>
      </c>
      <c r="AC127" s="0" t="inlineStr">
        <is>
          <t>창원시</t>
        </is>
      </c>
      <c r="AD127" s="0" t="inlineStr">
        <is>
          <t>의창구</t>
        </is>
      </c>
      <c r="AE127" s="0" t="inlineStr">
        <is>
          <t>도계동</t>
        </is>
      </c>
      <c r="AG127" s="0" t="inlineStr">
        <is>
          <t>경상남도 창원시 의창구 도계두리길 38</t>
        </is>
      </c>
      <c r="AH127" s="0" t="n">
        <v>0</v>
      </c>
      <c r="AI127" s="0" t="n">
        <v>253</v>
      </c>
    </row>
    <row r="128">
      <c r="A128" s="0" t="inlineStr">
        <is>
          <t>[도계동]</t>
        </is>
      </c>
      <c r="B128" s="0" t="n">
        <v>16780</v>
      </c>
      <c r="C128" s="0" t="n">
        <v>1</v>
      </c>
      <c r="D128" s="0" t="inlineStr">
        <is>
          <t>강남훼밀리</t>
        </is>
      </c>
      <c r="E128" s="0" t="inlineStr">
        <is>
          <t>1997.12.</t>
        </is>
      </c>
      <c r="F128" s="0" t="n">
        <v>74</v>
      </c>
      <c r="G128" s="0" t="n">
        <v>30.93</v>
      </c>
      <c r="H128" s="0" t="n">
        <v>102.28</v>
      </c>
      <c r="I128" s="0" t="n">
        <v>17.96</v>
      </c>
      <c r="J128" s="0" t="n">
        <v>59.4</v>
      </c>
      <c r="K128" s="0" t="n">
        <v>57</v>
      </c>
      <c r="T128" s="0" t="n">
        <v>3</v>
      </c>
      <c r="U128" s="0" t="n">
        <v>1</v>
      </c>
      <c r="V128" s="0" t="inlineStr">
        <is>
          <t>복도식</t>
        </is>
      </c>
      <c r="W128" s="0" t="n">
        <v>102</v>
      </c>
      <c r="X128" s="0" t="n">
        <v>11</v>
      </c>
      <c r="Y128" s="0" t="n">
        <v>5</v>
      </c>
      <c r="Z128" s="0" t="inlineStr">
        <is>
          <t>https://new.land.naver.com/complexes/16780?tab=detail&amp;rf=Y</t>
        </is>
      </c>
      <c r="AA128" s="0" t="inlineStr">
        <is>
          <t>경상남도 창원시 의창구 도계동 322-3</t>
        </is>
      </c>
      <c r="AB128" s="0" t="inlineStr">
        <is>
          <t>경상남도</t>
        </is>
      </c>
      <c r="AC128" s="0" t="inlineStr">
        <is>
          <t>창원시</t>
        </is>
      </c>
      <c r="AD128" s="0" t="inlineStr">
        <is>
          <t>의창구</t>
        </is>
      </c>
      <c r="AE128" s="0" t="inlineStr">
        <is>
          <t>도계동</t>
        </is>
      </c>
      <c r="AG128" s="0" t="inlineStr">
        <is>
          <t>경상남도 창원시 의창구 하남천서길21번길 8-14</t>
        </is>
      </c>
      <c r="AH128" s="0" t="n">
        <v>0</v>
      </c>
      <c r="AI128" s="0" t="n">
        <v>335</v>
      </c>
    </row>
    <row r="129">
      <c r="A129" s="0" t="inlineStr">
        <is>
          <t>[도계동]</t>
        </is>
      </c>
      <c r="B129" s="0" t="n">
        <v>16780</v>
      </c>
      <c r="C129" s="0" t="n">
        <v>2</v>
      </c>
      <c r="D129" s="0" t="inlineStr">
        <is>
          <t>강남훼밀리</t>
        </is>
      </c>
      <c r="E129" s="0" t="inlineStr">
        <is>
          <t>1997.12.</t>
        </is>
      </c>
      <c r="F129" s="0" t="n">
        <v>74</v>
      </c>
      <c r="G129" s="0" t="n">
        <v>38.29</v>
      </c>
      <c r="H129" s="0" t="n">
        <v>126.61</v>
      </c>
      <c r="I129" s="0" t="n">
        <v>22.24</v>
      </c>
      <c r="J129" s="0" t="n">
        <v>73.53</v>
      </c>
      <c r="K129" s="0" t="n">
        <v>7</v>
      </c>
      <c r="T129" s="0" t="n">
        <v>3</v>
      </c>
      <c r="U129" s="0" t="n">
        <v>1</v>
      </c>
      <c r="V129" s="0" t="inlineStr">
        <is>
          <t>복도식</t>
        </is>
      </c>
      <c r="W129" s="0" t="n">
        <v>126</v>
      </c>
      <c r="X129" s="0" t="n">
        <v>11</v>
      </c>
      <c r="Y129" s="0" t="n">
        <v>5</v>
      </c>
      <c r="Z129" s="0" t="inlineStr">
        <is>
          <t>https://new.land.naver.com/complexes/16780?tab=detail&amp;rf=Y</t>
        </is>
      </c>
      <c r="AA129" s="0" t="inlineStr">
        <is>
          <t>경상남도 창원시 의창구 도계동 322-3</t>
        </is>
      </c>
      <c r="AB129" s="0" t="inlineStr">
        <is>
          <t>경상남도</t>
        </is>
      </c>
      <c r="AC129" s="0" t="inlineStr">
        <is>
          <t>창원시</t>
        </is>
      </c>
      <c r="AD129" s="0" t="inlineStr">
        <is>
          <t>의창구</t>
        </is>
      </c>
      <c r="AE129" s="0" t="inlineStr">
        <is>
          <t>도계동</t>
        </is>
      </c>
      <c r="AG129" s="0" t="inlineStr">
        <is>
          <t>경상남도 창원시 의창구 하남천서길21번길 8-14</t>
        </is>
      </c>
      <c r="AH129" s="0" t="n">
        <v>0</v>
      </c>
      <c r="AI129" s="0" t="n">
        <v>335</v>
      </c>
    </row>
    <row r="130">
      <c r="A130" s="0" t="inlineStr">
        <is>
          <t>[도계동]</t>
        </is>
      </c>
      <c r="B130" s="0" t="n">
        <v>16780</v>
      </c>
      <c r="C130" s="0" t="n">
        <v>3</v>
      </c>
      <c r="D130" s="0" t="inlineStr">
        <is>
          <t>강남훼밀리</t>
        </is>
      </c>
      <c r="E130" s="0" t="inlineStr">
        <is>
          <t>1997.12.</t>
        </is>
      </c>
      <c r="F130" s="0" t="n">
        <v>74</v>
      </c>
      <c r="G130" s="0" t="n">
        <v>39.2</v>
      </c>
      <c r="H130" s="0" t="n">
        <v>129.61</v>
      </c>
      <c r="I130" s="0" t="n">
        <v>22.76</v>
      </c>
      <c r="J130" s="0" t="n">
        <v>75.27</v>
      </c>
      <c r="K130" s="0" t="n">
        <v>10</v>
      </c>
      <c r="T130" s="0" t="n">
        <v>3</v>
      </c>
      <c r="U130" s="0" t="n">
        <v>1</v>
      </c>
      <c r="V130" s="0" t="inlineStr">
        <is>
          <t>복도식</t>
        </is>
      </c>
      <c r="W130" s="0" t="n">
        <v>129</v>
      </c>
      <c r="X130" s="0" t="n">
        <v>11</v>
      </c>
      <c r="Y130" s="0" t="n">
        <v>5</v>
      </c>
      <c r="Z130" s="0" t="inlineStr">
        <is>
          <t>https://new.land.naver.com/complexes/16780?tab=detail&amp;rf=Y</t>
        </is>
      </c>
      <c r="AA130" s="0" t="inlineStr">
        <is>
          <t>경상남도 창원시 의창구 도계동 322-3</t>
        </is>
      </c>
      <c r="AB130" s="0" t="inlineStr">
        <is>
          <t>경상남도</t>
        </is>
      </c>
      <c r="AC130" s="0" t="inlineStr">
        <is>
          <t>창원시</t>
        </is>
      </c>
      <c r="AD130" s="0" t="inlineStr">
        <is>
          <t>의창구</t>
        </is>
      </c>
      <c r="AE130" s="0" t="inlineStr">
        <is>
          <t>도계동</t>
        </is>
      </c>
      <c r="AG130" s="0" t="inlineStr">
        <is>
          <t>경상남도 창원시 의창구 하남천서길21번길 8-14</t>
        </is>
      </c>
      <c r="AH130" s="0" t="n">
        <v>0</v>
      </c>
      <c r="AI130" s="0" t="n">
        <v>335</v>
      </c>
    </row>
    <row r="131">
      <c r="A131" s="0" t="inlineStr">
        <is>
          <t>[도계동]</t>
        </is>
      </c>
      <c r="B131" s="0" t="n">
        <v>126532</v>
      </c>
      <c r="C131" s="0" t="n">
        <v>1</v>
      </c>
      <c r="D131" s="0" t="inlineStr">
        <is>
          <t>영남초원</t>
        </is>
      </c>
      <c r="E131" s="0" t="inlineStr">
        <is>
          <t>1991.10.</t>
        </is>
      </c>
      <c r="F131" s="0" t="n">
        <v>44</v>
      </c>
      <c r="G131" s="0" t="n">
        <v>29.4</v>
      </c>
      <c r="H131" s="0" t="n">
        <v>97.22</v>
      </c>
      <c r="I131" s="0" t="n">
        <v>21.92</v>
      </c>
      <c r="J131" s="0" t="n">
        <v>72.48999999999999</v>
      </c>
      <c r="K131" s="0" t="n">
        <v>26</v>
      </c>
      <c r="T131" s="0" t="n">
        <v>3</v>
      </c>
      <c r="U131" s="0" t="n">
        <v>2</v>
      </c>
      <c r="V131" s="0" t="inlineStr">
        <is>
          <t>복도식</t>
        </is>
      </c>
      <c r="W131" s="0" t="n">
        <v>97</v>
      </c>
      <c r="X131" s="0" t="n">
        <v>9</v>
      </c>
      <c r="Y131" s="0" t="n">
        <v>9</v>
      </c>
      <c r="Z131" s="0" t="inlineStr">
        <is>
          <t>https://new.land.naver.com/complexes/126532?tab=detail&amp;rf=Y</t>
        </is>
      </c>
      <c r="AA131" s="0" t="inlineStr">
        <is>
          <t>경상남도 창원시 의창구 도계동 423-1</t>
        </is>
      </c>
      <c r="AB131" s="0" t="inlineStr">
        <is>
          <t>경상남도</t>
        </is>
      </c>
      <c r="AC131" s="0" t="inlineStr">
        <is>
          <t>창원시</t>
        </is>
      </c>
      <c r="AD131" s="0" t="inlineStr">
        <is>
          <t>의창구</t>
        </is>
      </c>
      <c r="AE131" s="0" t="inlineStr">
        <is>
          <t>도계동</t>
        </is>
      </c>
      <c r="AG131" s="0" t="inlineStr">
        <is>
          <t>경상남도 창원시 의창구 태복산로11번길 27</t>
        </is>
      </c>
      <c r="AH131" s="0" t="n">
        <v>0</v>
      </c>
      <c r="AI131" s="0" t="n">
        <v>371</v>
      </c>
    </row>
    <row r="132">
      <c r="A132" s="0" t="inlineStr">
        <is>
          <t>[도계동]</t>
        </is>
      </c>
      <c r="B132" s="0" t="n">
        <v>126532</v>
      </c>
      <c r="C132" s="0" t="n">
        <v>2</v>
      </c>
      <c r="D132" s="0" t="inlineStr">
        <is>
          <t>영남초원</t>
        </is>
      </c>
      <c r="E132" s="0" t="inlineStr">
        <is>
          <t>1991.10.</t>
        </is>
      </c>
      <c r="F132" s="0" t="n">
        <v>44</v>
      </c>
      <c r="G132" s="0" t="n">
        <v>30.72</v>
      </c>
      <c r="H132" s="0" t="n">
        <v>101.57</v>
      </c>
      <c r="I132" s="0" t="n">
        <v>22.9</v>
      </c>
      <c r="J132" s="0" t="n">
        <v>75.73</v>
      </c>
      <c r="K132" s="0" t="n">
        <v>18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101</v>
      </c>
      <c r="X132" s="0" t="n">
        <v>9</v>
      </c>
      <c r="Y132" s="0" t="n">
        <v>9</v>
      </c>
      <c r="Z132" s="0" t="inlineStr">
        <is>
          <t>https://new.land.naver.com/complexes/126532?tab=detail&amp;rf=Y</t>
        </is>
      </c>
      <c r="AA132" s="0" t="inlineStr">
        <is>
          <t>경상남도 창원시 의창구 도계동 423-1</t>
        </is>
      </c>
      <c r="AB132" s="0" t="inlineStr">
        <is>
          <t>경상남도</t>
        </is>
      </c>
      <c r="AC132" s="0" t="inlineStr">
        <is>
          <t>창원시</t>
        </is>
      </c>
      <c r="AD132" s="0" t="inlineStr">
        <is>
          <t>의창구</t>
        </is>
      </c>
      <c r="AE132" s="0" t="inlineStr">
        <is>
          <t>도계동</t>
        </is>
      </c>
      <c r="AG132" s="0" t="inlineStr">
        <is>
          <t>경상남도 창원시 의창구 태복산로11번길 27</t>
        </is>
      </c>
      <c r="AH132" s="0" t="n">
        <v>0</v>
      </c>
      <c r="AI132" s="0" t="n">
        <v>371</v>
      </c>
    </row>
    <row r="133">
      <c r="A133" s="0" t="inlineStr">
        <is>
          <t>[도계동]</t>
        </is>
      </c>
      <c r="B133" s="0" t="n">
        <v>101216</v>
      </c>
      <c r="C133" s="0" t="n">
        <v>1</v>
      </c>
      <c r="D133" s="0" t="inlineStr">
        <is>
          <t>해바라기맨션(340-1)</t>
        </is>
      </c>
      <c r="E133" s="0" t="inlineStr">
        <is>
          <t>1989.11.</t>
        </is>
      </c>
      <c r="F133" s="0" t="n">
        <v>100</v>
      </c>
      <c r="G133" s="0" t="n">
        <v>17.22</v>
      </c>
      <c r="H133" s="0" t="n">
        <v>56.94</v>
      </c>
      <c r="I133" s="0" t="n">
        <v>15.21</v>
      </c>
      <c r="J133" s="0" t="n">
        <v>50.31</v>
      </c>
      <c r="K133" s="0" t="n">
        <v>20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56</v>
      </c>
      <c r="X133" s="0" t="n">
        <v>5</v>
      </c>
      <c r="Y133" s="0" t="n">
        <v>5</v>
      </c>
      <c r="Z133" s="0" t="inlineStr">
        <is>
          <t>https://new.land.naver.com/complexes/101216?tab=detail&amp;rf=Y</t>
        </is>
      </c>
      <c r="AA133" s="0" t="inlineStr">
        <is>
          <t>경상남도 창원시 의창구 도계동 340-1</t>
        </is>
      </c>
      <c r="AB133" s="0" t="inlineStr">
        <is>
          <t>경상남도</t>
        </is>
      </c>
      <c r="AC133" s="0" t="inlineStr">
        <is>
          <t>창원시</t>
        </is>
      </c>
      <c r="AD133" s="0" t="inlineStr">
        <is>
          <t>의창구</t>
        </is>
      </c>
      <c r="AE133" s="0" t="inlineStr">
        <is>
          <t>도계동</t>
        </is>
      </c>
      <c r="AG133" s="0" t="inlineStr">
        <is>
          <t>경상남도 창원시 의창구 도계로50번길 6-25</t>
        </is>
      </c>
      <c r="AH133" s="0" t="n">
        <v>0</v>
      </c>
      <c r="AI133" s="0" t="n">
        <v>212</v>
      </c>
    </row>
    <row r="134">
      <c r="A134" s="0" t="inlineStr">
        <is>
          <t>[도계동]</t>
        </is>
      </c>
      <c r="B134" s="0" t="n">
        <v>101216</v>
      </c>
      <c r="C134" s="0" t="n">
        <v>2</v>
      </c>
      <c r="D134" s="0" t="inlineStr">
        <is>
          <t>해바라기맨션(340-1)</t>
        </is>
      </c>
      <c r="E134" s="0" t="inlineStr">
        <is>
          <t>1989.11.</t>
        </is>
      </c>
      <c r="F134" s="0" t="n">
        <v>100</v>
      </c>
      <c r="G134" s="0" t="n">
        <v>19.71</v>
      </c>
      <c r="H134" s="0" t="n">
        <v>65.19</v>
      </c>
      <c r="I134" s="0" t="n">
        <v>17.71</v>
      </c>
      <c r="J134" s="0" t="n">
        <v>58.56</v>
      </c>
      <c r="K134" s="0" t="n">
        <v>50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65</v>
      </c>
      <c r="X134" s="0" t="n">
        <v>5</v>
      </c>
      <c r="Y134" s="0" t="n">
        <v>5</v>
      </c>
      <c r="Z134" s="0" t="inlineStr">
        <is>
          <t>https://new.land.naver.com/complexes/101216?tab=detail&amp;rf=Y</t>
        </is>
      </c>
      <c r="AA134" s="0" t="inlineStr">
        <is>
          <t>경상남도 창원시 의창구 도계동 340-1</t>
        </is>
      </c>
      <c r="AB134" s="0" t="inlineStr">
        <is>
          <t>경상남도</t>
        </is>
      </c>
      <c r="AC134" s="0" t="inlineStr">
        <is>
          <t>창원시</t>
        </is>
      </c>
      <c r="AD134" s="0" t="inlineStr">
        <is>
          <t>의창구</t>
        </is>
      </c>
      <c r="AE134" s="0" t="inlineStr">
        <is>
          <t>도계동</t>
        </is>
      </c>
      <c r="AG134" s="0" t="inlineStr">
        <is>
          <t>경상남도 창원시 의창구 도계로50번길 6-25</t>
        </is>
      </c>
      <c r="AH134" s="0" t="n">
        <v>0</v>
      </c>
      <c r="AI134" s="0" t="n">
        <v>212</v>
      </c>
    </row>
    <row r="135">
      <c r="A135" s="0" t="inlineStr">
        <is>
          <t>[도계동]</t>
        </is>
      </c>
      <c r="B135" s="0" t="n">
        <v>101216</v>
      </c>
      <c r="C135" s="0" t="n">
        <v>3</v>
      </c>
      <c r="D135" s="0" t="inlineStr">
        <is>
          <t>해바라기맨션(340-1)</t>
        </is>
      </c>
      <c r="E135" s="0" t="inlineStr">
        <is>
          <t>1989.11.</t>
        </is>
      </c>
      <c r="F135" s="0" t="n">
        <v>100</v>
      </c>
      <c r="G135" s="0" t="n">
        <v>26.04</v>
      </c>
      <c r="H135" s="0" t="n">
        <v>86.09999999999999</v>
      </c>
      <c r="I135" s="0" t="n">
        <v>24.03</v>
      </c>
      <c r="J135" s="0" t="n">
        <v>79.47</v>
      </c>
      <c r="K135" s="0" t="n">
        <v>30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86</v>
      </c>
      <c r="X135" s="0" t="n">
        <v>5</v>
      </c>
      <c r="Y135" s="0" t="n">
        <v>5</v>
      </c>
      <c r="Z135" s="0" t="inlineStr">
        <is>
          <t>https://new.land.naver.com/complexes/101216?tab=detail&amp;rf=Y</t>
        </is>
      </c>
      <c r="AA135" s="0" t="inlineStr">
        <is>
          <t>경상남도 창원시 의창구 도계동 340-1</t>
        </is>
      </c>
      <c r="AB135" s="0" t="inlineStr">
        <is>
          <t>경상남도</t>
        </is>
      </c>
      <c r="AC135" s="0" t="inlineStr">
        <is>
          <t>창원시</t>
        </is>
      </c>
      <c r="AD135" s="0" t="inlineStr">
        <is>
          <t>의창구</t>
        </is>
      </c>
      <c r="AE135" s="0" t="inlineStr">
        <is>
          <t>도계동</t>
        </is>
      </c>
      <c r="AG135" s="0" t="inlineStr">
        <is>
          <t>경상남도 창원시 의창구 도계로50번길 6-25</t>
        </is>
      </c>
      <c r="AH135" s="0" t="n">
        <v>0</v>
      </c>
      <c r="AI135" s="0" t="n">
        <v>212</v>
      </c>
    </row>
    <row r="136">
      <c r="A136" s="0" t="inlineStr">
        <is>
          <t>[도계동]</t>
        </is>
      </c>
      <c r="B136" s="0" t="n">
        <v>135017</v>
      </c>
      <c r="C136" s="0" t="n">
        <v>1</v>
      </c>
      <c r="D136" s="0" t="inlineStr">
        <is>
          <t>일호하이파이데파트</t>
        </is>
      </c>
      <c r="E136" s="0" t="inlineStr">
        <is>
          <t>1991.12.</t>
        </is>
      </c>
      <c r="F136" s="0" t="n">
        <v>21</v>
      </c>
      <c r="G136" s="0" t="n">
        <v>33.27</v>
      </c>
      <c r="H136" s="0" t="n">
        <v>110.01</v>
      </c>
      <c r="I136" s="0" t="n">
        <v>23.59</v>
      </c>
      <c r="J136" s="0" t="n">
        <v>78</v>
      </c>
      <c r="K136" s="0" t="n">
        <v>18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110</v>
      </c>
      <c r="X136" s="0" t="n">
        <v>6</v>
      </c>
      <c r="Y136" s="0" t="n">
        <v>6</v>
      </c>
      <c r="Z136" s="0" t="inlineStr">
        <is>
          <t>https://new.land.naver.com/complexes/135017?tab=detail&amp;rf=Y</t>
        </is>
      </c>
      <c r="AA136" s="0" t="inlineStr">
        <is>
          <t>경상남도 창원시 의창구 도계동 327-11</t>
        </is>
      </c>
      <c r="AB136" s="0" t="inlineStr">
        <is>
          <t>경상남도</t>
        </is>
      </c>
      <c r="AC136" s="0" t="inlineStr">
        <is>
          <t>창원시</t>
        </is>
      </c>
      <c r="AD136" s="0" t="inlineStr">
        <is>
          <t>의창구</t>
        </is>
      </c>
      <c r="AE136" s="0" t="inlineStr">
        <is>
          <t>도계동</t>
        </is>
      </c>
      <c r="AG136" s="0" t="inlineStr">
        <is>
          <t>경상남도 창원시 의창구 도계로 41</t>
        </is>
      </c>
      <c r="AH136" s="0" t="n">
        <v>0</v>
      </c>
      <c r="AI136" s="0" t="n">
        <v>297</v>
      </c>
    </row>
    <row r="137">
      <c r="A137" s="0" t="inlineStr">
        <is>
          <t>[도계동]</t>
        </is>
      </c>
      <c r="B137" s="0" t="n">
        <v>135017</v>
      </c>
      <c r="C137" s="0" t="n">
        <v>2</v>
      </c>
      <c r="D137" s="0" t="inlineStr">
        <is>
          <t>일호하이파이데파트</t>
        </is>
      </c>
      <c r="E137" s="0" t="inlineStr">
        <is>
          <t>1991.12.</t>
        </is>
      </c>
      <c r="F137" s="0" t="n">
        <v>21</v>
      </c>
      <c r="G137" s="0" t="n">
        <v>34.4</v>
      </c>
      <c r="H137" s="0" t="n">
        <v>113.75</v>
      </c>
      <c r="I137" s="0" t="n">
        <v>23.59</v>
      </c>
      <c r="J137" s="0" t="n">
        <v>78</v>
      </c>
      <c r="K137" s="0" t="n">
        <v>3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113</v>
      </c>
      <c r="X137" s="0" t="n">
        <v>6</v>
      </c>
      <c r="Y137" s="0" t="n">
        <v>6</v>
      </c>
      <c r="Z137" s="0" t="inlineStr">
        <is>
          <t>https://new.land.naver.com/complexes/135017?tab=detail&amp;rf=Y</t>
        </is>
      </c>
      <c r="AA137" s="0" t="inlineStr">
        <is>
          <t>경상남도 창원시 의창구 도계동 327-11</t>
        </is>
      </c>
      <c r="AB137" s="0" t="inlineStr">
        <is>
          <t>경상남도</t>
        </is>
      </c>
      <c r="AC137" s="0" t="inlineStr">
        <is>
          <t>창원시</t>
        </is>
      </c>
      <c r="AD137" s="0" t="inlineStr">
        <is>
          <t>의창구</t>
        </is>
      </c>
      <c r="AE137" s="0" t="inlineStr">
        <is>
          <t>도계동</t>
        </is>
      </c>
      <c r="AG137" s="0" t="inlineStr">
        <is>
          <t>경상남도 창원시 의창구 도계로 41</t>
        </is>
      </c>
      <c r="AH137" s="0" t="n">
        <v>0</v>
      </c>
      <c r="AI137" s="0" t="n">
        <v>297</v>
      </c>
    </row>
    <row r="138">
      <c r="A138" s="0" t="inlineStr">
        <is>
          <t>[동읍]</t>
        </is>
      </c>
      <c r="B138" s="0" t="n">
        <v>125919</v>
      </c>
      <c r="C138" s="0" t="n">
        <v>1</v>
      </c>
      <c r="D138" s="0" t="inlineStr">
        <is>
          <t>이조1차</t>
        </is>
      </c>
      <c r="E138" s="0" t="inlineStr">
        <is>
          <t>2015.07.</t>
        </is>
      </c>
      <c r="F138" s="0" t="n">
        <v>29</v>
      </c>
      <c r="G138" s="0" t="n">
        <v>30.17</v>
      </c>
      <c r="H138" s="0" t="n">
        <v>99.75</v>
      </c>
      <c r="I138" s="0" t="n">
        <v>25.6</v>
      </c>
      <c r="J138" s="0" t="n">
        <v>84.64</v>
      </c>
      <c r="K138" s="0" t="n">
        <v>20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99</v>
      </c>
      <c r="X138" s="0" t="n">
        <v>10</v>
      </c>
      <c r="Y138" s="0" t="n">
        <v>10</v>
      </c>
      <c r="Z138" s="0" t="inlineStr">
        <is>
          <t>https://new.land.naver.com/complexes/125919?tab=detail&amp;rf=Y</t>
        </is>
      </c>
      <c r="AA138" s="0" t="inlineStr">
        <is>
          <t>경상남도 창원시 의창구 동읍 용잠리 217-4</t>
        </is>
      </c>
      <c r="AB138" s="0" t="inlineStr">
        <is>
          <t>경상남도</t>
        </is>
      </c>
      <c r="AC138" s="0" t="inlineStr">
        <is>
          <t>창원시</t>
        </is>
      </c>
      <c r="AD138" s="0" t="inlineStr">
        <is>
          <t>의창구</t>
        </is>
      </c>
      <c r="AE138" s="0" t="inlineStr">
        <is>
          <t>동읍</t>
        </is>
      </c>
      <c r="AG138" s="0" t="inlineStr">
        <is>
          <t>경상남도 창원시 의창구 의창대로 886</t>
        </is>
      </c>
      <c r="AH138" s="0" t="n">
        <v>0</v>
      </c>
      <c r="AI138" s="0" t="n">
        <v>197</v>
      </c>
    </row>
    <row r="139">
      <c r="A139" s="0" t="inlineStr">
        <is>
          <t>[동읍]</t>
        </is>
      </c>
      <c r="B139" s="0" t="n">
        <v>125919</v>
      </c>
      <c r="C139" s="0" t="n">
        <v>2</v>
      </c>
      <c r="D139" s="0" t="inlineStr">
        <is>
          <t>이조1차</t>
        </is>
      </c>
      <c r="E139" s="0" t="inlineStr">
        <is>
          <t>2015.07.</t>
        </is>
      </c>
      <c r="F139" s="0" t="n">
        <v>29</v>
      </c>
      <c r="G139" s="0" t="n">
        <v>33.67</v>
      </c>
      <c r="H139" s="0" t="n">
        <v>111.32</v>
      </c>
      <c r="I139" s="0" t="n">
        <v>25.03</v>
      </c>
      <c r="J139" s="0" t="n">
        <v>82.77</v>
      </c>
      <c r="K139" s="0" t="n">
        <v>9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111</v>
      </c>
      <c r="X139" s="0" t="n">
        <v>10</v>
      </c>
      <c r="Y139" s="0" t="n">
        <v>10</v>
      </c>
      <c r="Z139" s="0" t="inlineStr">
        <is>
          <t>https://new.land.naver.com/complexes/125919?tab=detail&amp;rf=Y</t>
        </is>
      </c>
      <c r="AA139" s="0" t="inlineStr">
        <is>
          <t>경상남도 창원시 의창구 동읍 용잠리 217-4</t>
        </is>
      </c>
      <c r="AB139" s="0" t="inlineStr">
        <is>
          <t>경상남도</t>
        </is>
      </c>
      <c r="AC139" s="0" t="inlineStr">
        <is>
          <t>창원시</t>
        </is>
      </c>
      <c r="AD139" s="0" t="inlineStr">
        <is>
          <t>의창구</t>
        </is>
      </c>
      <c r="AE139" s="0" t="inlineStr">
        <is>
          <t>동읍</t>
        </is>
      </c>
      <c r="AG139" s="0" t="inlineStr">
        <is>
          <t>경상남도 창원시 의창구 의창대로 886</t>
        </is>
      </c>
      <c r="AH139" s="0" t="n">
        <v>0</v>
      </c>
      <c r="AI139" s="0" t="n">
        <v>197</v>
      </c>
    </row>
    <row r="140">
      <c r="A140" s="0" t="inlineStr">
        <is>
          <t>[동읍]</t>
        </is>
      </c>
      <c r="B140" s="0" t="n">
        <v>15753</v>
      </c>
      <c r="C140" s="0" t="n">
        <v>1</v>
      </c>
      <c r="D140" s="0" t="inlineStr">
        <is>
          <t>동부산훼미리타운1차</t>
        </is>
      </c>
      <c r="E140" s="0" t="inlineStr">
        <is>
          <t>1997.12.</t>
        </is>
      </c>
      <c r="F140" s="0" t="n">
        <v>133</v>
      </c>
      <c r="G140" s="0" t="n">
        <v>21.32</v>
      </c>
      <c r="H140" s="0" t="n">
        <v>70.48</v>
      </c>
      <c r="I140" s="0" t="n">
        <v>16.92</v>
      </c>
      <c r="J140" s="0" t="n">
        <v>55.94</v>
      </c>
      <c r="K140" s="0" t="n">
        <v>74</v>
      </c>
      <c r="T140" s="0" t="n">
        <v>2</v>
      </c>
      <c r="U140" s="0" t="n">
        <v>1</v>
      </c>
      <c r="V140" s="0" t="inlineStr">
        <is>
          <t>복도식</t>
        </is>
      </c>
      <c r="W140" s="0" t="n">
        <v>70</v>
      </c>
      <c r="X140" s="0" t="n">
        <v>15</v>
      </c>
      <c r="Y140" s="0" t="n">
        <v>15</v>
      </c>
      <c r="Z140" s="0" t="inlineStr">
        <is>
          <t>https://new.land.naver.com/complexes/15753?tab=detail&amp;rf=Y</t>
        </is>
      </c>
      <c r="AA140" s="0" t="inlineStr">
        <is>
          <t>경상남도 창원시 의창구 동읍 용정리 20-1</t>
        </is>
      </c>
      <c r="AB140" s="0" t="inlineStr">
        <is>
          <t>경상남도</t>
        </is>
      </c>
      <c r="AC140" s="0" t="inlineStr">
        <is>
          <t>창원시</t>
        </is>
      </c>
      <c r="AD140" s="0" t="inlineStr">
        <is>
          <t>의창구</t>
        </is>
      </c>
      <c r="AE140" s="0" t="inlineStr">
        <is>
          <t>동읍</t>
        </is>
      </c>
      <c r="AG140" s="0" t="inlineStr">
        <is>
          <t>경상남도 창원시 의창구 용정길46번길 29</t>
        </is>
      </c>
      <c r="AH140" s="0" t="n">
        <v>0</v>
      </c>
      <c r="AI140" s="0" t="n">
        <v>383</v>
      </c>
    </row>
    <row r="141">
      <c r="A141" s="0" t="inlineStr">
        <is>
          <t>[동읍]</t>
        </is>
      </c>
      <c r="B141" s="0" t="n">
        <v>15753</v>
      </c>
      <c r="C141" s="0" t="n">
        <v>2</v>
      </c>
      <c r="D141" s="0" t="inlineStr">
        <is>
          <t>동부산훼미리타운1차</t>
        </is>
      </c>
      <c r="E141" s="0" t="inlineStr">
        <is>
          <t>1997.12.</t>
        </is>
      </c>
      <c r="F141" s="0" t="n">
        <v>133</v>
      </c>
      <c r="G141" s="0" t="n">
        <v>21.44</v>
      </c>
      <c r="H141" s="0" t="n">
        <v>70.88</v>
      </c>
      <c r="I141" s="0" t="n">
        <v>18.14</v>
      </c>
      <c r="J141" s="0" t="n">
        <v>59.97</v>
      </c>
      <c r="K141" s="0" t="n">
        <v>29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70</v>
      </c>
      <c r="X141" s="0" t="n">
        <v>15</v>
      </c>
      <c r="Y141" s="0" t="n">
        <v>15</v>
      </c>
      <c r="Z141" s="0" t="inlineStr">
        <is>
          <t>https://new.land.naver.com/complexes/15753?tab=detail&amp;rf=Y</t>
        </is>
      </c>
      <c r="AA141" s="0" t="inlineStr">
        <is>
          <t>경상남도 창원시 의창구 동읍 용정리 20-1</t>
        </is>
      </c>
      <c r="AB141" s="0" t="inlineStr">
        <is>
          <t>경상남도</t>
        </is>
      </c>
      <c r="AC141" s="0" t="inlineStr">
        <is>
          <t>창원시</t>
        </is>
      </c>
      <c r="AD141" s="0" t="inlineStr">
        <is>
          <t>의창구</t>
        </is>
      </c>
      <c r="AE141" s="0" t="inlineStr">
        <is>
          <t>동읍</t>
        </is>
      </c>
      <c r="AG141" s="0" t="inlineStr">
        <is>
          <t>경상남도 창원시 의창구 용정길46번길 29</t>
        </is>
      </c>
      <c r="AH141" s="0" t="n">
        <v>0</v>
      </c>
      <c r="AI141" s="0" t="n">
        <v>383</v>
      </c>
    </row>
    <row r="142">
      <c r="A142" s="0" t="inlineStr">
        <is>
          <t>[동읍]</t>
        </is>
      </c>
      <c r="B142" s="0" t="n">
        <v>15753</v>
      </c>
      <c r="C142" s="0" t="n">
        <v>3</v>
      </c>
      <c r="D142" s="0" t="inlineStr">
        <is>
          <t>동부산훼미리타운1차</t>
        </is>
      </c>
      <c r="E142" s="0" t="inlineStr">
        <is>
          <t>1997.12.</t>
        </is>
      </c>
      <c r="F142" s="0" t="n">
        <v>133</v>
      </c>
      <c r="G142" s="0" t="n">
        <v>23.95</v>
      </c>
      <c r="H142" s="0" t="n">
        <v>79.18000000000001</v>
      </c>
      <c r="I142" s="0" t="n">
        <v>20.52</v>
      </c>
      <c r="J142" s="0" t="n">
        <v>67.84999999999999</v>
      </c>
      <c r="K142" s="0" t="n">
        <v>30</v>
      </c>
      <c r="T142" s="0" t="n">
        <v>3</v>
      </c>
      <c r="U142" s="0" t="n">
        <v>1</v>
      </c>
      <c r="V142" s="0" t="inlineStr">
        <is>
          <t>계단식</t>
        </is>
      </c>
      <c r="W142" s="0" t="n">
        <v>79</v>
      </c>
      <c r="X142" s="0" t="n">
        <v>15</v>
      </c>
      <c r="Y142" s="0" t="n">
        <v>15</v>
      </c>
      <c r="Z142" s="0" t="inlineStr">
        <is>
          <t>https://new.land.naver.com/complexes/15753?tab=detail&amp;rf=Y</t>
        </is>
      </c>
      <c r="AA142" s="0" t="inlineStr">
        <is>
          <t>경상남도 창원시 의창구 동읍 용정리 20-1</t>
        </is>
      </c>
      <c r="AB142" s="0" t="inlineStr">
        <is>
          <t>경상남도</t>
        </is>
      </c>
      <c r="AC142" s="0" t="inlineStr">
        <is>
          <t>창원시</t>
        </is>
      </c>
      <c r="AD142" s="0" t="inlineStr">
        <is>
          <t>의창구</t>
        </is>
      </c>
      <c r="AE142" s="0" t="inlineStr">
        <is>
          <t>동읍</t>
        </is>
      </c>
      <c r="AG142" s="0" t="inlineStr">
        <is>
          <t>경상남도 창원시 의창구 용정길46번길 29</t>
        </is>
      </c>
      <c r="AH142" s="0" t="n">
        <v>0</v>
      </c>
      <c r="AI142" s="0" t="n">
        <v>383</v>
      </c>
    </row>
    <row r="143">
      <c r="A143" s="0" t="inlineStr">
        <is>
          <t>[동읍]</t>
        </is>
      </c>
      <c r="B143" s="0" t="n">
        <v>15754</v>
      </c>
      <c r="C143" s="0" t="n">
        <v>1</v>
      </c>
      <c r="D143" s="0" t="inlineStr">
        <is>
          <t>동부산훼미리타운2차</t>
        </is>
      </c>
      <c r="E143" s="0" t="inlineStr">
        <is>
          <t>1998.10.</t>
        </is>
      </c>
      <c r="F143" s="0" t="n">
        <v>148</v>
      </c>
      <c r="G143" s="0" t="n">
        <v>16.22</v>
      </c>
      <c r="H143" s="0" t="n">
        <v>53.62</v>
      </c>
      <c r="I143" s="0" t="n">
        <v>13.8</v>
      </c>
      <c r="J143" s="0" t="n">
        <v>45.65</v>
      </c>
      <c r="K143" s="0" t="n">
        <v>24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53</v>
      </c>
      <c r="X143" s="0" t="n">
        <v>13</v>
      </c>
      <c r="Y143" s="0" t="n">
        <v>12</v>
      </c>
      <c r="Z143" s="0" t="inlineStr">
        <is>
          <t>https://new.land.naver.com/complexes/15754?tab=detail&amp;rf=Y</t>
        </is>
      </c>
      <c r="AA143" s="0" t="inlineStr">
        <is>
          <t>경상남도 창원시 의창구 동읍 송정리 23-1</t>
        </is>
      </c>
      <c r="AB143" s="0" t="inlineStr">
        <is>
          <t>경상남도</t>
        </is>
      </c>
      <c r="AC143" s="0" t="inlineStr">
        <is>
          <t>창원시</t>
        </is>
      </c>
      <c r="AD143" s="0" t="inlineStr">
        <is>
          <t>의창구</t>
        </is>
      </c>
      <c r="AE143" s="0" t="inlineStr">
        <is>
          <t>동읍</t>
        </is>
      </c>
      <c r="AG143" s="0" t="inlineStr">
        <is>
          <t>경상남도 창원시 의창구 용정길32번길 14</t>
        </is>
      </c>
      <c r="AH143" s="0" t="n">
        <v>0</v>
      </c>
      <c r="AI143" s="0" t="n">
        <v>253</v>
      </c>
    </row>
    <row r="144">
      <c r="A144" s="0" t="inlineStr">
        <is>
          <t>[동읍]</t>
        </is>
      </c>
      <c r="B144" s="0" t="n">
        <v>15754</v>
      </c>
      <c r="C144" s="0" t="n">
        <v>2</v>
      </c>
      <c r="D144" s="0" t="inlineStr">
        <is>
          <t>동부산훼미리타운2차</t>
        </is>
      </c>
      <c r="E144" s="0" t="inlineStr">
        <is>
          <t>1998.10.</t>
        </is>
      </c>
      <c r="F144" s="0" t="n">
        <v>148</v>
      </c>
      <c r="G144" s="0" t="n">
        <v>24.29</v>
      </c>
      <c r="H144" s="0" t="n">
        <v>80.31</v>
      </c>
      <c r="I144" s="0" t="n">
        <v>20.67</v>
      </c>
      <c r="J144" s="0" t="n">
        <v>68.36</v>
      </c>
      <c r="K144" s="0" t="n">
        <v>68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80</v>
      </c>
      <c r="X144" s="0" t="n">
        <v>13</v>
      </c>
      <c r="Y144" s="0" t="n">
        <v>12</v>
      </c>
      <c r="Z144" s="0" t="inlineStr">
        <is>
          <t>https://new.land.naver.com/complexes/15754?tab=detail&amp;rf=Y</t>
        </is>
      </c>
      <c r="AA144" s="0" t="inlineStr">
        <is>
          <t>경상남도 창원시 의창구 동읍 송정리 23-1</t>
        </is>
      </c>
      <c r="AB144" s="0" t="inlineStr">
        <is>
          <t>경상남도</t>
        </is>
      </c>
      <c r="AC144" s="0" t="inlineStr">
        <is>
          <t>창원시</t>
        </is>
      </c>
      <c r="AD144" s="0" t="inlineStr">
        <is>
          <t>의창구</t>
        </is>
      </c>
      <c r="AE144" s="0" t="inlineStr">
        <is>
          <t>동읍</t>
        </is>
      </c>
      <c r="AG144" s="0" t="inlineStr">
        <is>
          <t>경상남도 창원시 의창구 용정길32번길 14</t>
        </is>
      </c>
      <c r="AH144" s="0" t="n">
        <v>0</v>
      </c>
      <c r="AI144" s="0" t="n">
        <v>253</v>
      </c>
    </row>
    <row r="145">
      <c r="A145" s="0" t="inlineStr">
        <is>
          <t>[동읍]</t>
        </is>
      </c>
      <c r="B145" s="0" t="n">
        <v>15754</v>
      </c>
      <c r="C145" s="0" t="n">
        <v>3</v>
      </c>
      <c r="D145" s="0" t="inlineStr">
        <is>
          <t>동부산훼미리타운2차</t>
        </is>
      </c>
      <c r="E145" s="0" t="inlineStr">
        <is>
          <t>1998.10.</t>
        </is>
      </c>
      <c r="F145" s="0" t="n">
        <v>148</v>
      </c>
      <c r="G145" s="0" t="n">
        <v>27.72</v>
      </c>
      <c r="H145" s="0" t="n">
        <v>91.66</v>
      </c>
      <c r="I145" s="0" t="n">
        <v>23.6</v>
      </c>
      <c r="J145" s="0" t="n">
        <v>78.03</v>
      </c>
      <c r="K145" s="0" t="n">
        <v>46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91</v>
      </c>
      <c r="X145" s="0" t="n">
        <v>13</v>
      </c>
      <c r="Y145" s="0" t="n">
        <v>12</v>
      </c>
      <c r="Z145" s="0" t="inlineStr">
        <is>
          <t>https://new.land.naver.com/complexes/15754?tab=detail&amp;rf=Y</t>
        </is>
      </c>
      <c r="AA145" s="0" t="inlineStr">
        <is>
          <t>경상남도 창원시 의창구 동읍 송정리 23-1</t>
        </is>
      </c>
      <c r="AB145" s="0" t="inlineStr">
        <is>
          <t>경상남도</t>
        </is>
      </c>
      <c r="AC145" s="0" t="inlineStr">
        <is>
          <t>창원시</t>
        </is>
      </c>
      <c r="AD145" s="0" t="inlineStr">
        <is>
          <t>의창구</t>
        </is>
      </c>
      <c r="AE145" s="0" t="inlineStr">
        <is>
          <t>동읍</t>
        </is>
      </c>
      <c r="AG145" s="0" t="inlineStr">
        <is>
          <t>경상남도 창원시 의창구 용정길32번길 14</t>
        </is>
      </c>
      <c r="AH145" s="0" t="n">
        <v>0</v>
      </c>
      <c r="AI145" s="0" t="n">
        <v>253</v>
      </c>
    </row>
    <row r="146">
      <c r="A146" s="0" t="inlineStr">
        <is>
          <t>[동읍]</t>
        </is>
      </c>
      <c r="B146" s="0" t="n">
        <v>15754</v>
      </c>
      <c r="C146" s="0" t="n">
        <v>4</v>
      </c>
      <c r="D146" s="0" t="inlineStr">
        <is>
          <t>동부산훼미리타운2차</t>
        </is>
      </c>
      <c r="E146" s="0" t="inlineStr">
        <is>
          <t>1998.10.</t>
        </is>
      </c>
      <c r="F146" s="0" t="n">
        <v>148</v>
      </c>
      <c r="G146" s="0" t="n">
        <v>38.2</v>
      </c>
      <c r="H146" s="0" t="n">
        <v>126.29</v>
      </c>
      <c r="I146" s="0" t="n">
        <v>32.51</v>
      </c>
      <c r="J146" s="0" t="n">
        <v>107.5</v>
      </c>
      <c r="K146" s="0" t="n">
        <v>6</v>
      </c>
      <c r="T146" s="0" t="n">
        <v>4</v>
      </c>
      <c r="U146" s="0" t="n">
        <v>2</v>
      </c>
      <c r="V146" s="0" t="inlineStr">
        <is>
          <t>계단식</t>
        </is>
      </c>
      <c r="W146" s="0" t="n">
        <v>126</v>
      </c>
      <c r="X146" s="0" t="n">
        <v>13</v>
      </c>
      <c r="Y146" s="0" t="n">
        <v>12</v>
      </c>
      <c r="Z146" s="0" t="inlineStr">
        <is>
          <t>https://new.land.naver.com/complexes/15754?tab=detail&amp;rf=Y</t>
        </is>
      </c>
      <c r="AA146" s="0" t="inlineStr">
        <is>
          <t>경상남도 창원시 의창구 동읍 송정리 23-1</t>
        </is>
      </c>
      <c r="AB146" s="0" t="inlineStr">
        <is>
          <t>경상남도</t>
        </is>
      </c>
      <c r="AC146" s="0" t="inlineStr">
        <is>
          <t>창원시</t>
        </is>
      </c>
      <c r="AD146" s="0" t="inlineStr">
        <is>
          <t>의창구</t>
        </is>
      </c>
      <c r="AE146" s="0" t="inlineStr">
        <is>
          <t>동읍</t>
        </is>
      </c>
      <c r="AG146" s="0" t="inlineStr">
        <is>
          <t>경상남도 창원시 의창구 용정길32번길 14</t>
        </is>
      </c>
      <c r="AH146" s="0" t="n">
        <v>0</v>
      </c>
      <c r="AI146" s="0" t="n">
        <v>253</v>
      </c>
    </row>
    <row r="147">
      <c r="A147" s="0" t="inlineStr">
        <is>
          <t>[동읍]</t>
        </is>
      </c>
      <c r="B147" s="0" t="n">
        <v>15754</v>
      </c>
      <c r="C147" s="0" t="n">
        <v>5</v>
      </c>
      <c r="D147" s="0" t="inlineStr">
        <is>
          <t>동부산훼미리타운2차</t>
        </is>
      </c>
      <c r="E147" s="0" t="inlineStr">
        <is>
          <t>1998.10.</t>
        </is>
      </c>
      <c r="F147" s="0" t="n">
        <v>148</v>
      </c>
      <c r="G147" s="0" t="n">
        <v>44.06</v>
      </c>
      <c r="H147" s="0" t="n">
        <v>145.67</v>
      </c>
      <c r="I147" s="0" t="n">
        <v>37.51</v>
      </c>
      <c r="J147" s="0" t="n">
        <v>124.01</v>
      </c>
      <c r="K147" s="0" t="n">
        <v>4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145</v>
      </c>
      <c r="X147" s="0" t="n">
        <v>13</v>
      </c>
      <c r="Y147" s="0" t="n">
        <v>12</v>
      </c>
      <c r="Z147" s="0" t="inlineStr">
        <is>
          <t>https://new.land.naver.com/complexes/15754?tab=detail&amp;rf=Y</t>
        </is>
      </c>
      <c r="AA147" s="0" t="inlineStr">
        <is>
          <t>경상남도 창원시 의창구 동읍 송정리 23-1</t>
        </is>
      </c>
      <c r="AB147" s="0" t="inlineStr">
        <is>
          <t>경상남도</t>
        </is>
      </c>
      <c r="AC147" s="0" t="inlineStr">
        <is>
          <t>창원시</t>
        </is>
      </c>
      <c r="AD147" s="0" t="inlineStr">
        <is>
          <t>의창구</t>
        </is>
      </c>
      <c r="AE147" s="0" t="inlineStr">
        <is>
          <t>동읍</t>
        </is>
      </c>
      <c r="AG147" s="0" t="inlineStr">
        <is>
          <t>경상남도 창원시 의창구 용정길32번길 14</t>
        </is>
      </c>
      <c r="AH147" s="0" t="n">
        <v>0</v>
      </c>
      <c r="AI147" s="0" t="n">
        <v>253</v>
      </c>
    </row>
    <row r="148">
      <c r="A148" s="0" t="inlineStr">
        <is>
          <t>[동읍]</t>
        </is>
      </c>
      <c r="B148" s="0" t="n">
        <v>128436</v>
      </c>
      <c r="C148" s="0" t="n">
        <v>1</v>
      </c>
      <c r="D148" s="0" t="inlineStr">
        <is>
          <t>보광드림빌</t>
        </is>
      </c>
      <c r="E148" s="0" t="inlineStr">
        <is>
          <t>2017.04.</t>
        </is>
      </c>
      <c r="F148" s="0" t="n">
        <v>20</v>
      </c>
      <c r="G148" s="0" t="n">
        <v>27.57</v>
      </c>
      <c r="H148" s="0" t="n">
        <v>91.17</v>
      </c>
      <c r="I148" s="0" t="n">
        <v>20.63</v>
      </c>
      <c r="J148" s="0" t="n">
        <v>68.20999999999999</v>
      </c>
      <c r="K148" s="0" t="n">
        <v>17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91B</t>
        </is>
      </c>
      <c r="X148" s="0" t="n">
        <v>11</v>
      </c>
      <c r="Y148" s="0" t="n">
        <v>11</v>
      </c>
      <c r="Z148" s="0" t="inlineStr">
        <is>
          <t>https://new.land.naver.com/complexes/128436?tab=detail&amp;rf=Y</t>
        </is>
      </c>
      <c r="AA148" s="0" t="inlineStr">
        <is>
          <t>경상남도 창원시 의창구 동읍 용잠리 230-6</t>
        </is>
      </c>
      <c r="AB148" s="0" t="inlineStr">
        <is>
          <t>경상남도</t>
        </is>
      </c>
      <c r="AC148" s="0" t="inlineStr">
        <is>
          <t>창원시</t>
        </is>
      </c>
      <c r="AD148" s="0" t="inlineStr">
        <is>
          <t>의창구</t>
        </is>
      </c>
      <c r="AE148" s="0" t="inlineStr">
        <is>
          <t>동읍</t>
        </is>
      </c>
      <c r="AG148" s="0" t="inlineStr">
        <is>
          <t>경상남도 창원시 의창구 용잠로41번길 4</t>
        </is>
      </c>
      <c r="AH148" s="0" t="n">
        <v>0</v>
      </c>
      <c r="AI148" s="0" t="n">
        <v>345</v>
      </c>
    </row>
    <row r="149">
      <c r="A149" s="0" t="inlineStr">
        <is>
          <t>[동읍]</t>
        </is>
      </c>
      <c r="B149" s="0" t="n">
        <v>128436</v>
      </c>
      <c r="C149" s="0" t="n">
        <v>2</v>
      </c>
      <c r="D149" s="0" t="inlineStr">
        <is>
          <t>보광드림빌</t>
        </is>
      </c>
      <c r="E149" s="0" t="inlineStr">
        <is>
          <t>2017.04.</t>
        </is>
      </c>
      <c r="F149" s="0" t="n">
        <v>20</v>
      </c>
      <c r="G149" s="0" t="n">
        <v>27.59</v>
      </c>
      <c r="H149" s="0" t="n">
        <v>91.23</v>
      </c>
      <c r="I149" s="0" t="n">
        <v>20.58</v>
      </c>
      <c r="J149" s="0" t="n">
        <v>68.06</v>
      </c>
      <c r="K149" s="0" t="n">
        <v>3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91A</t>
        </is>
      </c>
      <c r="X149" s="0" t="n">
        <v>11</v>
      </c>
      <c r="Y149" s="0" t="n">
        <v>11</v>
      </c>
      <c r="Z149" s="0" t="inlineStr">
        <is>
          <t>https://new.land.naver.com/complexes/128436?tab=detail&amp;rf=Y</t>
        </is>
      </c>
      <c r="AA149" s="0" t="inlineStr">
        <is>
          <t>경상남도 창원시 의창구 동읍 용잠리 230-6</t>
        </is>
      </c>
      <c r="AB149" s="0" t="inlineStr">
        <is>
          <t>경상남도</t>
        </is>
      </c>
      <c r="AC149" s="0" t="inlineStr">
        <is>
          <t>창원시</t>
        </is>
      </c>
      <c r="AD149" s="0" t="inlineStr">
        <is>
          <t>의창구</t>
        </is>
      </c>
      <c r="AE149" s="0" t="inlineStr">
        <is>
          <t>동읍</t>
        </is>
      </c>
      <c r="AG149" s="0" t="inlineStr">
        <is>
          <t>경상남도 창원시 의창구 용잠로41번길 4</t>
        </is>
      </c>
      <c r="AH149" s="0" t="n">
        <v>0</v>
      </c>
      <c r="AI149" s="0" t="n">
        <v>345</v>
      </c>
    </row>
    <row r="150">
      <c r="A150" s="0" t="inlineStr">
        <is>
          <t>[동읍]</t>
        </is>
      </c>
      <c r="B150" s="0" t="n">
        <v>104830</v>
      </c>
      <c r="C150" s="0" t="n">
        <v>1</v>
      </c>
      <c r="D150" s="0" t="inlineStr">
        <is>
          <t>신우한빛타운</t>
        </is>
      </c>
      <c r="E150" s="0" t="inlineStr">
        <is>
          <t>2000.03.</t>
        </is>
      </c>
      <c r="F150" s="0" t="n">
        <v>81</v>
      </c>
      <c r="G150" s="0" t="n">
        <v>32.39</v>
      </c>
      <c r="H150" s="0" t="n">
        <v>107.08</v>
      </c>
      <c r="I150" s="0" t="n">
        <v>25.63</v>
      </c>
      <c r="J150" s="0" t="n">
        <v>84.75</v>
      </c>
      <c r="K150" s="0" t="n">
        <v>81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107</v>
      </c>
      <c r="X150" s="0" t="n">
        <v>14</v>
      </c>
      <c r="Y150" s="0" t="n">
        <v>11</v>
      </c>
      <c r="Z150" s="0" t="inlineStr">
        <is>
          <t>https://new.land.naver.com/complexes/104830?tab=detail&amp;rf=Y</t>
        </is>
      </c>
      <c r="AA150" s="0" t="inlineStr">
        <is>
          <t>경상남도 창원시 의창구 동읍 130-1</t>
        </is>
      </c>
      <c r="AB150" s="0" t="inlineStr">
        <is>
          <t>경상남도</t>
        </is>
      </c>
      <c r="AC150" s="0" t="inlineStr">
        <is>
          <t>창원시</t>
        </is>
      </c>
      <c r="AD150" s="0" t="inlineStr">
        <is>
          <t>의창구</t>
        </is>
      </c>
      <c r="AE150" s="0" t="inlineStr">
        <is>
          <t>동읍</t>
        </is>
      </c>
      <c r="AG150" s="0" t="inlineStr">
        <is>
          <t>경상남도 창원시 의창구 용잠로35번길 24</t>
        </is>
      </c>
      <c r="AH150" s="0" t="n">
        <v>0</v>
      </c>
      <c r="AI150" s="0" t="n">
        <v>259</v>
      </c>
    </row>
    <row r="151">
      <c r="A151" s="0" t="inlineStr">
        <is>
          <t>[동읍]</t>
        </is>
      </c>
      <c r="B151" s="0" t="n">
        <v>16800</v>
      </c>
      <c r="C151" s="0" t="n">
        <v>1</v>
      </c>
      <c r="D151" s="0" t="inlineStr">
        <is>
          <t>성진3차</t>
        </is>
      </c>
      <c r="E151" s="0" t="inlineStr">
        <is>
          <t>1995.09.</t>
        </is>
      </c>
      <c r="F151" s="0" t="n">
        <v>165</v>
      </c>
      <c r="G151" s="0" t="n">
        <v>19.3</v>
      </c>
      <c r="H151" s="0" t="n">
        <v>63.81</v>
      </c>
      <c r="I151" s="0" t="n">
        <v>16.53</v>
      </c>
      <c r="J151" s="0" t="n">
        <v>54.65</v>
      </c>
      <c r="K151" s="0" t="n">
        <v>15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63</v>
      </c>
      <c r="X151" s="0" t="n">
        <v>15</v>
      </c>
      <c r="Y151" s="0" t="n">
        <v>15</v>
      </c>
      <c r="Z151" s="0" t="inlineStr">
        <is>
          <t>https://new.land.naver.com/complexes/16800?tab=detail&amp;rf=Y</t>
        </is>
      </c>
      <c r="AA151" s="0" t="inlineStr">
        <is>
          <t>경상남도 창원시 의창구 동읍 용정리 20-9</t>
        </is>
      </c>
      <c r="AB151" s="0" t="inlineStr">
        <is>
          <t>경상남도</t>
        </is>
      </c>
      <c r="AC151" s="0" t="inlineStr">
        <is>
          <t>창원시</t>
        </is>
      </c>
      <c r="AD151" s="0" t="inlineStr">
        <is>
          <t>의창구</t>
        </is>
      </c>
      <c r="AE151" s="0" t="inlineStr">
        <is>
          <t>동읍</t>
        </is>
      </c>
      <c r="AG151" s="0" t="inlineStr">
        <is>
          <t>경상남도 창원시 의창구 용정길46번길 49-1</t>
        </is>
      </c>
      <c r="AH151" s="0" t="n">
        <v>0</v>
      </c>
      <c r="AI151" s="0" t="n">
        <v>751</v>
      </c>
    </row>
    <row r="152">
      <c r="A152" s="0" t="inlineStr">
        <is>
          <t>[동읍]</t>
        </is>
      </c>
      <c r="B152" s="0" t="n">
        <v>16800</v>
      </c>
      <c r="C152" s="0" t="n">
        <v>2</v>
      </c>
      <c r="D152" s="0" t="inlineStr">
        <is>
          <t>성진3차</t>
        </is>
      </c>
      <c r="E152" s="0" t="inlineStr">
        <is>
          <t>1995.09.</t>
        </is>
      </c>
      <c r="F152" s="0" t="n">
        <v>165</v>
      </c>
      <c r="G152" s="0" t="n">
        <v>20.7</v>
      </c>
      <c r="H152" s="0" t="n">
        <v>68.44</v>
      </c>
      <c r="I152" s="0" t="n">
        <v>17.72</v>
      </c>
      <c r="J152" s="0" t="n">
        <v>58.61</v>
      </c>
      <c r="K152" s="0" t="n">
        <v>45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68</v>
      </c>
      <c r="X152" s="0" t="n">
        <v>15</v>
      </c>
      <c r="Y152" s="0" t="n">
        <v>15</v>
      </c>
      <c r="Z152" s="0" t="inlineStr">
        <is>
          <t>https://new.land.naver.com/complexes/16800?tab=detail&amp;rf=Y</t>
        </is>
      </c>
      <c r="AA152" s="0" t="inlineStr">
        <is>
          <t>경상남도 창원시 의창구 동읍 용정리 20-9</t>
        </is>
      </c>
      <c r="AB152" s="0" t="inlineStr">
        <is>
          <t>경상남도</t>
        </is>
      </c>
      <c r="AC152" s="0" t="inlineStr">
        <is>
          <t>창원시</t>
        </is>
      </c>
      <c r="AD152" s="0" t="inlineStr">
        <is>
          <t>의창구</t>
        </is>
      </c>
      <c r="AE152" s="0" t="inlineStr">
        <is>
          <t>동읍</t>
        </is>
      </c>
      <c r="AG152" s="0" t="inlineStr">
        <is>
          <t>경상남도 창원시 의창구 용정길46번길 49-1</t>
        </is>
      </c>
      <c r="AH152" s="0" t="n">
        <v>0</v>
      </c>
      <c r="AI152" s="0" t="n">
        <v>751</v>
      </c>
    </row>
    <row r="153">
      <c r="A153" s="0" t="inlineStr">
        <is>
          <t>[동읍]</t>
        </is>
      </c>
      <c r="B153" s="0" t="n">
        <v>16800</v>
      </c>
      <c r="C153" s="0" t="n">
        <v>3</v>
      </c>
      <c r="D153" s="0" t="inlineStr">
        <is>
          <t>성진3차</t>
        </is>
      </c>
      <c r="E153" s="0" t="inlineStr">
        <is>
          <t>1995.09.</t>
        </is>
      </c>
      <c r="F153" s="0" t="n">
        <v>165</v>
      </c>
      <c r="G153" s="0" t="n">
        <v>24.01</v>
      </c>
      <c r="H153" s="0" t="n">
        <v>79.38</v>
      </c>
      <c r="I153" s="0" t="n">
        <v>18.04</v>
      </c>
      <c r="J153" s="0" t="n">
        <v>59.66</v>
      </c>
      <c r="K153" s="0" t="n">
        <v>45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79</v>
      </c>
      <c r="X153" s="0" t="n">
        <v>15</v>
      </c>
      <c r="Y153" s="0" t="n">
        <v>15</v>
      </c>
      <c r="Z153" s="0" t="inlineStr">
        <is>
          <t>https://new.land.naver.com/complexes/16800?tab=detail&amp;rf=Y</t>
        </is>
      </c>
      <c r="AA153" s="0" t="inlineStr">
        <is>
          <t>경상남도 창원시 의창구 동읍 용정리 20-9</t>
        </is>
      </c>
      <c r="AB153" s="0" t="inlineStr">
        <is>
          <t>경상남도</t>
        </is>
      </c>
      <c r="AC153" s="0" t="inlineStr">
        <is>
          <t>창원시</t>
        </is>
      </c>
      <c r="AD153" s="0" t="inlineStr">
        <is>
          <t>의창구</t>
        </is>
      </c>
      <c r="AE153" s="0" t="inlineStr">
        <is>
          <t>동읍</t>
        </is>
      </c>
      <c r="AG153" s="0" t="inlineStr">
        <is>
          <t>경상남도 창원시 의창구 용정길46번길 49-1</t>
        </is>
      </c>
      <c r="AH153" s="0" t="n">
        <v>0</v>
      </c>
      <c r="AI153" s="0" t="n">
        <v>751</v>
      </c>
    </row>
    <row r="154">
      <c r="A154" s="0" t="inlineStr">
        <is>
          <t>[동읍]</t>
        </is>
      </c>
      <c r="B154" s="0" t="n">
        <v>16800</v>
      </c>
      <c r="C154" s="0" t="n">
        <v>4</v>
      </c>
      <c r="D154" s="0" t="inlineStr">
        <is>
          <t>성진3차</t>
        </is>
      </c>
      <c r="E154" s="0" t="inlineStr">
        <is>
          <t>1995.09.</t>
        </is>
      </c>
      <c r="F154" s="0" t="n">
        <v>165</v>
      </c>
      <c r="G154" s="0" t="n">
        <v>29.31</v>
      </c>
      <c r="H154" s="0" t="n">
        <v>96.91</v>
      </c>
      <c r="I154" s="0" t="n">
        <v>25.1</v>
      </c>
      <c r="J154" s="0" t="n">
        <v>82.98999999999999</v>
      </c>
      <c r="K154" s="0" t="n">
        <v>60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96</v>
      </c>
      <c r="X154" s="0" t="n">
        <v>15</v>
      </c>
      <c r="Y154" s="0" t="n">
        <v>15</v>
      </c>
      <c r="Z154" s="0" t="inlineStr">
        <is>
          <t>https://new.land.naver.com/complexes/16800?tab=detail&amp;rf=Y</t>
        </is>
      </c>
      <c r="AA154" s="0" t="inlineStr">
        <is>
          <t>경상남도 창원시 의창구 동읍 용정리 20-9</t>
        </is>
      </c>
      <c r="AB154" s="0" t="inlineStr">
        <is>
          <t>경상남도</t>
        </is>
      </c>
      <c r="AC154" s="0" t="inlineStr">
        <is>
          <t>창원시</t>
        </is>
      </c>
      <c r="AD154" s="0" t="inlineStr">
        <is>
          <t>의창구</t>
        </is>
      </c>
      <c r="AE154" s="0" t="inlineStr">
        <is>
          <t>동읍</t>
        </is>
      </c>
      <c r="AG154" s="0" t="inlineStr">
        <is>
          <t>경상남도 창원시 의창구 용정길46번길 49-1</t>
        </is>
      </c>
      <c r="AH154" s="0" t="n">
        <v>0</v>
      </c>
      <c r="AI154" s="0" t="n">
        <v>751</v>
      </c>
    </row>
    <row r="155">
      <c r="A155" s="0" t="inlineStr">
        <is>
          <t>[동읍]</t>
        </is>
      </c>
      <c r="B155" s="0" t="n">
        <v>15769</v>
      </c>
      <c r="C155" s="0" t="n">
        <v>1</v>
      </c>
      <c r="D155" s="0" t="inlineStr">
        <is>
          <t>성진까치빌라트5차</t>
        </is>
      </c>
      <c r="E155" s="0" t="inlineStr">
        <is>
          <t>1997.12.</t>
        </is>
      </c>
      <c r="F155" s="0" t="n">
        <v>180</v>
      </c>
      <c r="G155" s="0" t="n">
        <v>20.97</v>
      </c>
      <c r="H155" s="0" t="n">
        <v>69.33</v>
      </c>
      <c r="I155" s="0" t="n">
        <v>16.17</v>
      </c>
      <c r="J155" s="0" t="n">
        <v>53.46</v>
      </c>
      <c r="K155" s="0" t="n">
        <v>60</v>
      </c>
      <c r="T155" s="0" t="n">
        <v>2</v>
      </c>
      <c r="U155" s="0" t="n">
        <v>1</v>
      </c>
      <c r="V155" s="0" t="inlineStr">
        <is>
          <t>복도식</t>
        </is>
      </c>
      <c r="W155" s="0" t="inlineStr">
        <is>
          <t>69A</t>
        </is>
      </c>
      <c r="X155" s="0" t="n">
        <v>15</v>
      </c>
      <c r="Y155" s="0" t="n">
        <v>15</v>
      </c>
      <c r="Z155" s="0" t="inlineStr">
        <is>
          <t>https://new.land.naver.com/complexes/15769?tab=detail&amp;rf=Y</t>
        </is>
      </c>
      <c r="AA155" s="0" t="inlineStr">
        <is>
          <t>경상남도 창원시 의창구 동읍 용정리 20-13</t>
        </is>
      </c>
      <c r="AB155" s="0" t="inlineStr">
        <is>
          <t>경상남도</t>
        </is>
      </c>
      <c r="AC155" s="0" t="inlineStr">
        <is>
          <t>창원시</t>
        </is>
      </c>
      <c r="AD155" s="0" t="inlineStr">
        <is>
          <t>의창구</t>
        </is>
      </c>
      <c r="AE155" s="0" t="inlineStr">
        <is>
          <t>동읍</t>
        </is>
      </c>
      <c r="AG155" s="0" t="inlineStr">
        <is>
          <t>경상남도 창원시 의창구 용정길46번길 53</t>
        </is>
      </c>
      <c r="AH155" s="0" t="n">
        <v>0</v>
      </c>
      <c r="AI155" s="0" t="n">
        <v>0</v>
      </c>
    </row>
    <row r="156">
      <c r="A156" s="0" t="inlineStr">
        <is>
          <t>[동읍]</t>
        </is>
      </c>
      <c r="B156" s="0" t="n">
        <v>15769</v>
      </c>
      <c r="C156" s="0" t="n">
        <v>2</v>
      </c>
      <c r="D156" s="0" t="inlineStr">
        <is>
          <t>성진까치빌라트5차</t>
        </is>
      </c>
      <c r="E156" s="0" t="inlineStr">
        <is>
          <t>1997.12.</t>
        </is>
      </c>
      <c r="F156" s="0" t="n">
        <v>180</v>
      </c>
      <c r="G156" s="0" t="n">
        <v>20.97</v>
      </c>
      <c r="H156" s="0" t="n">
        <v>69.34999999999999</v>
      </c>
      <c r="I156" s="0" t="n">
        <v>17.31</v>
      </c>
      <c r="J156" s="0" t="n">
        <v>57.23</v>
      </c>
      <c r="K156" s="0" t="n">
        <v>30</v>
      </c>
      <c r="T156" s="0" t="n">
        <v>2</v>
      </c>
      <c r="U156" s="0" t="n">
        <v>1</v>
      </c>
      <c r="V156" s="0" t="inlineStr">
        <is>
          <t>계단식</t>
        </is>
      </c>
      <c r="W156" s="0" t="inlineStr">
        <is>
          <t>69B</t>
        </is>
      </c>
      <c r="X156" s="0" t="n">
        <v>15</v>
      </c>
      <c r="Y156" s="0" t="n">
        <v>15</v>
      </c>
      <c r="Z156" s="0" t="inlineStr">
        <is>
          <t>https://new.land.naver.com/complexes/15769?tab=detail&amp;rf=Y</t>
        </is>
      </c>
      <c r="AA156" s="0" t="inlineStr">
        <is>
          <t>경상남도 창원시 의창구 동읍 용정리 20-13</t>
        </is>
      </c>
      <c r="AB156" s="0" t="inlineStr">
        <is>
          <t>경상남도</t>
        </is>
      </c>
      <c r="AC156" s="0" t="inlineStr">
        <is>
          <t>창원시</t>
        </is>
      </c>
      <c r="AD156" s="0" t="inlineStr">
        <is>
          <t>의창구</t>
        </is>
      </c>
      <c r="AE156" s="0" t="inlineStr">
        <is>
          <t>동읍</t>
        </is>
      </c>
      <c r="AG156" s="0" t="inlineStr">
        <is>
          <t>경상남도 창원시 의창구 용정길46번길 53</t>
        </is>
      </c>
      <c r="AH156" s="0" t="n">
        <v>0</v>
      </c>
      <c r="AI156" s="0" t="n">
        <v>0</v>
      </c>
    </row>
    <row r="157">
      <c r="A157" s="0" t="inlineStr">
        <is>
          <t>[동읍]</t>
        </is>
      </c>
      <c r="B157" s="0" t="n">
        <v>15769</v>
      </c>
      <c r="C157" s="0" t="n">
        <v>3</v>
      </c>
      <c r="D157" s="0" t="inlineStr">
        <is>
          <t>성진까치빌라트5차</t>
        </is>
      </c>
      <c r="E157" s="0" t="inlineStr">
        <is>
          <t>1997.12.</t>
        </is>
      </c>
      <c r="F157" s="0" t="n">
        <v>180</v>
      </c>
      <c r="G157" s="0" t="n">
        <v>21.72</v>
      </c>
      <c r="H157" s="0" t="n">
        <v>71.81</v>
      </c>
      <c r="I157" s="0" t="n">
        <v>18.05</v>
      </c>
      <c r="J157" s="0" t="n">
        <v>59.69</v>
      </c>
      <c r="K157" s="0" t="n">
        <v>30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71</v>
      </c>
      <c r="X157" s="0" t="n">
        <v>15</v>
      </c>
      <c r="Y157" s="0" t="n">
        <v>15</v>
      </c>
      <c r="Z157" s="0" t="inlineStr">
        <is>
          <t>https://new.land.naver.com/complexes/15769?tab=detail&amp;rf=Y</t>
        </is>
      </c>
      <c r="AA157" s="0" t="inlineStr">
        <is>
          <t>경상남도 창원시 의창구 동읍 용정리 20-13</t>
        </is>
      </c>
      <c r="AB157" s="0" t="inlineStr">
        <is>
          <t>경상남도</t>
        </is>
      </c>
      <c r="AC157" s="0" t="inlineStr">
        <is>
          <t>창원시</t>
        </is>
      </c>
      <c r="AD157" s="0" t="inlineStr">
        <is>
          <t>의창구</t>
        </is>
      </c>
      <c r="AE157" s="0" t="inlineStr">
        <is>
          <t>동읍</t>
        </is>
      </c>
      <c r="AG157" s="0" t="inlineStr">
        <is>
          <t>경상남도 창원시 의창구 용정길46번길 53</t>
        </is>
      </c>
      <c r="AH157" s="0" t="n">
        <v>0</v>
      </c>
      <c r="AI157" s="0" t="n">
        <v>0</v>
      </c>
    </row>
    <row r="158">
      <c r="A158" s="0" t="inlineStr">
        <is>
          <t>[동읍]</t>
        </is>
      </c>
      <c r="B158" s="0" t="n">
        <v>15769</v>
      </c>
      <c r="C158" s="0" t="n">
        <v>4</v>
      </c>
      <c r="D158" s="0" t="inlineStr">
        <is>
          <t>성진까치빌라트5차</t>
        </is>
      </c>
      <c r="E158" s="0" t="inlineStr">
        <is>
          <t>1997.12.</t>
        </is>
      </c>
      <c r="F158" s="0" t="n">
        <v>180</v>
      </c>
      <c r="G158" s="0" t="n">
        <v>28.23</v>
      </c>
      <c r="H158" s="0" t="n">
        <v>93.34999999999999</v>
      </c>
      <c r="I158" s="0" t="n">
        <v>24.47</v>
      </c>
      <c r="J158" s="0" t="n">
        <v>80.91</v>
      </c>
      <c r="K158" s="0" t="n">
        <v>30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93</v>
      </c>
      <c r="X158" s="0" t="n">
        <v>15</v>
      </c>
      <c r="Y158" s="0" t="n">
        <v>15</v>
      </c>
      <c r="Z158" s="0" t="inlineStr">
        <is>
          <t>https://new.land.naver.com/complexes/15769?tab=detail&amp;rf=Y</t>
        </is>
      </c>
      <c r="AA158" s="0" t="inlineStr">
        <is>
          <t>경상남도 창원시 의창구 동읍 용정리 20-13</t>
        </is>
      </c>
      <c r="AB158" s="0" t="inlineStr">
        <is>
          <t>경상남도</t>
        </is>
      </c>
      <c r="AC158" s="0" t="inlineStr">
        <is>
          <t>창원시</t>
        </is>
      </c>
      <c r="AD158" s="0" t="inlineStr">
        <is>
          <t>의창구</t>
        </is>
      </c>
      <c r="AE158" s="0" t="inlineStr">
        <is>
          <t>동읍</t>
        </is>
      </c>
      <c r="AG158" s="0" t="inlineStr">
        <is>
          <t>경상남도 창원시 의창구 용정길46번길 53</t>
        </is>
      </c>
      <c r="AH158" s="0" t="n">
        <v>0</v>
      </c>
      <c r="AI158" s="0" t="n">
        <v>0</v>
      </c>
    </row>
    <row r="159">
      <c r="A159" s="0" t="inlineStr">
        <is>
          <t>[동읍]</t>
        </is>
      </c>
      <c r="B159" s="0" t="n">
        <v>15769</v>
      </c>
      <c r="C159" s="0" t="n">
        <v>5</v>
      </c>
      <c r="D159" s="0" t="inlineStr">
        <is>
          <t>성진까치빌라트5차</t>
        </is>
      </c>
      <c r="E159" s="0" t="inlineStr">
        <is>
          <t>1997.12.</t>
        </is>
      </c>
      <c r="F159" s="0" t="n">
        <v>180</v>
      </c>
      <c r="G159" s="0" t="n">
        <v>28.86</v>
      </c>
      <c r="H159" s="0" t="n">
        <v>95.42</v>
      </c>
      <c r="I159" s="0" t="n">
        <v>25.1</v>
      </c>
      <c r="J159" s="0" t="n">
        <v>82.98</v>
      </c>
      <c r="K159" s="0" t="n">
        <v>30</v>
      </c>
      <c r="T159" s="0" t="n">
        <v>3</v>
      </c>
      <c r="U159" s="0" t="n">
        <v>2</v>
      </c>
      <c r="V159" s="0" t="inlineStr">
        <is>
          <t>계단식</t>
        </is>
      </c>
      <c r="W159" s="0" t="n">
        <v>95</v>
      </c>
      <c r="X159" s="0" t="n">
        <v>15</v>
      </c>
      <c r="Y159" s="0" t="n">
        <v>15</v>
      </c>
      <c r="Z159" s="0" t="inlineStr">
        <is>
          <t>https://new.land.naver.com/complexes/15769?tab=detail&amp;rf=Y</t>
        </is>
      </c>
      <c r="AA159" s="0" t="inlineStr">
        <is>
          <t>경상남도 창원시 의창구 동읍 용정리 20-13</t>
        </is>
      </c>
      <c r="AB159" s="0" t="inlineStr">
        <is>
          <t>경상남도</t>
        </is>
      </c>
      <c r="AC159" s="0" t="inlineStr">
        <is>
          <t>창원시</t>
        </is>
      </c>
      <c r="AD159" s="0" t="inlineStr">
        <is>
          <t>의창구</t>
        </is>
      </c>
      <c r="AE159" s="0" t="inlineStr">
        <is>
          <t>동읍</t>
        </is>
      </c>
      <c r="AG159" s="0" t="inlineStr">
        <is>
          <t>경상남도 창원시 의창구 용정길46번길 53</t>
        </is>
      </c>
      <c r="AH159" s="0" t="n">
        <v>0</v>
      </c>
      <c r="AI159" s="0" t="n">
        <v>0</v>
      </c>
    </row>
    <row r="160">
      <c r="A160" s="0" t="inlineStr">
        <is>
          <t>[동읍]</t>
        </is>
      </c>
      <c r="B160" s="0" t="n">
        <v>15760</v>
      </c>
      <c r="C160" s="0" t="n">
        <v>1</v>
      </c>
      <c r="D160" s="0" t="inlineStr">
        <is>
          <t>동부산4차</t>
        </is>
      </c>
      <c r="E160" s="0" t="inlineStr">
        <is>
          <t>1999.06.</t>
        </is>
      </c>
      <c r="F160" s="0" t="n">
        <v>86</v>
      </c>
      <c r="G160" s="0" t="n">
        <v>29.12</v>
      </c>
      <c r="H160" s="0" t="n">
        <v>96.27</v>
      </c>
      <c r="I160" s="0" t="n">
        <v>21.68</v>
      </c>
      <c r="J160" s="0" t="n">
        <v>71.69</v>
      </c>
      <c r="K160" s="0" t="n">
        <v>26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96</v>
      </c>
      <c r="X160" s="0" t="n">
        <v>15</v>
      </c>
      <c r="Y160" s="0" t="n">
        <v>11</v>
      </c>
      <c r="Z160" s="0" t="inlineStr">
        <is>
          <t>https://new.land.naver.com/complexes/15760?tab=detail&amp;rf=Y</t>
        </is>
      </c>
      <c r="AA160" s="0" t="inlineStr">
        <is>
          <t>경상남도 창원시 의창구 동읍 송정리 23-8</t>
        </is>
      </c>
      <c r="AB160" s="0" t="inlineStr">
        <is>
          <t>경상남도</t>
        </is>
      </c>
      <c r="AC160" s="0" t="inlineStr">
        <is>
          <t>창원시</t>
        </is>
      </c>
      <c r="AD160" s="0" t="inlineStr">
        <is>
          <t>의창구</t>
        </is>
      </c>
      <c r="AE160" s="0" t="inlineStr">
        <is>
          <t>동읍</t>
        </is>
      </c>
      <c r="AG160" s="0" t="inlineStr">
        <is>
          <t>경상남도 창원시 의창구 자여로65번길 14</t>
        </is>
      </c>
      <c r="AH160" s="0" t="n">
        <v>0</v>
      </c>
      <c r="AI160" s="0" t="n">
        <v>242</v>
      </c>
    </row>
    <row r="161">
      <c r="A161" s="0" t="inlineStr">
        <is>
          <t>[동읍]</t>
        </is>
      </c>
      <c r="B161" s="0" t="n">
        <v>15760</v>
      </c>
      <c r="C161" s="0" t="n">
        <v>2</v>
      </c>
      <c r="D161" s="0" t="inlineStr">
        <is>
          <t>동부산4차</t>
        </is>
      </c>
      <c r="E161" s="0" t="inlineStr">
        <is>
          <t>1999.06.</t>
        </is>
      </c>
      <c r="F161" s="0" t="n">
        <v>86</v>
      </c>
      <c r="G161" s="0" t="n">
        <v>32.02</v>
      </c>
      <c r="H161" s="0" t="n">
        <v>105.88</v>
      </c>
      <c r="I161" s="0" t="n">
        <v>23.85</v>
      </c>
      <c r="J161" s="0" t="n">
        <v>78.84999999999999</v>
      </c>
      <c r="K161" s="0" t="n">
        <v>60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105</v>
      </c>
      <c r="X161" s="0" t="n">
        <v>15</v>
      </c>
      <c r="Y161" s="0" t="n">
        <v>11</v>
      </c>
      <c r="Z161" s="0" t="inlineStr">
        <is>
          <t>https://new.land.naver.com/complexes/15760?tab=detail&amp;rf=Y</t>
        </is>
      </c>
      <c r="AA161" s="0" t="inlineStr">
        <is>
          <t>경상남도 창원시 의창구 동읍 송정리 23-8</t>
        </is>
      </c>
      <c r="AB161" s="0" t="inlineStr">
        <is>
          <t>경상남도</t>
        </is>
      </c>
      <c r="AC161" s="0" t="inlineStr">
        <is>
          <t>창원시</t>
        </is>
      </c>
      <c r="AD161" s="0" t="inlineStr">
        <is>
          <t>의창구</t>
        </is>
      </c>
      <c r="AE161" s="0" t="inlineStr">
        <is>
          <t>동읍</t>
        </is>
      </c>
      <c r="AG161" s="0" t="inlineStr">
        <is>
          <t>경상남도 창원시 의창구 자여로65번길 14</t>
        </is>
      </c>
      <c r="AH161" s="0" t="n">
        <v>0</v>
      </c>
      <c r="AI161" s="0" t="n">
        <v>242</v>
      </c>
    </row>
    <row r="162">
      <c r="A162" s="0" t="inlineStr">
        <is>
          <t>[동읍]</t>
        </is>
      </c>
      <c r="B162" s="0" t="n">
        <v>120126</v>
      </c>
      <c r="C162" s="0" t="n">
        <v>1</v>
      </c>
      <c r="D162" s="0" t="inlineStr">
        <is>
          <t>창원한양립스더퍼스트</t>
        </is>
      </c>
      <c r="E162" s="0" t="inlineStr">
        <is>
          <t>2023.12.</t>
        </is>
      </c>
      <c r="F162" s="0" t="n">
        <v>515</v>
      </c>
      <c r="G162" s="0" t="n">
        <v>28.6</v>
      </c>
      <c r="H162" s="0" t="n">
        <v>94.55</v>
      </c>
      <c r="I162" s="0" t="n">
        <v>20.8</v>
      </c>
      <c r="J162" s="0" t="n">
        <v>68.77</v>
      </c>
      <c r="K162" s="0" t="n">
        <v>263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94</v>
      </c>
      <c r="X162" s="0" t="n">
        <v>28</v>
      </c>
      <c r="Y162" s="0" t="n">
        <v>18</v>
      </c>
      <c r="Z162" s="0" t="inlineStr">
        <is>
          <t>https://new.land.naver.com/complexes/120126?tab=detail&amp;rf=Y</t>
        </is>
      </c>
      <c r="AA162" s="0" t="inlineStr">
        <is>
          <t>경상남도 창원시 의창구 동읍 용잠리 374번지 일원</t>
        </is>
      </c>
      <c r="AB162" s="0" t="inlineStr">
        <is>
          <t>경상남도</t>
        </is>
      </c>
      <c r="AC162" s="0" t="inlineStr">
        <is>
          <t>창원시</t>
        </is>
      </c>
      <c r="AD162" s="0" t="inlineStr">
        <is>
          <t>의창구</t>
        </is>
      </c>
      <c r="AE162" s="0" t="inlineStr">
        <is>
          <t>동읍</t>
        </is>
      </c>
      <c r="AG162" s="0" t="inlineStr">
        <is>
          <t>경상남도 창원시 의창구</t>
        </is>
      </c>
      <c r="AH162" s="0" t="n">
        <v>0</v>
      </c>
      <c r="AI162" s="0" t="n">
        <v>0</v>
      </c>
    </row>
    <row r="163">
      <c r="A163" s="0" t="inlineStr">
        <is>
          <t>[동읍]</t>
        </is>
      </c>
      <c r="B163" s="0" t="n">
        <v>120126</v>
      </c>
      <c r="C163" s="0" t="n">
        <v>2</v>
      </c>
      <c r="D163" s="0" t="inlineStr">
        <is>
          <t>창원한양립스더퍼스트</t>
        </is>
      </c>
      <c r="E163" s="0" t="inlineStr">
        <is>
          <t>2023.12.</t>
        </is>
      </c>
      <c r="F163" s="0" t="n">
        <v>515</v>
      </c>
      <c r="G163" s="0" t="n">
        <v>29.93</v>
      </c>
      <c r="H163" s="0" t="n">
        <v>98.97</v>
      </c>
      <c r="I163" s="0" t="n">
        <v>21.44</v>
      </c>
      <c r="J163" s="0" t="n">
        <v>70.89</v>
      </c>
      <c r="K163" s="0" t="n">
        <v>146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98</v>
      </c>
      <c r="X163" s="0" t="n">
        <v>28</v>
      </c>
      <c r="Y163" s="0" t="n">
        <v>18</v>
      </c>
      <c r="Z163" s="0" t="inlineStr">
        <is>
          <t>https://new.land.naver.com/complexes/120126?tab=detail&amp;rf=Y</t>
        </is>
      </c>
      <c r="AA163" s="0" t="inlineStr">
        <is>
          <t>경상남도 창원시 의창구 동읍 용잠리 374번지 일원</t>
        </is>
      </c>
      <c r="AB163" s="0" t="inlineStr">
        <is>
          <t>경상남도</t>
        </is>
      </c>
      <c r="AC163" s="0" t="inlineStr">
        <is>
          <t>창원시</t>
        </is>
      </c>
      <c r="AD163" s="0" t="inlineStr">
        <is>
          <t>의창구</t>
        </is>
      </c>
      <c r="AE163" s="0" t="inlineStr">
        <is>
          <t>동읍</t>
        </is>
      </c>
      <c r="AG163" s="0" t="inlineStr">
        <is>
          <t>경상남도 창원시 의창구</t>
        </is>
      </c>
      <c r="AH163" s="0" t="n">
        <v>0</v>
      </c>
      <c r="AI163" s="0" t="n">
        <v>0</v>
      </c>
    </row>
    <row r="164">
      <c r="A164" s="0" t="inlineStr">
        <is>
          <t>[동읍]</t>
        </is>
      </c>
      <c r="B164" s="0" t="n">
        <v>120126</v>
      </c>
      <c r="C164" s="0" t="n">
        <v>3</v>
      </c>
      <c r="D164" s="0" t="inlineStr">
        <is>
          <t>창원한양립스더퍼스트</t>
        </is>
      </c>
      <c r="E164" s="0" t="inlineStr">
        <is>
          <t>2023.12.</t>
        </is>
      </c>
      <c r="F164" s="0" t="n">
        <v>515</v>
      </c>
      <c r="G164" s="0" t="n">
        <v>35.18</v>
      </c>
      <c r="H164" s="0" t="n">
        <v>116.31</v>
      </c>
      <c r="I164" s="0" t="n">
        <v>25.67</v>
      </c>
      <c r="J164" s="0" t="n">
        <v>84.89</v>
      </c>
      <c r="K164" s="0" t="n">
        <v>106</v>
      </c>
      <c r="T164" s="0" t="n">
        <v>4</v>
      </c>
      <c r="U164" s="0" t="n">
        <v>2</v>
      </c>
      <c r="V164" s="0" t="inlineStr">
        <is>
          <t>계단식</t>
        </is>
      </c>
      <c r="W164" s="0" t="n">
        <v>116</v>
      </c>
      <c r="X164" s="0" t="n">
        <v>28</v>
      </c>
      <c r="Y164" s="0" t="n">
        <v>18</v>
      </c>
      <c r="Z164" s="0" t="inlineStr">
        <is>
          <t>https://new.land.naver.com/complexes/120126?tab=detail&amp;rf=Y</t>
        </is>
      </c>
      <c r="AA164" s="0" t="inlineStr">
        <is>
          <t>경상남도 창원시 의창구 동읍 용잠리 374번지 일원</t>
        </is>
      </c>
      <c r="AB164" s="0" t="inlineStr">
        <is>
          <t>경상남도</t>
        </is>
      </c>
      <c r="AC164" s="0" t="inlineStr">
        <is>
          <t>창원시</t>
        </is>
      </c>
      <c r="AD164" s="0" t="inlineStr">
        <is>
          <t>의창구</t>
        </is>
      </c>
      <c r="AE164" s="0" t="inlineStr">
        <is>
          <t>동읍</t>
        </is>
      </c>
      <c r="AG164" s="0" t="inlineStr">
        <is>
          <t>경상남도 창원시 의창구</t>
        </is>
      </c>
      <c r="AH164" s="0" t="n">
        <v>0</v>
      </c>
      <c r="AI164" s="0" t="n">
        <v>0</v>
      </c>
    </row>
    <row r="165">
      <c r="A165" s="0" t="inlineStr">
        <is>
          <t>[동읍]</t>
        </is>
      </c>
      <c r="B165" s="0" t="n">
        <v>125058</v>
      </c>
      <c r="C165" s="0" t="n">
        <v>1</v>
      </c>
      <c r="D165" s="0" t="inlineStr">
        <is>
          <t>라푸름</t>
        </is>
      </c>
      <c r="E165" s="0" t="inlineStr">
        <is>
          <t>2017.10.</t>
        </is>
      </c>
      <c r="F165" s="0" t="n">
        <v>26</v>
      </c>
      <c r="G165" s="0" t="n">
        <v>26.96</v>
      </c>
      <c r="H165" s="0" t="n">
        <v>89.13</v>
      </c>
      <c r="I165" s="0" t="n">
        <v>20.52</v>
      </c>
      <c r="J165" s="0" t="n">
        <v>67.84999999999999</v>
      </c>
      <c r="K165" s="0" t="n">
        <v>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89</v>
      </c>
      <c r="X165" s="0" t="n">
        <v>15</v>
      </c>
      <c r="Y165" s="0" t="n">
        <v>15</v>
      </c>
      <c r="Z165" s="0" t="inlineStr">
        <is>
          <t>https://new.land.naver.com/complexes/125058?tab=detail&amp;rf=Y</t>
        </is>
      </c>
      <c r="AA165" s="0" t="inlineStr">
        <is>
          <t>경상남도 창원시 의창구 동읍 용잠리 1153-12</t>
        </is>
      </c>
      <c r="AB165" s="0" t="inlineStr">
        <is>
          <t>경상남도</t>
        </is>
      </c>
      <c r="AC165" s="0" t="inlineStr">
        <is>
          <t>창원시</t>
        </is>
      </c>
      <c r="AD165" s="0" t="inlineStr">
        <is>
          <t>의창구</t>
        </is>
      </c>
      <c r="AE165" s="0" t="inlineStr">
        <is>
          <t>동읍</t>
        </is>
      </c>
      <c r="AG165" s="0" t="inlineStr">
        <is>
          <t>경상남도 창원시 의창구 용잠로35번길 3</t>
        </is>
      </c>
      <c r="AH165" s="0" t="n">
        <v>0</v>
      </c>
      <c r="AI165" s="0" t="n">
        <v>357</v>
      </c>
    </row>
    <row r="166">
      <c r="A166" s="0" t="inlineStr">
        <is>
          <t>[동읍]</t>
        </is>
      </c>
      <c r="B166" s="0" t="n">
        <v>125058</v>
      </c>
      <c r="C166" s="0" t="n">
        <v>2</v>
      </c>
      <c r="D166" s="0" t="inlineStr">
        <is>
          <t>라푸름</t>
        </is>
      </c>
      <c r="E166" s="0" t="inlineStr">
        <is>
          <t>2017.10.</t>
        </is>
      </c>
      <c r="F166" s="0" t="n">
        <v>26</v>
      </c>
      <c r="G166" s="0" t="n">
        <v>28.59</v>
      </c>
      <c r="H166" s="0" t="n">
        <v>94.54000000000001</v>
      </c>
      <c r="I166" s="0" t="n">
        <v>21.75</v>
      </c>
      <c r="J166" s="0" t="n">
        <v>71.93000000000001</v>
      </c>
      <c r="K166" s="0" t="n">
        <v>11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94</v>
      </c>
      <c r="X166" s="0" t="n">
        <v>15</v>
      </c>
      <c r="Y166" s="0" t="n">
        <v>15</v>
      </c>
      <c r="Z166" s="0" t="inlineStr">
        <is>
          <t>https://new.land.naver.com/complexes/125058?tab=detail&amp;rf=Y</t>
        </is>
      </c>
      <c r="AA166" s="0" t="inlineStr">
        <is>
          <t>경상남도 창원시 의창구 동읍 용잠리 1153-12</t>
        </is>
      </c>
      <c r="AB166" s="0" t="inlineStr">
        <is>
          <t>경상남도</t>
        </is>
      </c>
      <c r="AC166" s="0" t="inlineStr">
        <is>
          <t>창원시</t>
        </is>
      </c>
      <c r="AD166" s="0" t="inlineStr">
        <is>
          <t>의창구</t>
        </is>
      </c>
      <c r="AE166" s="0" t="inlineStr">
        <is>
          <t>동읍</t>
        </is>
      </c>
      <c r="AG166" s="0" t="inlineStr">
        <is>
          <t>경상남도 창원시 의창구 용잠로35번길 3</t>
        </is>
      </c>
      <c r="AH166" s="0" t="n">
        <v>0</v>
      </c>
      <c r="AI166" s="0" t="n">
        <v>357</v>
      </c>
    </row>
    <row r="167">
      <c r="A167" s="0" t="inlineStr">
        <is>
          <t>[동읍]</t>
        </is>
      </c>
      <c r="B167" s="0" t="n">
        <v>125058</v>
      </c>
      <c r="C167" s="0" t="n">
        <v>3</v>
      </c>
      <c r="D167" s="0" t="inlineStr">
        <is>
          <t>라푸름</t>
        </is>
      </c>
      <c r="E167" s="0" t="inlineStr">
        <is>
          <t>2017.10.</t>
        </is>
      </c>
      <c r="F167" s="0" t="n">
        <v>26</v>
      </c>
      <c r="G167" s="0" t="n">
        <v>29.65</v>
      </c>
      <c r="H167" s="0" t="n">
        <v>98.03</v>
      </c>
      <c r="I167" s="0" t="n">
        <v>22.7</v>
      </c>
      <c r="J167" s="0" t="n">
        <v>75.06999999999999</v>
      </c>
      <c r="K167" s="0" t="n">
        <v>13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98</v>
      </c>
      <c r="X167" s="0" t="n">
        <v>15</v>
      </c>
      <c r="Y167" s="0" t="n">
        <v>15</v>
      </c>
      <c r="Z167" s="0" t="inlineStr">
        <is>
          <t>https://new.land.naver.com/complexes/125058?tab=detail&amp;rf=Y</t>
        </is>
      </c>
      <c r="AA167" s="0" t="inlineStr">
        <is>
          <t>경상남도 창원시 의창구 동읍 용잠리 1153-12</t>
        </is>
      </c>
      <c r="AB167" s="0" t="inlineStr">
        <is>
          <t>경상남도</t>
        </is>
      </c>
      <c r="AC167" s="0" t="inlineStr">
        <is>
          <t>창원시</t>
        </is>
      </c>
      <c r="AD167" s="0" t="inlineStr">
        <is>
          <t>의창구</t>
        </is>
      </c>
      <c r="AE167" s="0" t="inlineStr">
        <is>
          <t>동읍</t>
        </is>
      </c>
      <c r="AG167" s="0" t="inlineStr">
        <is>
          <t>경상남도 창원시 의창구 용잠로35번길 3</t>
        </is>
      </c>
      <c r="AH167" s="0" t="n">
        <v>0</v>
      </c>
      <c r="AI167" s="0" t="n">
        <v>357</v>
      </c>
    </row>
    <row r="168">
      <c r="A168" s="0" t="inlineStr">
        <is>
          <t>[동읍]</t>
        </is>
      </c>
      <c r="B168" s="0" t="n">
        <v>16798</v>
      </c>
      <c r="C168" s="0" t="n">
        <v>1</v>
      </c>
      <c r="D168" s="0" t="inlineStr">
        <is>
          <t>성진까치빌라트2차</t>
        </is>
      </c>
      <c r="E168" s="0" t="inlineStr">
        <is>
          <t>1993.12.</t>
        </is>
      </c>
      <c r="F168" s="0" t="n">
        <v>131</v>
      </c>
      <c r="G168" s="0" t="n">
        <v>26.13</v>
      </c>
      <c r="H168" s="0" t="n">
        <v>86.39</v>
      </c>
      <c r="I168" s="0" t="n">
        <v>17.55</v>
      </c>
      <c r="J168" s="0" t="n">
        <v>58.02</v>
      </c>
      <c r="K168" s="0" t="n">
        <v>75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86</v>
      </c>
      <c r="X168" s="0" t="n">
        <v>15</v>
      </c>
      <c r="Y168" s="0" t="n">
        <v>14</v>
      </c>
      <c r="Z168" s="0" t="inlineStr">
        <is>
          <t>https://new.land.naver.com/complexes/16798?tab=detail&amp;rf=Y</t>
        </is>
      </c>
      <c r="AA168" s="0" t="inlineStr">
        <is>
          <t>경상남도 창원시 의창구 동읍 용정리 20-3</t>
        </is>
      </c>
      <c r="AB168" s="0" t="inlineStr">
        <is>
          <t>경상남도</t>
        </is>
      </c>
      <c r="AC168" s="0" t="inlineStr">
        <is>
          <t>창원시</t>
        </is>
      </c>
      <c r="AD168" s="0" t="inlineStr">
        <is>
          <t>의창구</t>
        </is>
      </c>
      <c r="AE168" s="0" t="inlineStr">
        <is>
          <t>동읍</t>
        </is>
      </c>
      <c r="AG168" s="0" t="inlineStr">
        <is>
          <t>경상남도 창원시 의창구 용정길46번길 35</t>
        </is>
      </c>
      <c r="AH168" s="0" t="n">
        <v>0</v>
      </c>
      <c r="AI168" s="0" t="n">
        <v>387</v>
      </c>
    </row>
    <row r="169">
      <c r="A169" s="0" t="inlineStr">
        <is>
          <t>[동읍]</t>
        </is>
      </c>
      <c r="B169" s="0" t="n">
        <v>16798</v>
      </c>
      <c r="C169" s="0" t="n">
        <v>2</v>
      </c>
      <c r="D169" s="0" t="inlineStr">
        <is>
          <t>성진까치빌라트2차</t>
        </is>
      </c>
      <c r="E169" s="0" t="inlineStr">
        <is>
          <t>1993.12.</t>
        </is>
      </c>
      <c r="F169" s="0" t="n">
        <v>131</v>
      </c>
      <c r="G169" s="0" t="n">
        <v>33.7</v>
      </c>
      <c r="H169" s="0" t="n">
        <v>111.43</v>
      </c>
      <c r="I169" s="0" t="n">
        <v>24.61</v>
      </c>
      <c r="J169" s="0" t="n">
        <v>81.37</v>
      </c>
      <c r="K169" s="0" t="n">
        <v>56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111</v>
      </c>
      <c r="X169" s="0" t="n">
        <v>15</v>
      </c>
      <c r="Y169" s="0" t="n">
        <v>14</v>
      </c>
      <c r="Z169" s="0" t="inlineStr">
        <is>
          <t>https://new.land.naver.com/complexes/16798?tab=detail&amp;rf=Y</t>
        </is>
      </c>
      <c r="AA169" s="0" t="inlineStr">
        <is>
          <t>경상남도 창원시 의창구 동읍 용정리 20-3</t>
        </is>
      </c>
      <c r="AB169" s="0" t="inlineStr">
        <is>
          <t>경상남도</t>
        </is>
      </c>
      <c r="AC169" s="0" t="inlineStr">
        <is>
          <t>창원시</t>
        </is>
      </c>
      <c r="AD169" s="0" t="inlineStr">
        <is>
          <t>의창구</t>
        </is>
      </c>
      <c r="AE169" s="0" t="inlineStr">
        <is>
          <t>동읍</t>
        </is>
      </c>
      <c r="AG169" s="0" t="inlineStr">
        <is>
          <t>경상남도 창원시 의창구 용정길46번길 35</t>
        </is>
      </c>
      <c r="AH169" s="0" t="n">
        <v>0</v>
      </c>
      <c r="AI169" s="0" t="n">
        <v>387</v>
      </c>
    </row>
    <row r="170">
      <c r="A170" s="0" t="inlineStr">
        <is>
          <t>[동읍]</t>
        </is>
      </c>
      <c r="B170" s="0" t="n">
        <v>131043</v>
      </c>
      <c r="C170" s="0" t="n">
        <v>1</v>
      </c>
      <c r="D170" s="0" t="inlineStr">
        <is>
          <t>춘광상가맨션</t>
        </is>
      </c>
      <c r="E170" s="0" t="inlineStr">
        <is>
          <t>1993.08.</t>
        </is>
      </c>
      <c r="F170" s="0" t="n">
        <v>67</v>
      </c>
      <c r="G170" s="0" t="n">
        <v>21.28</v>
      </c>
      <c r="H170" s="0" t="n">
        <v>70.34999999999999</v>
      </c>
      <c r="I170" s="0" t="n">
        <v>17.82</v>
      </c>
      <c r="J170" s="0" t="n">
        <v>58.92</v>
      </c>
      <c r="K170" s="0" t="n">
        <v>25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70</v>
      </c>
      <c r="X170" s="0" t="n">
        <v>15</v>
      </c>
      <c r="Y170" s="0" t="n">
        <v>10</v>
      </c>
      <c r="Z170" s="0" t="inlineStr">
        <is>
          <t>https://new.land.naver.com/complexes/131043?tab=detail&amp;rf=Y</t>
        </is>
      </c>
      <c r="AA170" s="0" t="inlineStr">
        <is>
          <t>경상남도 창원시 의창구 동읍 용잠리 395</t>
        </is>
      </c>
      <c r="AB170" s="0" t="inlineStr">
        <is>
          <t>경상남도</t>
        </is>
      </c>
      <c r="AC170" s="0" t="inlineStr">
        <is>
          <t>창원시</t>
        </is>
      </c>
      <c r="AD170" s="0" t="inlineStr">
        <is>
          <t>의창구</t>
        </is>
      </c>
      <c r="AE170" s="0" t="inlineStr">
        <is>
          <t>동읍</t>
        </is>
      </c>
      <c r="AG170" s="0" t="inlineStr">
        <is>
          <t>경상남도 창원시 의창구 의창대로 881</t>
        </is>
      </c>
      <c r="AH170" s="0" t="n">
        <v>0</v>
      </c>
      <c r="AI170" s="0" t="n">
        <v>332</v>
      </c>
    </row>
    <row r="171">
      <c r="A171" s="0" t="inlineStr">
        <is>
          <t>[동읍]</t>
        </is>
      </c>
      <c r="B171" s="0" t="n">
        <v>131043</v>
      </c>
      <c r="C171" s="0" t="n">
        <v>2</v>
      </c>
      <c r="D171" s="0" t="inlineStr">
        <is>
          <t>춘광상가맨션</t>
        </is>
      </c>
      <c r="E171" s="0" t="inlineStr">
        <is>
          <t>1993.08.</t>
        </is>
      </c>
      <c r="F171" s="0" t="n">
        <v>67</v>
      </c>
      <c r="G171" s="0" t="n">
        <v>25.99</v>
      </c>
      <c r="H171" s="0" t="n">
        <v>85.93000000000001</v>
      </c>
      <c r="I171" s="0" t="n">
        <v>21.77</v>
      </c>
      <c r="J171" s="0" t="n">
        <v>71.97</v>
      </c>
      <c r="K171" s="0" t="n">
        <v>4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85</v>
      </c>
      <c r="X171" s="0" t="n">
        <v>15</v>
      </c>
      <c r="Y171" s="0" t="n">
        <v>10</v>
      </c>
      <c r="Z171" s="0" t="inlineStr">
        <is>
          <t>https://new.land.naver.com/complexes/131043?tab=detail&amp;rf=Y</t>
        </is>
      </c>
      <c r="AA171" s="0" t="inlineStr">
        <is>
          <t>경상남도 창원시 의창구 동읍 용잠리 395</t>
        </is>
      </c>
      <c r="AB171" s="0" t="inlineStr">
        <is>
          <t>경상남도</t>
        </is>
      </c>
      <c r="AC171" s="0" t="inlineStr">
        <is>
          <t>창원시</t>
        </is>
      </c>
      <c r="AD171" s="0" t="inlineStr">
        <is>
          <t>의창구</t>
        </is>
      </c>
      <c r="AE171" s="0" t="inlineStr">
        <is>
          <t>동읍</t>
        </is>
      </c>
      <c r="AG171" s="0" t="inlineStr">
        <is>
          <t>경상남도 창원시 의창구 의창대로 881</t>
        </is>
      </c>
      <c r="AH171" s="0" t="n">
        <v>0</v>
      </c>
      <c r="AI171" s="0" t="n">
        <v>332</v>
      </c>
    </row>
    <row r="172">
      <c r="A172" s="0" t="inlineStr">
        <is>
          <t>[동읍]</t>
        </is>
      </c>
      <c r="B172" s="0" t="n">
        <v>131043</v>
      </c>
      <c r="C172" s="0" t="n">
        <v>3</v>
      </c>
      <c r="D172" s="0" t="inlineStr">
        <is>
          <t>춘광상가맨션</t>
        </is>
      </c>
      <c r="E172" s="0" t="inlineStr">
        <is>
          <t>1993.08.</t>
        </is>
      </c>
      <c r="F172" s="0" t="n">
        <v>67</v>
      </c>
      <c r="G172" s="0" t="n">
        <v>27.42</v>
      </c>
      <c r="H172" s="0" t="n">
        <v>90.66</v>
      </c>
      <c r="I172" s="0" t="n">
        <v>23.99</v>
      </c>
      <c r="J172" s="0" t="n">
        <v>79.31999999999999</v>
      </c>
      <c r="K172" s="0" t="n">
        <v>14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90</v>
      </c>
      <c r="X172" s="0" t="n">
        <v>15</v>
      </c>
      <c r="Y172" s="0" t="n">
        <v>10</v>
      </c>
      <c r="Z172" s="0" t="inlineStr">
        <is>
          <t>https://new.land.naver.com/complexes/131043?tab=detail&amp;rf=Y</t>
        </is>
      </c>
      <c r="AA172" s="0" t="inlineStr">
        <is>
          <t>경상남도 창원시 의창구 동읍 용잠리 395</t>
        </is>
      </c>
      <c r="AB172" s="0" t="inlineStr">
        <is>
          <t>경상남도</t>
        </is>
      </c>
      <c r="AC172" s="0" t="inlineStr">
        <is>
          <t>창원시</t>
        </is>
      </c>
      <c r="AD172" s="0" t="inlineStr">
        <is>
          <t>의창구</t>
        </is>
      </c>
      <c r="AE172" s="0" t="inlineStr">
        <is>
          <t>동읍</t>
        </is>
      </c>
      <c r="AG172" s="0" t="inlineStr">
        <is>
          <t>경상남도 창원시 의창구 의창대로 881</t>
        </is>
      </c>
      <c r="AH172" s="0" t="n">
        <v>0</v>
      </c>
      <c r="AI172" s="0" t="n">
        <v>332</v>
      </c>
    </row>
    <row r="173">
      <c r="A173" s="0" t="inlineStr">
        <is>
          <t>[동읍]</t>
        </is>
      </c>
      <c r="B173" s="0" t="n">
        <v>131043</v>
      </c>
      <c r="C173" s="0" t="n">
        <v>4</v>
      </c>
      <c r="D173" s="0" t="inlineStr">
        <is>
          <t>춘광상가맨션</t>
        </is>
      </c>
      <c r="E173" s="0" t="inlineStr">
        <is>
          <t>1993.08.</t>
        </is>
      </c>
      <c r="F173" s="0" t="n">
        <v>67</v>
      </c>
      <c r="G173" s="0" t="n">
        <v>28.15</v>
      </c>
      <c r="H173" s="0" t="n">
        <v>93.09</v>
      </c>
      <c r="I173" s="0" t="n">
        <v>24.72</v>
      </c>
      <c r="J173" s="0" t="n">
        <v>81.75</v>
      </c>
      <c r="K173" s="0" t="n">
        <v>14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93</v>
      </c>
      <c r="X173" s="0" t="n">
        <v>15</v>
      </c>
      <c r="Y173" s="0" t="n">
        <v>10</v>
      </c>
      <c r="Z173" s="0" t="inlineStr">
        <is>
          <t>https://new.land.naver.com/complexes/131043?tab=detail&amp;rf=Y</t>
        </is>
      </c>
      <c r="AA173" s="0" t="inlineStr">
        <is>
          <t>경상남도 창원시 의창구 동읍 용잠리 395</t>
        </is>
      </c>
      <c r="AB173" s="0" t="inlineStr">
        <is>
          <t>경상남도</t>
        </is>
      </c>
      <c r="AC173" s="0" t="inlineStr">
        <is>
          <t>창원시</t>
        </is>
      </c>
      <c r="AD173" s="0" t="inlineStr">
        <is>
          <t>의창구</t>
        </is>
      </c>
      <c r="AE173" s="0" t="inlineStr">
        <is>
          <t>동읍</t>
        </is>
      </c>
      <c r="AG173" s="0" t="inlineStr">
        <is>
          <t>경상남도 창원시 의창구 의창대로 881</t>
        </is>
      </c>
      <c r="AH173" s="0" t="n">
        <v>0</v>
      </c>
      <c r="AI173" s="0" t="n">
        <v>332</v>
      </c>
    </row>
    <row r="174">
      <c r="A174" s="0" t="inlineStr">
        <is>
          <t>[동읍]</t>
        </is>
      </c>
      <c r="B174" s="0" t="n">
        <v>131043</v>
      </c>
      <c r="C174" s="0" t="n">
        <v>5</v>
      </c>
      <c r="D174" s="0" t="inlineStr">
        <is>
          <t>춘광상가맨션</t>
        </is>
      </c>
      <c r="E174" s="0" t="inlineStr">
        <is>
          <t>1993.08.</t>
        </is>
      </c>
      <c r="F174" s="0" t="n">
        <v>67</v>
      </c>
      <c r="G174" s="0" t="n">
        <v>38.41</v>
      </c>
      <c r="H174" s="0" t="n">
        <v>126.98</v>
      </c>
      <c r="I174" s="0" t="n">
        <v>32.17</v>
      </c>
      <c r="J174" s="0" t="n">
        <v>106.35</v>
      </c>
      <c r="K174" s="0" t="n">
        <v>10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126</v>
      </c>
      <c r="X174" s="0" t="n">
        <v>15</v>
      </c>
      <c r="Y174" s="0" t="n">
        <v>10</v>
      </c>
      <c r="Z174" s="0" t="inlineStr">
        <is>
          <t>https://new.land.naver.com/complexes/131043?tab=detail&amp;rf=Y</t>
        </is>
      </c>
      <c r="AA174" s="0" t="inlineStr">
        <is>
          <t>경상남도 창원시 의창구 동읍 용잠리 395</t>
        </is>
      </c>
      <c r="AB174" s="0" t="inlineStr">
        <is>
          <t>경상남도</t>
        </is>
      </c>
      <c r="AC174" s="0" t="inlineStr">
        <is>
          <t>창원시</t>
        </is>
      </c>
      <c r="AD174" s="0" t="inlineStr">
        <is>
          <t>의창구</t>
        </is>
      </c>
      <c r="AE174" s="0" t="inlineStr">
        <is>
          <t>동읍</t>
        </is>
      </c>
      <c r="AG174" s="0" t="inlineStr">
        <is>
          <t>경상남도 창원시 의창구 의창대로 881</t>
        </is>
      </c>
      <c r="AH174" s="0" t="n">
        <v>0</v>
      </c>
      <c r="AI174" s="0" t="n">
        <v>332</v>
      </c>
    </row>
    <row r="175">
      <c r="A175" s="0" t="inlineStr">
        <is>
          <t>[동읍]</t>
        </is>
      </c>
      <c r="B175" s="0" t="n">
        <v>136962</v>
      </c>
      <c r="C175" s="0" t="n">
        <v>1</v>
      </c>
      <c r="D175" s="0" t="inlineStr">
        <is>
          <t>춘광파크맨션2차</t>
        </is>
      </c>
      <c r="E175" s="0" t="inlineStr">
        <is>
          <t>1991.11.</t>
        </is>
      </c>
      <c r="F175" s="0" t="n">
        <v>70</v>
      </c>
      <c r="G175" s="0" t="n">
        <v>16.9</v>
      </c>
      <c r="H175" s="0" t="n">
        <v>55.9</v>
      </c>
      <c r="I175" s="0" t="n">
        <v>15.05</v>
      </c>
      <c r="J175" s="0" t="n">
        <v>49.77</v>
      </c>
      <c r="K175" s="0" t="n">
        <v>4</v>
      </c>
      <c r="T175" s="0" t="n">
        <v>2</v>
      </c>
      <c r="U175" s="0" t="n">
        <v>1</v>
      </c>
      <c r="V175" s="0" t="inlineStr">
        <is>
          <t>계단식</t>
        </is>
      </c>
      <c r="W175" s="0" t="inlineStr">
        <is>
          <t>55A</t>
        </is>
      </c>
      <c r="X175" s="0" t="n">
        <v>6</v>
      </c>
      <c r="Y175" s="0" t="n">
        <v>3</v>
      </c>
      <c r="Z175" s="0" t="inlineStr">
        <is>
          <t>https://new.land.naver.com/complexes/136962?tab=detail&amp;rf=Y</t>
        </is>
      </c>
      <c r="AA175" s="0" t="inlineStr">
        <is>
          <t>경상남도 창원시 의창구 동읍 용잠리 233-9</t>
        </is>
      </c>
      <c r="AB175" s="0" t="inlineStr">
        <is>
          <t>경상남도</t>
        </is>
      </c>
      <c r="AC175" s="0" t="inlineStr">
        <is>
          <t>창원시</t>
        </is>
      </c>
      <c r="AD175" s="0" t="inlineStr">
        <is>
          <t>의창구</t>
        </is>
      </c>
      <c r="AE175" s="0" t="inlineStr">
        <is>
          <t>동읍</t>
        </is>
      </c>
      <c r="AG175" s="0" t="inlineStr">
        <is>
          <t>경상남도 창원시 의창구 용잠로41번길 17-7</t>
        </is>
      </c>
      <c r="AH175" s="0" t="n">
        <v>0</v>
      </c>
      <c r="AI175" s="0" t="n">
        <v>0</v>
      </c>
    </row>
    <row r="176">
      <c r="A176" s="0" t="inlineStr">
        <is>
          <t>[동읍]</t>
        </is>
      </c>
      <c r="B176" s="0" t="n">
        <v>136962</v>
      </c>
      <c r="C176" s="0" t="n">
        <v>2</v>
      </c>
      <c r="D176" s="0" t="inlineStr">
        <is>
          <t>춘광파크맨션2차</t>
        </is>
      </c>
      <c r="E176" s="0" t="inlineStr">
        <is>
          <t>1991.11.</t>
        </is>
      </c>
      <c r="F176" s="0" t="n">
        <v>70</v>
      </c>
      <c r="G176" s="0" t="n">
        <v>17.36</v>
      </c>
      <c r="H176" s="0" t="n">
        <v>57.42</v>
      </c>
      <c r="I176" s="0" t="n">
        <v>15.26</v>
      </c>
      <c r="J176" s="0" t="n">
        <v>50.46</v>
      </c>
      <c r="K176" s="0" t="n">
        <v>2</v>
      </c>
      <c r="T176" s="0" t="n">
        <v>2</v>
      </c>
      <c r="U176" s="0" t="n">
        <v>1</v>
      </c>
      <c r="V176" s="0" t="inlineStr">
        <is>
          <t>계단식</t>
        </is>
      </c>
      <c r="W176" s="0" t="inlineStr">
        <is>
          <t>57B</t>
        </is>
      </c>
      <c r="X176" s="0" t="n">
        <v>6</v>
      </c>
      <c r="Y176" s="0" t="n">
        <v>3</v>
      </c>
      <c r="Z176" s="0" t="inlineStr">
        <is>
          <t>https://new.land.naver.com/complexes/136962?tab=detail&amp;rf=Y</t>
        </is>
      </c>
      <c r="AA176" s="0" t="inlineStr">
        <is>
          <t>경상남도 창원시 의창구 동읍 용잠리 233-9</t>
        </is>
      </c>
      <c r="AB176" s="0" t="inlineStr">
        <is>
          <t>경상남도</t>
        </is>
      </c>
      <c r="AC176" s="0" t="inlineStr">
        <is>
          <t>창원시</t>
        </is>
      </c>
      <c r="AD176" s="0" t="inlineStr">
        <is>
          <t>의창구</t>
        </is>
      </c>
      <c r="AE176" s="0" t="inlineStr">
        <is>
          <t>동읍</t>
        </is>
      </c>
      <c r="AG176" s="0" t="inlineStr">
        <is>
          <t>경상남도 창원시 의창구 용잠로41번길 17-7</t>
        </is>
      </c>
      <c r="AH176" s="0" t="n">
        <v>0</v>
      </c>
      <c r="AI176" s="0" t="n">
        <v>0</v>
      </c>
    </row>
    <row r="177">
      <c r="A177" s="0" t="inlineStr">
        <is>
          <t>[동읍]</t>
        </is>
      </c>
      <c r="B177" s="0" t="n">
        <v>136962</v>
      </c>
      <c r="C177" s="0" t="n">
        <v>3</v>
      </c>
      <c r="D177" s="0" t="inlineStr">
        <is>
          <t>춘광파크맨션2차</t>
        </is>
      </c>
      <c r="E177" s="0" t="inlineStr">
        <is>
          <t>1991.11.</t>
        </is>
      </c>
      <c r="F177" s="0" t="n">
        <v>70</v>
      </c>
      <c r="G177" s="0" t="n">
        <v>17.58</v>
      </c>
      <c r="H177" s="0" t="n">
        <v>58.14</v>
      </c>
      <c r="I177" s="0" t="n">
        <v>15.48</v>
      </c>
      <c r="J177" s="0" t="n">
        <v>51.18</v>
      </c>
      <c r="K177" s="0" t="n">
        <v>2</v>
      </c>
      <c r="T177" s="0" t="n">
        <v>2</v>
      </c>
      <c r="U177" s="0" t="n">
        <v>1</v>
      </c>
      <c r="V177" s="0" t="inlineStr">
        <is>
          <t>계단식</t>
        </is>
      </c>
      <c r="W177" s="0" t="inlineStr">
        <is>
          <t>58B</t>
        </is>
      </c>
      <c r="X177" s="0" t="n">
        <v>6</v>
      </c>
      <c r="Y177" s="0" t="n">
        <v>3</v>
      </c>
      <c r="Z177" s="0" t="inlineStr">
        <is>
          <t>https://new.land.naver.com/complexes/136962?tab=detail&amp;rf=Y</t>
        </is>
      </c>
      <c r="AA177" s="0" t="inlineStr">
        <is>
          <t>경상남도 창원시 의창구 동읍 용잠리 233-9</t>
        </is>
      </c>
      <c r="AB177" s="0" t="inlineStr">
        <is>
          <t>경상남도</t>
        </is>
      </c>
      <c r="AC177" s="0" t="inlineStr">
        <is>
          <t>창원시</t>
        </is>
      </c>
      <c r="AD177" s="0" t="inlineStr">
        <is>
          <t>의창구</t>
        </is>
      </c>
      <c r="AE177" s="0" t="inlineStr">
        <is>
          <t>동읍</t>
        </is>
      </c>
      <c r="AG177" s="0" t="inlineStr">
        <is>
          <t>경상남도 창원시 의창구 용잠로41번길 17-7</t>
        </is>
      </c>
      <c r="AH177" s="0" t="n">
        <v>0</v>
      </c>
      <c r="AI177" s="0" t="n">
        <v>0</v>
      </c>
    </row>
    <row r="178">
      <c r="A178" s="0" t="inlineStr">
        <is>
          <t>[동읍]</t>
        </is>
      </c>
      <c r="B178" s="0" t="n">
        <v>136962</v>
      </c>
      <c r="C178" s="0" t="n">
        <v>4</v>
      </c>
      <c r="D178" s="0" t="inlineStr">
        <is>
          <t>춘광파크맨션2차</t>
        </is>
      </c>
      <c r="E178" s="0" t="inlineStr">
        <is>
          <t>1991.11.</t>
        </is>
      </c>
      <c r="F178" s="0" t="n">
        <v>70</v>
      </c>
      <c r="G178" s="0" t="n">
        <v>18.14</v>
      </c>
      <c r="H178" s="0" t="n">
        <v>59.97</v>
      </c>
      <c r="I178" s="0" t="n">
        <v>16.03</v>
      </c>
      <c r="J178" s="0" t="n">
        <v>53.01</v>
      </c>
      <c r="K178" s="0" t="n">
        <v>2</v>
      </c>
      <c r="T178" s="0" t="n">
        <v>3</v>
      </c>
      <c r="U178" s="0" t="n">
        <v>1</v>
      </c>
      <c r="V178" s="0" t="inlineStr">
        <is>
          <t>계단식</t>
        </is>
      </c>
      <c r="W178" s="0" t="inlineStr">
        <is>
          <t>59D</t>
        </is>
      </c>
      <c r="X178" s="0" t="n">
        <v>6</v>
      </c>
      <c r="Y178" s="0" t="n">
        <v>3</v>
      </c>
      <c r="Z178" s="0" t="inlineStr">
        <is>
          <t>https://new.land.naver.com/complexes/136962?tab=detail&amp;rf=Y</t>
        </is>
      </c>
      <c r="AA178" s="0" t="inlineStr">
        <is>
          <t>경상남도 창원시 의창구 동읍 용잠리 233-9</t>
        </is>
      </c>
      <c r="AB178" s="0" t="inlineStr">
        <is>
          <t>경상남도</t>
        </is>
      </c>
      <c r="AC178" s="0" t="inlineStr">
        <is>
          <t>창원시</t>
        </is>
      </c>
      <c r="AD178" s="0" t="inlineStr">
        <is>
          <t>의창구</t>
        </is>
      </c>
      <c r="AE178" s="0" t="inlineStr">
        <is>
          <t>동읍</t>
        </is>
      </c>
      <c r="AG178" s="0" t="inlineStr">
        <is>
          <t>경상남도 창원시 의창구 용잠로41번길 17-7</t>
        </is>
      </c>
      <c r="AH178" s="0" t="n">
        <v>0</v>
      </c>
      <c r="AI178" s="0" t="n">
        <v>0</v>
      </c>
    </row>
    <row r="179">
      <c r="A179" s="0" t="inlineStr">
        <is>
          <t>[동읍]</t>
        </is>
      </c>
      <c r="B179" s="0" t="n">
        <v>136962</v>
      </c>
      <c r="C179" s="0" t="n">
        <v>5</v>
      </c>
      <c r="D179" s="0" t="inlineStr">
        <is>
          <t>춘광파크맨션2차</t>
        </is>
      </c>
      <c r="E179" s="0" t="inlineStr">
        <is>
          <t>1991.11.</t>
        </is>
      </c>
      <c r="F179" s="0" t="n">
        <v>70</v>
      </c>
      <c r="G179" s="0" t="n">
        <v>17.95</v>
      </c>
      <c r="H179" s="0" t="n">
        <v>59.37</v>
      </c>
      <c r="I179" s="0" t="n">
        <v>15.48</v>
      </c>
      <c r="J179" s="0" t="n">
        <v>51.18</v>
      </c>
      <c r="K179" s="0" t="n">
        <v>1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59C</t>
        </is>
      </c>
      <c r="X179" s="0" t="n">
        <v>6</v>
      </c>
      <c r="Y179" s="0" t="n">
        <v>3</v>
      </c>
      <c r="Z179" s="0" t="inlineStr">
        <is>
          <t>https://new.land.naver.com/complexes/136962?tab=detail&amp;rf=Y</t>
        </is>
      </c>
      <c r="AA179" s="0" t="inlineStr">
        <is>
          <t>경상남도 창원시 의창구 동읍 용잠리 233-9</t>
        </is>
      </c>
      <c r="AB179" s="0" t="inlineStr">
        <is>
          <t>경상남도</t>
        </is>
      </c>
      <c r="AC179" s="0" t="inlineStr">
        <is>
          <t>창원시</t>
        </is>
      </c>
      <c r="AD179" s="0" t="inlineStr">
        <is>
          <t>의창구</t>
        </is>
      </c>
      <c r="AE179" s="0" t="inlineStr">
        <is>
          <t>동읍</t>
        </is>
      </c>
      <c r="AG179" s="0" t="inlineStr">
        <is>
          <t>경상남도 창원시 의창구 용잠로41번길 17-7</t>
        </is>
      </c>
      <c r="AH179" s="0" t="n">
        <v>0</v>
      </c>
      <c r="AI179" s="0" t="n">
        <v>0</v>
      </c>
    </row>
    <row r="180">
      <c r="A180" s="0" t="inlineStr">
        <is>
          <t>[동읍]</t>
        </is>
      </c>
      <c r="B180" s="0" t="n">
        <v>136962</v>
      </c>
      <c r="C180" s="0" t="n">
        <v>6</v>
      </c>
      <c r="D180" s="0" t="inlineStr">
        <is>
          <t>춘광파크맨션2차</t>
        </is>
      </c>
      <c r="E180" s="0" t="inlineStr">
        <is>
          <t>1991.11.</t>
        </is>
      </c>
      <c r="F180" s="0" t="n">
        <v>70</v>
      </c>
      <c r="G180" s="0" t="n">
        <v>18.42</v>
      </c>
      <c r="H180" s="0" t="n">
        <v>60.9</v>
      </c>
      <c r="I180" s="0" t="n">
        <v>15.26</v>
      </c>
      <c r="J180" s="0" t="n">
        <v>50.46</v>
      </c>
      <c r="K180" s="0" t="n">
        <v>1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60A</t>
        </is>
      </c>
      <c r="X180" s="0" t="n">
        <v>6</v>
      </c>
      <c r="Y180" s="0" t="n">
        <v>3</v>
      </c>
      <c r="Z180" s="0" t="inlineStr">
        <is>
          <t>https://new.land.naver.com/complexes/136962?tab=detail&amp;rf=Y</t>
        </is>
      </c>
      <c r="AA180" s="0" t="inlineStr">
        <is>
          <t>경상남도 창원시 의창구 동읍 용잠리 233-9</t>
        </is>
      </c>
      <c r="AB180" s="0" t="inlineStr">
        <is>
          <t>경상남도</t>
        </is>
      </c>
      <c r="AC180" s="0" t="inlineStr">
        <is>
          <t>창원시</t>
        </is>
      </c>
      <c r="AD180" s="0" t="inlineStr">
        <is>
          <t>의창구</t>
        </is>
      </c>
      <c r="AE180" s="0" t="inlineStr">
        <is>
          <t>동읍</t>
        </is>
      </c>
      <c r="AG180" s="0" t="inlineStr">
        <is>
          <t>경상남도 창원시 의창구 용잠로41번길 17-7</t>
        </is>
      </c>
      <c r="AH180" s="0" t="n">
        <v>0</v>
      </c>
      <c r="AI180" s="0" t="n">
        <v>0</v>
      </c>
    </row>
    <row r="181">
      <c r="A181" s="0" t="inlineStr">
        <is>
          <t>[동읍]</t>
        </is>
      </c>
      <c r="B181" s="0" t="n">
        <v>136962</v>
      </c>
      <c r="C181" s="0" t="n">
        <v>7</v>
      </c>
      <c r="D181" s="0" t="inlineStr">
        <is>
          <t>춘광파크맨션2차</t>
        </is>
      </c>
      <c r="E181" s="0" t="inlineStr">
        <is>
          <t>1991.11.</t>
        </is>
      </c>
      <c r="F181" s="0" t="n">
        <v>70</v>
      </c>
      <c r="G181" s="0" t="n">
        <v>19.07</v>
      </c>
      <c r="H181" s="0" t="n">
        <v>63.07</v>
      </c>
      <c r="I181" s="0" t="n">
        <v>16.98</v>
      </c>
      <c r="J181" s="0" t="n">
        <v>56.16</v>
      </c>
      <c r="K181" s="0" t="n">
        <v>4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63C</t>
        </is>
      </c>
      <c r="X181" s="0" t="n">
        <v>6</v>
      </c>
      <c r="Y181" s="0" t="n">
        <v>3</v>
      </c>
      <c r="Z181" s="0" t="inlineStr">
        <is>
          <t>https://new.land.naver.com/complexes/136962?tab=detail&amp;rf=Y</t>
        </is>
      </c>
      <c r="AA181" s="0" t="inlineStr">
        <is>
          <t>경상남도 창원시 의창구 동읍 용잠리 233-9</t>
        </is>
      </c>
      <c r="AB181" s="0" t="inlineStr">
        <is>
          <t>경상남도</t>
        </is>
      </c>
      <c r="AC181" s="0" t="inlineStr">
        <is>
          <t>창원시</t>
        </is>
      </c>
      <c r="AD181" s="0" t="inlineStr">
        <is>
          <t>의창구</t>
        </is>
      </c>
      <c r="AE181" s="0" t="inlineStr">
        <is>
          <t>동읍</t>
        </is>
      </c>
      <c r="AG181" s="0" t="inlineStr">
        <is>
          <t>경상남도 창원시 의창구 용잠로41번길 17-7</t>
        </is>
      </c>
      <c r="AH181" s="0" t="n">
        <v>0</v>
      </c>
      <c r="AI181" s="0" t="n">
        <v>0</v>
      </c>
    </row>
    <row r="182">
      <c r="A182" s="0" t="inlineStr">
        <is>
          <t>[동읍]</t>
        </is>
      </c>
      <c r="B182" s="0" t="n">
        <v>136962</v>
      </c>
      <c r="C182" s="0" t="n">
        <v>8</v>
      </c>
      <c r="D182" s="0" t="inlineStr">
        <is>
          <t>춘광파크맨션2차</t>
        </is>
      </c>
      <c r="E182" s="0" t="inlineStr">
        <is>
          <t>1991.11.</t>
        </is>
      </c>
      <c r="F182" s="0" t="n">
        <v>70</v>
      </c>
      <c r="G182" s="0" t="n">
        <v>19.19</v>
      </c>
      <c r="H182" s="0" t="n">
        <v>63.45</v>
      </c>
      <c r="I182" s="0" t="n">
        <v>16.03</v>
      </c>
      <c r="J182" s="0" t="n">
        <v>53.01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63A</t>
        </is>
      </c>
      <c r="X182" s="0" t="n">
        <v>6</v>
      </c>
      <c r="Y182" s="0" t="n">
        <v>3</v>
      </c>
      <c r="Z182" s="0" t="inlineStr">
        <is>
          <t>https://new.land.naver.com/complexes/136962?tab=detail&amp;rf=Y</t>
        </is>
      </c>
      <c r="AA182" s="0" t="inlineStr">
        <is>
          <t>경상남도 창원시 의창구 동읍 용잠리 233-9</t>
        </is>
      </c>
      <c r="AB182" s="0" t="inlineStr">
        <is>
          <t>경상남도</t>
        </is>
      </c>
      <c r="AC182" s="0" t="inlineStr">
        <is>
          <t>창원시</t>
        </is>
      </c>
      <c r="AD182" s="0" t="inlineStr">
        <is>
          <t>의창구</t>
        </is>
      </c>
      <c r="AE182" s="0" t="inlineStr">
        <is>
          <t>동읍</t>
        </is>
      </c>
      <c r="AG182" s="0" t="inlineStr">
        <is>
          <t>경상남도 창원시 의창구 용잠로41번길 17-7</t>
        </is>
      </c>
      <c r="AH182" s="0" t="n">
        <v>0</v>
      </c>
      <c r="AI182" s="0" t="n">
        <v>0</v>
      </c>
    </row>
    <row r="183">
      <c r="A183" s="0" t="inlineStr">
        <is>
          <t>[동읍]</t>
        </is>
      </c>
      <c r="B183" s="0" t="n">
        <v>136962</v>
      </c>
      <c r="C183" s="0" t="n">
        <v>9</v>
      </c>
      <c r="D183" s="0" t="inlineStr">
        <is>
          <t>춘광파크맨션2차</t>
        </is>
      </c>
      <c r="E183" s="0" t="inlineStr">
        <is>
          <t>1991.11.</t>
        </is>
      </c>
      <c r="F183" s="0" t="n">
        <v>70</v>
      </c>
      <c r="G183" s="0" t="n">
        <v>19.1</v>
      </c>
      <c r="H183" s="0" t="n">
        <v>63.15</v>
      </c>
      <c r="I183" s="0" t="n">
        <v>16.62</v>
      </c>
      <c r="J183" s="0" t="n">
        <v>54.96</v>
      </c>
      <c r="K183" s="0" t="n">
        <v>1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63B</t>
        </is>
      </c>
      <c r="X183" s="0" t="n">
        <v>6</v>
      </c>
      <c r="Y183" s="0" t="n">
        <v>3</v>
      </c>
      <c r="Z183" s="0" t="inlineStr">
        <is>
          <t>https://new.land.naver.com/complexes/136962?tab=detail&amp;rf=Y</t>
        </is>
      </c>
      <c r="AA183" s="0" t="inlineStr">
        <is>
          <t>경상남도 창원시 의창구 동읍 용잠리 233-9</t>
        </is>
      </c>
      <c r="AB183" s="0" t="inlineStr">
        <is>
          <t>경상남도</t>
        </is>
      </c>
      <c r="AC183" s="0" t="inlineStr">
        <is>
          <t>창원시</t>
        </is>
      </c>
      <c r="AD183" s="0" t="inlineStr">
        <is>
          <t>의창구</t>
        </is>
      </c>
      <c r="AE183" s="0" t="inlineStr">
        <is>
          <t>동읍</t>
        </is>
      </c>
      <c r="AG183" s="0" t="inlineStr">
        <is>
          <t>경상남도 창원시 의창구 용잠로41번길 17-7</t>
        </is>
      </c>
      <c r="AH183" s="0" t="n">
        <v>0</v>
      </c>
      <c r="AI183" s="0" t="n">
        <v>0</v>
      </c>
    </row>
    <row r="184">
      <c r="A184" s="0" t="inlineStr">
        <is>
          <t>[동읍]</t>
        </is>
      </c>
      <c r="B184" s="0" t="n">
        <v>136962</v>
      </c>
      <c r="C184" s="0" t="n">
        <v>10</v>
      </c>
      <c r="D184" s="0" t="inlineStr">
        <is>
          <t>춘광파크맨션2차</t>
        </is>
      </c>
      <c r="E184" s="0" t="inlineStr">
        <is>
          <t>1991.11.</t>
        </is>
      </c>
      <c r="F184" s="0" t="n">
        <v>70</v>
      </c>
      <c r="G184" s="0" t="n">
        <v>23.78</v>
      </c>
      <c r="H184" s="0" t="n">
        <v>78.62</v>
      </c>
      <c r="I184" s="0" t="n">
        <v>18.67</v>
      </c>
      <c r="J184" s="0" t="n">
        <v>61.73</v>
      </c>
      <c r="K184" s="0" t="n">
        <v>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78B</t>
        </is>
      </c>
      <c r="X184" s="0" t="n">
        <v>6</v>
      </c>
      <c r="Y184" s="0" t="n">
        <v>3</v>
      </c>
      <c r="Z184" s="0" t="inlineStr">
        <is>
          <t>https://new.land.naver.com/complexes/136962?tab=detail&amp;rf=Y</t>
        </is>
      </c>
      <c r="AA184" s="0" t="inlineStr">
        <is>
          <t>경상남도 창원시 의창구 동읍 용잠리 233-9</t>
        </is>
      </c>
      <c r="AB184" s="0" t="inlineStr">
        <is>
          <t>경상남도</t>
        </is>
      </c>
      <c r="AC184" s="0" t="inlineStr">
        <is>
          <t>창원시</t>
        </is>
      </c>
      <c r="AD184" s="0" t="inlineStr">
        <is>
          <t>의창구</t>
        </is>
      </c>
      <c r="AE184" s="0" t="inlineStr">
        <is>
          <t>동읍</t>
        </is>
      </c>
      <c r="AG184" s="0" t="inlineStr">
        <is>
          <t>경상남도 창원시 의창구 용잠로41번길 17-7</t>
        </is>
      </c>
      <c r="AH184" s="0" t="n">
        <v>0</v>
      </c>
      <c r="AI184" s="0" t="n">
        <v>0</v>
      </c>
    </row>
    <row r="185">
      <c r="A185" s="0" t="inlineStr">
        <is>
          <t>[동읍]</t>
        </is>
      </c>
      <c r="B185" s="0" t="n">
        <v>136962</v>
      </c>
      <c r="C185" s="0" t="n">
        <v>11</v>
      </c>
      <c r="D185" s="0" t="inlineStr">
        <is>
          <t>춘광파크맨션2차</t>
        </is>
      </c>
      <c r="E185" s="0" t="inlineStr">
        <is>
          <t>1991.11.</t>
        </is>
      </c>
      <c r="F185" s="0" t="n">
        <v>70</v>
      </c>
      <c r="G185" s="0" t="n">
        <v>23.97</v>
      </c>
      <c r="H185" s="0" t="n">
        <v>79.23999999999999</v>
      </c>
      <c r="I185" s="0" t="n">
        <v>18.61</v>
      </c>
      <c r="J185" s="0" t="n">
        <v>61.53</v>
      </c>
      <c r="K185" s="0" t="n">
        <v>6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79A</t>
        </is>
      </c>
      <c r="X185" s="0" t="n">
        <v>6</v>
      </c>
      <c r="Y185" s="0" t="n">
        <v>3</v>
      </c>
      <c r="Z185" s="0" t="inlineStr">
        <is>
          <t>https://new.land.naver.com/complexes/136962?tab=detail&amp;rf=Y</t>
        </is>
      </c>
      <c r="AA185" s="0" t="inlineStr">
        <is>
          <t>경상남도 창원시 의창구 동읍 용잠리 233-9</t>
        </is>
      </c>
      <c r="AB185" s="0" t="inlineStr">
        <is>
          <t>경상남도</t>
        </is>
      </c>
      <c r="AC185" s="0" t="inlineStr">
        <is>
          <t>창원시</t>
        </is>
      </c>
      <c r="AD185" s="0" t="inlineStr">
        <is>
          <t>의창구</t>
        </is>
      </c>
      <c r="AE185" s="0" t="inlineStr">
        <is>
          <t>동읍</t>
        </is>
      </c>
      <c r="AG185" s="0" t="inlineStr">
        <is>
          <t>경상남도 창원시 의창구 용잠로41번길 17-7</t>
        </is>
      </c>
      <c r="AH185" s="0" t="n">
        <v>0</v>
      </c>
      <c r="AI185" s="0" t="n">
        <v>0</v>
      </c>
    </row>
    <row r="186">
      <c r="A186" s="0" t="inlineStr">
        <is>
          <t>[동읍]</t>
        </is>
      </c>
      <c r="B186" s="0" t="n">
        <v>136962</v>
      </c>
      <c r="C186" s="0" t="n">
        <v>12</v>
      </c>
      <c r="D186" s="0" t="inlineStr">
        <is>
          <t>춘광파크맨션2차</t>
        </is>
      </c>
      <c r="E186" s="0" t="inlineStr">
        <is>
          <t>1991.11.</t>
        </is>
      </c>
      <c r="F186" s="0" t="n">
        <v>70</v>
      </c>
      <c r="G186" s="0" t="n">
        <v>25.2</v>
      </c>
      <c r="H186" s="0" t="n">
        <v>83.31</v>
      </c>
      <c r="I186" s="0" t="n">
        <v>19.65</v>
      </c>
      <c r="J186" s="0" t="n">
        <v>64.97</v>
      </c>
      <c r="K186" s="0" t="n">
        <v>6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83A</t>
        </is>
      </c>
      <c r="X186" s="0" t="n">
        <v>6</v>
      </c>
      <c r="Y186" s="0" t="n">
        <v>3</v>
      </c>
      <c r="Z186" s="0" t="inlineStr">
        <is>
          <t>https://new.land.naver.com/complexes/136962?tab=detail&amp;rf=Y</t>
        </is>
      </c>
      <c r="AA186" s="0" t="inlineStr">
        <is>
          <t>경상남도 창원시 의창구 동읍 용잠리 233-9</t>
        </is>
      </c>
      <c r="AB186" s="0" t="inlineStr">
        <is>
          <t>경상남도</t>
        </is>
      </c>
      <c r="AC186" s="0" t="inlineStr">
        <is>
          <t>창원시</t>
        </is>
      </c>
      <c r="AD186" s="0" t="inlineStr">
        <is>
          <t>의창구</t>
        </is>
      </c>
      <c r="AE186" s="0" t="inlineStr">
        <is>
          <t>동읍</t>
        </is>
      </c>
      <c r="AG186" s="0" t="inlineStr">
        <is>
          <t>경상남도 창원시 의창구 용잠로41번길 17-7</t>
        </is>
      </c>
      <c r="AH186" s="0" t="n">
        <v>0</v>
      </c>
      <c r="AI186" s="0" t="n">
        <v>0</v>
      </c>
    </row>
    <row r="187">
      <c r="A187" s="0" t="inlineStr">
        <is>
          <t>[동읍]</t>
        </is>
      </c>
      <c r="B187" s="0" t="n">
        <v>136962</v>
      </c>
      <c r="C187" s="0" t="n">
        <v>13</v>
      </c>
      <c r="D187" s="0" t="inlineStr">
        <is>
          <t>춘광파크맨션2차</t>
        </is>
      </c>
      <c r="E187" s="0" t="inlineStr">
        <is>
          <t>1991.11.</t>
        </is>
      </c>
      <c r="F187" s="0" t="n">
        <v>70</v>
      </c>
      <c r="G187" s="0" t="n">
        <v>25.24</v>
      </c>
      <c r="H187" s="0" t="n">
        <v>83.44</v>
      </c>
      <c r="I187" s="0" t="n">
        <v>19.68</v>
      </c>
      <c r="J187" s="0" t="n">
        <v>65.06999999999999</v>
      </c>
      <c r="K187" s="0" t="n">
        <v>6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83B</t>
        </is>
      </c>
      <c r="X187" s="0" t="n">
        <v>6</v>
      </c>
      <c r="Y187" s="0" t="n">
        <v>3</v>
      </c>
      <c r="Z187" s="0" t="inlineStr">
        <is>
          <t>https://new.land.naver.com/complexes/136962?tab=detail&amp;rf=Y</t>
        </is>
      </c>
      <c r="AA187" s="0" t="inlineStr">
        <is>
          <t>경상남도 창원시 의창구 동읍 용잠리 233-9</t>
        </is>
      </c>
      <c r="AB187" s="0" t="inlineStr">
        <is>
          <t>경상남도</t>
        </is>
      </c>
      <c r="AC187" s="0" t="inlineStr">
        <is>
          <t>창원시</t>
        </is>
      </c>
      <c r="AD187" s="0" t="inlineStr">
        <is>
          <t>의창구</t>
        </is>
      </c>
      <c r="AE187" s="0" t="inlineStr">
        <is>
          <t>동읍</t>
        </is>
      </c>
      <c r="AG187" s="0" t="inlineStr">
        <is>
          <t>경상남도 창원시 의창구 용잠로41번길 17-7</t>
        </is>
      </c>
      <c r="AH187" s="0" t="n">
        <v>0</v>
      </c>
      <c r="AI187" s="0" t="n">
        <v>0</v>
      </c>
    </row>
    <row r="188">
      <c r="A188" s="0" t="inlineStr">
        <is>
          <t>[동읍]</t>
        </is>
      </c>
      <c r="B188" s="0" t="n">
        <v>136962</v>
      </c>
      <c r="C188" s="0" t="n">
        <v>14</v>
      </c>
      <c r="D188" s="0" t="inlineStr">
        <is>
          <t>춘광파크맨션2차</t>
        </is>
      </c>
      <c r="E188" s="0" t="inlineStr">
        <is>
          <t>1991.11.</t>
        </is>
      </c>
      <c r="F188" s="0" t="n">
        <v>70</v>
      </c>
      <c r="G188" s="0" t="n">
        <v>26.53</v>
      </c>
      <c r="H188" s="0" t="n">
        <v>87.70999999999999</v>
      </c>
      <c r="I188" s="0" t="n">
        <v>20.76</v>
      </c>
      <c r="J188" s="0" t="n">
        <v>68.66</v>
      </c>
      <c r="K188" s="0" t="n">
        <v>5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87</v>
      </c>
      <c r="X188" s="0" t="n">
        <v>6</v>
      </c>
      <c r="Y188" s="0" t="n">
        <v>3</v>
      </c>
      <c r="Z188" s="0" t="inlineStr">
        <is>
          <t>https://new.land.naver.com/complexes/136962?tab=detail&amp;rf=Y</t>
        </is>
      </c>
      <c r="AA188" s="0" t="inlineStr">
        <is>
          <t>경상남도 창원시 의창구 동읍 용잠리 233-9</t>
        </is>
      </c>
      <c r="AB188" s="0" t="inlineStr">
        <is>
          <t>경상남도</t>
        </is>
      </c>
      <c r="AC188" s="0" t="inlineStr">
        <is>
          <t>창원시</t>
        </is>
      </c>
      <c r="AD188" s="0" t="inlineStr">
        <is>
          <t>의창구</t>
        </is>
      </c>
      <c r="AE188" s="0" t="inlineStr">
        <is>
          <t>동읍</t>
        </is>
      </c>
      <c r="AG188" s="0" t="inlineStr">
        <is>
          <t>경상남도 창원시 의창구 용잠로41번길 17-7</t>
        </is>
      </c>
      <c r="AH188" s="0" t="n">
        <v>0</v>
      </c>
      <c r="AI188" s="0" t="n">
        <v>0</v>
      </c>
    </row>
    <row r="189">
      <c r="A189" s="0" t="inlineStr">
        <is>
          <t>[동읍]</t>
        </is>
      </c>
      <c r="B189" s="0" t="n">
        <v>136962</v>
      </c>
      <c r="C189" s="0" t="n">
        <v>15</v>
      </c>
      <c r="D189" s="0" t="inlineStr">
        <is>
          <t>춘광파크맨션2차</t>
        </is>
      </c>
      <c r="E189" s="0" t="inlineStr">
        <is>
          <t>1991.11.</t>
        </is>
      </c>
      <c r="F189" s="0" t="n">
        <v>70</v>
      </c>
      <c r="G189" s="0" t="n">
        <v>27.81</v>
      </c>
      <c r="H189" s="0" t="n">
        <v>91.95999999999999</v>
      </c>
      <c r="I189" s="0" t="n">
        <v>22.07</v>
      </c>
      <c r="J189" s="0" t="n">
        <v>72.95999999999999</v>
      </c>
      <c r="K189" s="0" t="n">
        <v>6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91</v>
      </c>
      <c r="X189" s="0" t="n">
        <v>6</v>
      </c>
      <c r="Y189" s="0" t="n">
        <v>3</v>
      </c>
      <c r="Z189" s="0" t="inlineStr">
        <is>
          <t>https://new.land.naver.com/complexes/136962?tab=detail&amp;rf=Y</t>
        </is>
      </c>
      <c r="AA189" s="0" t="inlineStr">
        <is>
          <t>경상남도 창원시 의창구 동읍 용잠리 233-9</t>
        </is>
      </c>
      <c r="AB189" s="0" t="inlineStr">
        <is>
          <t>경상남도</t>
        </is>
      </c>
      <c r="AC189" s="0" t="inlineStr">
        <is>
          <t>창원시</t>
        </is>
      </c>
      <c r="AD189" s="0" t="inlineStr">
        <is>
          <t>의창구</t>
        </is>
      </c>
      <c r="AE189" s="0" t="inlineStr">
        <is>
          <t>동읍</t>
        </is>
      </c>
      <c r="AG189" s="0" t="inlineStr">
        <is>
          <t>경상남도 창원시 의창구 용잠로41번길 17-7</t>
        </is>
      </c>
      <c r="AH189" s="0" t="n">
        <v>0</v>
      </c>
      <c r="AI189" s="0" t="n">
        <v>0</v>
      </c>
    </row>
    <row r="190">
      <c r="A190" s="0" t="inlineStr">
        <is>
          <t>[동읍]</t>
        </is>
      </c>
      <c r="B190" s="0" t="n">
        <v>136962</v>
      </c>
      <c r="C190" s="0" t="n">
        <v>16</v>
      </c>
      <c r="D190" s="0" t="inlineStr">
        <is>
          <t>춘광파크맨션2차</t>
        </is>
      </c>
      <c r="E190" s="0" t="inlineStr">
        <is>
          <t>1991.11.</t>
        </is>
      </c>
      <c r="F190" s="0" t="n">
        <v>70</v>
      </c>
      <c r="G190" s="0" t="n">
        <v>28.88</v>
      </c>
      <c r="H190" s="0" t="n">
        <v>95.5</v>
      </c>
      <c r="I190" s="0" t="n">
        <v>22.75</v>
      </c>
      <c r="J190" s="0" t="n">
        <v>75.23</v>
      </c>
      <c r="K190" s="0" t="n">
        <v>5</v>
      </c>
      <c r="T190" s="0" t="n">
        <v>3</v>
      </c>
      <c r="U190" s="0" t="n">
        <v>2</v>
      </c>
      <c r="V190" s="0" t="inlineStr">
        <is>
          <t>계단식</t>
        </is>
      </c>
      <c r="W190" s="0" t="n">
        <v>95</v>
      </c>
      <c r="X190" s="0" t="n">
        <v>6</v>
      </c>
      <c r="Y190" s="0" t="n">
        <v>3</v>
      </c>
      <c r="Z190" s="0" t="inlineStr">
        <is>
          <t>https://new.land.naver.com/complexes/136962?tab=detail&amp;rf=Y</t>
        </is>
      </c>
      <c r="AA190" s="0" t="inlineStr">
        <is>
          <t>경상남도 창원시 의창구 동읍 용잠리 233-9</t>
        </is>
      </c>
      <c r="AB190" s="0" t="inlineStr">
        <is>
          <t>경상남도</t>
        </is>
      </c>
      <c r="AC190" s="0" t="inlineStr">
        <is>
          <t>창원시</t>
        </is>
      </c>
      <c r="AD190" s="0" t="inlineStr">
        <is>
          <t>의창구</t>
        </is>
      </c>
      <c r="AE190" s="0" t="inlineStr">
        <is>
          <t>동읍</t>
        </is>
      </c>
      <c r="AG190" s="0" t="inlineStr">
        <is>
          <t>경상남도 창원시 의창구 용잠로41번길 17-7</t>
        </is>
      </c>
      <c r="AH190" s="0" t="n">
        <v>0</v>
      </c>
      <c r="AI190" s="0" t="n">
        <v>0</v>
      </c>
    </row>
    <row r="191">
      <c r="A191" s="0" t="inlineStr">
        <is>
          <t>[동읍]</t>
        </is>
      </c>
      <c r="B191" s="0" t="n">
        <v>136962</v>
      </c>
      <c r="C191" s="0" t="n">
        <v>17</v>
      </c>
      <c r="D191" s="0" t="inlineStr">
        <is>
          <t>춘광파크맨션2차</t>
        </is>
      </c>
      <c r="E191" s="0" t="inlineStr">
        <is>
          <t>1991.11.</t>
        </is>
      </c>
      <c r="F191" s="0" t="n">
        <v>70</v>
      </c>
      <c r="G191" s="0" t="n">
        <v>29.6</v>
      </c>
      <c r="H191" s="0" t="n">
        <v>97.86</v>
      </c>
      <c r="I191" s="0" t="n">
        <v>23.57</v>
      </c>
      <c r="J191" s="0" t="n">
        <v>77.94</v>
      </c>
      <c r="K191" s="0" t="n">
        <v>6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97A</t>
        </is>
      </c>
      <c r="X191" s="0" t="n">
        <v>6</v>
      </c>
      <c r="Y191" s="0" t="n">
        <v>3</v>
      </c>
      <c r="Z191" s="0" t="inlineStr">
        <is>
          <t>https://new.land.naver.com/complexes/136962?tab=detail&amp;rf=Y</t>
        </is>
      </c>
      <c r="AA191" s="0" t="inlineStr">
        <is>
          <t>경상남도 창원시 의창구 동읍 용잠리 233-9</t>
        </is>
      </c>
      <c r="AB191" s="0" t="inlineStr">
        <is>
          <t>경상남도</t>
        </is>
      </c>
      <c r="AC191" s="0" t="inlineStr">
        <is>
          <t>창원시</t>
        </is>
      </c>
      <c r="AD191" s="0" t="inlineStr">
        <is>
          <t>의창구</t>
        </is>
      </c>
      <c r="AE191" s="0" t="inlineStr">
        <is>
          <t>동읍</t>
        </is>
      </c>
      <c r="AG191" s="0" t="inlineStr">
        <is>
          <t>경상남도 창원시 의창구 용잠로41번길 17-7</t>
        </is>
      </c>
      <c r="AH191" s="0" t="n">
        <v>0</v>
      </c>
      <c r="AI191" s="0" t="n">
        <v>0</v>
      </c>
    </row>
    <row r="192">
      <c r="A192" s="0" t="inlineStr">
        <is>
          <t>[동읍]</t>
        </is>
      </c>
      <c r="B192" s="0" t="n">
        <v>136962</v>
      </c>
      <c r="C192" s="0" t="n">
        <v>18</v>
      </c>
      <c r="D192" s="0" t="inlineStr">
        <is>
          <t>춘광파크맨션2차</t>
        </is>
      </c>
      <c r="E192" s="0" t="inlineStr">
        <is>
          <t>1991.11.</t>
        </is>
      </c>
      <c r="F192" s="0" t="n">
        <v>70</v>
      </c>
      <c r="G192" s="0" t="n">
        <v>30.29</v>
      </c>
      <c r="H192" s="0" t="n">
        <v>100.14</v>
      </c>
      <c r="I192" s="0" t="n">
        <v>23.94</v>
      </c>
      <c r="J192" s="0" t="n">
        <v>79.15000000000001</v>
      </c>
      <c r="K192" s="0" t="n">
        <v>6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100B</t>
        </is>
      </c>
      <c r="X192" s="0" t="n">
        <v>6</v>
      </c>
      <c r="Y192" s="0" t="n">
        <v>3</v>
      </c>
      <c r="Z192" s="0" t="inlineStr">
        <is>
          <t>https://new.land.naver.com/complexes/136962?tab=detail&amp;rf=Y</t>
        </is>
      </c>
      <c r="AA192" s="0" t="inlineStr">
        <is>
          <t>경상남도 창원시 의창구 동읍 용잠리 233-9</t>
        </is>
      </c>
      <c r="AB192" s="0" t="inlineStr">
        <is>
          <t>경상남도</t>
        </is>
      </c>
      <c r="AC192" s="0" t="inlineStr">
        <is>
          <t>창원시</t>
        </is>
      </c>
      <c r="AD192" s="0" t="inlineStr">
        <is>
          <t>의창구</t>
        </is>
      </c>
      <c r="AE192" s="0" t="inlineStr">
        <is>
          <t>동읍</t>
        </is>
      </c>
      <c r="AG192" s="0" t="inlineStr">
        <is>
          <t>경상남도 창원시 의창구 용잠로41번길 17-7</t>
        </is>
      </c>
      <c r="AH192" s="0" t="n">
        <v>0</v>
      </c>
      <c r="AI192" s="0" t="n">
        <v>0</v>
      </c>
    </row>
    <row r="193">
      <c r="A193" s="0" t="inlineStr">
        <is>
          <t>[동읍]</t>
        </is>
      </c>
      <c r="B193" s="0" t="n">
        <v>100900</v>
      </c>
      <c r="C193" s="0" t="n">
        <v>1</v>
      </c>
      <c r="D193" s="0" t="inlineStr">
        <is>
          <t>평화맨션</t>
        </is>
      </c>
      <c r="E193" s="0" t="inlineStr">
        <is>
          <t>1991.11.</t>
        </is>
      </c>
      <c r="F193" s="0" t="n">
        <v>70</v>
      </c>
      <c r="G193" s="0" t="n">
        <v>26.6</v>
      </c>
      <c r="H193" s="0" t="n">
        <v>87.95999999999999</v>
      </c>
      <c r="I193" s="0" t="n">
        <v>23.86</v>
      </c>
      <c r="J193" s="0" t="n">
        <v>78.88</v>
      </c>
      <c r="K193" s="0" t="n">
        <v>10</v>
      </c>
      <c r="T193" s="0" t="n">
        <v>3</v>
      </c>
      <c r="U193" s="0" t="n">
        <v>1</v>
      </c>
      <c r="V193" s="0" t="inlineStr">
        <is>
          <t>계단식</t>
        </is>
      </c>
      <c r="W193" s="0" t="inlineStr">
        <is>
          <t>87B</t>
        </is>
      </c>
      <c r="X193" s="0" t="n">
        <v>15</v>
      </c>
      <c r="Y193" s="0" t="n">
        <v>10</v>
      </c>
      <c r="Z193" s="0" t="inlineStr">
        <is>
          <t>https://new.land.naver.com/complexes/100900?tab=detail&amp;rf=Y</t>
        </is>
      </c>
      <c r="AA193" s="0" t="inlineStr">
        <is>
          <t>경상남도 창원시 의창구 동읍 용잠리 357-1</t>
        </is>
      </c>
      <c r="AB193" s="0" t="inlineStr">
        <is>
          <t>경상남도</t>
        </is>
      </c>
      <c r="AC193" s="0" t="inlineStr">
        <is>
          <t>창원시</t>
        </is>
      </c>
      <c r="AD193" s="0" t="inlineStr">
        <is>
          <t>의창구</t>
        </is>
      </c>
      <c r="AE193" s="0" t="inlineStr">
        <is>
          <t>동읍</t>
        </is>
      </c>
      <c r="AG193" s="0" t="inlineStr">
        <is>
          <t>경상남도 창원시 의창구 의창대로 848</t>
        </is>
      </c>
      <c r="AH193" s="0" t="n">
        <v>0</v>
      </c>
      <c r="AI193" s="0" t="n">
        <v>227</v>
      </c>
    </row>
    <row r="194">
      <c r="A194" s="0" t="inlineStr">
        <is>
          <t>[동읍]</t>
        </is>
      </c>
      <c r="B194" s="0" t="n">
        <v>100900</v>
      </c>
      <c r="C194" s="0" t="n">
        <v>2</v>
      </c>
      <c r="D194" s="0" t="inlineStr">
        <is>
          <t>평화맨션</t>
        </is>
      </c>
      <c r="E194" s="0" t="inlineStr">
        <is>
          <t>1991.11.</t>
        </is>
      </c>
      <c r="F194" s="0" t="n">
        <v>70</v>
      </c>
      <c r="G194" s="0" t="n">
        <v>27.06</v>
      </c>
      <c r="H194" s="0" t="n">
        <v>89.48</v>
      </c>
      <c r="I194" s="0" t="n">
        <v>23.76</v>
      </c>
      <c r="J194" s="0" t="n">
        <v>78.56999999999999</v>
      </c>
      <c r="K194" s="0" t="n">
        <v>15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89A</t>
        </is>
      </c>
      <c r="X194" s="0" t="n">
        <v>15</v>
      </c>
      <c r="Y194" s="0" t="n">
        <v>10</v>
      </c>
      <c r="Z194" s="0" t="inlineStr">
        <is>
          <t>https://new.land.naver.com/complexes/100900?tab=detail&amp;rf=Y</t>
        </is>
      </c>
      <c r="AA194" s="0" t="inlineStr">
        <is>
          <t>경상남도 창원시 의창구 동읍 용잠리 357-1</t>
        </is>
      </c>
      <c r="AB194" s="0" t="inlineStr">
        <is>
          <t>경상남도</t>
        </is>
      </c>
      <c r="AC194" s="0" t="inlineStr">
        <is>
          <t>창원시</t>
        </is>
      </c>
      <c r="AD194" s="0" t="inlineStr">
        <is>
          <t>의창구</t>
        </is>
      </c>
      <c r="AE194" s="0" t="inlineStr">
        <is>
          <t>동읍</t>
        </is>
      </c>
      <c r="AG194" s="0" t="inlineStr">
        <is>
          <t>경상남도 창원시 의창구 의창대로 848</t>
        </is>
      </c>
      <c r="AH194" s="0" t="n">
        <v>0</v>
      </c>
      <c r="AI194" s="0" t="n">
        <v>227</v>
      </c>
    </row>
    <row r="195">
      <c r="A195" s="0" t="inlineStr">
        <is>
          <t>[동읍]</t>
        </is>
      </c>
      <c r="B195" s="0" t="n">
        <v>100900</v>
      </c>
      <c r="C195" s="0" t="n">
        <v>3</v>
      </c>
      <c r="D195" s="0" t="inlineStr">
        <is>
          <t>평화맨션</t>
        </is>
      </c>
      <c r="E195" s="0" t="inlineStr">
        <is>
          <t>1991.11.</t>
        </is>
      </c>
      <c r="F195" s="0" t="n">
        <v>70</v>
      </c>
      <c r="G195" s="0" t="n">
        <v>26.97</v>
      </c>
      <c r="H195" s="0" t="n">
        <v>89.19</v>
      </c>
      <c r="I195" s="0" t="n">
        <v>24.19</v>
      </c>
      <c r="J195" s="0" t="n">
        <v>79.98999999999999</v>
      </c>
      <c r="K195" s="0" t="n">
        <v>10</v>
      </c>
      <c r="T195" s="0" t="n">
        <v>3</v>
      </c>
      <c r="U195" s="0" t="n">
        <v>1</v>
      </c>
      <c r="V195" s="0" t="inlineStr">
        <is>
          <t>계단식</t>
        </is>
      </c>
      <c r="W195" s="0" t="inlineStr">
        <is>
          <t>89C</t>
        </is>
      </c>
      <c r="X195" s="0" t="n">
        <v>15</v>
      </c>
      <c r="Y195" s="0" t="n">
        <v>10</v>
      </c>
      <c r="Z195" s="0" t="inlineStr">
        <is>
          <t>https://new.land.naver.com/complexes/100900?tab=detail&amp;rf=Y</t>
        </is>
      </c>
      <c r="AA195" s="0" t="inlineStr">
        <is>
          <t>경상남도 창원시 의창구 동읍 용잠리 357-1</t>
        </is>
      </c>
      <c r="AB195" s="0" t="inlineStr">
        <is>
          <t>경상남도</t>
        </is>
      </c>
      <c r="AC195" s="0" t="inlineStr">
        <is>
          <t>창원시</t>
        </is>
      </c>
      <c r="AD195" s="0" t="inlineStr">
        <is>
          <t>의창구</t>
        </is>
      </c>
      <c r="AE195" s="0" t="inlineStr">
        <is>
          <t>동읍</t>
        </is>
      </c>
      <c r="AG195" s="0" t="inlineStr">
        <is>
          <t>경상남도 창원시 의창구 의창대로 848</t>
        </is>
      </c>
      <c r="AH195" s="0" t="n">
        <v>0</v>
      </c>
      <c r="AI195" s="0" t="n">
        <v>227</v>
      </c>
    </row>
    <row r="196">
      <c r="A196" s="0" t="inlineStr">
        <is>
          <t>[동읍]</t>
        </is>
      </c>
      <c r="B196" s="0" t="n">
        <v>100900</v>
      </c>
      <c r="C196" s="0" t="n">
        <v>4</v>
      </c>
      <c r="D196" s="0" t="inlineStr">
        <is>
          <t>평화맨션</t>
        </is>
      </c>
      <c r="E196" s="0" t="inlineStr">
        <is>
          <t>1991.11.</t>
        </is>
      </c>
      <c r="F196" s="0" t="n">
        <v>70</v>
      </c>
      <c r="G196" s="0" t="n">
        <v>27.61</v>
      </c>
      <c r="H196" s="0" t="n">
        <v>91.29000000000001</v>
      </c>
      <c r="I196" s="0" t="n">
        <v>24.24</v>
      </c>
      <c r="J196" s="0" t="n">
        <v>80.16</v>
      </c>
      <c r="K196" s="0" t="n">
        <v>11</v>
      </c>
      <c r="T196" s="0" t="n">
        <v>3</v>
      </c>
      <c r="U196" s="0" t="n">
        <v>1</v>
      </c>
      <c r="V196" s="0" t="inlineStr">
        <is>
          <t>계단식</t>
        </is>
      </c>
      <c r="W196" s="0" t="inlineStr">
        <is>
          <t>91C</t>
        </is>
      </c>
      <c r="X196" s="0" t="n">
        <v>15</v>
      </c>
      <c r="Y196" s="0" t="n">
        <v>10</v>
      </c>
      <c r="Z196" s="0" t="inlineStr">
        <is>
          <t>https://new.land.naver.com/complexes/100900?tab=detail&amp;rf=Y</t>
        </is>
      </c>
      <c r="AA196" s="0" t="inlineStr">
        <is>
          <t>경상남도 창원시 의창구 동읍 용잠리 357-1</t>
        </is>
      </c>
      <c r="AB196" s="0" t="inlineStr">
        <is>
          <t>경상남도</t>
        </is>
      </c>
      <c r="AC196" s="0" t="inlineStr">
        <is>
          <t>창원시</t>
        </is>
      </c>
      <c r="AD196" s="0" t="inlineStr">
        <is>
          <t>의창구</t>
        </is>
      </c>
      <c r="AE196" s="0" t="inlineStr">
        <is>
          <t>동읍</t>
        </is>
      </c>
      <c r="AG196" s="0" t="inlineStr">
        <is>
          <t>경상남도 창원시 의창구 의창대로 848</t>
        </is>
      </c>
      <c r="AH196" s="0" t="n">
        <v>0</v>
      </c>
      <c r="AI196" s="0" t="n">
        <v>227</v>
      </c>
    </row>
    <row r="197">
      <c r="A197" s="0" t="inlineStr">
        <is>
          <t>[동읍]</t>
        </is>
      </c>
      <c r="B197" s="0" t="n">
        <v>100900</v>
      </c>
      <c r="C197" s="0" t="n">
        <v>5</v>
      </c>
      <c r="D197" s="0" t="inlineStr">
        <is>
          <t>평화맨션</t>
        </is>
      </c>
      <c r="E197" s="0" t="inlineStr">
        <is>
          <t>1991.11.</t>
        </is>
      </c>
      <c r="F197" s="0" t="n">
        <v>70</v>
      </c>
      <c r="G197" s="0" t="n">
        <v>27.89</v>
      </c>
      <c r="H197" s="0" t="n">
        <v>92.23</v>
      </c>
      <c r="I197" s="0" t="n">
        <v>24.79</v>
      </c>
      <c r="J197" s="0" t="n">
        <v>81.95999999999999</v>
      </c>
      <c r="K197" s="0" t="n">
        <v>13</v>
      </c>
      <c r="T197" s="0" t="n">
        <v>3</v>
      </c>
      <c r="U197" s="0" t="n">
        <v>1</v>
      </c>
      <c r="V197" s="0" t="inlineStr">
        <is>
          <t>계단식</t>
        </is>
      </c>
      <c r="W197" s="0" t="inlineStr">
        <is>
          <t>92A</t>
        </is>
      </c>
      <c r="X197" s="0" t="n">
        <v>15</v>
      </c>
      <c r="Y197" s="0" t="n">
        <v>10</v>
      </c>
      <c r="Z197" s="0" t="inlineStr">
        <is>
          <t>https://new.land.naver.com/complexes/100900?tab=detail&amp;rf=Y</t>
        </is>
      </c>
      <c r="AA197" s="0" t="inlineStr">
        <is>
          <t>경상남도 창원시 의창구 동읍 용잠리 357-1</t>
        </is>
      </c>
      <c r="AB197" s="0" t="inlineStr">
        <is>
          <t>경상남도</t>
        </is>
      </c>
      <c r="AC197" s="0" t="inlineStr">
        <is>
          <t>창원시</t>
        </is>
      </c>
      <c r="AD197" s="0" t="inlineStr">
        <is>
          <t>의창구</t>
        </is>
      </c>
      <c r="AE197" s="0" t="inlineStr">
        <is>
          <t>동읍</t>
        </is>
      </c>
      <c r="AG197" s="0" t="inlineStr">
        <is>
          <t>경상남도 창원시 의창구 의창대로 848</t>
        </is>
      </c>
      <c r="AH197" s="0" t="n">
        <v>0</v>
      </c>
      <c r="AI197" s="0" t="n">
        <v>227</v>
      </c>
    </row>
    <row r="198">
      <c r="A198" s="0" t="inlineStr">
        <is>
          <t>[동읍]</t>
        </is>
      </c>
      <c r="B198" s="0" t="n">
        <v>100900</v>
      </c>
      <c r="C198" s="0" t="n">
        <v>6</v>
      </c>
      <c r="D198" s="0" t="inlineStr">
        <is>
          <t>평화맨션</t>
        </is>
      </c>
      <c r="E198" s="0" t="inlineStr">
        <is>
          <t>1991.11.</t>
        </is>
      </c>
      <c r="F198" s="0" t="n">
        <v>70</v>
      </c>
      <c r="G198" s="0" t="n">
        <v>28.25</v>
      </c>
      <c r="H198" s="0" t="n">
        <v>93.40000000000001</v>
      </c>
      <c r="I198" s="0" t="n">
        <v>25.1</v>
      </c>
      <c r="J198" s="0" t="n">
        <v>83</v>
      </c>
      <c r="K198" s="0" t="n">
        <v>11</v>
      </c>
      <c r="T198" s="0" t="n">
        <v>3</v>
      </c>
      <c r="U198" s="0" t="n">
        <v>1</v>
      </c>
      <c r="V198" s="0" t="inlineStr">
        <is>
          <t>계단식</t>
        </is>
      </c>
      <c r="W198" s="0" t="inlineStr">
        <is>
          <t>93B</t>
        </is>
      </c>
      <c r="X198" s="0" t="n">
        <v>15</v>
      </c>
      <c r="Y198" s="0" t="n">
        <v>10</v>
      </c>
      <c r="Z198" s="0" t="inlineStr">
        <is>
          <t>https://new.land.naver.com/complexes/100900?tab=detail&amp;rf=Y</t>
        </is>
      </c>
      <c r="AA198" s="0" t="inlineStr">
        <is>
          <t>경상남도 창원시 의창구 동읍 용잠리 357-1</t>
        </is>
      </c>
      <c r="AB198" s="0" t="inlineStr">
        <is>
          <t>경상남도</t>
        </is>
      </c>
      <c r="AC198" s="0" t="inlineStr">
        <is>
          <t>창원시</t>
        </is>
      </c>
      <c r="AD198" s="0" t="inlineStr">
        <is>
          <t>의창구</t>
        </is>
      </c>
      <c r="AE198" s="0" t="inlineStr">
        <is>
          <t>동읍</t>
        </is>
      </c>
      <c r="AG198" s="0" t="inlineStr">
        <is>
          <t>경상남도 창원시 의창구 의창대로 848</t>
        </is>
      </c>
      <c r="AH198" s="0" t="n">
        <v>0</v>
      </c>
      <c r="AI198" s="0" t="n">
        <v>227</v>
      </c>
    </row>
    <row r="199">
      <c r="A199" s="0" t="inlineStr">
        <is>
          <t>[동읍]</t>
        </is>
      </c>
      <c r="B199" s="0" t="n">
        <v>15761</v>
      </c>
      <c r="C199" s="0" t="n">
        <v>1</v>
      </c>
      <c r="D199" s="0" t="inlineStr">
        <is>
          <t>동부산훼미리타운5차</t>
        </is>
      </c>
      <c r="E199" s="0" t="inlineStr">
        <is>
          <t>2000.04.</t>
        </is>
      </c>
      <c r="F199" s="0" t="n">
        <v>172</v>
      </c>
      <c r="G199" s="0" t="n">
        <v>19.86</v>
      </c>
      <c r="H199" s="0" t="n">
        <v>65.67</v>
      </c>
      <c r="I199" s="0" t="n">
        <v>14.52</v>
      </c>
      <c r="J199" s="0" t="n">
        <v>48</v>
      </c>
      <c r="K199" s="0" t="n">
        <v>35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65</v>
      </c>
      <c r="X199" s="0" t="n">
        <v>14</v>
      </c>
      <c r="Y199" s="0" t="n">
        <v>9</v>
      </c>
      <c r="Z199" s="0" t="inlineStr">
        <is>
          <t>https://new.land.naver.com/complexes/15761?tab=detail&amp;rf=Y</t>
        </is>
      </c>
      <c r="AA199" s="0" t="inlineStr">
        <is>
          <t>경상남도 창원시 의창구 동읍 용정리 21-7</t>
        </is>
      </c>
      <c r="AB199" s="0" t="inlineStr">
        <is>
          <t>경상남도</t>
        </is>
      </c>
      <c r="AC199" s="0" t="inlineStr">
        <is>
          <t>창원시</t>
        </is>
      </c>
      <c r="AD199" s="0" t="inlineStr">
        <is>
          <t>의창구</t>
        </is>
      </c>
      <c r="AE199" s="0" t="inlineStr">
        <is>
          <t>동읍</t>
        </is>
      </c>
      <c r="AG199" s="0" t="inlineStr">
        <is>
          <t>경상남도 창원시 의창구 용정길46번길 24</t>
        </is>
      </c>
      <c r="AH199" s="0" t="n">
        <v>0</v>
      </c>
      <c r="AI199" s="0" t="n">
        <v>232</v>
      </c>
    </row>
    <row r="200">
      <c r="A200" s="0" t="inlineStr">
        <is>
          <t>[동읍]</t>
        </is>
      </c>
      <c r="B200" s="0" t="n">
        <v>15761</v>
      </c>
      <c r="C200" s="0" t="n">
        <v>2</v>
      </c>
      <c r="D200" s="0" t="inlineStr">
        <is>
          <t>동부산훼미리타운5차</t>
        </is>
      </c>
      <c r="E200" s="0" t="inlineStr">
        <is>
          <t>2000.04.</t>
        </is>
      </c>
      <c r="F200" s="0" t="n">
        <v>172</v>
      </c>
      <c r="G200" s="0" t="n">
        <v>23.51</v>
      </c>
      <c r="H200" s="0" t="n">
        <v>77.73</v>
      </c>
      <c r="I200" s="0" t="n">
        <v>18.1</v>
      </c>
      <c r="J200" s="0" t="n">
        <v>59.85</v>
      </c>
      <c r="K200" s="0" t="n">
        <v>137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77</v>
      </c>
      <c r="X200" s="0" t="n">
        <v>14</v>
      </c>
      <c r="Y200" s="0" t="n">
        <v>9</v>
      </c>
      <c r="Z200" s="0" t="inlineStr">
        <is>
          <t>https://new.land.naver.com/complexes/15761?tab=detail&amp;rf=Y</t>
        </is>
      </c>
      <c r="AA200" s="0" t="inlineStr">
        <is>
          <t>경상남도 창원시 의창구 동읍 용정리 21-7</t>
        </is>
      </c>
      <c r="AB200" s="0" t="inlineStr">
        <is>
          <t>경상남도</t>
        </is>
      </c>
      <c r="AC200" s="0" t="inlineStr">
        <is>
          <t>창원시</t>
        </is>
      </c>
      <c r="AD200" s="0" t="inlineStr">
        <is>
          <t>의창구</t>
        </is>
      </c>
      <c r="AE200" s="0" t="inlineStr">
        <is>
          <t>동읍</t>
        </is>
      </c>
      <c r="AG200" s="0" t="inlineStr">
        <is>
          <t>경상남도 창원시 의창구 용정길46번길 24</t>
        </is>
      </c>
      <c r="AH200" s="0" t="n">
        <v>0</v>
      </c>
      <c r="AI200" s="0" t="n">
        <v>232</v>
      </c>
    </row>
    <row r="201">
      <c r="A201" s="0" t="inlineStr">
        <is>
          <t>[동읍]</t>
        </is>
      </c>
      <c r="B201" s="0" t="n">
        <v>126919</v>
      </c>
      <c r="C201" s="0" t="n">
        <v>1</v>
      </c>
      <c r="D201" s="0" t="inlineStr">
        <is>
          <t>거림훼미리</t>
        </is>
      </c>
      <c r="E201" s="0" t="inlineStr">
        <is>
          <t>2002.09.</t>
        </is>
      </c>
      <c r="F201" s="0" t="n">
        <v>35</v>
      </c>
      <c r="G201" s="0" t="n">
        <v>28.25</v>
      </c>
      <c r="H201" s="0" t="n">
        <v>93.41</v>
      </c>
      <c r="I201" s="0" t="n">
        <v>22.91</v>
      </c>
      <c r="J201" s="0" t="n">
        <v>75.76000000000001</v>
      </c>
      <c r="K201" s="0" t="n">
        <v>9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93</v>
      </c>
      <c r="X201" s="0" t="n">
        <v>9</v>
      </c>
      <c r="Y201" s="0" t="n">
        <v>5</v>
      </c>
      <c r="Z201" s="0" t="inlineStr">
        <is>
          <t>https://new.land.naver.com/complexes/126919?tab=detail&amp;rf=Y</t>
        </is>
      </c>
      <c r="AA201" s="0" t="inlineStr">
        <is>
          <t>경상남도 창원시 의창구 동읍 용잠리 130-7</t>
        </is>
      </c>
      <c r="AB201" s="0" t="inlineStr">
        <is>
          <t>경상남도</t>
        </is>
      </c>
      <c r="AC201" s="0" t="inlineStr">
        <is>
          <t>창원시</t>
        </is>
      </c>
      <c r="AD201" s="0" t="inlineStr">
        <is>
          <t>의창구</t>
        </is>
      </c>
      <c r="AE201" s="0" t="inlineStr">
        <is>
          <t>동읍</t>
        </is>
      </c>
      <c r="AG201" s="0" t="inlineStr">
        <is>
          <t>경상남도 창원시 의창구 용잠로35번길 16</t>
        </is>
      </c>
      <c r="AH201" s="0" t="n">
        <v>0</v>
      </c>
      <c r="AI201" s="0" t="n">
        <v>218</v>
      </c>
    </row>
    <row r="202">
      <c r="A202" s="0" t="inlineStr">
        <is>
          <t>[동읍]</t>
        </is>
      </c>
      <c r="B202" s="0" t="n">
        <v>126919</v>
      </c>
      <c r="C202" s="0" t="n">
        <v>2</v>
      </c>
      <c r="D202" s="0" t="inlineStr">
        <is>
          <t>거림훼미리</t>
        </is>
      </c>
      <c r="E202" s="0" t="inlineStr">
        <is>
          <t>2002.09.</t>
        </is>
      </c>
      <c r="F202" s="0" t="n">
        <v>35</v>
      </c>
      <c r="G202" s="0" t="n">
        <v>29.33</v>
      </c>
      <c r="H202" s="0" t="n">
        <v>96.97</v>
      </c>
      <c r="I202" s="0" t="n">
        <v>23.72</v>
      </c>
      <c r="J202" s="0" t="n">
        <v>78.44</v>
      </c>
      <c r="K202" s="0" t="n">
        <v>9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96</v>
      </c>
      <c r="X202" s="0" t="n">
        <v>9</v>
      </c>
      <c r="Y202" s="0" t="n">
        <v>5</v>
      </c>
      <c r="Z202" s="0" t="inlineStr">
        <is>
          <t>https://new.land.naver.com/complexes/126919?tab=detail&amp;rf=Y</t>
        </is>
      </c>
      <c r="AA202" s="0" t="inlineStr">
        <is>
          <t>경상남도 창원시 의창구 동읍 용잠리 130-7</t>
        </is>
      </c>
      <c r="AB202" s="0" t="inlineStr">
        <is>
          <t>경상남도</t>
        </is>
      </c>
      <c r="AC202" s="0" t="inlineStr">
        <is>
          <t>창원시</t>
        </is>
      </c>
      <c r="AD202" s="0" t="inlineStr">
        <is>
          <t>의창구</t>
        </is>
      </c>
      <c r="AE202" s="0" t="inlineStr">
        <is>
          <t>동읍</t>
        </is>
      </c>
      <c r="AG202" s="0" t="inlineStr">
        <is>
          <t>경상남도 창원시 의창구 용잠로35번길 16</t>
        </is>
      </c>
      <c r="AH202" s="0" t="n">
        <v>0</v>
      </c>
      <c r="AI202" s="0" t="n">
        <v>218</v>
      </c>
    </row>
    <row r="203">
      <c r="A203" s="0" t="inlineStr">
        <is>
          <t>[동읍]</t>
        </is>
      </c>
      <c r="B203" s="0" t="n">
        <v>126919</v>
      </c>
      <c r="C203" s="0" t="n">
        <v>3</v>
      </c>
      <c r="D203" s="0" t="inlineStr">
        <is>
          <t>거림훼미리</t>
        </is>
      </c>
      <c r="E203" s="0" t="inlineStr">
        <is>
          <t>2002.09.</t>
        </is>
      </c>
      <c r="F203" s="0" t="n">
        <v>35</v>
      </c>
      <c r="G203" s="0" t="n">
        <v>30.26</v>
      </c>
      <c r="H203" s="0" t="n">
        <v>100.05</v>
      </c>
      <c r="I203" s="0" t="n">
        <v>24.45</v>
      </c>
      <c r="J203" s="0" t="n">
        <v>80.83</v>
      </c>
      <c r="K203" s="0" t="n">
        <v>17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100</v>
      </c>
      <c r="X203" s="0" t="n">
        <v>9</v>
      </c>
      <c r="Y203" s="0" t="n">
        <v>5</v>
      </c>
      <c r="Z203" s="0" t="inlineStr">
        <is>
          <t>https://new.land.naver.com/complexes/126919?tab=detail&amp;rf=Y</t>
        </is>
      </c>
      <c r="AA203" s="0" t="inlineStr">
        <is>
          <t>경상남도 창원시 의창구 동읍 용잠리 130-7</t>
        </is>
      </c>
      <c r="AB203" s="0" t="inlineStr">
        <is>
          <t>경상남도</t>
        </is>
      </c>
      <c r="AC203" s="0" t="inlineStr">
        <is>
          <t>창원시</t>
        </is>
      </c>
      <c r="AD203" s="0" t="inlineStr">
        <is>
          <t>의창구</t>
        </is>
      </c>
      <c r="AE203" s="0" t="inlineStr">
        <is>
          <t>동읍</t>
        </is>
      </c>
      <c r="AG203" s="0" t="inlineStr">
        <is>
          <t>경상남도 창원시 의창구 용잠로35번길 16</t>
        </is>
      </c>
      <c r="AH203" s="0" t="n">
        <v>0</v>
      </c>
      <c r="AI203" s="0" t="n">
        <v>218</v>
      </c>
    </row>
    <row r="204">
      <c r="A204" s="0" t="inlineStr">
        <is>
          <t>[동읍]</t>
        </is>
      </c>
      <c r="B204" s="0" t="n">
        <v>124117</v>
      </c>
      <c r="C204" s="0" t="n">
        <v>1</v>
      </c>
      <c r="D204" s="0" t="inlineStr">
        <is>
          <t>창원1차비룡벨로스텔라(도시형)</t>
        </is>
      </c>
      <c r="E204" s="0" t="inlineStr">
        <is>
          <t>2018.03.</t>
        </is>
      </c>
      <c r="F204" s="0" t="n">
        <v>39</v>
      </c>
      <c r="G204" s="0" t="n">
        <v>20.59</v>
      </c>
      <c r="H204" s="0" t="n">
        <v>68.09</v>
      </c>
      <c r="I204" s="0" t="n">
        <v>14.74</v>
      </c>
      <c r="J204" s="0" t="n">
        <v>48.76</v>
      </c>
      <c r="K204" s="0" t="n">
        <v>13</v>
      </c>
      <c r="T204" s="0" t="n">
        <v>1</v>
      </c>
      <c r="U204" s="0" t="n">
        <v>1</v>
      </c>
      <c r="V204" s="0" t="inlineStr">
        <is>
          <t>계단식</t>
        </is>
      </c>
      <c r="W204" s="0" t="n">
        <v>68</v>
      </c>
      <c r="X204" s="0" t="n">
        <v>14</v>
      </c>
      <c r="Y204" s="0" t="n">
        <v>14</v>
      </c>
      <c r="Z204" s="0" t="inlineStr">
        <is>
          <t>https://new.land.naver.com/complexes/124117?tab=detail&amp;rf=Y</t>
        </is>
      </c>
      <c r="AA204" s="0" t="inlineStr">
        <is>
          <t>경상남도 창원시 의창구 동읍 용잠리 215-18</t>
        </is>
      </c>
      <c r="AB204" s="0" t="inlineStr">
        <is>
          <t>경상남도</t>
        </is>
      </c>
      <c r="AC204" s="0" t="inlineStr">
        <is>
          <t>창원시</t>
        </is>
      </c>
      <c r="AD204" s="0" t="inlineStr">
        <is>
          <t>의창구</t>
        </is>
      </c>
      <c r="AE204" s="0" t="inlineStr">
        <is>
          <t>동읍</t>
        </is>
      </c>
      <c r="AG204" s="0" t="inlineStr">
        <is>
          <t>경상남도 창원시 의창구 의창대로 905</t>
        </is>
      </c>
      <c r="AH204" s="0" t="n">
        <v>0</v>
      </c>
      <c r="AI204" s="0" t="n">
        <v>427</v>
      </c>
    </row>
    <row r="205">
      <c r="A205" s="0" t="inlineStr">
        <is>
          <t>[동읍]</t>
        </is>
      </c>
      <c r="B205" s="0" t="n">
        <v>124117</v>
      </c>
      <c r="C205" s="0" t="n">
        <v>2</v>
      </c>
      <c r="D205" s="0" t="inlineStr">
        <is>
          <t>창원1차비룡벨로스텔라(도시형)</t>
        </is>
      </c>
      <c r="E205" s="0" t="inlineStr">
        <is>
          <t>2018.03.</t>
        </is>
      </c>
      <c r="F205" s="0" t="n">
        <v>39</v>
      </c>
      <c r="G205" s="0" t="n">
        <v>28.77</v>
      </c>
      <c r="H205" s="0" t="n">
        <v>95.14</v>
      </c>
      <c r="I205" s="0" t="n">
        <v>20.68</v>
      </c>
      <c r="J205" s="0" t="n">
        <v>68.38</v>
      </c>
      <c r="K205" s="0" t="n">
        <v>13</v>
      </c>
      <c r="T205" s="0" t="n">
        <v>1</v>
      </c>
      <c r="U205" s="0" t="n">
        <v>1</v>
      </c>
      <c r="V205" s="0" t="inlineStr">
        <is>
          <t>계단식</t>
        </is>
      </c>
      <c r="W205" s="0" t="n">
        <v>95</v>
      </c>
      <c r="X205" s="0" t="n">
        <v>14</v>
      </c>
      <c r="Y205" s="0" t="n">
        <v>14</v>
      </c>
      <c r="Z205" s="0" t="inlineStr">
        <is>
          <t>https://new.land.naver.com/complexes/124117?tab=detail&amp;rf=Y</t>
        </is>
      </c>
      <c r="AA205" s="0" t="inlineStr">
        <is>
          <t>경상남도 창원시 의창구 동읍 용잠리 215-18</t>
        </is>
      </c>
      <c r="AB205" s="0" t="inlineStr">
        <is>
          <t>경상남도</t>
        </is>
      </c>
      <c r="AC205" s="0" t="inlineStr">
        <is>
          <t>창원시</t>
        </is>
      </c>
      <c r="AD205" s="0" t="inlineStr">
        <is>
          <t>의창구</t>
        </is>
      </c>
      <c r="AE205" s="0" t="inlineStr">
        <is>
          <t>동읍</t>
        </is>
      </c>
      <c r="AG205" s="0" t="inlineStr">
        <is>
          <t>경상남도 창원시 의창구 의창대로 905</t>
        </is>
      </c>
      <c r="AH205" s="0" t="n">
        <v>0</v>
      </c>
      <c r="AI205" s="0" t="n">
        <v>427</v>
      </c>
    </row>
    <row r="206">
      <c r="A206" s="0" t="inlineStr">
        <is>
          <t>[동읍]</t>
        </is>
      </c>
      <c r="B206" s="0" t="n">
        <v>124117</v>
      </c>
      <c r="C206" s="0" t="n">
        <v>3</v>
      </c>
      <c r="D206" s="0" t="inlineStr">
        <is>
          <t>창원1차비룡벨로스텔라(도시형)</t>
        </is>
      </c>
      <c r="E206" s="0" t="inlineStr">
        <is>
          <t>2018.03.</t>
        </is>
      </c>
      <c r="F206" s="0" t="n">
        <v>39</v>
      </c>
      <c r="G206" s="0" t="n">
        <v>31.07</v>
      </c>
      <c r="H206" s="0" t="n">
        <v>102.73</v>
      </c>
      <c r="I206" s="0" t="n">
        <v>22.4</v>
      </c>
      <c r="J206" s="0" t="n">
        <v>74.05</v>
      </c>
      <c r="K206" s="0" t="n">
        <v>13</v>
      </c>
      <c r="T206" s="0" t="n">
        <v>1</v>
      </c>
      <c r="U206" s="0" t="n">
        <v>1</v>
      </c>
      <c r="V206" s="0" t="inlineStr">
        <is>
          <t>계단식</t>
        </is>
      </c>
      <c r="W206" s="0" t="n">
        <v>102</v>
      </c>
      <c r="X206" s="0" t="n">
        <v>14</v>
      </c>
      <c r="Y206" s="0" t="n">
        <v>14</v>
      </c>
      <c r="Z206" s="0" t="inlineStr">
        <is>
          <t>https://new.land.naver.com/complexes/124117?tab=detail&amp;rf=Y</t>
        </is>
      </c>
      <c r="AA206" s="0" t="inlineStr">
        <is>
          <t>경상남도 창원시 의창구 동읍 용잠리 215-18</t>
        </is>
      </c>
      <c r="AB206" s="0" t="inlineStr">
        <is>
          <t>경상남도</t>
        </is>
      </c>
      <c r="AC206" s="0" t="inlineStr">
        <is>
          <t>창원시</t>
        </is>
      </c>
      <c r="AD206" s="0" t="inlineStr">
        <is>
          <t>의창구</t>
        </is>
      </c>
      <c r="AE206" s="0" t="inlineStr">
        <is>
          <t>동읍</t>
        </is>
      </c>
      <c r="AG206" s="0" t="inlineStr">
        <is>
          <t>경상남도 창원시 의창구 의창대로 905</t>
        </is>
      </c>
      <c r="AH206" s="0" t="n">
        <v>0</v>
      </c>
      <c r="AI206" s="0" t="n">
        <v>427</v>
      </c>
    </row>
    <row r="207">
      <c r="A207" s="0" t="inlineStr">
        <is>
          <t>[동읍]</t>
        </is>
      </c>
      <c r="B207" s="0" t="n">
        <v>104831</v>
      </c>
      <c r="C207" s="0" t="n">
        <v>1</v>
      </c>
      <c r="D207" s="0" t="inlineStr">
        <is>
          <t>동보미리내타운</t>
        </is>
      </c>
      <c r="E207" s="0" t="inlineStr">
        <is>
          <t>2001.04.</t>
        </is>
      </c>
      <c r="F207" s="0" t="n">
        <v>79</v>
      </c>
      <c r="G207" s="0" t="n">
        <v>24.65</v>
      </c>
      <c r="H207" s="0" t="n">
        <v>81.51000000000001</v>
      </c>
      <c r="I207" s="0" t="n">
        <v>17.88</v>
      </c>
      <c r="J207" s="0" t="n">
        <v>59.13</v>
      </c>
      <c r="K207" s="0" t="n">
        <v>30</v>
      </c>
      <c r="T207" s="0" t="n">
        <v>3</v>
      </c>
      <c r="U207" s="0" t="n">
        <v>1</v>
      </c>
      <c r="V207" s="0" t="inlineStr">
        <is>
          <t>계단식</t>
        </is>
      </c>
      <c r="W207" s="0" t="n">
        <v>81</v>
      </c>
      <c r="X207" s="0" t="n">
        <v>15</v>
      </c>
      <c r="Y207" s="0" t="n">
        <v>8</v>
      </c>
      <c r="Z207" s="0" t="inlineStr">
        <is>
          <t>https://new.land.naver.com/complexes/104831?tab=detail&amp;rf=Y</t>
        </is>
      </c>
      <c r="AA207" s="0" t="inlineStr">
        <is>
          <t>경상남도 창원시 의창구 동읍 293</t>
        </is>
      </c>
      <c r="AB207" s="0" t="inlineStr">
        <is>
          <t>경상남도</t>
        </is>
      </c>
      <c r="AC207" s="0" t="inlineStr">
        <is>
          <t>창원시</t>
        </is>
      </c>
      <c r="AD207" s="0" t="inlineStr">
        <is>
          <t>의창구</t>
        </is>
      </c>
      <c r="AE207" s="0" t="inlineStr">
        <is>
          <t>동읍</t>
        </is>
      </c>
      <c r="AG207" s="0" t="inlineStr">
        <is>
          <t>경상남도 창원시 의창구 무성길47번길 24</t>
        </is>
      </c>
      <c r="AH207" s="0" t="n">
        <v>0</v>
      </c>
      <c r="AI207" s="0" t="n">
        <v>188</v>
      </c>
    </row>
    <row r="208">
      <c r="A208" s="0" t="inlineStr">
        <is>
          <t>[동읍]</t>
        </is>
      </c>
      <c r="B208" s="0" t="n">
        <v>104831</v>
      </c>
      <c r="C208" s="0" t="n">
        <v>2</v>
      </c>
      <c r="D208" s="0" t="inlineStr">
        <is>
          <t>동보미리내타운</t>
        </is>
      </c>
      <c r="E208" s="0" t="inlineStr">
        <is>
          <t>2001.04.</t>
        </is>
      </c>
      <c r="F208" s="0" t="n">
        <v>79</v>
      </c>
      <c r="G208" s="0" t="n">
        <v>32.62</v>
      </c>
      <c r="H208" s="0" t="n">
        <v>107.86</v>
      </c>
      <c r="I208" s="0" t="n">
        <v>23.66</v>
      </c>
      <c r="J208" s="0" t="n">
        <v>78.23999999999999</v>
      </c>
      <c r="K208" s="0" t="n">
        <v>29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107A</t>
        </is>
      </c>
      <c r="X208" s="0" t="n">
        <v>15</v>
      </c>
      <c r="Y208" s="0" t="n">
        <v>8</v>
      </c>
      <c r="Z208" s="0" t="inlineStr">
        <is>
          <t>https://new.land.naver.com/complexes/104831?tab=detail&amp;rf=Y</t>
        </is>
      </c>
      <c r="AA208" s="0" t="inlineStr">
        <is>
          <t>경상남도 창원시 의창구 동읍 293</t>
        </is>
      </c>
      <c r="AB208" s="0" t="inlineStr">
        <is>
          <t>경상남도</t>
        </is>
      </c>
      <c r="AC208" s="0" t="inlineStr">
        <is>
          <t>창원시</t>
        </is>
      </c>
      <c r="AD208" s="0" t="inlineStr">
        <is>
          <t>의창구</t>
        </is>
      </c>
      <c r="AE208" s="0" t="inlineStr">
        <is>
          <t>동읍</t>
        </is>
      </c>
      <c r="AG208" s="0" t="inlineStr">
        <is>
          <t>경상남도 창원시 의창구 무성길47번길 24</t>
        </is>
      </c>
      <c r="AH208" s="0" t="n">
        <v>0</v>
      </c>
      <c r="AI208" s="0" t="n">
        <v>188</v>
      </c>
    </row>
    <row r="209">
      <c r="A209" s="0" t="inlineStr">
        <is>
          <t>[동읍]</t>
        </is>
      </c>
      <c r="B209" s="0" t="n">
        <v>104831</v>
      </c>
      <c r="C209" s="0" t="n">
        <v>3</v>
      </c>
      <c r="D209" s="0" t="inlineStr">
        <is>
          <t>동보미리내타운</t>
        </is>
      </c>
      <c r="E209" s="0" t="inlineStr">
        <is>
          <t>2001.04.</t>
        </is>
      </c>
      <c r="F209" s="0" t="n">
        <v>79</v>
      </c>
      <c r="G209" s="0" t="n">
        <v>33.34</v>
      </c>
      <c r="H209" s="0" t="n">
        <v>110.24</v>
      </c>
      <c r="I209" s="0" t="n">
        <v>25.69</v>
      </c>
      <c r="J209" s="0" t="n">
        <v>84.93000000000001</v>
      </c>
      <c r="K209" s="0" t="n">
        <v>20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110B</t>
        </is>
      </c>
      <c r="X209" s="0" t="n">
        <v>15</v>
      </c>
      <c r="Y209" s="0" t="n">
        <v>8</v>
      </c>
      <c r="Z209" s="0" t="inlineStr">
        <is>
          <t>https://new.land.naver.com/complexes/104831?tab=detail&amp;rf=Y</t>
        </is>
      </c>
      <c r="AA209" s="0" t="inlineStr">
        <is>
          <t>경상남도 창원시 의창구 동읍 293</t>
        </is>
      </c>
      <c r="AB209" s="0" t="inlineStr">
        <is>
          <t>경상남도</t>
        </is>
      </c>
      <c r="AC209" s="0" t="inlineStr">
        <is>
          <t>창원시</t>
        </is>
      </c>
      <c r="AD209" s="0" t="inlineStr">
        <is>
          <t>의창구</t>
        </is>
      </c>
      <c r="AE209" s="0" t="inlineStr">
        <is>
          <t>동읍</t>
        </is>
      </c>
      <c r="AG209" s="0" t="inlineStr">
        <is>
          <t>경상남도 창원시 의창구 무성길47번길 24</t>
        </is>
      </c>
      <c r="AH209" s="0" t="n">
        <v>0</v>
      </c>
      <c r="AI209" s="0" t="n">
        <v>188</v>
      </c>
    </row>
    <row r="210">
      <c r="A210" s="0" t="inlineStr">
        <is>
          <t>[동읍]</t>
        </is>
      </c>
      <c r="B210" s="0" t="n">
        <v>15767</v>
      </c>
      <c r="C210" s="0" t="n">
        <v>1</v>
      </c>
      <c r="D210" s="0" t="inlineStr">
        <is>
          <t>성진까치1차</t>
        </is>
      </c>
      <c r="E210" s="0" t="inlineStr">
        <is>
          <t>1992.06.</t>
        </is>
      </c>
      <c r="F210" s="0" t="n">
        <v>140</v>
      </c>
      <c r="G210" s="0" t="n">
        <v>21.3</v>
      </c>
      <c r="H210" s="0" t="n">
        <v>70.42</v>
      </c>
      <c r="I210" s="0" t="n">
        <v>18.03</v>
      </c>
      <c r="J210" s="0" t="n">
        <v>59.61</v>
      </c>
      <c r="K210" s="0" t="n">
        <v>50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70</v>
      </c>
      <c r="X210" s="0" t="n">
        <v>5</v>
      </c>
      <c r="Y210" s="0" t="n">
        <v>5</v>
      </c>
      <c r="Z210" s="0" t="inlineStr">
        <is>
          <t>https://new.land.naver.com/complexes/15767?tab=detail&amp;rf=Y</t>
        </is>
      </c>
      <c r="AA210" s="0" t="inlineStr">
        <is>
          <t>경상남도 창원시 의창구 동읍 용정리 19-3</t>
        </is>
      </c>
      <c r="AB210" s="0" t="inlineStr">
        <is>
          <t>경상남도</t>
        </is>
      </c>
      <c r="AC210" s="0" t="inlineStr">
        <is>
          <t>창원시</t>
        </is>
      </c>
      <c r="AD210" s="0" t="inlineStr">
        <is>
          <t>의창구</t>
        </is>
      </c>
      <c r="AE210" s="0" t="inlineStr">
        <is>
          <t>동읍</t>
        </is>
      </c>
      <c r="AG210" s="0" t="inlineStr">
        <is>
          <t>경상남도 창원시 의창구 단계로 84</t>
        </is>
      </c>
      <c r="AH210" s="0" t="n">
        <v>0</v>
      </c>
      <c r="AI210" s="0" t="n">
        <v>176</v>
      </c>
    </row>
    <row r="211">
      <c r="A211" s="0" t="inlineStr">
        <is>
          <t>[동읍]</t>
        </is>
      </c>
      <c r="B211" s="0" t="n">
        <v>15767</v>
      </c>
      <c r="C211" s="0" t="n">
        <v>2</v>
      </c>
      <c r="D211" s="0" t="inlineStr">
        <is>
          <t>성진까치1차</t>
        </is>
      </c>
      <c r="E211" s="0" t="inlineStr">
        <is>
          <t>1992.06.</t>
        </is>
      </c>
      <c r="F211" s="0" t="n">
        <v>140</v>
      </c>
      <c r="G211" s="0" t="n">
        <v>29.14</v>
      </c>
      <c r="H211" s="0" t="n">
        <v>96.34999999999999</v>
      </c>
      <c r="I211" s="0" t="n">
        <v>25.62</v>
      </c>
      <c r="J211" s="0" t="n">
        <v>84.72</v>
      </c>
      <c r="K211" s="0" t="n">
        <v>60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96B</t>
        </is>
      </c>
      <c r="X211" s="0" t="n">
        <v>5</v>
      </c>
      <c r="Y211" s="0" t="n">
        <v>5</v>
      </c>
      <c r="Z211" s="0" t="inlineStr">
        <is>
          <t>https://new.land.naver.com/complexes/15767?tab=detail&amp;rf=Y</t>
        </is>
      </c>
      <c r="AA211" s="0" t="inlineStr">
        <is>
          <t>경상남도 창원시 의창구 동읍 용정리 19-3</t>
        </is>
      </c>
      <c r="AB211" s="0" t="inlineStr">
        <is>
          <t>경상남도</t>
        </is>
      </c>
      <c r="AC211" s="0" t="inlineStr">
        <is>
          <t>창원시</t>
        </is>
      </c>
      <c r="AD211" s="0" t="inlineStr">
        <is>
          <t>의창구</t>
        </is>
      </c>
      <c r="AE211" s="0" t="inlineStr">
        <is>
          <t>동읍</t>
        </is>
      </c>
      <c r="AG211" s="0" t="inlineStr">
        <is>
          <t>경상남도 창원시 의창구 단계로 84</t>
        </is>
      </c>
      <c r="AH211" s="0" t="n">
        <v>0</v>
      </c>
      <c r="AI211" s="0" t="n">
        <v>176</v>
      </c>
    </row>
    <row r="212">
      <c r="A212" s="0" t="inlineStr">
        <is>
          <t>[동읍]</t>
        </is>
      </c>
      <c r="B212" s="0" t="n">
        <v>15767</v>
      </c>
      <c r="C212" s="0" t="n">
        <v>3</v>
      </c>
      <c r="D212" s="0" t="inlineStr">
        <is>
          <t>성진까치1차</t>
        </is>
      </c>
      <c r="E212" s="0" t="inlineStr">
        <is>
          <t>1992.06.</t>
        </is>
      </c>
      <c r="F212" s="0" t="n">
        <v>140</v>
      </c>
      <c r="G212" s="0" t="n">
        <v>29.1</v>
      </c>
      <c r="H212" s="0" t="n">
        <v>96.2</v>
      </c>
      <c r="I212" s="0" t="n">
        <v>25.43</v>
      </c>
      <c r="J212" s="0" t="n">
        <v>84.09</v>
      </c>
      <c r="K212" s="0" t="n">
        <v>30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96A</t>
        </is>
      </c>
      <c r="X212" s="0" t="n">
        <v>5</v>
      </c>
      <c r="Y212" s="0" t="n">
        <v>5</v>
      </c>
      <c r="Z212" s="0" t="inlineStr">
        <is>
          <t>https://new.land.naver.com/complexes/15767?tab=detail&amp;rf=Y</t>
        </is>
      </c>
      <c r="AA212" s="0" t="inlineStr">
        <is>
          <t>경상남도 창원시 의창구 동읍 용정리 19-3</t>
        </is>
      </c>
      <c r="AB212" s="0" t="inlineStr">
        <is>
          <t>경상남도</t>
        </is>
      </c>
      <c r="AC212" s="0" t="inlineStr">
        <is>
          <t>창원시</t>
        </is>
      </c>
      <c r="AD212" s="0" t="inlineStr">
        <is>
          <t>의창구</t>
        </is>
      </c>
      <c r="AE212" s="0" t="inlineStr">
        <is>
          <t>동읍</t>
        </is>
      </c>
      <c r="AG212" s="0" t="inlineStr">
        <is>
          <t>경상남도 창원시 의창구 단계로 84</t>
        </is>
      </c>
      <c r="AH212" s="0" t="n">
        <v>0</v>
      </c>
      <c r="AI212" s="0" t="n">
        <v>176</v>
      </c>
    </row>
    <row r="213">
      <c r="A213" s="0" t="inlineStr">
        <is>
          <t>[동읍]</t>
        </is>
      </c>
      <c r="B213" s="0" t="n">
        <v>15755</v>
      </c>
      <c r="C213" s="0" t="n">
        <v>1</v>
      </c>
      <c r="D213" s="0" t="inlineStr">
        <is>
          <t>동부산3차</t>
        </is>
      </c>
      <c r="E213" s="0" t="inlineStr">
        <is>
          <t>1999.05.</t>
        </is>
      </c>
      <c r="F213" s="0" t="n">
        <v>86</v>
      </c>
      <c r="G213" s="0" t="n">
        <v>30.54</v>
      </c>
      <c r="H213" s="0" t="n">
        <v>100.96</v>
      </c>
      <c r="I213" s="0" t="n">
        <v>24.56</v>
      </c>
      <c r="J213" s="0" t="n">
        <v>81.20999999999999</v>
      </c>
      <c r="K213" s="0" t="n">
        <v>86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100</v>
      </c>
      <c r="X213" s="0" t="n">
        <v>11</v>
      </c>
      <c r="Y213" s="0" t="n">
        <v>9</v>
      </c>
      <c r="Z213" s="0" t="inlineStr">
        <is>
          <t>https://new.land.naver.com/complexes/15755?tab=detail&amp;rf=Y</t>
        </is>
      </c>
      <c r="AA213" s="0" t="inlineStr">
        <is>
          <t>경상남도 창원시 의창구 동읍 용정리 22-2</t>
        </is>
      </c>
      <c r="AB213" s="0" t="inlineStr">
        <is>
          <t>경상남도</t>
        </is>
      </c>
      <c r="AC213" s="0" t="inlineStr">
        <is>
          <t>창원시</t>
        </is>
      </c>
      <c r="AD213" s="0" t="inlineStr">
        <is>
          <t>의창구</t>
        </is>
      </c>
      <c r="AE213" s="0" t="inlineStr">
        <is>
          <t>동읍</t>
        </is>
      </c>
      <c r="AG213" s="0" t="inlineStr">
        <is>
          <t>경상남도 창원시 의창구 용정길46번길 32</t>
        </is>
      </c>
      <c r="AH213" s="0" t="n">
        <v>0</v>
      </c>
      <c r="AI213" s="0" t="n">
        <v>210</v>
      </c>
    </row>
    <row r="214">
      <c r="A214" s="0" t="inlineStr">
        <is>
          <t>[동읍]</t>
        </is>
      </c>
      <c r="B214" s="0" t="n">
        <v>102438</v>
      </c>
      <c r="C214" s="0" t="n">
        <v>1</v>
      </c>
      <c r="D214" s="0" t="inlineStr">
        <is>
          <t>성원전원맨션</t>
        </is>
      </c>
      <c r="E214" s="0" t="inlineStr">
        <is>
          <t>1991.12.</t>
        </is>
      </c>
      <c r="F214" s="0" t="n">
        <v>89</v>
      </c>
      <c r="G214" s="0" t="n">
        <v>26.52</v>
      </c>
      <c r="H214" s="0" t="n">
        <v>87.7</v>
      </c>
      <c r="I214" s="0" t="n">
        <v>24.46</v>
      </c>
      <c r="J214" s="0" t="n">
        <v>80.88</v>
      </c>
      <c r="K214" s="0" t="n">
        <v>10</v>
      </c>
      <c r="T214" s="0" t="n">
        <v>3</v>
      </c>
      <c r="U214" s="0" t="n">
        <v>1</v>
      </c>
      <c r="V214" s="0" t="inlineStr">
        <is>
          <t>복도식</t>
        </is>
      </c>
      <c r="W214" s="0" t="inlineStr">
        <is>
          <t>87A</t>
        </is>
      </c>
      <c r="X214" s="0" t="n">
        <v>5</v>
      </c>
      <c r="Y214" s="0" t="n">
        <v>5</v>
      </c>
      <c r="Z214" s="0" t="inlineStr">
        <is>
          <t>https://new.land.naver.com/complexes/102438?tab=detail&amp;rf=Y</t>
        </is>
      </c>
      <c r="AA214" s="0" t="inlineStr">
        <is>
          <t>경상남도 창원시 의창구 동읍 용정리 22-5</t>
        </is>
      </c>
      <c r="AB214" s="0" t="inlineStr">
        <is>
          <t>경상남도</t>
        </is>
      </c>
      <c r="AC214" s="0" t="inlineStr">
        <is>
          <t>창원시</t>
        </is>
      </c>
      <c r="AD214" s="0" t="inlineStr">
        <is>
          <t>의창구</t>
        </is>
      </c>
      <c r="AE214" s="0" t="inlineStr">
        <is>
          <t>동읍</t>
        </is>
      </c>
      <c r="AG214" s="0" t="inlineStr">
        <is>
          <t>경상남도 창원시 의창구 용정길46번길 40</t>
        </is>
      </c>
      <c r="AH214" s="0" t="n">
        <v>0</v>
      </c>
      <c r="AI214" s="0" t="n">
        <v>0</v>
      </c>
    </row>
    <row r="215">
      <c r="A215" s="0" t="inlineStr">
        <is>
          <t>[동읍]</t>
        </is>
      </c>
      <c r="B215" s="0" t="n">
        <v>102438</v>
      </c>
      <c r="C215" s="0" t="n">
        <v>2</v>
      </c>
      <c r="D215" s="0" t="inlineStr">
        <is>
          <t>성원전원맨션</t>
        </is>
      </c>
      <c r="E215" s="0" t="inlineStr">
        <is>
          <t>1991.12.</t>
        </is>
      </c>
      <c r="F215" s="0" t="n">
        <v>89</v>
      </c>
      <c r="G215" s="0" t="n">
        <v>27.43</v>
      </c>
      <c r="H215" s="0" t="n">
        <v>90.68000000000001</v>
      </c>
      <c r="I215" s="0" t="n">
        <v>25.36</v>
      </c>
      <c r="J215" s="0" t="n">
        <v>83.84999999999999</v>
      </c>
      <c r="K215" s="0" t="n">
        <v>10</v>
      </c>
      <c r="T215" s="0" t="n">
        <v>3</v>
      </c>
      <c r="U215" s="0" t="n">
        <v>1</v>
      </c>
      <c r="V215" s="0" t="inlineStr">
        <is>
          <t>복도식</t>
        </is>
      </c>
      <c r="W215" s="0" t="inlineStr">
        <is>
          <t>90B</t>
        </is>
      </c>
      <c r="X215" s="0" t="n">
        <v>5</v>
      </c>
      <c r="Y215" s="0" t="n">
        <v>5</v>
      </c>
      <c r="Z215" s="0" t="inlineStr">
        <is>
          <t>https://new.land.naver.com/complexes/102438?tab=detail&amp;rf=Y</t>
        </is>
      </c>
      <c r="AA215" s="0" t="inlineStr">
        <is>
          <t>경상남도 창원시 의창구 동읍 용정리 22-5</t>
        </is>
      </c>
      <c r="AB215" s="0" t="inlineStr">
        <is>
          <t>경상남도</t>
        </is>
      </c>
      <c r="AC215" s="0" t="inlineStr">
        <is>
          <t>창원시</t>
        </is>
      </c>
      <c r="AD215" s="0" t="inlineStr">
        <is>
          <t>의창구</t>
        </is>
      </c>
      <c r="AE215" s="0" t="inlineStr">
        <is>
          <t>동읍</t>
        </is>
      </c>
      <c r="AG215" s="0" t="inlineStr">
        <is>
          <t>경상남도 창원시 의창구 용정길46번길 40</t>
        </is>
      </c>
      <c r="AH215" s="0" t="n">
        <v>0</v>
      </c>
      <c r="AI215" s="0" t="n">
        <v>0</v>
      </c>
    </row>
    <row r="216">
      <c r="A216" s="0" t="inlineStr">
        <is>
          <t>[동읍]</t>
        </is>
      </c>
      <c r="B216" s="0" t="n">
        <v>102438</v>
      </c>
      <c r="C216" s="0" t="n">
        <v>3</v>
      </c>
      <c r="D216" s="0" t="inlineStr">
        <is>
          <t>성원전원맨션</t>
        </is>
      </c>
      <c r="E216" s="0" t="inlineStr">
        <is>
          <t>1991.12.</t>
        </is>
      </c>
      <c r="F216" s="0" t="n">
        <v>89</v>
      </c>
      <c r="G216" s="0" t="n">
        <v>27.86</v>
      </c>
      <c r="H216" s="0" t="n">
        <v>92.11</v>
      </c>
      <c r="I216" s="0" t="n">
        <v>25.67</v>
      </c>
      <c r="J216" s="0" t="n">
        <v>84.89</v>
      </c>
      <c r="K216" s="0" t="n">
        <v>14</v>
      </c>
      <c r="T216" s="0" t="n">
        <v>3</v>
      </c>
      <c r="U216" s="0" t="n">
        <v>1</v>
      </c>
      <c r="V216" s="0" t="inlineStr">
        <is>
          <t>복도식</t>
        </is>
      </c>
      <c r="W216" s="0" t="inlineStr">
        <is>
          <t>92C</t>
        </is>
      </c>
      <c r="X216" s="0" t="n">
        <v>5</v>
      </c>
      <c r="Y216" s="0" t="n">
        <v>5</v>
      </c>
      <c r="Z216" s="0" t="inlineStr">
        <is>
          <t>https://new.land.naver.com/complexes/102438?tab=detail&amp;rf=Y</t>
        </is>
      </c>
      <c r="AA216" s="0" t="inlineStr">
        <is>
          <t>경상남도 창원시 의창구 동읍 용정리 22-5</t>
        </is>
      </c>
      <c r="AB216" s="0" t="inlineStr">
        <is>
          <t>경상남도</t>
        </is>
      </c>
      <c r="AC216" s="0" t="inlineStr">
        <is>
          <t>창원시</t>
        </is>
      </c>
      <c r="AD216" s="0" t="inlineStr">
        <is>
          <t>의창구</t>
        </is>
      </c>
      <c r="AE216" s="0" t="inlineStr">
        <is>
          <t>동읍</t>
        </is>
      </c>
      <c r="AG216" s="0" t="inlineStr">
        <is>
          <t>경상남도 창원시 의창구 용정길46번길 40</t>
        </is>
      </c>
      <c r="AH216" s="0" t="n">
        <v>0</v>
      </c>
      <c r="AI216" s="0" t="n">
        <v>0</v>
      </c>
    </row>
    <row r="217">
      <c r="A217" s="0" t="inlineStr">
        <is>
          <t>[동읍]</t>
        </is>
      </c>
      <c r="B217" s="0" t="n">
        <v>102438</v>
      </c>
      <c r="C217" s="0" t="n">
        <v>4</v>
      </c>
      <c r="D217" s="0" t="inlineStr">
        <is>
          <t>성원전원맨션</t>
        </is>
      </c>
      <c r="E217" s="0" t="inlineStr">
        <is>
          <t>1991.12.</t>
        </is>
      </c>
      <c r="F217" s="0" t="n">
        <v>89</v>
      </c>
      <c r="G217" s="0" t="n">
        <v>27.87</v>
      </c>
      <c r="H217" s="0" t="n">
        <v>92.15000000000001</v>
      </c>
      <c r="I217" s="0" t="n">
        <v>25.69</v>
      </c>
      <c r="J217" s="0" t="n">
        <v>84.93000000000001</v>
      </c>
      <c r="K217" s="0" t="n">
        <v>5</v>
      </c>
      <c r="T217" s="0" t="n">
        <v>3</v>
      </c>
      <c r="U217" s="0" t="n">
        <v>1</v>
      </c>
      <c r="V217" s="0" t="inlineStr">
        <is>
          <t>복도식</t>
        </is>
      </c>
      <c r="W217" s="0" t="n">
        <v>92</v>
      </c>
      <c r="X217" s="0" t="n">
        <v>5</v>
      </c>
      <c r="Y217" s="0" t="n">
        <v>5</v>
      </c>
      <c r="Z217" s="0" t="inlineStr">
        <is>
          <t>https://new.land.naver.com/complexes/102438?tab=detail&amp;rf=Y</t>
        </is>
      </c>
      <c r="AA217" s="0" t="inlineStr">
        <is>
          <t>경상남도 창원시 의창구 동읍 용정리 22-5</t>
        </is>
      </c>
      <c r="AB217" s="0" t="inlineStr">
        <is>
          <t>경상남도</t>
        </is>
      </c>
      <c r="AC217" s="0" t="inlineStr">
        <is>
          <t>창원시</t>
        </is>
      </c>
      <c r="AD217" s="0" t="inlineStr">
        <is>
          <t>의창구</t>
        </is>
      </c>
      <c r="AE217" s="0" t="inlineStr">
        <is>
          <t>동읍</t>
        </is>
      </c>
      <c r="AG217" s="0" t="inlineStr">
        <is>
          <t>경상남도 창원시 의창구 용정길46번길 40</t>
        </is>
      </c>
      <c r="AH217" s="0" t="n">
        <v>0</v>
      </c>
      <c r="AI217" s="0" t="n">
        <v>0</v>
      </c>
    </row>
    <row r="218">
      <c r="A218" s="0" t="inlineStr">
        <is>
          <t>[동읍]</t>
        </is>
      </c>
      <c r="B218" s="0" t="n">
        <v>102438</v>
      </c>
      <c r="C218" s="0" t="n">
        <v>5</v>
      </c>
      <c r="D218" s="0" t="inlineStr">
        <is>
          <t>성원전원맨션</t>
        </is>
      </c>
      <c r="E218" s="0" t="inlineStr">
        <is>
          <t>1991.12.</t>
        </is>
      </c>
      <c r="F218" s="0" t="n">
        <v>89</v>
      </c>
      <c r="G218" s="0" t="n">
        <v>29.49</v>
      </c>
      <c r="H218" s="0" t="n">
        <v>97.52</v>
      </c>
      <c r="I218" s="0" t="n">
        <v>25.55</v>
      </c>
      <c r="J218" s="0" t="n">
        <v>84.48</v>
      </c>
      <c r="K218" s="0" t="n">
        <v>40</v>
      </c>
      <c r="T218" s="0" t="n">
        <v>3</v>
      </c>
      <c r="U218" s="0" t="n">
        <v>1</v>
      </c>
      <c r="V218" s="0" t="inlineStr">
        <is>
          <t>계단식</t>
        </is>
      </c>
      <c r="W218" s="0" t="inlineStr">
        <is>
          <t>97A</t>
        </is>
      </c>
      <c r="X218" s="0" t="n">
        <v>5</v>
      </c>
      <c r="Y218" s="0" t="n">
        <v>5</v>
      </c>
      <c r="Z218" s="0" t="inlineStr">
        <is>
          <t>https://new.land.naver.com/complexes/102438?tab=detail&amp;rf=Y</t>
        </is>
      </c>
      <c r="AA218" s="0" t="inlineStr">
        <is>
          <t>경상남도 창원시 의창구 동읍 용정리 22-5</t>
        </is>
      </c>
      <c r="AB218" s="0" t="inlineStr">
        <is>
          <t>경상남도</t>
        </is>
      </c>
      <c r="AC218" s="0" t="inlineStr">
        <is>
          <t>창원시</t>
        </is>
      </c>
      <c r="AD218" s="0" t="inlineStr">
        <is>
          <t>의창구</t>
        </is>
      </c>
      <c r="AE218" s="0" t="inlineStr">
        <is>
          <t>동읍</t>
        </is>
      </c>
      <c r="AG218" s="0" t="inlineStr">
        <is>
          <t>경상남도 창원시 의창구 용정길46번길 40</t>
        </is>
      </c>
      <c r="AH218" s="0" t="n">
        <v>0</v>
      </c>
      <c r="AI218" s="0" t="n">
        <v>0</v>
      </c>
    </row>
    <row r="219">
      <c r="A219" s="0" t="inlineStr">
        <is>
          <t>[동읍]</t>
        </is>
      </c>
      <c r="B219" s="0" t="n">
        <v>102438</v>
      </c>
      <c r="C219" s="0" t="n">
        <v>6</v>
      </c>
      <c r="D219" s="0" t="inlineStr">
        <is>
          <t>성원전원맨션</t>
        </is>
      </c>
      <c r="E219" s="0" t="inlineStr">
        <is>
          <t>1991.12.</t>
        </is>
      </c>
      <c r="F219" s="0" t="n">
        <v>89</v>
      </c>
      <c r="G219" s="0" t="n">
        <v>29.54</v>
      </c>
      <c r="H219" s="0" t="n">
        <v>97.66</v>
      </c>
      <c r="I219" s="0" t="n">
        <v>25.59</v>
      </c>
      <c r="J219" s="0" t="n">
        <v>84.62</v>
      </c>
      <c r="K219" s="0" t="n">
        <v>10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97B</t>
        </is>
      </c>
      <c r="X219" s="0" t="n">
        <v>5</v>
      </c>
      <c r="Y219" s="0" t="n">
        <v>5</v>
      </c>
      <c r="Z219" s="0" t="inlineStr">
        <is>
          <t>https://new.land.naver.com/complexes/102438?tab=detail&amp;rf=Y</t>
        </is>
      </c>
      <c r="AA219" s="0" t="inlineStr">
        <is>
          <t>경상남도 창원시 의창구 동읍 용정리 22-5</t>
        </is>
      </c>
      <c r="AB219" s="0" t="inlineStr">
        <is>
          <t>경상남도</t>
        </is>
      </c>
      <c r="AC219" s="0" t="inlineStr">
        <is>
          <t>창원시</t>
        </is>
      </c>
      <c r="AD219" s="0" t="inlineStr">
        <is>
          <t>의창구</t>
        </is>
      </c>
      <c r="AE219" s="0" t="inlineStr">
        <is>
          <t>동읍</t>
        </is>
      </c>
      <c r="AG219" s="0" t="inlineStr">
        <is>
          <t>경상남도 창원시 의창구 용정길46번길 40</t>
        </is>
      </c>
      <c r="AH219" s="0" t="n">
        <v>0</v>
      </c>
      <c r="AI219" s="0" t="n">
        <v>0</v>
      </c>
    </row>
    <row r="220">
      <c r="A220" s="0" t="inlineStr">
        <is>
          <t>[동읍]</t>
        </is>
      </c>
      <c r="B220" s="0" t="n">
        <v>7711</v>
      </c>
      <c r="C220" s="0" t="n">
        <v>1</v>
      </c>
      <c r="D220" s="0" t="inlineStr">
        <is>
          <t>삼진</t>
        </is>
      </c>
      <c r="E220" s="0" t="inlineStr">
        <is>
          <t>1989.03.</t>
        </is>
      </c>
      <c r="F220" s="0" t="n">
        <v>325</v>
      </c>
      <c r="G220" s="0" t="n">
        <v>14.74</v>
      </c>
      <c r="H220" s="0" t="n">
        <v>48.75</v>
      </c>
      <c r="I220" s="0" t="n">
        <v>12.89</v>
      </c>
      <c r="J220" s="0" t="n">
        <v>42.64</v>
      </c>
      <c r="K220" s="0" t="n">
        <v>50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48</v>
      </c>
      <c r="X220" s="0" t="n">
        <v>5</v>
      </c>
      <c r="Y220" s="0" t="n">
        <v>5</v>
      </c>
      <c r="Z220" s="0" t="inlineStr">
        <is>
          <t>https://new.land.naver.com/complexes/7711?tab=detail&amp;rf=Y</t>
        </is>
      </c>
      <c r="AA220" s="0" t="inlineStr">
        <is>
          <t>경상남도 창원시 의창구 동읍 용잠리 250</t>
        </is>
      </c>
      <c r="AB220" s="0" t="inlineStr">
        <is>
          <t>경상남도</t>
        </is>
      </c>
      <c r="AC220" s="0" t="inlineStr">
        <is>
          <t>창원시</t>
        </is>
      </c>
      <c r="AD220" s="0" t="inlineStr">
        <is>
          <t>의창구</t>
        </is>
      </c>
      <c r="AE220" s="0" t="inlineStr">
        <is>
          <t>동읍</t>
        </is>
      </c>
      <c r="AG220" s="0" t="inlineStr">
        <is>
          <t>경상남도 창원시 의창구 의창대로915번길 8</t>
        </is>
      </c>
      <c r="AH220" s="0" t="n">
        <v>0</v>
      </c>
      <c r="AI220" s="0" t="n">
        <v>153</v>
      </c>
    </row>
    <row r="221">
      <c r="A221" s="0" t="inlineStr">
        <is>
          <t>[동읍]</t>
        </is>
      </c>
      <c r="B221" s="0" t="n">
        <v>7711</v>
      </c>
      <c r="C221" s="0" t="n">
        <v>2</v>
      </c>
      <c r="D221" s="0" t="inlineStr">
        <is>
          <t>삼진</t>
        </is>
      </c>
      <c r="E221" s="0" t="inlineStr">
        <is>
          <t>1989.03.</t>
        </is>
      </c>
      <c r="F221" s="0" t="n">
        <v>325</v>
      </c>
      <c r="G221" s="0" t="n">
        <v>16.85</v>
      </c>
      <c r="H221" s="0" t="n">
        <v>55.71</v>
      </c>
      <c r="I221" s="0" t="n">
        <v>15</v>
      </c>
      <c r="J221" s="0" t="n">
        <v>49.6</v>
      </c>
      <c r="K221" s="0" t="n">
        <v>70</v>
      </c>
      <c r="T221" s="0" t="n">
        <v>2</v>
      </c>
      <c r="U221" s="0" t="n">
        <v>1</v>
      </c>
      <c r="V221" s="0" t="inlineStr">
        <is>
          <t>계단식</t>
        </is>
      </c>
      <c r="W221" s="0" t="n">
        <v>55</v>
      </c>
      <c r="X221" s="0" t="n">
        <v>5</v>
      </c>
      <c r="Y221" s="0" t="n">
        <v>5</v>
      </c>
      <c r="Z221" s="0" t="inlineStr">
        <is>
          <t>https://new.land.naver.com/complexes/7711?tab=detail&amp;rf=Y</t>
        </is>
      </c>
      <c r="AA221" s="0" t="inlineStr">
        <is>
          <t>경상남도 창원시 의창구 동읍 용잠리 250</t>
        </is>
      </c>
      <c r="AB221" s="0" t="inlineStr">
        <is>
          <t>경상남도</t>
        </is>
      </c>
      <c r="AC221" s="0" t="inlineStr">
        <is>
          <t>창원시</t>
        </is>
      </c>
      <c r="AD221" s="0" t="inlineStr">
        <is>
          <t>의창구</t>
        </is>
      </c>
      <c r="AE221" s="0" t="inlineStr">
        <is>
          <t>동읍</t>
        </is>
      </c>
      <c r="AG221" s="0" t="inlineStr">
        <is>
          <t>경상남도 창원시 의창구 의창대로915번길 8</t>
        </is>
      </c>
      <c r="AH221" s="0" t="n">
        <v>0</v>
      </c>
      <c r="AI221" s="0" t="n">
        <v>153</v>
      </c>
    </row>
    <row r="222">
      <c r="A222" s="0" t="inlineStr">
        <is>
          <t>[동읍]</t>
        </is>
      </c>
      <c r="B222" s="0" t="n">
        <v>7711</v>
      </c>
      <c r="C222" s="0" t="n">
        <v>3</v>
      </c>
      <c r="D222" s="0" t="inlineStr">
        <is>
          <t>삼진</t>
        </is>
      </c>
      <c r="E222" s="0" t="inlineStr">
        <is>
          <t>1989.03.</t>
        </is>
      </c>
      <c r="F222" s="0" t="n">
        <v>325</v>
      </c>
      <c r="G222" s="0" t="n">
        <v>17.74</v>
      </c>
      <c r="H222" s="0" t="n">
        <v>58.67</v>
      </c>
      <c r="I222" s="0" t="n">
        <v>15.77</v>
      </c>
      <c r="J222" s="0" t="n">
        <v>52.15</v>
      </c>
      <c r="K222" s="0" t="n">
        <v>200</v>
      </c>
      <c r="T222" s="0" t="n">
        <v>2</v>
      </c>
      <c r="U222" s="0" t="n">
        <v>1</v>
      </c>
      <c r="V222" s="0" t="inlineStr">
        <is>
          <t>계단식</t>
        </is>
      </c>
      <c r="W222" s="0" t="n">
        <v>58</v>
      </c>
      <c r="X222" s="0" t="n">
        <v>5</v>
      </c>
      <c r="Y222" s="0" t="n">
        <v>5</v>
      </c>
      <c r="Z222" s="0" t="inlineStr">
        <is>
          <t>https://new.land.naver.com/complexes/7711?tab=detail&amp;rf=Y</t>
        </is>
      </c>
      <c r="AA222" s="0" t="inlineStr">
        <is>
          <t>경상남도 창원시 의창구 동읍 용잠리 250</t>
        </is>
      </c>
      <c r="AB222" s="0" t="inlineStr">
        <is>
          <t>경상남도</t>
        </is>
      </c>
      <c r="AC222" s="0" t="inlineStr">
        <is>
          <t>창원시</t>
        </is>
      </c>
      <c r="AD222" s="0" t="inlineStr">
        <is>
          <t>의창구</t>
        </is>
      </c>
      <c r="AE222" s="0" t="inlineStr">
        <is>
          <t>동읍</t>
        </is>
      </c>
      <c r="AG222" s="0" t="inlineStr">
        <is>
          <t>경상남도 창원시 의창구 의창대로915번길 8</t>
        </is>
      </c>
      <c r="AH222" s="0" t="n">
        <v>0</v>
      </c>
      <c r="AI222" s="0" t="n">
        <v>153</v>
      </c>
    </row>
    <row r="223">
      <c r="A223" s="0" t="inlineStr">
        <is>
          <t>[동읍]</t>
        </is>
      </c>
      <c r="B223" s="0" t="n">
        <v>7711</v>
      </c>
      <c r="C223" s="0" t="n">
        <v>4</v>
      </c>
      <c r="D223" s="0" t="inlineStr">
        <is>
          <t>삼진</t>
        </is>
      </c>
      <c r="E223" s="0" t="inlineStr">
        <is>
          <t>1989.03.</t>
        </is>
      </c>
      <c r="F223" s="0" t="n">
        <v>325</v>
      </c>
      <c r="G223" s="0" t="n">
        <v>20.96</v>
      </c>
      <c r="H223" s="0" t="n">
        <v>69.3</v>
      </c>
      <c r="I223" s="0" t="n">
        <v>17.12</v>
      </c>
      <c r="J223" s="0" t="n">
        <v>56.6</v>
      </c>
      <c r="K223" s="0" t="n">
        <v>5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69</v>
      </c>
      <c r="X223" s="0" t="n">
        <v>5</v>
      </c>
      <c r="Y223" s="0" t="n">
        <v>5</v>
      </c>
      <c r="Z223" s="0" t="inlineStr">
        <is>
          <t>https://new.land.naver.com/complexes/7711?tab=detail&amp;rf=Y</t>
        </is>
      </c>
      <c r="AA223" s="0" t="inlineStr">
        <is>
          <t>경상남도 창원시 의창구 동읍 용잠리 250</t>
        </is>
      </c>
      <c r="AB223" s="0" t="inlineStr">
        <is>
          <t>경상남도</t>
        </is>
      </c>
      <c r="AC223" s="0" t="inlineStr">
        <is>
          <t>창원시</t>
        </is>
      </c>
      <c r="AD223" s="0" t="inlineStr">
        <is>
          <t>의창구</t>
        </is>
      </c>
      <c r="AE223" s="0" t="inlineStr">
        <is>
          <t>동읍</t>
        </is>
      </c>
      <c r="AG223" s="0" t="inlineStr">
        <is>
          <t>경상남도 창원시 의창구 의창대로915번길 8</t>
        </is>
      </c>
      <c r="AH223" s="0" t="n">
        <v>0</v>
      </c>
      <c r="AI223" s="0" t="n">
        <v>153</v>
      </c>
    </row>
    <row r="224">
      <c r="A224" s="0" t="inlineStr">
        <is>
          <t>[동읍]</t>
        </is>
      </c>
      <c r="B224" s="0" t="n">
        <v>15771</v>
      </c>
      <c r="C224" s="0" t="n">
        <v>1</v>
      </c>
      <c r="D224" s="0" t="inlineStr">
        <is>
          <t>신안맨션</t>
        </is>
      </c>
      <c r="E224" s="0" t="inlineStr">
        <is>
          <t>1997.11.</t>
        </is>
      </c>
      <c r="F224" s="0" t="n">
        <v>165</v>
      </c>
      <c r="G224" s="0" t="n">
        <v>27.84</v>
      </c>
      <c r="H224" s="0" t="n">
        <v>92.05</v>
      </c>
      <c r="I224" s="0" t="n">
        <v>22.93</v>
      </c>
      <c r="J224" s="0" t="n">
        <v>75.81999999999999</v>
      </c>
      <c r="K224" s="0" t="n">
        <v>34</v>
      </c>
      <c r="T224" s="0" t="n">
        <v>3</v>
      </c>
      <c r="U224" s="0" t="n">
        <v>1</v>
      </c>
      <c r="V224" s="0" t="inlineStr">
        <is>
          <t>계단식</t>
        </is>
      </c>
      <c r="W224" s="0" t="n">
        <v>92</v>
      </c>
      <c r="X224" s="0" t="n">
        <v>15</v>
      </c>
      <c r="Y224" s="0" t="n">
        <v>8</v>
      </c>
      <c r="Z224" s="0" t="inlineStr">
        <is>
          <t>https://new.land.naver.com/complexes/15771?tab=detail&amp;rf=Y</t>
        </is>
      </c>
      <c r="AA224" s="0" t="inlineStr">
        <is>
          <t>경상남도 창원시 의창구 동읍 용잠리 419</t>
        </is>
      </c>
      <c r="AB224" s="0" t="inlineStr">
        <is>
          <t>경상남도</t>
        </is>
      </c>
      <c r="AC224" s="0" t="inlineStr">
        <is>
          <t>창원시</t>
        </is>
      </c>
      <c r="AD224" s="0" t="inlineStr">
        <is>
          <t>의창구</t>
        </is>
      </c>
      <c r="AE224" s="0" t="inlineStr">
        <is>
          <t>동읍</t>
        </is>
      </c>
      <c r="AG224" s="0" t="inlineStr">
        <is>
          <t>경상남도 창원시 의창구 동읍로 7</t>
        </is>
      </c>
      <c r="AH224" s="0" t="n">
        <v>0</v>
      </c>
      <c r="AI224" s="0" t="n">
        <v>258</v>
      </c>
    </row>
    <row r="225">
      <c r="A225" s="0" t="inlineStr">
        <is>
          <t>[동읍]</t>
        </is>
      </c>
      <c r="B225" s="0" t="n">
        <v>15771</v>
      </c>
      <c r="C225" s="0" t="n">
        <v>2</v>
      </c>
      <c r="D225" s="0" t="inlineStr">
        <is>
          <t>신안맨션</t>
        </is>
      </c>
      <c r="E225" s="0" t="inlineStr">
        <is>
          <t>1997.11.</t>
        </is>
      </c>
      <c r="F225" s="0" t="n">
        <v>165</v>
      </c>
      <c r="G225" s="0" t="n">
        <v>30.75</v>
      </c>
      <c r="H225" s="0" t="n">
        <v>101.67</v>
      </c>
      <c r="I225" s="0" t="n">
        <v>22.93</v>
      </c>
      <c r="J225" s="0" t="n">
        <v>75.81999999999999</v>
      </c>
      <c r="K225" s="0" t="n">
        <v>6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101A</t>
        </is>
      </c>
      <c r="X225" s="0" t="n">
        <v>15</v>
      </c>
      <c r="Y225" s="0" t="n">
        <v>8</v>
      </c>
      <c r="Z225" s="0" t="inlineStr">
        <is>
          <t>https://new.land.naver.com/complexes/15771?tab=detail&amp;rf=Y</t>
        </is>
      </c>
      <c r="AA225" s="0" t="inlineStr">
        <is>
          <t>경상남도 창원시 의창구 동읍 용잠리 419</t>
        </is>
      </c>
      <c r="AB225" s="0" t="inlineStr">
        <is>
          <t>경상남도</t>
        </is>
      </c>
      <c r="AC225" s="0" t="inlineStr">
        <is>
          <t>창원시</t>
        </is>
      </c>
      <c r="AD225" s="0" t="inlineStr">
        <is>
          <t>의창구</t>
        </is>
      </c>
      <c r="AE225" s="0" t="inlineStr">
        <is>
          <t>동읍</t>
        </is>
      </c>
      <c r="AG225" s="0" t="inlineStr">
        <is>
          <t>경상남도 창원시 의창구 동읍로 7</t>
        </is>
      </c>
      <c r="AH225" s="0" t="n">
        <v>0</v>
      </c>
      <c r="AI225" s="0" t="n">
        <v>258</v>
      </c>
    </row>
    <row r="226">
      <c r="A226" s="0" t="inlineStr">
        <is>
          <t>[동읍]</t>
        </is>
      </c>
      <c r="B226" s="0" t="n">
        <v>15771</v>
      </c>
      <c r="C226" s="0" t="n">
        <v>3</v>
      </c>
      <c r="D226" s="0" t="inlineStr">
        <is>
          <t>신안맨션</t>
        </is>
      </c>
      <c r="E226" s="0" t="inlineStr">
        <is>
          <t>1997.11.</t>
        </is>
      </c>
      <c r="F226" s="0" t="n">
        <v>165</v>
      </c>
      <c r="G226" s="0" t="n">
        <v>31.08</v>
      </c>
      <c r="H226" s="0" t="n">
        <v>102.75</v>
      </c>
      <c r="I226" s="0" t="n">
        <v>25.69</v>
      </c>
      <c r="J226" s="0" t="n">
        <v>84.95</v>
      </c>
      <c r="K226" s="0" t="n">
        <v>117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102B</t>
        </is>
      </c>
      <c r="X226" s="0" t="n">
        <v>15</v>
      </c>
      <c r="Y226" s="0" t="n">
        <v>8</v>
      </c>
      <c r="Z226" s="0" t="inlineStr">
        <is>
          <t>https://new.land.naver.com/complexes/15771?tab=detail&amp;rf=Y</t>
        </is>
      </c>
      <c r="AA226" s="0" t="inlineStr">
        <is>
          <t>경상남도 창원시 의창구 동읍 용잠리 419</t>
        </is>
      </c>
      <c r="AB226" s="0" t="inlineStr">
        <is>
          <t>경상남도</t>
        </is>
      </c>
      <c r="AC226" s="0" t="inlineStr">
        <is>
          <t>창원시</t>
        </is>
      </c>
      <c r="AD226" s="0" t="inlineStr">
        <is>
          <t>의창구</t>
        </is>
      </c>
      <c r="AE226" s="0" t="inlineStr">
        <is>
          <t>동읍</t>
        </is>
      </c>
      <c r="AG226" s="0" t="inlineStr">
        <is>
          <t>경상남도 창원시 의창구 동읍로 7</t>
        </is>
      </c>
      <c r="AH226" s="0" t="n">
        <v>0</v>
      </c>
      <c r="AI226" s="0" t="n">
        <v>258</v>
      </c>
    </row>
    <row r="227">
      <c r="A227" s="0" t="inlineStr">
        <is>
          <t>[동읍]</t>
        </is>
      </c>
      <c r="B227" s="0" t="n">
        <v>15771</v>
      </c>
      <c r="C227" s="0" t="n">
        <v>4</v>
      </c>
      <c r="D227" s="0" t="inlineStr">
        <is>
          <t>신안맨션</t>
        </is>
      </c>
      <c r="E227" s="0" t="inlineStr">
        <is>
          <t>1997.11.</t>
        </is>
      </c>
      <c r="F227" s="0" t="n">
        <v>165</v>
      </c>
      <c r="G227" s="0" t="n">
        <v>34.22</v>
      </c>
      <c r="H227" s="0" t="n">
        <v>113.15</v>
      </c>
      <c r="I227" s="0" t="n">
        <v>25.69</v>
      </c>
      <c r="J227" s="0" t="n">
        <v>84.95</v>
      </c>
      <c r="K227" s="0" t="n">
        <v>8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113</v>
      </c>
      <c r="X227" s="0" t="n">
        <v>15</v>
      </c>
      <c r="Y227" s="0" t="n">
        <v>8</v>
      </c>
      <c r="Z227" s="0" t="inlineStr">
        <is>
          <t>https://new.land.naver.com/complexes/15771?tab=detail&amp;rf=Y</t>
        </is>
      </c>
      <c r="AA227" s="0" t="inlineStr">
        <is>
          <t>경상남도 창원시 의창구 동읍 용잠리 419</t>
        </is>
      </c>
      <c r="AB227" s="0" t="inlineStr">
        <is>
          <t>경상남도</t>
        </is>
      </c>
      <c r="AC227" s="0" t="inlineStr">
        <is>
          <t>창원시</t>
        </is>
      </c>
      <c r="AD227" s="0" t="inlineStr">
        <is>
          <t>의창구</t>
        </is>
      </c>
      <c r="AE227" s="0" t="inlineStr">
        <is>
          <t>동읍</t>
        </is>
      </c>
      <c r="AG227" s="0" t="inlineStr">
        <is>
          <t>경상남도 창원시 의창구 동읍로 7</t>
        </is>
      </c>
      <c r="AH227" s="0" t="n">
        <v>0</v>
      </c>
      <c r="AI227" s="0" t="n">
        <v>258</v>
      </c>
    </row>
    <row r="228">
      <c r="A228" s="0" t="inlineStr">
        <is>
          <t>[동읍]</t>
        </is>
      </c>
      <c r="B228" s="0" t="n">
        <v>102777</v>
      </c>
      <c r="C228" s="0" t="n">
        <v>1</v>
      </c>
      <c r="D228" s="0" t="inlineStr">
        <is>
          <t>신화버드뷰</t>
        </is>
      </c>
      <c r="E228" s="0" t="inlineStr">
        <is>
          <t>2009.06.</t>
        </is>
      </c>
      <c r="F228" s="0" t="n">
        <v>60</v>
      </c>
      <c r="G228" s="0" t="n">
        <v>32.78</v>
      </c>
      <c r="H228" s="0" t="n">
        <v>108.37</v>
      </c>
      <c r="I228" s="0" t="n">
        <v>25.63</v>
      </c>
      <c r="J228" s="0" t="n">
        <v>84.73999999999999</v>
      </c>
      <c r="K228" s="0" t="n">
        <v>60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108</v>
      </c>
      <c r="X228" s="0" t="n">
        <v>15</v>
      </c>
      <c r="Y228" s="0" t="n">
        <v>15</v>
      </c>
      <c r="Z228" s="0" t="inlineStr">
        <is>
          <t>https://new.land.naver.com/complexes/102777?tab=detail&amp;rf=Y</t>
        </is>
      </c>
      <c r="AA228" s="0" t="inlineStr">
        <is>
          <t>경상남도 창원시 의창구 동읍 용잠리 364-1</t>
        </is>
      </c>
      <c r="AB228" s="0" t="inlineStr">
        <is>
          <t>경상남도</t>
        </is>
      </c>
      <c r="AC228" s="0" t="inlineStr">
        <is>
          <t>창원시</t>
        </is>
      </c>
      <c r="AD228" s="0" t="inlineStr">
        <is>
          <t>의창구</t>
        </is>
      </c>
      <c r="AE228" s="0" t="inlineStr">
        <is>
          <t>동읍</t>
        </is>
      </c>
      <c r="AG228" s="0" t="inlineStr">
        <is>
          <t>경상남도 창원시 의창구 의창대로 852</t>
        </is>
      </c>
      <c r="AH228" s="0" t="n">
        <v>0</v>
      </c>
      <c r="AI228" s="0" t="n">
        <v>219</v>
      </c>
    </row>
    <row r="229">
      <c r="A229" s="0" t="inlineStr">
        <is>
          <t>[동읍]</t>
        </is>
      </c>
      <c r="B229" s="0" t="n">
        <v>124096</v>
      </c>
      <c r="C229" s="0" t="n">
        <v>1</v>
      </c>
      <c r="D229" s="0" t="inlineStr">
        <is>
          <t>창원2차비룡벨로스텔라(도시형)</t>
        </is>
      </c>
      <c r="E229" s="0" t="inlineStr">
        <is>
          <t>2018.03.</t>
        </is>
      </c>
      <c r="F229" s="0" t="n">
        <v>39</v>
      </c>
      <c r="G229" s="0" t="n">
        <v>21.47</v>
      </c>
      <c r="H229" s="0" t="n">
        <v>70.98999999999999</v>
      </c>
      <c r="I229" s="0" t="n">
        <v>15.07</v>
      </c>
      <c r="J229" s="0" t="n">
        <v>49.85</v>
      </c>
      <c r="K229" s="0" t="n">
        <v>13</v>
      </c>
      <c r="T229" s="0" t="n">
        <v>1</v>
      </c>
      <c r="U229" s="0" t="n">
        <v>1</v>
      </c>
      <c r="V229" s="0" t="inlineStr">
        <is>
          <t>계단식</t>
        </is>
      </c>
      <c r="W229" s="0" t="n">
        <v>70</v>
      </c>
      <c r="X229" s="0" t="n">
        <v>14</v>
      </c>
      <c r="Y229" s="0" t="n">
        <v>14</v>
      </c>
      <c r="Z229" s="0" t="inlineStr">
        <is>
          <t>https://new.land.naver.com/complexes/124096?tab=detail&amp;rf=Y</t>
        </is>
      </c>
      <c r="AA229" s="0" t="inlineStr">
        <is>
          <t>경상남도 창원시 의창구 동읍 용잠리 230-19</t>
        </is>
      </c>
      <c r="AB229" s="0" t="inlineStr">
        <is>
          <t>경상남도</t>
        </is>
      </c>
      <c r="AC229" s="0" t="inlineStr">
        <is>
          <t>창원시</t>
        </is>
      </c>
      <c r="AD229" s="0" t="inlineStr">
        <is>
          <t>의창구</t>
        </is>
      </c>
      <c r="AE229" s="0" t="inlineStr">
        <is>
          <t>동읍</t>
        </is>
      </c>
      <c r="AG229" s="0" t="inlineStr">
        <is>
          <t>경상남도 창원시 의창구 의창대로 909</t>
        </is>
      </c>
      <c r="AH229" s="0" t="n">
        <v>0</v>
      </c>
      <c r="AI229" s="0" t="n">
        <v>461</v>
      </c>
    </row>
    <row r="230">
      <c r="A230" s="0" t="inlineStr">
        <is>
          <t>[동읍]</t>
        </is>
      </c>
      <c r="B230" s="0" t="n">
        <v>124096</v>
      </c>
      <c r="C230" s="0" t="n">
        <v>2</v>
      </c>
      <c r="D230" s="0" t="inlineStr">
        <is>
          <t>창원2차비룡벨로스텔라(도시형)</t>
        </is>
      </c>
      <c r="E230" s="0" t="inlineStr">
        <is>
          <t>2018.03.</t>
        </is>
      </c>
      <c r="F230" s="0" t="n">
        <v>39</v>
      </c>
      <c r="G230" s="0" t="n">
        <v>29.73</v>
      </c>
      <c r="H230" s="0" t="n">
        <v>98.31</v>
      </c>
      <c r="I230" s="0" t="n">
        <v>20.96</v>
      </c>
      <c r="J230" s="0" t="n">
        <v>69.31999999999999</v>
      </c>
      <c r="K230" s="0" t="n">
        <v>13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98A</t>
        </is>
      </c>
      <c r="X230" s="0" t="n">
        <v>14</v>
      </c>
      <c r="Y230" s="0" t="n">
        <v>14</v>
      </c>
      <c r="Z230" s="0" t="inlineStr">
        <is>
          <t>https://new.land.naver.com/complexes/124096?tab=detail&amp;rf=Y</t>
        </is>
      </c>
      <c r="AA230" s="0" t="inlineStr">
        <is>
          <t>경상남도 창원시 의창구 동읍 용잠리 230-19</t>
        </is>
      </c>
      <c r="AB230" s="0" t="inlineStr">
        <is>
          <t>경상남도</t>
        </is>
      </c>
      <c r="AC230" s="0" t="inlineStr">
        <is>
          <t>창원시</t>
        </is>
      </c>
      <c r="AD230" s="0" t="inlineStr">
        <is>
          <t>의창구</t>
        </is>
      </c>
      <c r="AE230" s="0" t="inlineStr">
        <is>
          <t>동읍</t>
        </is>
      </c>
      <c r="AG230" s="0" t="inlineStr">
        <is>
          <t>경상남도 창원시 의창구 의창대로 909</t>
        </is>
      </c>
      <c r="AH230" s="0" t="n">
        <v>0</v>
      </c>
      <c r="AI230" s="0" t="n">
        <v>461</v>
      </c>
    </row>
    <row r="231">
      <c r="A231" s="0" t="inlineStr">
        <is>
          <t>[동읍]</t>
        </is>
      </c>
      <c r="B231" s="0" t="n">
        <v>124096</v>
      </c>
      <c r="C231" s="0" t="n">
        <v>3</v>
      </c>
      <c r="D231" s="0" t="inlineStr">
        <is>
          <t>창원2차비룡벨로스텔라(도시형)</t>
        </is>
      </c>
      <c r="E231" s="0" t="inlineStr">
        <is>
          <t>2018.03.</t>
        </is>
      </c>
      <c r="F231" s="0" t="n">
        <v>39</v>
      </c>
      <c r="G231" s="0" t="n">
        <v>30.07</v>
      </c>
      <c r="H231" s="0" t="n">
        <v>99.42</v>
      </c>
      <c r="I231" s="0" t="n">
        <v>21.15</v>
      </c>
      <c r="J231" s="0" t="n">
        <v>69.93000000000001</v>
      </c>
      <c r="K231" s="0" t="n">
        <v>13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99B</t>
        </is>
      </c>
      <c r="X231" s="0" t="n">
        <v>14</v>
      </c>
      <c r="Y231" s="0" t="n">
        <v>14</v>
      </c>
      <c r="Z231" s="0" t="inlineStr">
        <is>
          <t>https://new.land.naver.com/complexes/124096?tab=detail&amp;rf=Y</t>
        </is>
      </c>
      <c r="AA231" s="0" t="inlineStr">
        <is>
          <t>경상남도 창원시 의창구 동읍 용잠리 230-19</t>
        </is>
      </c>
      <c r="AB231" s="0" t="inlineStr">
        <is>
          <t>경상남도</t>
        </is>
      </c>
      <c r="AC231" s="0" t="inlineStr">
        <is>
          <t>창원시</t>
        </is>
      </c>
      <c r="AD231" s="0" t="inlineStr">
        <is>
          <t>의창구</t>
        </is>
      </c>
      <c r="AE231" s="0" t="inlineStr">
        <is>
          <t>동읍</t>
        </is>
      </c>
      <c r="AG231" s="0" t="inlineStr">
        <is>
          <t>경상남도 창원시 의창구 의창대로 909</t>
        </is>
      </c>
      <c r="AH231" s="0" t="n">
        <v>0</v>
      </c>
      <c r="AI231" s="0" t="n">
        <v>461</v>
      </c>
    </row>
    <row r="232">
      <c r="A232" s="0" t="inlineStr">
        <is>
          <t>[동읍]</t>
        </is>
      </c>
      <c r="B232" s="0" t="n">
        <v>7715</v>
      </c>
      <c r="C232" s="0" t="n">
        <v>1</v>
      </c>
      <c r="D232" s="0" t="inlineStr">
        <is>
          <t>동읍대한</t>
        </is>
      </c>
      <c r="E232" s="0" t="inlineStr">
        <is>
          <t>1997.02.</t>
        </is>
      </c>
      <c r="F232" s="0" t="n">
        <v>275</v>
      </c>
      <c r="G232" s="0" t="n">
        <v>23.21</v>
      </c>
      <c r="H232" s="0" t="n">
        <v>76.75</v>
      </c>
      <c r="I232" s="0" t="n">
        <v>18.11</v>
      </c>
      <c r="J232" s="0" t="n">
        <v>59.88</v>
      </c>
      <c r="K232" s="0" t="n">
        <v>121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76</v>
      </c>
      <c r="X232" s="0" t="n">
        <v>20</v>
      </c>
      <c r="Y232" s="0" t="n">
        <v>6</v>
      </c>
      <c r="Z232" s="0" t="inlineStr">
        <is>
          <t>https://new.land.naver.com/complexes/7715?tab=detail&amp;rf=Y</t>
        </is>
      </c>
      <c r="AA232" s="0" t="inlineStr">
        <is>
          <t>경상남도 창원시 의창구 동읍 신방리 52</t>
        </is>
      </c>
      <c r="AB232" s="0" t="inlineStr">
        <is>
          <t>경상남도</t>
        </is>
      </c>
      <c r="AC232" s="0" t="inlineStr">
        <is>
          <t>창원시</t>
        </is>
      </c>
      <c r="AD232" s="0" t="inlineStr">
        <is>
          <t>의창구</t>
        </is>
      </c>
      <c r="AE232" s="0" t="inlineStr">
        <is>
          <t>동읍</t>
        </is>
      </c>
      <c r="AG232" s="0" t="inlineStr">
        <is>
          <t>경상남도 창원시 의창구 신방로 17</t>
        </is>
      </c>
      <c r="AH232" s="0" t="n">
        <v>0</v>
      </c>
      <c r="AI232" s="0" t="n">
        <v>280</v>
      </c>
    </row>
    <row r="233">
      <c r="A233" s="0" t="inlineStr">
        <is>
          <t>[동읍]</t>
        </is>
      </c>
      <c r="B233" s="0" t="n">
        <v>7715</v>
      </c>
      <c r="C233" s="0" t="n">
        <v>2</v>
      </c>
      <c r="D233" s="0" t="inlineStr">
        <is>
          <t>동읍대한</t>
        </is>
      </c>
      <c r="E233" s="0" t="inlineStr">
        <is>
          <t>1997.02.</t>
        </is>
      </c>
      <c r="F233" s="0" t="n">
        <v>275</v>
      </c>
      <c r="G233" s="0" t="n">
        <v>30.64</v>
      </c>
      <c r="H233" s="0" t="n">
        <v>101.29</v>
      </c>
      <c r="I233" s="0" t="n">
        <v>23.9</v>
      </c>
      <c r="J233" s="0" t="n">
        <v>79.03</v>
      </c>
      <c r="K233" s="0" t="n">
        <v>40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101</v>
      </c>
      <c r="X233" s="0" t="n">
        <v>20</v>
      </c>
      <c r="Y233" s="0" t="n">
        <v>6</v>
      </c>
      <c r="Z233" s="0" t="inlineStr">
        <is>
          <t>https://new.land.naver.com/complexes/7715?tab=detail&amp;rf=Y</t>
        </is>
      </c>
      <c r="AA233" s="0" t="inlineStr">
        <is>
          <t>경상남도 창원시 의창구 동읍 신방리 52</t>
        </is>
      </c>
      <c r="AB233" s="0" t="inlineStr">
        <is>
          <t>경상남도</t>
        </is>
      </c>
      <c r="AC233" s="0" t="inlineStr">
        <is>
          <t>창원시</t>
        </is>
      </c>
      <c r="AD233" s="0" t="inlineStr">
        <is>
          <t>의창구</t>
        </is>
      </c>
      <c r="AE233" s="0" t="inlineStr">
        <is>
          <t>동읍</t>
        </is>
      </c>
      <c r="AG233" s="0" t="inlineStr">
        <is>
          <t>경상남도 창원시 의창구 신방로 17</t>
        </is>
      </c>
      <c r="AH233" s="0" t="n">
        <v>0</v>
      </c>
      <c r="AI233" s="0" t="n">
        <v>280</v>
      </c>
    </row>
    <row r="234">
      <c r="A234" s="0" t="inlineStr">
        <is>
          <t>[동읍]</t>
        </is>
      </c>
      <c r="B234" s="0" t="n">
        <v>7715</v>
      </c>
      <c r="C234" s="0" t="n">
        <v>3</v>
      </c>
      <c r="D234" s="0" t="inlineStr">
        <is>
          <t>동읍대한</t>
        </is>
      </c>
      <c r="E234" s="0" t="inlineStr">
        <is>
          <t>1997.02.</t>
        </is>
      </c>
      <c r="F234" s="0" t="n">
        <v>275</v>
      </c>
      <c r="G234" s="0" t="n">
        <v>32.93</v>
      </c>
      <c r="H234" s="0" t="n">
        <v>108.89</v>
      </c>
      <c r="I234" s="0" t="n">
        <v>25.7</v>
      </c>
      <c r="J234" s="0" t="n">
        <v>84.95999999999999</v>
      </c>
      <c r="K234" s="0" t="n">
        <v>114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108</v>
      </c>
      <c r="X234" s="0" t="n">
        <v>20</v>
      </c>
      <c r="Y234" s="0" t="n">
        <v>6</v>
      </c>
      <c r="Z234" s="0" t="inlineStr">
        <is>
          <t>https://new.land.naver.com/complexes/7715?tab=detail&amp;rf=Y</t>
        </is>
      </c>
      <c r="AA234" s="0" t="inlineStr">
        <is>
          <t>경상남도 창원시 의창구 동읍 신방리 52</t>
        </is>
      </c>
      <c r="AB234" s="0" t="inlineStr">
        <is>
          <t>경상남도</t>
        </is>
      </c>
      <c r="AC234" s="0" t="inlineStr">
        <is>
          <t>창원시</t>
        </is>
      </c>
      <c r="AD234" s="0" t="inlineStr">
        <is>
          <t>의창구</t>
        </is>
      </c>
      <c r="AE234" s="0" t="inlineStr">
        <is>
          <t>동읍</t>
        </is>
      </c>
      <c r="AG234" s="0" t="inlineStr">
        <is>
          <t>경상남도 창원시 의창구 신방로 17</t>
        </is>
      </c>
      <c r="AH234" s="0" t="n">
        <v>0</v>
      </c>
      <c r="AI234" s="0" t="n">
        <v>280</v>
      </c>
    </row>
    <row r="235">
      <c r="A235" s="0" t="inlineStr">
        <is>
          <t>[동읍]</t>
        </is>
      </c>
      <c r="B235" s="0" t="n">
        <v>15773</v>
      </c>
      <c r="C235" s="0" t="n">
        <v>1</v>
      </c>
      <c r="D235" s="0" t="inlineStr">
        <is>
          <t>원창호수</t>
        </is>
      </c>
      <c r="E235" s="0" t="inlineStr">
        <is>
          <t>2001.05.</t>
        </is>
      </c>
      <c r="F235" s="0" t="n">
        <v>176</v>
      </c>
      <c r="G235" s="0" t="n">
        <v>22.22</v>
      </c>
      <c r="H235" s="0" t="n">
        <v>73.47</v>
      </c>
      <c r="I235" s="0" t="n">
        <v>18.11</v>
      </c>
      <c r="J235" s="0" t="n">
        <v>59.9</v>
      </c>
      <c r="K235" s="0" t="n">
        <v>27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73</v>
      </c>
      <c r="X235" s="0" t="n">
        <v>15</v>
      </c>
      <c r="Y235" s="0" t="n">
        <v>8</v>
      </c>
      <c r="Z235" s="0" t="inlineStr">
        <is>
          <t>https://new.land.naver.com/complexes/15773?tab=detail&amp;rf=Y</t>
        </is>
      </c>
      <c r="AA235" s="0" t="inlineStr">
        <is>
          <t>경상남도 창원시 의창구 동읍 용잠리 372-1</t>
        </is>
      </c>
      <c r="AB235" s="0" t="inlineStr">
        <is>
          <t>경상남도</t>
        </is>
      </c>
      <c r="AC235" s="0" t="inlineStr">
        <is>
          <t>창원시</t>
        </is>
      </c>
      <c r="AD235" s="0" t="inlineStr">
        <is>
          <t>의창구</t>
        </is>
      </c>
      <c r="AE235" s="0" t="inlineStr">
        <is>
          <t>동읍</t>
        </is>
      </c>
      <c r="AG235" s="0" t="inlineStr">
        <is>
          <t>경상남도 창원시 의창구 의창대로 856</t>
        </is>
      </c>
      <c r="AH235" s="0" t="n">
        <v>0</v>
      </c>
      <c r="AI235" s="0" t="n">
        <v>379</v>
      </c>
    </row>
    <row r="236">
      <c r="A236" s="0" t="inlineStr">
        <is>
          <t>[동읍]</t>
        </is>
      </c>
      <c r="B236" s="0" t="n">
        <v>15773</v>
      </c>
      <c r="C236" s="0" t="n">
        <v>2</v>
      </c>
      <c r="D236" s="0" t="inlineStr">
        <is>
          <t>원창호수</t>
        </is>
      </c>
      <c r="E236" s="0" t="inlineStr">
        <is>
          <t>2001.05.</t>
        </is>
      </c>
      <c r="F236" s="0" t="n">
        <v>176</v>
      </c>
      <c r="G236" s="0" t="n">
        <v>25.77</v>
      </c>
      <c r="H236" s="0" t="n">
        <v>85.22</v>
      </c>
      <c r="I236" s="0" t="n">
        <v>19.71</v>
      </c>
      <c r="J236" s="0" t="n">
        <v>65.16</v>
      </c>
      <c r="K236" s="0" t="n">
        <v>15</v>
      </c>
      <c r="T236" s="0" t="n">
        <v>3</v>
      </c>
      <c r="U236" s="0" t="n">
        <v>1</v>
      </c>
      <c r="V236" s="0" t="inlineStr">
        <is>
          <t>계단식</t>
        </is>
      </c>
      <c r="W236" s="0" t="inlineStr">
        <is>
          <t>85A</t>
        </is>
      </c>
      <c r="X236" s="0" t="n">
        <v>15</v>
      </c>
      <c r="Y236" s="0" t="n">
        <v>8</v>
      </c>
      <c r="Z236" s="0" t="inlineStr">
        <is>
          <t>https://new.land.naver.com/complexes/15773?tab=detail&amp;rf=Y</t>
        </is>
      </c>
      <c r="AA236" s="0" t="inlineStr">
        <is>
          <t>경상남도 창원시 의창구 동읍 용잠리 372-1</t>
        </is>
      </c>
      <c r="AB236" s="0" t="inlineStr">
        <is>
          <t>경상남도</t>
        </is>
      </c>
      <c r="AC236" s="0" t="inlineStr">
        <is>
          <t>창원시</t>
        </is>
      </c>
      <c r="AD236" s="0" t="inlineStr">
        <is>
          <t>의창구</t>
        </is>
      </c>
      <c r="AE236" s="0" t="inlineStr">
        <is>
          <t>동읍</t>
        </is>
      </c>
      <c r="AG236" s="0" t="inlineStr">
        <is>
          <t>경상남도 창원시 의창구 의창대로 856</t>
        </is>
      </c>
      <c r="AH236" s="0" t="n">
        <v>0</v>
      </c>
      <c r="AI236" s="0" t="n">
        <v>379</v>
      </c>
    </row>
    <row r="237">
      <c r="A237" s="0" t="inlineStr">
        <is>
          <t>[동읍]</t>
        </is>
      </c>
      <c r="B237" s="0" t="n">
        <v>15773</v>
      </c>
      <c r="C237" s="0" t="n">
        <v>3</v>
      </c>
      <c r="D237" s="0" t="inlineStr">
        <is>
          <t>원창호수</t>
        </is>
      </c>
      <c r="E237" s="0" t="inlineStr">
        <is>
          <t>2001.05.</t>
        </is>
      </c>
      <c r="F237" s="0" t="n">
        <v>176</v>
      </c>
      <c r="G237" s="0" t="n">
        <v>26.07</v>
      </c>
      <c r="H237" s="0" t="n">
        <v>86.2</v>
      </c>
      <c r="I237" s="0" t="n">
        <v>19.93</v>
      </c>
      <c r="J237" s="0" t="n">
        <v>65.91</v>
      </c>
      <c r="K237" s="0" t="n">
        <v>15</v>
      </c>
      <c r="T237" s="0" t="n">
        <v>3</v>
      </c>
      <c r="U237" s="0" t="n">
        <v>1</v>
      </c>
      <c r="V237" s="0" t="inlineStr">
        <is>
          <t>계단식</t>
        </is>
      </c>
      <c r="W237" s="0" t="inlineStr">
        <is>
          <t>86B</t>
        </is>
      </c>
      <c r="X237" s="0" t="n">
        <v>15</v>
      </c>
      <c r="Y237" s="0" t="n">
        <v>8</v>
      </c>
      <c r="Z237" s="0" t="inlineStr">
        <is>
          <t>https://new.land.naver.com/complexes/15773?tab=detail&amp;rf=Y</t>
        </is>
      </c>
      <c r="AA237" s="0" t="inlineStr">
        <is>
          <t>경상남도 창원시 의창구 동읍 용잠리 372-1</t>
        </is>
      </c>
      <c r="AB237" s="0" t="inlineStr">
        <is>
          <t>경상남도</t>
        </is>
      </c>
      <c r="AC237" s="0" t="inlineStr">
        <is>
          <t>창원시</t>
        </is>
      </c>
      <c r="AD237" s="0" t="inlineStr">
        <is>
          <t>의창구</t>
        </is>
      </c>
      <c r="AE237" s="0" t="inlineStr">
        <is>
          <t>동읍</t>
        </is>
      </c>
      <c r="AG237" s="0" t="inlineStr">
        <is>
          <t>경상남도 창원시 의창구 의창대로 856</t>
        </is>
      </c>
      <c r="AH237" s="0" t="n">
        <v>0</v>
      </c>
      <c r="AI237" s="0" t="n">
        <v>379</v>
      </c>
    </row>
    <row r="238">
      <c r="A238" s="0" t="inlineStr">
        <is>
          <t>[동읍]</t>
        </is>
      </c>
      <c r="B238" s="0" t="n">
        <v>15773</v>
      </c>
      <c r="C238" s="0" t="n">
        <v>4</v>
      </c>
      <c r="D238" s="0" t="inlineStr">
        <is>
          <t>원창호수</t>
        </is>
      </c>
      <c r="E238" s="0" t="inlineStr">
        <is>
          <t>2001.05.</t>
        </is>
      </c>
      <c r="F238" s="0" t="n">
        <v>176</v>
      </c>
      <c r="G238" s="0" t="n">
        <v>26.71</v>
      </c>
      <c r="H238" s="0" t="n">
        <v>88.31</v>
      </c>
      <c r="I238" s="0" t="n">
        <v>21.78</v>
      </c>
      <c r="J238" s="0" t="n">
        <v>72</v>
      </c>
      <c r="K238" s="0" t="n">
        <v>30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88</v>
      </c>
      <c r="X238" s="0" t="n">
        <v>15</v>
      </c>
      <c r="Y238" s="0" t="n">
        <v>8</v>
      </c>
      <c r="Z238" s="0" t="inlineStr">
        <is>
          <t>https://new.land.naver.com/complexes/15773?tab=detail&amp;rf=Y</t>
        </is>
      </c>
      <c r="AA238" s="0" t="inlineStr">
        <is>
          <t>경상남도 창원시 의창구 동읍 용잠리 372-1</t>
        </is>
      </c>
      <c r="AB238" s="0" t="inlineStr">
        <is>
          <t>경상남도</t>
        </is>
      </c>
      <c r="AC238" s="0" t="inlineStr">
        <is>
          <t>창원시</t>
        </is>
      </c>
      <c r="AD238" s="0" t="inlineStr">
        <is>
          <t>의창구</t>
        </is>
      </c>
      <c r="AE238" s="0" t="inlineStr">
        <is>
          <t>동읍</t>
        </is>
      </c>
      <c r="AG238" s="0" t="inlineStr">
        <is>
          <t>경상남도 창원시 의창구 의창대로 856</t>
        </is>
      </c>
      <c r="AH238" s="0" t="n">
        <v>0</v>
      </c>
      <c r="AI238" s="0" t="n">
        <v>379</v>
      </c>
    </row>
    <row r="239">
      <c r="A239" s="0" t="inlineStr">
        <is>
          <t>[동읍]</t>
        </is>
      </c>
      <c r="B239" s="0" t="n">
        <v>15773</v>
      </c>
      <c r="C239" s="0" t="n">
        <v>5</v>
      </c>
      <c r="D239" s="0" t="inlineStr">
        <is>
          <t>원창호수</t>
        </is>
      </c>
      <c r="E239" s="0" t="inlineStr">
        <is>
          <t>2001.05.</t>
        </is>
      </c>
      <c r="F239" s="0" t="n">
        <v>176</v>
      </c>
      <c r="G239" s="0" t="n">
        <v>31.45</v>
      </c>
      <c r="H239" s="0" t="n">
        <v>103.99</v>
      </c>
      <c r="I239" s="0" t="n">
        <v>25.64</v>
      </c>
      <c r="J239" s="0" t="n">
        <v>84.78</v>
      </c>
      <c r="K239" s="0" t="n">
        <v>89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103</v>
      </c>
      <c r="X239" s="0" t="n">
        <v>15</v>
      </c>
      <c r="Y239" s="0" t="n">
        <v>8</v>
      </c>
      <c r="Z239" s="0" t="inlineStr">
        <is>
          <t>https://new.land.naver.com/complexes/15773?tab=detail&amp;rf=Y</t>
        </is>
      </c>
      <c r="AA239" s="0" t="inlineStr">
        <is>
          <t>경상남도 창원시 의창구 동읍 용잠리 372-1</t>
        </is>
      </c>
      <c r="AB239" s="0" t="inlineStr">
        <is>
          <t>경상남도</t>
        </is>
      </c>
      <c r="AC239" s="0" t="inlineStr">
        <is>
          <t>창원시</t>
        </is>
      </c>
      <c r="AD239" s="0" t="inlineStr">
        <is>
          <t>의창구</t>
        </is>
      </c>
      <c r="AE239" s="0" t="inlineStr">
        <is>
          <t>동읍</t>
        </is>
      </c>
      <c r="AG239" s="0" t="inlineStr">
        <is>
          <t>경상남도 창원시 의창구 의창대로 856</t>
        </is>
      </c>
      <c r="AH239" s="0" t="n">
        <v>0</v>
      </c>
      <c r="AI239" s="0" t="n">
        <v>379</v>
      </c>
    </row>
    <row r="240">
      <c r="A240" s="0" t="inlineStr">
        <is>
          <t>[동읍]</t>
        </is>
      </c>
      <c r="B240" s="0" t="n">
        <v>15764</v>
      </c>
      <c r="C240" s="0" t="n">
        <v>1</v>
      </c>
      <c r="D240" s="0" t="inlineStr">
        <is>
          <t>덕산서광</t>
        </is>
      </c>
      <c r="E240" s="0" t="inlineStr">
        <is>
          <t>1994.06.</t>
        </is>
      </c>
      <c r="F240" s="0" t="n">
        <v>159</v>
      </c>
      <c r="G240" s="0" t="n">
        <v>21.64</v>
      </c>
      <c r="H240" s="0" t="n">
        <v>71.56</v>
      </c>
      <c r="I240" s="0" t="n">
        <v>17.95</v>
      </c>
      <c r="J240" s="0" t="n">
        <v>59.35</v>
      </c>
      <c r="K240" s="0" t="n">
        <v>4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71A</t>
        </is>
      </c>
      <c r="X240" s="0" t="n">
        <v>15</v>
      </c>
      <c r="Y240" s="0" t="n">
        <v>10</v>
      </c>
      <c r="Z240" s="0" t="inlineStr">
        <is>
          <t>https://new.land.naver.com/complexes/15764?tab=detail&amp;rf=Y</t>
        </is>
      </c>
      <c r="AA240" s="0" t="inlineStr">
        <is>
          <t>경상남도 창원시 의창구 동읍 용잠리 130</t>
        </is>
      </c>
      <c r="AB240" s="0" t="inlineStr">
        <is>
          <t>경상남도</t>
        </is>
      </c>
      <c r="AC240" s="0" t="inlineStr">
        <is>
          <t>창원시</t>
        </is>
      </c>
      <c r="AD240" s="0" t="inlineStr">
        <is>
          <t>의창구</t>
        </is>
      </c>
      <c r="AE240" s="0" t="inlineStr">
        <is>
          <t>동읍</t>
        </is>
      </c>
      <c r="AG240" s="0" t="inlineStr">
        <is>
          <t>경상남도 창원시 의창구 의창대로915번길 29</t>
        </is>
      </c>
      <c r="AH240" s="0" t="n">
        <v>0</v>
      </c>
      <c r="AI240" s="0" t="n">
        <v>343</v>
      </c>
    </row>
    <row r="241">
      <c r="A241" s="0" t="inlineStr">
        <is>
          <t>[동읍]</t>
        </is>
      </c>
      <c r="B241" s="0" t="n">
        <v>15764</v>
      </c>
      <c r="C241" s="0" t="n">
        <v>2</v>
      </c>
      <c r="D241" s="0" t="inlineStr">
        <is>
          <t>덕산서광</t>
        </is>
      </c>
      <c r="E241" s="0" t="inlineStr">
        <is>
          <t>1994.06.</t>
        </is>
      </c>
      <c r="F241" s="0" t="n">
        <v>159</v>
      </c>
      <c r="G241" s="0" t="n">
        <v>22.26</v>
      </c>
      <c r="H241" s="0" t="n">
        <v>73.59</v>
      </c>
      <c r="I241" s="0" t="n">
        <v>18.44</v>
      </c>
      <c r="J241" s="0" t="n">
        <v>60.99</v>
      </c>
      <c r="K241" s="0" t="n">
        <v>13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73B</t>
        </is>
      </c>
      <c r="X241" s="0" t="n">
        <v>15</v>
      </c>
      <c r="Y241" s="0" t="n">
        <v>10</v>
      </c>
      <c r="Z241" s="0" t="inlineStr">
        <is>
          <t>https://new.land.naver.com/complexes/15764?tab=detail&amp;rf=Y</t>
        </is>
      </c>
      <c r="AA241" s="0" t="inlineStr">
        <is>
          <t>경상남도 창원시 의창구 동읍 용잠리 130</t>
        </is>
      </c>
      <c r="AB241" s="0" t="inlineStr">
        <is>
          <t>경상남도</t>
        </is>
      </c>
      <c r="AC241" s="0" t="inlineStr">
        <is>
          <t>창원시</t>
        </is>
      </c>
      <c r="AD241" s="0" t="inlineStr">
        <is>
          <t>의창구</t>
        </is>
      </c>
      <c r="AE241" s="0" t="inlineStr">
        <is>
          <t>동읍</t>
        </is>
      </c>
      <c r="AG241" s="0" t="inlineStr">
        <is>
          <t>경상남도 창원시 의창구 의창대로915번길 29</t>
        </is>
      </c>
      <c r="AH241" s="0" t="n">
        <v>0</v>
      </c>
      <c r="AI241" s="0" t="n">
        <v>343</v>
      </c>
    </row>
    <row r="242">
      <c r="A242" s="0" t="inlineStr">
        <is>
          <t>[동읍]</t>
        </is>
      </c>
      <c r="B242" s="0" t="n">
        <v>15764</v>
      </c>
      <c r="C242" s="0" t="n">
        <v>3</v>
      </c>
      <c r="D242" s="0" t="inlineStr">
        <is>
          <t>덕산서광</t>
        </is>
      </c>
      <c r="E242" s="0" t="inlineStr">
        <is>
          <t>1994.06.</t>
        </is>
      </c>
      <c r="F242" s="0" t="n">
        <v>159</v>
      </c>
      <c r="G242" s="0" t="n">
        <v>24.15</v>
      </c>
      <c r="H242" s="0" t="n">
        <v>79.84</v>
      </c>
      <c r="I242" s="0" t="n">
        <v>17.96</v>
      </c>
      <c r="J242" s="0" t="n">
        <v>59.4</v>
      </c>
      <c r="K242" s="0" t="n">
        <v>60</v>
      </c>
      <c r="T242" s="0" t="n">
        <v>3</v>
      </c>
      <c r="U242" s="0" t="n">
        <v>1</v>
      </c>
      <c r="V242" s="0" t="inlineStr">
        <is>
          <t>복도식</t>
        </is>
      </c>
      <c r="W242" s="0" t="n">
        <v>79</v>
      </c>
      <c r="X242" s="0" t="n">
        <v>15</v>
      </c>
      <c r="Y242" s="0" t="n">
        <v>10</v>
      </c>
      <c r="Z242" s="0" t="inlineStr">
        <is>
          <t>https://new.land.naver.com/complexes/15764?tab=detail&amp;rf=Y</t>
        </is>
      </c>
      <c r="AA242" s="0" t="inlineStr">
        <is>
          <t>경상남도 창원시 의창구 동읍 용잠리 130</t>
        </is>
      </c>
      <c r="AB242" s="0" t="inlineStr">
        <is>
          <t>경상남도</t>
        </is>
      </c>
      <c r="AC242" s="0" t="inlineStr">
        <is>
          <t>창원시</t>
        </is>
      </c>
      <c r="AD242" s="0" t="inlineStr">
        <is>
          <t>의창구</t>
        </is>
      </c>
      <c r="AE242" s="0" t="inlineStr">
        <is>
          <t>동읍</t>
        </is>
      </c>
      <c r="AG242" s="0" t="inlineStr">
        <is>
          <t>경상남도 창원시 의창구 의창대로915번길 29</t>
        </is>
      </c>
      <c r="AH242" s="0" t="n">
        <v>0</v>
      </c>
      <c r="AI242" s="0" t="n">
        <v>343</v>
      </c>
    </row>
    <row r="243">
      <c r="A243" s="0" t="inlineStr">
        <is>
          <t>[동읍]</t>
        </is>
      </c>
      <c r="B243" s="0" t="n">
        <v>15764</v>
      </c>
      <c r="C243" s="0" t="n">
        <v>4</v>
      </c>
      <c r="D243" s="0" t="inlineStr">
        <is>
          <t>덕산서광</t>
        </is>
      </c>
      <c r="E243" s="0" t="inlineStr">
        <is>
          <t>1994.06.</t>
        </is>
      </c>
      <c r="F243" s="0" t="n">
        <v>159</v>
      </c>
      <c r="G243" s="0" t="n">
        <v>25.58</v>
      </c>
      <c r="H243" s="0" t="n">
        <v>84.59</v>
      </c>
      <c r="I243" s="0" t="n">
        <v>21.2</v>
      </c>
      <c r="J243" s="0" t="n">
        <v>70.11</v>
      </c>
      <c r="K243" s="0" t="n">
        <v>15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84A</t>
        </is>
      </c>
      <c r="X243" s="0" t="n">
        <v>15</v>
      </c>
      <c r="Y243" s="0" t="n">
        <v>10</v>
      </c>
      <c r="Z243" s="0" t="inlineStr">
        <is>
          <t>https://new.land.naver.com/complexes/15764?tab=detail&amp;rf=Y</t>
        </is>
      </c>
      <c r="AA243" s="0" t="inlineStr">
        <is>
          <t>경상남도 창원시 의창구 동읍 용잠리 130</t>
        </is>
      </c>
      <c r="AB243" s="0" t="inlineStr">
        <is>
          <t>경상남도</t>
        </is>
      </c>
      <c r="AC243" s="0" t="inlineStr">
        <is>
          <t>창원시</t>
        </is>
      </c>
      <c r="AD243" s="0" t="inlineStr">
        <is>
          <t>의창구</t>
        </is>
      </c>
      <c r="AE243" s="0" t="inlineStr">
        <is>
          <t>동읍</t>
        </is>
      </c>
      <c r="AG243" s="0" t="inlineStr">
        <is>
          <t>경상남도 창원시 의창구 의창대로915번길 29</t>
        </is>
      </c>
      <c r="AH243" s="0" t="n">
        <v>0</v>
      </c>
      <c r="AI243" s="0" t="n">
        <v>343</v>
      </c>
    </row>
    <row r="244">
      <c r="A244" s="0" t="inlineStr">
        <is>
          <t>[동읍]</t>
        </is>
      </c>
      <c r="B244" s="0" t="n">
        <v>15764</v>
      </c>
      <c r="C244" s="0" t="n">
        <v>5</v>
      </c>
      <c r="D244" s="0" t="inlineStr">
        <is>
          <t>덕산서광</t>
        </is>
      </c>
      <c r="E244" s="0" t="inlineStr">
        <is>
          <t>1994.06.</t>
        </is>
      </c>
      <c r="F244" s="0" t="n">
        <v>159</v>
      </c>
      <c r="G244" s="0" t="n">
        <v>26.35</v>
      </c>
      <c r="H244" s="0" t="n">
        <v>87.13</v>
      </c>
      <c r="I244" s="0" t="n">
        <v>21.84</v>
      </c>
      <c r="J244" s="0" t="n">
        <v>72.22</v>
      </c>
      <c r="K244" s="0" t="n">
        <v>22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87B</t>
        </is>
      </c>
      <c r="X244" s="0" t="n">
        <v>15</v>
      </c>
      <c r="Y244" s="0" t="n">
        <v>10</v>
      </c>
      <c r="Z244" s="0" t="inlineStr">
        <is>
          <t>https://new.land.naver.com/complexes/15764?tab=detail&amp;rf=Y</t>
        </is>
      </c>
      <c r="AA244" s="0" t="inlineStr">
        <is>
          <t>경상남도 창원시 의창구 동읍 용잠리 130</t>
        </is>
      </c>
      <c r="AB244" s="0" t="inlineStr">
        <is>
          <t>경상남도</t>
        </is>
      </c>
      <c r="AC244" s="0" t="inlineStr">
        <is>
          <t>창원시</t>
        </is>
      </c>
      <c r="AD244" s="0" t="inlineStr">
        <is>
          <t>의창구</t>
        </is>
      </c>
      <c r="AE244" s="0" t="inlineStr">
        <is>
          <t>동읍</t>
        </is>
      </c>
      <c r="AG244" s="0" t="inlineStr">
        <is>
          <t>경상남도 창원시 의창구 의창대로915번길 29</t>
        </is>
      </c>
      <c r="AH244" s="0" t="n">
        <v>0</v>
      </c>
      <c r="AI244" s="0" t="n">
        <v>343</v>
      </c>
    </row>
    <row r="245">
      <c r="A245" s="0" t="inlineStr">
        <is>
          <t>[동읍]</t>
        </is>
      </c>
      <c r="B245" s="0" t="n">
        <v>15764</v>
      </c>
      <c r="C245" s="0" t="n">
        <v>6</v>
      </c>
      <c r="D245" s="0" t="inlineStr">
        <is>
          <t>덕산서광</t>
        </is>
      </c>
      <c r="E245" s="0" t="inlineStr">
        <is>
          <t>1994.06.</t>
        </is>
      </c>
      <c r="F245" s="0" t="n">
        <v>159</v>
      </c>
      <c r="G245" s="0" t="n">
        <v>30.8</v>
      </c>
      <c r="H245" s="0" t="n">
        <v>101.85</v>
      </c>
      <c r="I245" s="0" t="n">
        <v>25.53</v>
      </c>
      <c r="J245" s="0" t="n">
        <v>84.42</v>
      </c>
      <c r="K245" s="0" t="n">
        <v>45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101</v>
      </c>
      <c r="X245" s="0" t="n">
        <v>15</v>
      </c>
      <c r="Y245" s="0" t="n">
        <v>10</v>
      </c>
      <c r="Z245" s="0" t="inlineStr">
        <is>
          <t>https://new.land.naver.com/complexes/15764?tab=detail&amp;rf=Y</t>
        </is>
      </c>
      <c r="AA245" s="0" t="inlineStr">
        <is>
          <t>경상남도 창원시 의창구 동읍 용잠리 130</t>
        </is>
      </c>
      <c r="AB245" s="0" t="inlineStr">
        <is>
          <t>경상남도</t>
        </is>
      </c>
      <c r="AC245" s="0" t="inlineStr">
        <is>
          <t>창원시</t>
        </is>
      </c>
      <c r="AD245" s="0" t="inlineStr">
        <is>
          <t>의창구</t>
        </is>
      </c>
      <c r="AE245" s="0" t="inlineStr">
        <is>
          <t>동읍</t>
        </is>
      </c>
      <c r="AG245" s="0" t="inlineStr">
        <is>
          <t>경상남도 창원시 의창구 의창대로915번길 29</t>
        </is>
      </c>
      <c r="AH245" s="0" t="n">
        <v>0</v>
      </c>
      <c r="AI245" s="0" t="n">
        <v>343</v>
      </c>
    </row>
    <row r="246">
      <c r="A246" s="0" t="inlineStr">
        <is>
          <t>[동읍]</t>
        </is>
      </c>
      <c r="B246" s="0" t="n">
        <v>7720</v>
      </c>
      <c r="C246" s="0" t="n">
        <v>1</v>
      </c>
      <c r="D246" s="0" t="inlineStr">
        <is>
          <t>우성전원</t>
        </is>
      </c>
      <c r="E246" s="0" t="inlineStr">
        <is>
          <t>1991.12.</t>
        </is>
      </c>
      <c r="F246" s="0" t="n">
        <v>220</v>
      </c>
      <c r="G246" s="0" t="n">
        <v>19.85</v>
      </c>
      <c r="H246" s="0" t="n">
        <v>65.62</v>
      </c>
      <c r="I246" s="0" t="n">
        <v>17.96</v>
      </c>
      <c r="J246" s="0" t="n">
        <v>59.38</v>
      </c>
      <c r="K246" s="0" t="n">
        <v>6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65</v>
      </c>
      <c r="X246" s="0" t="n">
        <v>6</v>
      </c>
      <c r="Y246" s="0" t="n">
        <v>5</v>
      </c>
      <c r="Z246" s="0" t="inlineStr">
        <is>
          <t>https://new.land.naver.com/complexes/7720?tab=detail&amp;rf=Y</t>
        </is>
      </c>
      <c r="AA246" s="0" t="inlineStr">
        <is>
          <t>경상남도 창원시 의창구 동읍 무성리 152</t>
        </is>
      </c>
      <c r="AB246" s="0" t="inlineStr">
        <is>
          <t>경상남도</t>
        </is>
      </c>
      <c r="AC246" s="0" t="inlineStr">
        <is>
          <t>창원시</t>
        </is>
      </c>
      <c r="AD246" s="0" t="inlineStr">
        <is>
          <t>의창구</t>
        </is>
      </c>
      <c r="AE246" s="0" t="inlineStr">
        <is>
          <t>동읍</t>
        </is>
      </c>
      <c r="AG246" s="0" t="inlineStr">
        <is>
          <t>경상남도 창원시 의창구 무성길47번길 9</t>
        </is>
      </c>
      <c r="AH246" s="0" t="n">
        <v>0</v>
      </c>
      <c r="AI246" s="0" t="n">
        <v>0</v>
      </c>
    </row>
    <row r="247">
      <c r="A247" s="0" t="inlineStr">
        <is>
          <t>[동읍]</t>
        </is>
      </c>
      <c r="B247" s="0" t="n">
        <v>7720</v>
      </c>
      <c r="C247" s="0" t="n">
        <v>2</v>
      </c>
      <c r="D247" s="0" t="inlineStr">
        <is>
          <t>우성전원</t>
        </is>
      </c>
      <c r="E247" s="0" t="inlineStr">
        <is>
          <t>1991.12.</t>
        </is>
      </c>
      <c r="F247" s="0" t="n">
        <v>220</v>
      </c>
      <c r="G247" s="0" t="n">
        <v>21.96</v>
      </c>
      <c r="H247" s="0" t="n">
        <v>72.62</v>
      </c>
      <c r="I247" s="0" t="n">
        <v>20.07</v>
      </c>
      <c r="J247" s="0" t="n">
        <v>66.38</v>
      </c>
      <c r="K247" s="0" t="n">
        <v>78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72</v>
      </c>
      <c r="X247" s="0" t="n">
        <v>6</v>
      </c>
      <c r="Y247" s="0" t="n">
        <v>5</v>
      </c>
      <c r="Z247" s="0" t="inlineStr">
        <is>
          <t>https://new.land.naver.com/complexes/7720?tab=detail&amp;rf=Y</t>
        </is>
      </c>
      <c r="AA247" s="0" t="inlineStr">
        <is>
          <t>경상남도 창원시 의창구 동읍 무성리 152</t>
        </is>
      </c>
      <c r="AB247" s="0" t="inlineStr">
        <is>
          <t>경상남도</t>
        </is>
      </c>
      <c r="AC247" s="0" t="inlineStr">
        <is>
          <t>창원시</t>
        </is>
      </c>
      <c r="AD247" s="0" t="inlineStr">
        <is>
          <t>의창구</t>
        </is>
      </c>
      <c r="AE247" s="0" t="inlineStr">
        <is>
          <t>동읍</t>
        </is>
      </c>
      <c r="AG247" s="0" t="inlineStr">
        <is>
          <t>경상남도 창원시 의창구 무성길47번길 9</t>
        </is>
      </c>
      <c r="AH247" s="0" t="n">
        <v>0</v>
      </c>
      <c r="AI247" s="0" t="n">
        <v>0</v>
      </c>
    </row>
    <row r="248">
      <c r="A248" s="0" t="inlineStr">
        <is>
          <t>[동읍]</t>
        </is>
      </c>
      <c r="B248" s="0" t="n">
        <v>7720</v>
      </c>
      <c r="C248" s="0" t="n">
        <v>3</v>
      </c>
      <c r="D248" s="0" t="inlineStr">
        <is>
          <t>우성전원</t>
        </is>
      </c>
      <c r="E248" s="0" t="inlineStr">
        <is>
          <t>1991.12.</t>
        </is>
      </c>
      <c r="F248" s="0" t="n">
        <v>220</v>
      </c>
      <c r="G248" s="0" t="n">
        <v>22.92</v>
      </c>
      <c r="H248" s="0" t="n">
        <v>75.8</v>
      </c>
      <c r="I248" s="0" t="n">
        <v>21.04</v>
      </c>
      <c r="J248" s="0" t="n">
        <v>69.56</v>
      </c>
      <c r="K248" s="0" t="n">
        <v>72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75</v>
      </c>
      <c r="X248" s="0" t="n">
        <v>6</v>
      </c>
      <c r="Y248" s="0" t="n">
        <v>5</v>
      </c>
      <c r="Z248" s="0" t="inlineStr">
        <is>
          <t>https://new.land.naver.com/complexes/7720?tab=detail&amp;rf=Y</t>
        </is>
      </c>
      <c r="AA248" s="0" t="inlineStr">
        <is>
          <t>경상남도 창원시 의창구 동읍 무성리 152</t>
        </is>
      </c>
      <c r="AB248" s="0" t="inlineStr">
        <is>
          <t>경상남도</t>
        </is>
      </c>
      <c r="AC248" s="0" t="inlineStr">
        <is>
          <t>창원시</t>
        </is>
      </c>
      <c r="AD248" s="0" t="inlineStr">
        <is>
          <t>의창구</t>
        </is>
      </c>
      <c r="AE248" s="0" t="inlineStr">
        <is>
          <t>동읍</t>
        </is>
      </c>
      <c r="AG248" s="0" t="inlineStr">
        <is>
          <t>경상남도 창원시 의창구 무성길47번길 9</t>
        </is>
      </c>
      <c r="AH248" s="0" t="n">
        <v>0</v>
      </c>
      <c r="AI248" s="0" t="n">
        <v>0</v>
      </c>
    </row>
    <row r="249">
      <c r="A249" s="0" t="inlineStr">
        <is>
          <t>[동읍]</t>
        </is>
      </c>
      <c r="B249" s="0" t="n">
        <v>7720</v>
      </c>
      <c r="C249" s="0" t="n">
        <v>4</v>
      </c>
      <c r="D249" s="0" t="inlineStr">
        <is>
          <t>우성전원</t>
        </is>
      </c>
      <c r="E249" s="0" t="inlineStr">
        <is>
          <t>1991.12.</t>
        </is>
      </c>
      <c r="F249" s="0" t="n">
        <v>220</v>
      </c>
      <c r="G249" s="0" t="n">
        <v>24.7</v>
      </c>
      <c r="H249" s="0" t="n">
        <v>81.68000000000001</v>
      </c>
      <c r="I249" s="0" t="n">
        <v>22.82</v>
      </c>
      <c r="J249" s="0" t="n">
        <v>75.44</v>
      </c>
      <c r="K249" s="0" t="n">
        <v>40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81</v>
      </c>
      <c r="X249" s="0" t="n">
        <v>6</v>
      </c>
      <c r="Y249" s="0" t="n">
        <v>5</v>
      </c>
      <c r="Z249" s="0" t="inlineStr">
        <is>
          <t>https://new.land.naver.com/complexes/7720?tab=detail&amp;rf=Y</t>
        </is>
      </c>
      <c r="AA249" s="0" t="inlineStr">
        <is>
          <t>경상남도 창원시 의창구 동읍 무성리 152</t>
        </is>
      </c>
      <c r="AB249" s="0" t="inlineStr">
        <is>
          <t>경상남도</t>
        </is>
      </c>
      <c r="AC249" s="0" t="inlineStr">
        <is>
          <t>창원시</t>
        </is>
      </c>
      <c r="AD249" s="0" t="inlineStr">
        <is>
          <t>의창구</t>
        </is>
      </c>
      <c r="AE249" s="0" t="inlineStr">
        <is>
          <t>동읍</t>
        </is>
      </c>
      <c r="AG249" s="0" t="inlineStr">
        <is>
          <t>경상남도 창원시 의창구 무성길47번길 9</t>
        </is>
      </c>
      <c r="AH249" s="0" t="n">
        <v>0</v>
      </c>
      <c r="AI249" s="0" t="n">
        <v>0</v>
      </c>
    </row>
    <row r="250">
      <c r="A250" s="0" t="inlineStr">
        <is>
          <t>[동읍]</t>
        </is>
      </c>
      <c r="B250" s="0" t="n">
        <v>7720</v>
      </c>
      <c r="C250" s="0" t="n">
        <v>5</v>
      </c>
      <c r="D250" s="0" t="inlineStr">
        <is>
          <t>우성전원</t>
        </is>
      </c>
      <c r="E250" s="0" t="inlineStr">
        <is>
          <t>1991.12.</t>
        </is>
      </c>
      <c r="F250" s="0" t="n">
        <v>220</v>
      </c>
      <c r="G250" s="0" t="n">
        <v>25.88</v>
      </c>
      <c r="H250" s="0" t="n">
        <v>85.56</v>
      </c>
      <c r="I250" s="0" t="n">
        <v>23.99</v>
      </c>
      <c r="J250" s="0" t="n">
        <v>79.31999999999999</v>
      </c>
      <c r="K250" s="0" t="n">
        <v>6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85B</t>
        </is>
      </c>
      <c r="X250" s="0" t="n">
        <v>6</v>
      </c>
      <c r="Y250" s="0" t="n">
        <v>5</v>
      </c>
      <c r="Z250" s="0" t="inlineStr">
        <is>
          <t>https://new.land.naver.com/complexes/7720?tab=detail&amp;rf=Y</t>
        </is>
      </c>
      <c r="AA250" s="0" t="inlineStr">
        <is>
          <t>경상남도 창원시 의창구 동읍 무성리 152</t>
        </is>
      </c>
      <c r="AB250" s="0" t="inlineStr">
        <is>
          <t>경상남도</t>
        </is>
      </c>
      <c r="AC250" s="0" t="inlineStr">
        <is>
          <t>창원시</t>
        </is>
      </c>
      <c r="AD250" s="0" t="inlineStr">
        <is>
          <t>의창구</t>
        </is>
      </c>
      <c r="AE250" s="0" t="inlineStr">
        <is>
          <t>동읍</t>
        </is>
      </c>
      <c r="AG250" s="0" t="inlineStr">
        <is>
          <t>경상남도 창원시 의창구 무성길47번길 9</t>
        </is>
      </c>
      <c r="AH250" s="0" t="n">
        <v>0</v>
      </c>
      <c r="AI250" s="0" t="n">
        <v>0</v>
      </c>
    </row>
    <row r="251">
      <c r="A251" s="0" t="inlineStr">
        <is>
          <t>[동읍]</t>
        </is>
      </c>
      <c r="B251" s="0" t="n">
        <v>7720</v>
      </c>
      <c r="C251" s="0" t="n">
        <v>6</v>
      </c>
      <c r="D251" s="0" t="inlineStr">
        <is>
          <t>우성전원</t>
        </is>
      </c>
      <c r="E251" s="0" t="inlineStr">
        <is>
          <t>1991.12.</t>
        </is>
      </c>
      <c r="F251" s="0" t="n">
        <v>220</v>
      </c>
      <c r="G251" s="0" t="n">
        <v>26.2</v>
      </c>
      <c r="H251" s="0" t="n">
        <v>86.63</v>
      </c>
      <c r="I251" s="0" t="n">
        <v>24.31</v>
      </c>
      <c r="J251" s="0" t="n">
        <v>80.39</v>
      </c>
      <c r="K251" s="0" t="n">
        <v>6</v>
      </c>
      <c r="T251" s="0" t="n">
        <v>3</v>
      </c>
      <c r="U251" s="0" t="n">
        <v>1</v>
      </c>
      <c r="V251" s="0" t="inlineStr">
        <is>
          <t>계단식</t>
        </is>
      </c>
      <c r="W251" s="0" t="inlineStr">
        <is>
          <t>86C</t>
        </is>
      </c>
      <c r="X251" s="0" t="n">
        <v>6</v>
      </c>
      <c r="Y251" s="0" t="n">
        <v>5</v>
      </c>
      <c r="Z251" s="0" t="inlineStr">
        <is>
          <t>https://new.land.naver.com/complexes/7720?tab=detail&amp;rf=Y</t>
        </is>
      </c>
      <c r="AA251" s="0" t="inlineStr">
        <is>
          <t>경상남도 창원시 의창구 동읍 무성리 152</t>
        </is>
      </c>
      <c r="AB251" s="0" t="inlineStr">
        <is>
          <t>경상남도</t>
        </is>
      </c>
      <c r="AC251" s="0" t="inlineStr">
        <is>
          <t>창원시</t>
        </is>
      </c>
      <c r="AD251" s="0" t="inlineStr">
        <is>
          <t>의창구</t>
        </is>
      </c>
      <c r="AE251" s="0" t="inlineStr">
        <is>
          <t>동읍</t>
        </is>
      </c>
      <c r="AG251" s="0" t="inlineStr">
        <is>
          <t>경상남도 창원시 의창구 무성길47번길 9</t>
        </is>
      </c>
      <c r="AH251" s="0" t="n">
        <v>0</v>
      </c>
      <c r="AI251" s="0" t="n">
        <v>0</v>
      </c>
    </row>
    <row r="252">
      <c r="A252" s="0" t="inlineStr">
        <is>
          <t>[동읍]</t>
        </is>
      </c>
      <c r="B252" s="0" t="n">
        <v>7720</v>
      </c>
      <c r="C252" s="0" t="n">
        <v>7</v>
      </c>
      <c r="D252" s="0" t="inlineStr">
        <is>
          <t>우성전원</t>
        </is>
      </c>
      <c r="E252" s="0" t="inlineStr">
        <is>
          <t>1991.12.</t>
        </is>
      </c>
      <c r="F252" s="0" t="n">
        <v>220</v>
      </c>
      <c r="G252" s="0" t="n">
        <v>26.43</v>
      </c>
      <c r="H252" s="0" t="n">
        <v>87.40000000000001</v>
      </c>
      <c r="I252" s="0" t="n">
        <v>24.55</v>
      </c>
      <c r="J252" s="0" t="n">
        <v>81.16</v>
      </c>
      <c r="K252" s="0" t="n">
        <v>6</v>
      </c>
      <c r="T252" s="0" t="n">
        <v>3</v>
      </c>
      <c r="U252" s="0" t="n">
        <v>1</v>
      </c>
      <c r="V252" s="0" t="inlineStr">
        <is>
          <t>계단식</t>
        </is>
      </c>
      <c r="W252" s="0" t="inlineStr">
        <is>
          <t>87A</t>
        </is>
      </c>
      <c r="X252" s="0" t="n">
        <v>6</v>
      </c>
      <c r="Y252" s="0" t="n">
        <v>5</v>
      </c>
      <c r="Z252" s="0" t="inlineStr">
        <is>
          <t>https://new.land.naver.com/complexes/7720?tab=detail&amp;rf=Y</t>
        </is>
      </c>
      <c r="AA252" s="0" t="inlineStr">
        <is>
          <t>경상남도 창원시 의창구 동읍 무성리 152</t>
        </is>
      </c>
      <c r="AB252" s="0" t="inlineStr">
        <is>
          <t>경상남도</t>
        </is>
      </c>
      <c r="AC252" s="0" t="inlineStr">
        <is>
          <t>창원시</t>
        </is>
      </c>
      <c r="AD252" s="0" t="inlineStr">
        <is>
          <t>의창구</t>
        </is>
      </c>
      <c r="AE252" s="0" t="inlineStr">
        <is>
          <t>동읍</t>
        </is>
      </c>
      <c r="AG252" s="0" t="inlineStr">
        <is>
          <t>경상남도 창원시 의창구 무성길47번길 9</t>
        </is>
      </c>
      <c r="AH252" s="0" t="n">
        <v>0</v>
      </c>
      <c r="AI252" s="0" t="n">
        <v>0</v>
      </c>
    </row>
    <row r="253">
      <c r="A253" s="0" t="inlineStr">
        <is>
          <t>[동읍]</t>
        </is>
      </c>
      <c r="B253" s="0" t="n">
        <v>7720</v>
      </c>
      <c r="C253" s="0" t="n">
        <v>8</v>
      </c>
      <c r="D253" s="0" t="inlineStr">
        <is>
          <t>우성전원</t>
        </is>
      </c>
      <c r="E253" s="0" t="inlineStr">
        <is>
          <t>1991.12.</t>
        </is>
      </c>
      <c r="F253" s="0" t="n">
        <v>220</v>
      </c>
      <c r="G253" s="0" t="n">
        <v>28.33</v>
      </c>
      <c r="H253" s="0" t="n">
        <v>93.67</v>
      </c>
      <c r="I253" s="0" t="n">
        <v>24.55</v>
      </c>
      <c r="J253" s="0" t="n">
        <v>81.19</v>
      </c>
      <c r="K253" s="0" t="n">
        <v>6</v>
      </c>
      <c r="T253" s="0" t="n">
        <v>3</v>
      </c>
      <c r="U253" s="0" t="n">
        <v>1</v>
      </c>
      <c r="V253" s="0" t="inlineStr">
        <is>
          <t>계단식</t>
        </is>
      </c>
      <c r="W253" s="0" t="n">
        <v>93</v>
      </c>
      <c r="X253" s="0" t="n">
        <v>6</v>
      </c>
      <c r="Y253" s="0" t="n">
        <v>5</v>
      </c>
      <c r="Z253" s="0" t="inlineStr">
        <is>
          <t>https://new.land.naver.com/complexes/7720?tab=detail&amp;rf=Y</t>
        </is>
      </c>
      <c r="AA253" s="0" t="inlineStr">
        <is>
          <t>경상남도 창원시 의창구 동읍 무성리 152</t>
        </is>
      </c>
      <c r="AB253" s="0" t="inlineStr">
        <is>
          <t>경상남도</t>
        </is>
      </c>
      <c r="AC253" s="0" t="inlineStr">
        <is>
          <t>창원시</t>
        </is>
      </c>
      <c r="AD253" s="0" t="inlineStr">
        <is>
          <t>의창구</t>
        </is>
      </c>
      <c r="AE253" s="0" t="inlineStr">
        <is>
          <t>동읍</t>
        </is>
      </c>
      <c r="AG253" s="0" t="inlineStr">
        <is>
          <t>경상남도 창원시 의창구 무성길47번길 9</t>
        </is>
      </c>
      <c r="AH253" s="0" t="n">
        <v>0</v>
      </c>
      <c r="AI253" s="0" t="n">
        <v>0</v>
      </c>
    </row>
    <row r="254">
      <c r="A254" s="0" t="inlineStr">
        <is>
          <t>[동읍]</t>
        </is>
      </c>
      <c r="B254" s="0" t="n">
        <v>115998</v>
      </c>
      <c r="C254" s="0" t="n">
        <v>1</v>
      </c>
      <c r="D254" s="0" t="inlineStr">
        <is>
          <t>동읍다숲</t>
        </is>
      </c>
      <c r="E254" s="0" t="inlineStr">
        <is>
          <t>2016.09.</t>
        </is>
      </c>
      <c r="F254" s="0" t="n">
        <v>109</v>
      </c>
      <c r="G254" s="0" t="n">
        <v>26.21</v>
      </c>
      <c r="H254" s="0" t="n">
        <v>86.67</v>
      </c>
      <c r="I254" s="0" t="n">
        <v>18.11</v>
      </c>
      <c r="J254" s="0" t="n">
        <v>59.88</v>
      </c>
      <c r="K254" s="0" t="n">
        <v>65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86</v>
      </c>
      <c r="X254" s="0" t="n">
        <v>23</v>
      </c>
      <c r="Y254" s="0" t="n">
        <v>17</v>
      </c>
      <c r="Z254" s="0" t="inlineStr">
        <is>
          <t>https://new.land.naver.com/complexes/115998?tab=detail&amp;rf=Y</t>
        </is>
      </c>
      <c r="AA254" s="0" t="inlineStr">
        <is>
          <t>경상남도 창원시 의창구 동읍 용잠리 468</t>
        </is>
      </c>
      <c r="AB254" s="0" t="inlineStr">
        <is>
          <t>경상남도</t>
        </is>
      </c>
      <c r="AC254" s="0" t="inlineStr">
        <is>
          <t>창원시</t>
        </is>
      </c>
      <c r="AD254" s="0" t="inlineStr">
        <is>
          <t>의창구</t>
        </is>
      </c>
      <c r="AE254" s="0" t="inlineStr">
        <is>
          <t>동읍</t>
        </is>
      </c>
      <c r="AG254" s="0" t="inlineStr">
        <is>
          <t>경상남도 창원시 의창구 용잠로 19</t>
        </is>
      </c>
      <c r="AH254" s="0" t="n">
        <v>0</v>
      </c>
      <c r="AI254" s="0" t="n">
        <v>351</v>
      </c>
    </row>
    <row r="255">
      <c r="A255" s="0" t="inlineStr">
        <is>
          <t>[동읍]</t>
        </is>
      </c>
      <c r="B255" s="0" t="n">
        <v>115998</v>
      </c>
      <c r="C255" s="0" t="n">
        <v>2</v>
      </c>
      <c r="D255" s="0" t="inlineStr">
        <is>
          <t>동읍다숲</t>
        </is>
      </c>
      <c r="E255" s="0" t="inlineStr">
        <is>
          <t>2016.09.</t>
        </is>
      </c>
      <c r="F255" s="0" t="n">
        <v>109</v>
      </c>
      <c r="G255" s="0" t="n">
        <v>30.38</v>
      </c>
      <c r="H255" s="0" t="n">
        <v>100.43</v>
      </c>
      <c r="I255" s="0" t="n">
        <v>22.68</v>
      </c>
      <c r="J255" s="0" t="n">
        <v>74.98999999999999</v>
      </c>
      <c r="K255" s="0" t="n">
        <v>44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100</v>
      </c>
      <c r="X255" s="0" t="n">
        <v>23</v>
      </c>
      <c r="Y255" s="0" t="n">
        <v>17</v>
      </c>
      <c r="Z255" s="0" t="inlineStr">
        <is>
          <t>https://new.land.naver.com/complexes/115998?tab=detail&amp;rf=Y</t>
        </is>
      </c>
      <c r="AA255" s="0" t="inlineStr">
        <is>
          <t>경상남도 창원시 의창구 동읍 용잠리 468</t>
        </is>
      </c>
      <c r="AB255" s="0" t="inlineStr">
        <is>
          <t>경상남도</t>
        </is>
      </c>
      <c r="AC255" s="0" t="inlineStr">
        <is>
          <t>창원시</t>
        </is>
      </c>
      <c r="AD255" s="0" t="inlineStr">
        <is>
          <t>의창구</t>
        </is>
      </c>
      <c r="AE255" s="0" t="inlineStr">
        <is>
          <t>동읍</t>
        </is>
      </c>
      <c r="AG255" s="0" t="inlineStr">
        <is>
          <t>경상남도 창원시 의창구 용잠로 19</t>
        </is>
      </c>
      <c r="AH255" s="0" t="n">
        <v>0</v>
      </c>
      <c r="AI255" s="0" t="n">
        <v>351</v>
      </c>
    </row>
    <row r="256">
      <c r="A256" s="0" t="inlineStr">
        <is>
          <t>[동정동]</t>
        </is>
      </c>
      <c r="B256" s="0" t="n">
        <v>16805</v>
      </c>
      <c r="C256" s="0" t="n">
        <v>1</v>
      </c>
      <c r="D256" s="0" t="inlineStr">
        <is>
          <t>팔도그린</t>
        </is>
      </c>
      <c r="E256" s="0" t="inlineStr">
        <is>
          <t>1995.01.</t>
        </is>
      </c>
      <c r="F256" s="0" t="n">
        <v>48</v>
      </c>
      <c r="G256" s="0" t="n">
        <v>23.03</v>
      </c>
      <c r="H256" s="0" t="n">
        <v>76.16</v>
      </c>
      <c r="I256" s="0" t="n">
        <v>17.72</v>
      </c>
      <c r="J256" s="0" t="n">
        <v>58.6</v>
      </c>
      <c r="K256" s="0" t="n">
        <v>36</v>
      </c>
      <c r="T256" s="0" t="n">
        <v>3</v>
      </c>
      <c r="U256" s="0" t="n">
        <v>1</v>
      </c>
      <c r="V256" s="0" t="inlineStr">
        <is>
          <t>계단식</t>
        </is>
      </c>
      <c r="W256" s="0" t="n">
        <v>76</v>
      </c>
      <c r="X256" s="0" t="n">
        <v>12</v>
      </c>
      <c r="Y256" s="0" t="n">
        <v>12</v>
      </c>
      <c r="Z256" s="0" t="inlineStr">
        <is>
          <t>https://new.land.naver.com/complexes/16805?tab=detail&amp;rf=Y</t>
        </is>
      </c>
      <c r="AA256" s="0" t="inlineStr">
        <is>
          <t>경상남도 창원시 의창구 동정동 256-2</t>
        </is>
      </c>
      <c r="AB256" s="0" t="inlineStr">
        <is>
          <t>경상남도</t>
        </is>
      </c>
      <c r="AC256" s="0" t="inlineStr">
        <is>
          <t>창원시</t>
        </is>
      </c>
      <c r="AD256" s="0" t="inlineStr">
        <is>
          <t>의창구</t>
        </is>
      </c>
      <c r="AE256" s="0" t="inlineStr">
        <is>
          <t>동정동</t>
        </is>
      </c>
      <c r="AG256" s="0" t="inlineStr">
        <is>
          <t>경상남도 창원시 의창구 천주로36번길 9</t>
        </is>
      </c>
      <c r="AH256" s="0" t="n">
        <v>0</v>
      </c>
      <c r="AI256" s="0" t="n">
        <v>297</v>
      </c>
    </row>
    <row r="257">
      <c r="A257" s="0" t="inlineStr">
        <is>
          <t>[동정동]</t>
        </is>
      </c>
      <c r="B257" s="0" t="n">
        <v>16805</v>
      </c>
      <c r="C257" s="0" t="n">
        <v>2</v>
      </c>
      <c r="D257" s="0" t="inlineStr">
        <is>
          <t>팔도그린</t>
        </is>
      </c>
      <c r="E257" s="0" t="inlineStr">
        <is>
          <t>1995.01.</t>
        </is>
      </c>
      <c r="F257" s="0" t="n">
        <v>48</v>
      </c>
      <c r="G257" s="0" t="n">
        <v>23.52</v>
      </c>
      <c r="H257" s="0" t="n">
        <v>77.78</v>
      </c>
      <c r="I257" s="0" t="n">
        <v>18.1</v>
      </c>
      <c r="J257" s="0" t="n">
        <v>59.86</v>
      </c>
      <c r="K257" s="0" t="n">
        <v>4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77</v>
      </c>
      <c r="X257" s="0" t="n">
        <v>12</v>
      </c>
      <c r="Y257" s="0" t="n">
        <v>12</v>
      </c>
      <c r="Z257" s="0" t="inlineStr">
        <is>
          <t>https://new.land.naver.com/complexes/16805?tab=detail&amp;rf=Y</t>
        </is>
      </c>
      <c r="AA257" s="0" t="inlineStr">
        <is>
          <t>경상남도 창원시 의창구 동정동 256-2</t>
        </is>
      </c>
      <c r="AB257" s="0" t="inlineStr">
        <is>
          <t>경상남도</t>
        </is>
      </c>
      <c r="AC257" s="0" t="inlineStr">
        <is>
          <t>창원시</t>
        </is>
      </c>
      <c r="AD257" s="0" t="inlineStr">
        <is>
          <t>의창구</t>
        </is>
      </c>
      <c r="AE257" s="0" t="inlineStr">
        <is>
          <t>동정동</t>
        </is>
      </c>
      <c r="AG257" s="0" t="inlineStr">
        <is>
          <t>경상남도 창원시 의창구 천주로36번길 9</t>
        </is>
      </c>
      <c r="AH257" s="0" t="n">
        <v>0</v>
      </c>
      <c r="AI257" s="0" t="n">
        <v>297</v>
      </c>
    </row>
    <row r="258">
      <c r="A258" s="0" t="inlineStr">
        <is>
          <t>[동정동]</t>
        </is>
      </c>
      <c r="B258" s="0" t="n">
        <v>16805</v>
      </c>
      <c r="C258" s="0" t="n">
        <v>3</v>
      </c>
      <c r="D258" s="0" t="inlineStr">
        <is>
          <t>팔도그린</t>
        </is>
      </c>
      <c r="E258" s="0" t="inlineStr">
        <is>
          <t>1995.01.</t>
        </is>
      </c>
      <c r="F258" s="0" t="n">
        <v>48</v>
      </c>
      <c r="G258" s="0" t="n">
        <v>26.85</v>
      </c>
      <c r="H258" s="0" t="n">
        <v>88.79000000000001</v>
      </c>
      <c r="I258" s="0" t="n">
        <v>20.66</v>
      </c>
      <c r="J258" s="0" t="n">
        <v>68.31999999999999</v>
      </c>
      <c r="K258" s="0" t="n">
        <v>8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88</v>
      </c>
      <c r="X258" s="0" t="n">
        <v>12</v>
      </c>
      <c r="Y258" s="0" t="n">
        <v>12</v>
      </c>
      <c r="Z258" s="0" t="inlineStr">
        <is>
          <t>https://new.land.naver.com/complexes/16805?tab=detail&amp;rf=Y</t>
        </is>
      </c>
      <c r="AA258" s="0" t="inlineStr">
        <is>
          <t>경상남도 창원시 의창구 동정동 256-2</t>
        </is>
      </c>
      <c r="AB258" s="0" t="inlineStr">
        <is>
          <t>경상남도</t>
        </is>
      </c>
      <c r="AC258" s="0" t="inlineStr">
        <is>
          <t>창원시</t>
        </is>
      </c>
      <c r="AD258" s="0" t="inlineStr">
        <is>
          <t>의창구</t>
        </is>
      </c>
      <c r="AE258" s="0" t="inlineStr">
        <is>
          <t>동정동</t>
        </is>
      </c>
      <c r="AG258" s="0" t="inlineStr">
        <is>
          <t>경상남도 창원시 의창구 천주로36번길 9</t>
        </is>
      </c>
      <c r="AH258" s="0" t="n">
        <v>0</v>
      </c>
      <c r="AI258" s="0" t="n">
        <v>297</v>
      </c>
    </row>
    <row r="259">
      <c r="A259" s="0" t="inlineStr">
        <is>
          <t>[동정동]</t>
        </is>
      </c>
      <c r="B259" s="0" t="n">
        <v>110627</v>
      </c>
      <c r="C259" s="0" t="n">
        <v>1</v>
      </c>
      <c r="D259" s="0" t="inlineStr">
        <is>
          <t>성신맨션</t>
        </is>
      </c>
      <c r="E259" s="0" t="inlineStr">
        <is>
          <t>1991.07.</t>
        </is>
      </c>
      <c r="F259" s="0" t="n">
        <v>60</v>
      </c>
      <c r="G259" s="0" t="n">
        <v>28</v>
      </c>
      <c r="H259" s="0" t="n">
        <v>92.58</v>
      </c>
      <c r="I259" s="0" t="n">
        <v>21.46</v>
      </c>
      <c r="J259" s="0" t="n">
        <v>70.97</v>
      </c>
      <c r="K259" s="0" t="n">
        <v>2</v>
      </c>
      <c r="T259" s="0" t="n">
        <v>3</v>
      </c>
      <c r="U259" s="0" t="n">
        <v>1</v>
      </c>
      <c r="V259" s="0" t="inlineStr">
        <is>
          <t>계단식</t>
        </is>
      </c>
      <c r="W259" s="0" t="n">
        <v>92</v>
      </c>
      <c r="X259" s="0" t="n">
        <v>10</v>
      </c>
      <c r="Y259" s="0" t="n">
        <v>10</v>
      </c>
      <c r="Z259" s="0" t="inlineStr">
        <is>
          <t>https://new.land.naver.com/complexes/110627?tab=detail&amp;rf=Y</t>
        </is>
      </c>
      <c r="AA259" s="0" t="inlineStr">
        <is>
          <t>경상남도 창원시 의창구 동정동 300-7</t>
        </is>
      </c>
      <c r="AB259" s="0" t="inlineStr">
        <is>
          <t>경상남도</t>
        </is>
      </c>
      <c r="AC259" s="0" t="inlineStr">
        <is>
          <t>창원시</t>
        </is>
      </c>
      <c r="AD259" s="0" t="inlineStr">
        <is>
          <t>의창구</t>
        </is>
      </c>
      <c r="AE259" s="0" t="inlineStr">
        <is>
          <t>동정동</t>
        </is>
      </c>
      <c r="AG259" s="0" t="inlineStr">
        <is>
          <t>경상남도 창원시 의창구 의창대로139번길 13</t>
        </is>
      </c>
      <c r="AH259" s="0" t="n">
        <v>0</v>
      </c>
      <c r="AI259" s="0" t="n">
        <v>0</v>
      </c>
    </row>
    <row r="260">
      <c r="A260" s="0" t="inlineStr">
        <is>
          <t>[동정동]</t>
        </is>
      </c>
      <c r="B260" s="0" t="n">
        <v>110627</v>
      </c>
      <c r="C260" s="0" t="n">
        <v>2</v>
      </c>
      <c r="D260" s="0" t="inlineStr">
        <is>
          <t>성신맨션</t>
        </is>
      </c>
      <c r="E260" s="0" t="inlineStr">
        <is>
          <t>1991.07.</t>
        </is>
      </c>
      <c r="F260" s="0" t="n">
        <v>60</v>
      </c>
      <c r="G260" s="0" t="n">
        <v>32.63</v>
      </c>
      <c r="H260" s="0" t="n">
        <v>107.89</v>
      </c>
      <c r="I260" s="0" t="n">
        <v>25.49</v>
      </c>
      <c r="J260" s="0" t="n">
        <v>84.29000000000001</v>
      </c>
      <c r="K260" s="0" t="n">
        <v>58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107</v>
      </c>
      <c r="X260" s="0" t="n">
        <v>10</v>
      </c>
      <c r="Y260" s="0" t="n">
        <v>10</v>
      </c>
      <c r="Z260" s="0" t="inlineStr">
        <is>
          <t>https://new.land.naver.com/complexes/110627?tab=detail&amp;rf=Y</t>
        </is>
      </c>
      <c r="AA260" s="0" t="inlineStr">
        <is>
          <t>경상남도 창원시 의창구 동정동 300-7</t>
        </is>
      </c>
      <c r="AB260" s="0" t="inlineStr">
        <is>
          <t>경상남도</t>
        </is>
      </c>
      <c r="AC260" s="0" t="inlineStr">
        <is>
          <t>창원시</t>
        </is>
      </c>
      <c r="AD260" s="0" t="inlineStr">
        <is>
          <t>의창구</t>
        </is>
      </c>
      <c r="AE260" s="0" t="inlineStr">
        <is>
          <t>동정동</t>
        </is>
      </c>
      <c r="AG260" s="0" t="inlineStr">
        <is>
          <t>경상남도 창원시 의창구 의창대로139번길 13</t>
        </is>
      </c>
      <c r="AH260" s="0" t="n">
        <v>0</v>
      </c>
      <c r="AI260" s="0" t="n">
        <v>0</v>
      </c>
    </row>
    <row r="261">
      <c r="A261" s="0" t="inlineStr">
        <is>
          <t>[동정동]</t>
        </is>
      </c>
      <c r="B261" s="0" t="n">
        <v>7730</v>
      </c>
      <c r="C261" s="0" t="n">
        <v>1</v>
      </c>
      <c r="D261" s="0" t="inlineStr">
        <is>
          <t>동정오성</t>
        </is>
      </c>
      <c r="E261" s="0" t="inlineStr">
        <is>
          <t>1996.03.</t>
        </is>
      </c>
      <c r="F261" s="0" t="n">
        <v>254</v>
      </c>
      <c r="G261" s="0" t="n">
        <v>16.99</v>
      </c>
      <c r="H261" s="0" t="n">
        <v>56.19</v>
      </c>
      <c r="I261" s="0" t="n">
        <v>12.64</v>
      </c>
      <c r="J261" s="0" t="n">
        <v>41.79</v>
      </c>
      <c r="K261" s="0" t="n">
        <v>32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56</v>
      </c>
      <c r="X261" s="0" t="n">
        <v>16</v>
      </c>
      <c r="Y261" s="0" t="n">
        <v>12</v>
      </c>
      <c r="Z261" s="0" t="inlineStr">
        <is>
          <t>https://new.land.naver.com/complexes/7730?tab=detail&amp;rf=Y</t>
        </is>
      </c>
      <c r="AA261" s="0" t="inlineStr">
        <is>
          <t>경상남도 창원시 의창구 동정동 288</t>
        </is>
      </c>
      <c r="AB261" s="0" t="inlineStr">
        <is>
          <t>경상남도</t>
        </is>
      </c>
      <c r="AC261" s="0" t="inlineStr">
        <is>
          <t>창원시</t>
        </is>
      </c>
      <c r="AD261" s="0" t="inlineStr">
        <is>
          <t>의창구</t>
        </is>
      </c>
      <c r="AE261" s="0" t="inlineStr">
        <is>
          <t>동정동</t>
        </is>
      </c>
      <c r="AG261" s="0" t="inlineStr">
        <is>
          <t>경상남도 창원시 의창구 서상로 27</t>
        </is>
      </c>
      <c r="AH261" s="0" t="n">
        <v>0</v>
      </c>
      <c r="AI261" s="0" t="n">
        <v>327</v>
      </c>
    </row>
    <row r="262">
      <c r="A262" s="0" t="inlineStr">
        <is>
          <t>[동정동]</t>
        </is>
      </c>
      <c r="B262" s="0" t="n">
        <v>7730</v>
      </c>
      <c r="C262" s="0" t="n">
        <v>2</v>
      </c>
      <c r="D262" s="0" t="inlineStr">
        <is>
          <t>동정오성</t>
        </is>
      </c>
      <c r="E262" s="0" t="inlineStr">
        <is>
          <t>1996.03.</t>
        </is>
      </c>
      <c r="F262" s="0" t="n">
        <v>254</v>
      </c>
      <c r="G262" s="0" t="n">
        <v>20.27</v>
      </c>
      <c r="H262" s="0" t="n">
        <v>67.02</v>
      </c>
      <c r="I262" s="0" t="n">
        <v>16.13</v>
      </c>
      <c r="J262" s="0" t="n">
        <v>53.34</v>
      </c>
      <c r="K262" s="0" t="n">
        <v>1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67</v>
      </c>
      <c r="X262" s="0" t="n">
        <v>16</v>
      </c>
      <c r="Y262" s="0" t="n">
        <v>12</v>
      </c>
      <c r="Z262" s="0" t="inlineStr">
        <is>
          <t>https://new.land.naver.com/complexes/7730?tab=detail&amp;rf=Y</t>
        </is>
      </c>
      <c r="AA262" s="0" t="inlineStr">
        <is>
          <t>경상남도 창원시 의창구 동정동 288</t>
        </is>
      </c>
      <c r="AB262" s="0" t="inlineStr">
        <is>
          <t>경상남도</t>
        </is>
      </c>
      <c r="AC262" s="0" t="inlineStr">
        <is>
          <t>창원시</t>
        </is>
      </c>
      <c r="AD262" s="0" t="inlineStr">
        <is>
          <t>의창구</t>
        </is>
      </c>
      <c r="AE262" s="0" t="inlineStr">
        <is>
          <t>동정동</t>
        </is>
      </c>
      <c r="AG262" s="0" t="inlineStr">
        <is>
          <t>경상남도 창원시 의창구 서상로 27</t>
        </is>
      </c>
      <c r="AH262" s="0" t="n">
        <v>0</v>
      </c>
      <c r="AI262" s="0" t="n">
        <v>327</v>
      </c>
    </row>
    <row r="263">
      <c r="A263" s="0" t="inlineStr">
        <is>
          <t>[동정동]</t>
        </is>
      </c>
      <c r="B263" s="0" t="n">
        <v>7730</v>
      </c>
      <c r="C263" s="0" t="n">
        <v>3</v>
      </c>
      <c r="D263" s="0" t="inlineStr">
        <is>
          <t>동정오성</t>
        </is>
      </c>
      <c r="E263" s="0" t="inlineStr">
        <is>
          <t>1996.03.</t>
        </is>
      </c>
      <c r="F263" s="0" t="n">
        <v>254</v>
      </c>
      <c r="G263" s="0" t="n">
        <v>22.29</v>
      </c>
      <c r="H263" s="0" t="n">
        <v>73.70999999999999</v>
      </c>
      <c r="I263" s="0" t="n">
        <v>18.14</v>
      </c>
      <c r="J263" s="0" t="n">
        <v>59.97</v>
      </c>
      <c r="K263" s="0" t="n">
        <v>109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73</v>
      </c>
      <c r="X263" s="0" t="n">
        <v>16</v>
      </c>
      <c r="Y263" s="0" t="n">
        <v>12</v>
      </c>
      <c r="Z263" s="0" t="inlineStr">
        <is>
          <t>https://new.land.naver.com/complexes/7730?tab=detail&amp;rf=Y</t>
        </is>
      </c>
      <c r="AA263" s="0" t="inlineStr">
        <is>
          <t>경상남도 창원시 의창구 동정동 288</t>
        </is>
      </c>
      <c r="AB263" s="0" t="inlineStr">
        <is>
          <t>경상남도</t>
        </is>
      </c>
      <c r="AC263" s="0" t="inlineStr">
        <is>
          <t>창원시</t>
        </is>
      </c>
      <c r="AD263" s="0" t="inlineStr">
        <is>
          <t>의창구</t>
        </is>
      </c>
      <c r="AE263" s="0" t="inlineStr">
        <is>
          <t>동정동</t>
        </is>
      </c>
      <c r="AG263" s="0" t="inlineStr">
        <is>
          <t>경상남도 창원시 의창구 서상로 27</t>
        </is>
      </c>
      <c r="AH263" s="0" t="n">
        <v>0</v>
      </c>
      <c r="AI263" s="0" t="n">
        <v>327</v>
      </c>
    </row>
    <row r="264">
      <c r="A264" s="0" t="inlineStr">
        <is>
          <t>[동정동]</t>
        </is>
      </c>
      <c r="B264" s="0" t="n">
        <v>7730</v>
      </c>
      <c r="C264" s="0" t="n">
        <v>4</v>
      </c>
      <c r="D264" s="0" t="inlineStr">
        <is>
          <t>동정오성</t>
        </is>
      </c>
      <c r="E264" s="0" t="inlineStr">
        <is>
          <t>1996.03.</t>
        </is>
      </c>
      <c r="F264" s="0" t="n">
        <v>254</v>
      </c>
      <c r="G264" s="0" t="n">
        <v>29.22</v>
      </c>
      <c r="H264" s="0" t="n">
        <v>96.59999999999999</v>
      </c>
      <c r="I264" s="0" t="n">
        <v>25.62</v>
      </c>
      <c r="J264" s="0" t="n">
        <v>84.72</v>
      </c>
      <c r="K264" s="0" t="n">
        <v>112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96</v>
      </c>
      <c r="X264" s="0" t="n">
        <v>16</v>
      </c>
      <c r="Y264" s="0" t="n">
        <v>12</v>
      </c>
      <c r="Z264" s="0" t="inlineStr">
        <is>
          <t>https://new.land.naver.com/complexes/7730?tab=detail&amp;rf=Y</t>
        </is>
      </c>
      <c r="AA264" s="0" t="inlineStr">
        <is>
          <t>경상남도 창원시 의창구 동정동 288</t>
        </is>
      </c>
      <c r="AB264" s="0" t="inlineStr">
        <is>
          <t>경상남도</t>
        </is>
      </c>
      <c r="AC264" s="0" t="inlineStr">
        <is>
          <t>창원시</t>
        </is>
      </c>
      <c r="AD264" s="0" t="inlineStr">
        <is>
          <t>의창구</t>
        </is>
      </c>
      <c r="AE264" s="0" t="inlineStr">
        <is>
          <t>동정동</t>
        </is>
      </c>
      <c r="AG264" s="0" t="inlineStr">
        <is>
          <t>경상남도 창원시 의창구 서상로 27</t>
        </is>
      </c>
      <c r="AH264" s="0" t="n">
        <v>0</v>
      </c>
      <c r="AI264" s="0" t="n">
        <v>327</v>
      </c>
    </row>
    <row r="265">
      <c r="A265" s="0" t="inlineStr">
        <is>
          <t>[동정동]</t>
        </is>
      </c>
      <c r="B265" s="0" t="n">
        <v>19739</v>
      </c>
      <c r="C265" s="0" t="n">
        <v>1</v>
      </c>
      <c r="D265" s="0" t="inlineStr">
        <is>
          <t>동정흥한웰가</t>
        </is>
      </c>
      <c r="E265" s="0" t="inlineStr">
        <is>
          <t>2004.12.</t>
        </is>
      </c>
      <c r="F265" s="0" t="n">
        <v>418</v>
      </c>
      <c r="G265" s="0" t="n">
        <v>31.77</v>
      </c>
      <c r="H265" s="0" t="n">
        <v>105.03</v>
      </c>
      <c r="I265" s="0" t="n">
        <v>25.68</v>
      </c>
      <c r="J265" s="0" t="n">
        <v>84.91</v>
      </c>
      <c r="K265" s="0" t="n">
        <v>311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105</v>
      </c>
      <c r="X265" s="0" t="n">
        <v>20</v>
      </c>
      <c r="Y265" s="0" t="n">
        <v>17</v>
      </c>
      <c r="Z265" s="0" t="inlineStr">
        <is>
          <t>https://new.land.naver.com/complexes/19739?tab=detail&amp;rf=Y</t>
        </is>
      </c>
      <c r="AA265" s="0" t="inlineStr">
        <is>
          <t>경상남도 창원시 의창구 동정동 277</t>
        </is>
      </c>
      <c r="AB265" s="0" t="inlineStr">
        <is>
          <t>경상남도</t>
        </is>
      </c>
      <c r="AC265" s="0" t="inlineStr">
        <is>
          <t>창원시</t>
        </is>
      </c>
      <c r="AD265" s="0" t="inlineStr">
        <is>
          <t>의창구</t>
        </is>
      </c>
      <c r="AE265" s="0" t="inlineStr">
        <is>
          <t>동정동</t>
        </is>
      </c>
      <c r="AG265" s="0" t="inlineStr">
        <is>
          <t>경상남도 창원시 의창구 천주로 33</t>
        </is>
      </c>
      <c r="AH265" s="0" t="n">
        <v>0</v>
      </c>
      <c r="AI265" s="0" t="n">
        <v>218</v>
      </c>
    </row>
    <row r="266">
      <c r="A266" s="0" t="inlineStr">
        <is>
          <t>[동정동]</t>
        </is>
      </c>
      <c r="B266" s="0" t="n">
        <v>19739</v>
      </c>
      <c r="C266" s="0" t="n">
        <v>2</v>
      </c>
      <c r="D266" s="0" t="inlineStr">
        <is>
          <t>동정흥한웰가</t>
        </is>
      </c>
      <c r="E266" s="0" t="inlineStr">
        <is>
          <t>2004.12.</t>
        </is>
      </c>
      <c r="F266" s="0" t="n">
        <v>418</v>
      </c>
      <c r="G266" s="0" t="n">
        <v>43.76</v>
      </c>
      <c r="H266" s="0" t="n">
        <v>144.67</v>
      </c>
      <c r="I266" s="0" t="n">
        <v>35.37</v>
      </c>
      <c r="J266" s="0" t="n">
        <v>116.95</v>
      </c>
      <c r="K266" s="0" t="n">
        <v>107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144</v>
      </c>
      <c r="X266" s="0" t="n">
        <v>20</v>
      </c>
      <c r="Y266" s="0" t="n">
        <v>17</v>
      </c>
      <c r="Z266" s="0" t="inlineStr">
        <is>
          <t>https://new.land.naver.com/complexes/19739?tab=detail&amp;rf=Y</t>
        </is>
      </c>
      <c r="AA266" s="0" t="inlineStr">
        <is>
          <t>경상남도 창원시 의창구 동정동 277</t>
        </is>
      </c>
      <c r="AB266" s="0" t="inlineStr">
        <is>
          <t>경상남도</t>
        </is>
      </c>
      <c r="AC266" s="0" t="inlineStr">
        <is>
          <t>창원시</t>
        </is>
      </c>
      <c r="AD266" s="0" t="inlineStr">
        <is>
          <t>의창구</t>
        </is>
      </c>
      <c r="AE266" s="0" t="inlineStr">
        <is>
          <t>동정동</t>
        </is>
      </c>
      <c r="AG266" s="0" t="inlineStr">
        <is>
          <t>경상남도 창원시 의창구 천주로 33</t>
        </is>
      </c>
      <c r="AH266" s="0" t="n">
        <v>0</v>
      </c>
      <c r="AI266" s="0" t="n">
        <v>218</v>
      </c>
    </row>
    <row r="267">
      <c r="A267" s="0" t="inlineStr">
        <is>
          <t>[동정동]</t>
        </is>
      </c>
      <c r="B267" s="0" t="n">
        <v>7726</v>
      </c>
      <c r="C267" s="0" t="n">
        <v>1</v>
      </c>
      <c r="D267" s="0" t="inlineStr">
        <is>
          <t>남아그린</t>
        </is>
      </c>
      <c r="E267" s="0" t="inlineStr">
        <is>
          <t>1997.12.</t>
        </is>
      </c>
      <c r="F267" s="0" t="n">
        <v>150</v>
      </c>
      <c r="G267" s="0" t="n">
        <v>22.93</v>
      </c>
      <c r="H267" s="0" t="n">
        <v>75.81999999999999</v>
      </c>
      <c r="I267" s="0" t="n">
        <v>18.13</v>
      </c>
      <c r="J267" s="0" t="n">
        <v>59.96</v>
      </c>
      <c r="K267" s="0" t="n">
        <v>120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75</v>
      </c>
      <c r="X267" s="0" t="n">
        <v>15</v>
      </c>
      <c r="Y267" s="0" t="n">
        <v>15</v>
      </c>
      <c r="Z267" s="0" t="inlineStr">
        <is>
          <t>https://new.land.naver.com/complexes/7726?tab=detail&amp;rf=Y</t>
        </is>
      </c>
      <c r="AA267" s="0" t="inlineStr">
        <is>
          <t>경상남도 창원시 의창구 동정동 536-2</t>
        </is>
      </c>
      <c r="AB267" s="0" t="inlineStr">
        <is>
          <t>경상남도</t>
        </is>
      </c>
      <c r="AC267" s="0" t="inlineStr">
        <is>
          <t>창원시</t>
        </is>
      </c>
      <c r="AD267" s="0" t="inlineStr">
        <is>
          <t>의창구</t>
        </is>
      </c>
      <c r="AE267" s="0" t="inlineStr">
        <is>
          <t>동정동</t>
        </is>
      </c>
      <c r="AG267" s="0" t="inlineStr">
        <is>
          <t>경상남도 창원시 의창구 동정길 7</t>
        </is>
      </c>
      <c r="AH267" s="0" t="n">
        <v>0</v>
      </c>
      <c r="AI267" s="0" t="n">
        <v>372</v>
      </c>
    </row>
    <row r="268">
      <c r="A268" s="0" t="inlineStr">
        <is>
          <t>[동정동]</t>
        </is>
      </c>
      <c r="B268" s="0" t="n">
        <v>7726</v>
      </c>
      <c r="C268" s="0" t="n">
        <v>2</v>
      </c>
      <c r="D268" s="0" t="inlineStr">
        <is>
          <t>남아그린</t>
        </is>
      </c>
      <c r="E268" s="0" t="inlineStr">
        <is>
          <t>1997.12.</t>
        </is>
      </c>
      <c r="F268" s="0" t="n">
        <v>150</v>
      </c>
      <c r="G268" s="0" t="n">
        <v>30.51</v>
      </c>
      <c r="H268" s="0" t="n">
        <v>100.86</v>
      </c>
      <c r="I268" s="0" t="n">
        <v>25.37</v>
      </c>
      <c r="J268" s="0" t="n">
        <v>83.88</v>
      </c>
      <c r="K268" s="0" t="n">
        <v>30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100</v>
      </c>
      <c r="X268" s="0" t="n">
        <v>15</v>
      </c>
      <c r="Y268" s="0" t="n">
        <v>15</v>
      </c>
      <c r="Z268" s="0" t="inlineStr">
        <is>
          <t>https://new.land.naver.com/complexes/7726?tab=detail&amp;rf=Y</t>
        </is>
      </c>
      <c r="AA268" s="0" t="inlineStr">
        <is>
          <t>경상남도 창원시 의창구 동정동 536-2</t>
        </is>
      </c>
      <c r="AB268" s="0" t="inlineStr">
        <is>
          <t>경상남도</t>
        </is>
      </c>
      <c r="AC268" s="0" t="inlineStr">
        <is>
          <t>창원시</t>
        </is>
      </c>
      <c r="AD268" s="0" t="inlineStr">
        <is>
          <t>의창구</t>
        </is>
      </c>
      <c r="AE268" s="0" t="inlineStr">
        <is>
          <t>동정동</t>
        </is>
      </c>
      <c r="AG268" s="0" t="inlineStr">
        <is>
          <t>경상남도 창원시 의창구 동정길 7</t>
        </is>
      </c>
      <c r="AH268" s="0" t="n">
        <v>0</v>
      </c>
      <c r="AI268" s="0" t="n">
        <v>372</v>
      </c>
    </row>
    <row r="269">
      <c r="A269" s="0" t="inlineStr">
        <is>
          <t>[동정동]</t>
        </is>
      </c>
      <c r="B269" s="0" t="n">
        <v>7727</v>
      </c>
      <c r="C269" s="0" t="n">
        <v>1</v>
      </c>
      <c r="D269" s="0" t="inlineStr">
        <is>
          <t>무학</t>
        </is>
      </c>
      <c r="E269" s="0" t="inlineStr">
        <is>
          <t>1990.05.</t>
        </is>
      </c>
      <c r="F269" s="0" t="n">
        <v>132</v>
      </c>
      <c r="G269" s="0" t="n">
        <v>29.36</v>
      </c>
      <c r="H269" s="0" t="n">
        <v>97.06</v>
      </c>
      <c r="I269" s="0" t="n">
        <v>24.09</v>
      </c>
      <c r="J269" s="0" t="n">
        <v>79.66</v>
      </c>
      <c r="K269" s="0" t="n">
        <v>80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97</v>
      </c>
      <c r="X269" s="0" t="n">
        <v>10</v>
      </c>
      <c r="Y269" s="0" t="n">
        <v>8</v>
      </c>
      <c r="Z269" s="0" t="inlineStr">
        <is>
          <t>https://new.land.naver.com/complexes/7727?tab=detail&amp;rf=Y</t>
        </is>
      </c>
      <c r="AA269" s="0" t="inlineStr">
        <is>
          <t>경상남도 창원시 의창구 동정동 305-3</t>
        </is>
      </c>
      <c r="AB269" s="0" t="inlineStr">
        <is>
          <t>경상남도</t>
        </is>
      </c>
      <c r="AC269" s="0" t="inlineStr">
        <is>
          <t>창원시</t>
        </is>
      </c>
      <c r="AD269" s="0" t="inlineStr">
        <is>
          <t>의창구</t>
        </is>
      </c>
      <c r="AE269" s="0" t="inlineStr">
        <is>
          <t>동정동</t>
        </is>
      </c>
      <c r="AG269" s="0" t="inlineStr">
        <is>
          <t>경상남도 창원시 의창구 의창대로139번길 23</t>
        </is>
      </c>
      <c r="AH269" s="0" t="n">
        <v>0</v>
      </c>
      <c r="AI269" s="0" t="n">
        <v>0</v>
      </c>
    </row>
    <row r="270">
      <c r="A270" s="0" t="inlineStr">
        <is>
          <t>[동정동]</t>
        </is>
      </c>
      <c r="B270" s="0" t="n">
        <v>7727</v>
      </c>
      <c r="C270" s="0" t="n">
        <v>2</v>
      </c>
      <c r="D270" s="0" t="inlineStr">
        <is>
          <t>무학</t>
        </is>
      </c>
      <c r="E270" s="0" t="inlineStr">
        <is>
          <t>1990.05.</t>
        </is>
      </c>
      <c r="F270" s="0" t="n">
        <v>132</v>
      </c>
      <c r="G270" s="0" t="n">
        <v>31</v>
      </c>
      <c r="H270" s="0" t="n">
        <v>102.51</v>
      </c>
      <c r="I270" s="0" t="n">
        <v>25.4</v>
      </c>
      <c r="J270" s="0" t="n">
        <v>83.97</v>
      </c>
      <c r="K270" s="0" t="n">
        <v>52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102</v>
      </c>
      <c r="X270" s="0" t="n">
        <v>10</v>
      </c>
      <c r="Y270" s="0" t="n">
        <v>8</v>
      </c>
      <c r="Z270" s="0" t="inlineStr">
        <is>
          <t>https://new.land.naver.com/complexes/7727?tab=detail&amp;rf=Y</t>
        </is>
      </c>
      <c r="AA270" s="0" t="inlineStr">
        <is>
          <t>경상남도 창원시 의창구 동정동 305-3</t>
        </is>
      </c>
      <c r="AB270" s="0" t="inlineStr">
        <is>
          <t>경상남도</t>
        </is>
      </c>
      <c r="AC270" s="0" t="inlineStr">
        <is>
          <t>창원시</t>
        </is>
      </c>
      <c r="AD270" s="0" t="inlineStr">
        <is>
          <t>의창구</t>
        </is>
      </c>
      <c r="AE270" s="0" t="inlineStr">
        <is>
          <t>동정동</t>
        </is>
      </c>
      <c r="AG270" s="0" t="inlineStr">
        <is>
          <t>경상남도 창원시 의창구 의창대로139번길 23</t>
        </is>
      </c>
      <c r="AH270" s="0" t="n">
        <v>0</v>
      </c>
      <c r="AI270" s="0" t="n">
        <v>0</v>
      </c>
    </row>
    <row r="271">
      <c r="A271" s="0" t="inlineStr">
        <is>
          <t>[동정동]</t>
        </is>
      </c>
      <c r="B271" s="0" t="n">
        <v>136742</v>
      </c>
      <c r="C271" s="0" t="n">
        <v>1</v>
      </c>
      <c r="D271" s="0" t="inlineStr">
        <is>
          <t>더푸름빌리지(도시형)</t>
        </is>
      </c>
      <c r="E271" s="0" t="inlineStr">
        <is>
          <t>2016.03.</t>
        </is>
      </c>
      <c r="F271" s="0" t="n">
        <v>20</v>
      </c>
      <c r="G271" s="0" t="n">
        <v>26.03</v>
      </c>
      <c r="H271" s="0" t="n">
        <v>86.05</v>
      </c>
      <c r="I271" s="0" t="n">
        <v>20.68</v>
      </c>
      <c r="J271" s="0" t="n">
        <v>68.38</v>
      </c>
      <c r="K271" s="0" t="n">
        <v>4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86</v>
      </c>
      <c r="X271" s="0" t="n">
        <v>5</v>
      </c>
      <c r="Y271" s="0" t="n">
        <v>5</v>
      </c>
      <c r="Z271" s="0" t="inlineStr">
        <is>
          <t>https://new.land.naver.com/complexes/136742?tab=detail&amp;rf=Y</t>
        </is>
      </c>
      <c r="AA271" s="0" t="inlineStr">
        <is>
          <t>경상남도 창원시 의창구 동정동 334-2</t>
        </is>
      </c>
      <c r="AB271" s="0" t="inlineStr">
        <is>
          <t>경상남도</t>
        </is>
      </c>
      <c r="AC271" s="0" t="inlineStr">
        <is>
          <t>창원시</t>
        </is>
      </c>
      <c r="AD271" s="0" t="inlineStr">
        <is>
          <t>의창구</t>
        </is>
      </c>
      <c r="AE271" s="0" t="inlineStr">
        <is>
          <t>동정동</t>
        </is>
      </c>
      <c r="AG271" s="0" t="inlineStr">
        <is>
          <t>경상남도 창원시 의창구 동정길 53-17</t>
        </is>
      </c>
      <c r="AH271" s="0" t="n">
        <v>0</v>
      </c>
      <c r="AI271" s="0" t="n">
        <v>138</v>
      </c>
    </row>
    <row r="272">
      <c r="A272" s="0" t="inlineStr">
        <is>
          <t>[동정동]</t>
        </is>
      </c>
      <c r="B272" s="0" t="n">
        <v>136742</v>
      </c>
      <c r="C272" s="0" t="n">
        <v>2</v>
      </c>
      <c r="D272" s="0" t="inlineStr">
        <is>
          <t>더푸름빌리지(도시형)</t>
        </is>
      </c>
      <c r="E272" s="0" t="inlineStr">
        <is>
          <t>2016.03.</t>
        </is>
      </c>
      <c r="F272" s="0" t="n">
        <v>20</v>
      </c>
      <c r="G272" s="0" t="n">
        <v>26.7</v>
      </c>
      <c r="H272" s="0" t="n">
        <v>88.28</v>
      </c>
      <c r="I272" s="0" t="n">
        <v>21.12</v>
      </c>
      <c r="J272" s="0" t="n">
        <v>69.84999999999999</v>
      </c>
      <c r="K272" s="0" t="n">
        <v>4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88</v>
      </c>
      <c r="X272" s="0" t="n">
        <v>5</v>
      </c>
      <c r="Y272" s="0" t="n">
        <v>5</v>
      </c>
      <c r="Z272" s="0" t="inlineStr">
        <is>
          <t>https://new.land.naver.com/complexes/136742?tab=detail&amp;rf=Y</t>
        </is>
      </c>
      <c r="AA272" s="0" t="inlineStr">
        <is>
          <t>경상남도 창원시 의창구 동정동 334-2</t>
        </is>
      </c>
      <c r="AB272" s="0" t="inlineStr">
        <is>
          <t>경상남도</t>
        </is>
      </c>
      <c r="AC272" s="0" t="inlineStr">
        <is>
          <t>창원시</t>
        </is>
      </c>
      <c r="AD272" s="0" t="inlineStr">
        <is>
          <t>의창구</t>
        </is>
      </c>
      <c r="AE272" s="0" t="inlineStr">
        <is>
          <t>동정동</t>
        </is>
      </c>
      <c r="AG272" s="0" t="inlineStr">
        <is>
          <t>경상남도 창원시 의창구 동정길 53-17</t>
        </is>
      </c>
      <c r="AH272" s="0" t="n">
        <v>0</v>
      </c>
      <c r="AI272" s="0" t="n">
        <v>138</v>
      </c>
    </row>
    <row r="273">
      <c r="A273" s="0" t="inlineStr">
        <is>
          <t>[동정동]</t>
        </is>
      </c>
      <c r="B273" s="0" t="n">
        <v>136742</v>
      </c>
      <c r="C273" s="0" t="n">
        <v>3</v>
      </c>
      <c r="D273" s="0" t="inlineStr">
        <is>
          <t>더푸름빌리지(도시형)</t>
        </is>
      </c>
      <c r="E273" s="0" t="inlineStr">
        <is>
          <t>2016.03.</t>
        </is>
      </c>
      <c r="F273" s="0" t="n">
        <v>20</v>
      </c>
      <c r="G273" s="0" t="n">
        <v>28.27</v>
      </c>
      <c r="H273" s="0" t="n">
        <v>93.48</v>
      </c>
      <c r="I273" s="0" t="n">
        <v>22.47</v>
      </c>
      <c r="J273" s="0" t="n">
        <v>74.29000000000001</v>
      </c>
      <c r="K273" s="0" t="n">
        <v>4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93</v>
      </c>
      <c r="X273" s="0" t="n">
        <v>5</v>
      </c>
      <c r="Y273" s="0" t="n">
        <v>5</v>
      </c>
      <c r="Z273" s="0" t="inlineStr">
        <is>
          <t>https://new.land.naver.com/complexes/136742?tab=detail&amp;rf=Y</t>
        </is>
      </c>
      <c r="AA273" s="0" t="inlineStr">
        <is>
          <t>경상남도 창원시 의창구 동정동 334-2</t>
        </is>
      </c>
      <c r="AB273" s="0" t="inlineStr">
        <is>
          <t>경상남도</t>
        </is>
      </c>
      <c r="AC273" s="0" t="inlineStr">
        <is>
          <t>창원시</t>
        </is>
      </c>
      <c r="AD273" s="0" t="inlineStr">
        <is>
          <t>의창구</t>
        </is>
      </c>
      <c r="AE273" s="0" t="inlineStr">
        <is>
          <t>동정동</t>
        </is>
      </c>
      <c r="AG273" s="0" t="inlineStr">
        <is>
          <t>경상남도 창원시 의창구 동정길 53-17</t>
        </is>
      </c>
      <c r="AH273" s="0" t="n">
        <v>0</v>
      </c>
      <c r="AI273" s="0" t="n">
        <v>138</v>
      </c>
    </row>
    <row r="274">
      <c r="A274" s="0" t="inlineStr">
        <is>
          <t>[동정동]</t>
        </is>
      </c>
      <c r="B274" s="0" t="n">
        <v>136742</v>
      </c>
      <c r="C274" s="0" t="n">
        <v>4</v>
      </c>
      <c r="D274" s="0" t="inlineStr">
        <is>
          <t>더푸름빌리지(도시형)</t>
        </is>
      </c>
      <c r="E274" s="0" t="inlineStr">
        <is>
          <t>2016.03.</t>
        </is>
      </c>
      <c r="F274" s="0" t="n">
        <v>20</v>
      </c>
      <c r="G274" s="0" t="n">
        <v>28.7</v>
      </c>
      <c r="H274" s="0" t="n">
        <v>94.89</v>
      </c>
      <c r="I274" s="0" t="n">
        <v>22.91</v>
      </c>
      <c r="J274" s="0" t="n">
        <v>75.73999999999999</v>
      </c>
      <c r="K274" s="0" t="n">
        <v>4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94</v>
      </c>
      <c r="X274" s="0" t="n">
        <v>5</v>
      </c>
      <c r="Y274" s="0" t="n">
        <v>5</v>
      </c>
      <c r="Z274" s="0" t="inlineStr">
        <is>
          <t>https://new.land.naver.com/complexes/136742?tab=detail&amp;rf=Y</t>
        </is>
      </c>
      <c r="AA274" s="0" t="inlineStr">
        <is>
          <t>경상남도 창원시 의창구 동정동 334-2</t>
        </is>
      </c>
      <c r="AB274" s="0" t="inlineStr">
        <is>
          <t>경상남도</t>
        </is>
      </c>
      <c r="AC274" s="0" t="inlineStr">
        <is>
          <t>창원시</t>
        </is>
      </c>
      <c r="AD274" s="0" t="inlineStr">
        <is>
          <t>의창구</t>
        </is>
      </c>
      <c r="AE274" s="0" t="inlineStr">
        <is>
          <t>동정동</t>
        </is>
      </c>
      <c r="AG274" s="0" t="inlineStr">
        <is>
          <t>경상남도 창원시 의창구 동정길 53-17</t>
        </is>
      </c>
      <c r="AH274" s="0" t="n">
        <v>0</v>
      </c>
      <c r="AI274" s="0" t="n">
        <v>138</v>
      </c>
    </row>
    <row r="275">
      <c r="A275" s="0" t="inlineStr">
        <is>
          <t>[동정동]</t>
        </is>
      </c>
      <c r="B275" s="0" t="n">
        <v>136742</v>
      </c>
      <c r="C275" s="0" t="n">
        <v>5</v>
      </c>
      <c r="D275" s="0" t="inlineStr">
        <is>
          <t>더푸름빌리지(도시형)</t>
        </is>
      </c>
      <c r="E275" s="0" t="inlineStr">
        <is>
          <t>2016.03.</t>
        </is>
      </c>
      <c r="F275" s="0" t="n">
        <v>20</v>
      </c>
      <c r="G275" s="0" t="n">
        <v>31.82</v>
      </c>
      <c r="H275" s="0" t="n">
        <v>105.21</v>
      </c>
      <c r="I275" s="0" t="n">
        <v>25.19</v>
      </c>
      <c r="J275" s="0" t="n">
        <v>83.3</v>
      </c>
      <c r="K275" s="0" t="n">
        <v>4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5</v>
      </c>
      <c r="Y275" s="0" t="n">
        <v>5</v>
      </c>
      <c r="Z275" s="0" t="inlineStr">
        <is>
          <t>https://new.land.naver.com/complexes/136742?tab=detail&amp;rf=Y</t>
        </is>
      </c>
      <c r="AA275" s="0" t="inlineStr">
        <is>
          <t>경상남도 창원시 의창구 동정동 334-2</t>
        </is>
      </c>
      <c r="AB275" s="0" t="inlineStr">
        <is>
          <t>경상남도</t>
        </is>
      </c>
      <c r="AC275" s="0" t="inlineStr">
        <is>
          <t>창원시</t>
        </is>
      </c>
      <c r="AD275" s="0" t="inlineStr">
        <is>
          <t>의창구</t>
        </is>
      </c>
      <c r="AE275" s="0" t="inlineStr">
        <is>
          <t>동정동</t>
        </is>
      </c>
      <c r="AG275" s="0" t="inlineStr">
        <is>
          <t>경상남도 창원시 의창구 동정길 53-17</t>
        </is>
      </c>
      <c r="AH275" s="0" t="n">
        <v>0</v>
      </c>
      <c r="AI275" s="0" t="n">
        <v>138</v>
      </c>
    </row>
    <row r="276">
      <c r="A276" s="0" t="inlineStr">
        <is>
          <t>[명곡동]</t>
        </is>
      </c>
      <c r="B276" s="0" t="n">
        <v>141024</v>
      </c>
      <c r="C276" s="0" t="n">
        <v>1</v>
      </c>
      <c r="D276" s="0" t="inlineStr">
        <is>
          <t>창원명곡A-1블록신혼희망타운</t>
        </is>
      </c>
      <c r="E276" s="0" t="inlineStr">
        <is>
          <t>2024.10.</t>
        </is>
      </c>
      <c r="F276" s="0" t="n">
        <v>395</v>
      </c>
      <c r="G276" s="0" t="n">
        <v>23.87</v>
      </c>
      <c r="H276" s="0" t="n">
        <v>78.94</v>
      </c>
      <c r="I276" s="0" t="n">
        <v>16.92</v>
      </c>
      <c r="J276" s="0" t="n">
        <v>55.94</v>
      </c>
      <c r="K276" s="0" t="n">
        <v>172</v>
      </c>
      <c r="T276" s="0" t="n">
        <v>2</v>
      </c>
      <c r="U276" s="0" t="n">
        <v>2</v>
      </c>
      <c r="V276" s="0" t="inlineStr">
        <is>
          <t>계단식</t>
        </is>
      </c>
      <c r="W276" s="0" t="inlineStr">
        <is>
          <t>78A2</t>
        </is>
      </c>
      <c r="X276" s="0" t="n">
        <v>25</v>
      </c>
      <c r="Y276" s="0" t="n">
        <v>15</v>
      </c>
      <c r="Z276" s="0" t="inlineStr">
        <is>
          <t>https://new.land.naver.com/complexes/141024?tab=detail&amp;rf=Y</t>
        </is>
      </c>
      <c r="AA276" s="0" t="inlineStr">
        <is>
          <t>경상남도 창원시 의창구 명곡동 34번지 일원</t>
        </is>
      </c>
      <c r="AB276" s="0" t="inlineStr">
        <is>
          <t>경상남도</t>
        </is>
      </c>
      <c r="AC276" s="0" t="inlineStr">
        <is>
          <t>창원시</t>
        </is>
      </c>
      <c r="AD276" s="0" t="inlineStr">
        <is>
          <t>의창구</t>
        </is>
      </c>
      <c r="AE276" s="0" t="inlineStr">
        <is>
          <t>명곡동</t>
        </is>
      </c>
      <c r="AG276" s="0" t="inlineStr">
        <is>
          <t>경상남도 창원시 의창구</t>
        </is>
      </c>
      <c r="AH276" s="0" t="n">
        <v>132</v>
      </c>
      <c r="AI276" s="0" t="n">
        <v>0</v>
      </c>
    </row>
    <row r="277">
      <c r="A277" s="0" t="inlineStr">
        <is>
          <t>[명곡동]</t>
        </is>
      </c>
      <c r="B277" s="0" t="n">
        <v>141024</v>
      </c>
      <c r="C277" s="0" t="n">
        <v>2</v>
      </c>
      <c r="D277" s="0" t="inlineStr">
        <is>
          <t>창원명곡A-1블록신혼희망타운</t>
        </is>
      </c>
      <c r="E277" s="0" t="inlineStr">
        <is>
          <t>2024.10.</t>
        </is>
      </c>
      <c r="F277" s="0" t="n">
        <v>395</v>
      </c>
      <c r="G277" s="0" t="n">
        <v>23.85</v>
      </c>
      <c r="H277" s="0" t="n">
        <v>78.84999999999999</v>
      </c>
      <c r="I277" s="0" t="n">
        <v>16.9</v>
      </c>
      <c r="J277" s="0" t="n">
        <v>55.88</v>
      </c>
      <c r="K277" s="0" t="n">
        <v>61</v>
      </c>
      <c r="T277" s="0" t="n">
        <v>2</v>
      </c>
      <c r="U277" s="0" t="n">
        <v>2</v>
      </c>
      <c r="V277" s="0" t="inlineStr">
        <is>
          <t>계단식</t>
        </is>
      </c>
      <c r="W277" s="0" t="inlineStr">
        <is>
          <t>78B2</t>
        </is>
      </c>
      <c r="X277" s="0" t="n">
        <v>25</v>
      </c>
      <c r="Y277" s="0" t="n">
        <v>15</v>
      </c>
      <c r="Z277" s="0" t="inlineStr">
        <is>
          <t>https://new.land.naver.com/complexes/141024?tab=detail&amp;rf=Y</t>
        </is>
      </c>
      <c r="AA277" s="0" t="inlineStr">
        <is>
          <t>경상남도 창원시 의창구 명곡동 34번지 일원</t>
        </is>
      </c>
      <c r="AB277" s="0" t="inlineStr">
        <is>
          <t>경상남도</t>
        </is>
      </c>
      <c r="AC277" s="0" t="inlineStr">
        <is>
          <t>창원시</t>
        </is>
      </c>
      <c r="AD277" s="0" t="inlineStr">
        <is>
          <t>의창구</t>
        </is>
      </c>
      <c r="AE277" s="0" t="inlineStr">
        <is>
          <t>명곡동</t>
        </is>
      </c>
      <c r="AG277" s="0" t="inlineStr">
        <is>
          <t>경상남도 창원시 의창구</t>
        </is>
      </c>
      <c r="AH277" s="0" t="n">
        <v>132</v>
      </c>
      <c r="AI277" s="0" t="n">
        <v>0</v>
      </c>
    </row>
    <row r="278">
      <c r="A278" s="0" t="inlineStr">
        <is>
          <t>[명곡동]</t>
        </is>
      </c>
      <c r="B278" s="0" t="n">
        <v>141024</v>
      </c>
      <c r="C278" s="0" t="n">
        <v>3</v>
      </c>
      <c r="D278" s="0" t="inlineStr">
        <is>
          <t>창원명곡A-1블록신혼희망타운</t>
        </is>
      </c>
      <c r="E278" s="0" t="inlineStr">
        <is>
          <t>2024.10.</t>
        </is>
      </c>
      <c r="F278" s="0" t="n">
        <v>395</v>
      </c>
      <c r="G278" s="0" t="n">
        <v>23.78</v>
      </c>
      <c r="H278" s="0" t="n">
        <v>78.64</v>
      </c>
      <c r="I278" s="0" t="n">
        <v>16.85</v>
      </c>
      <c r="J278" s="0" t="n">
        <v>55.73</v>
      </c>
      <c r="K278" s="0" t="n">
        <v>20</v>
      </c>
      <c r="T278" s="0" t="n">
        <v>2</v>
      </c>
      <c r="U278" s="0" t="n">
        <v>2</v>
      </c>
      <c r="V278" s="0" t="inlineStr">
        <is>
          <t>계단식</t>
        </is>
      </c>
      <c r="W278" s="0" t="inlineStr">
        <is>
          <t>78A1</t>
        </is>
      </c>
      <c r="X278" s="0" t="n">
        <v>25</v>
      </c>
      <c r="Y278" s="0" t="n">
        <v>15</v>
      </c>
      <c r="Z278" s="0" t="inlineStr">
        <is>
          <t>https://new.land.naver.com/complexes/141024?tab=detail&amp;rf=Y</t>
        </is>
      </c>
      <c r="AA278" s="0" t="inlineStr">
        <is>
          <t>경상남도 창원시 의창구 명곡동 34번지 일원</t>
        </is>
      </c>
      <c r="AB278" s="0" t="inlineStr">
        <is>
          <t>경상남도</t>
        </is>
      </c>
      <c r="AC278" s="0" t="inlineStr">
        <is>
          <t>창원시</t>
        </is>
      </c>
      <c r="AD278" s="0" t="inlineStr">
        <is>
          <t>의창구</t>
        </is>
      </c>
      <c r="AE278" s="0" t="inlineStr">
        <is>
          <t>명곡동</t>
        </is>
      </c>
      <c r="AG278" s="0" t="inlineStr">
        <is>
          <t>경상남도 창원시 의창구</t>
        </is>
      </c>
      <c r="AH278" s="0" t="n">
        <v>132</v>
      </c>
      <c r="AI278" s="0" t="n">
        <v>0</v>
      </c>
    </row>
    <row r="279">
      <c r="A279" s="0" t="inlineStr">
        <is>
          <t>[명곡동]</t>
        </is>
      </c>
      <c r="B279" s="0" t="n">
        <v>141024</v>
      </c>
      <c r="C279" s="0" t="n">
        <v>4</v>
      </c>
      <c r="D279" s="0" t="inlineStr">
        <is>
          <t>창원명곡A-1블록신혼희망타운</t>
        </is>
      </c>
      <c r="E279" s="0" t="inlineStr">
        <is>
          <t>2024.10.</t>
        </is>
      </c>
      <c r="F279" s="0" t="n">
        <v>395</v>
      </c>
      <c r="G279" s="0" t="n">
        <v>23.74</v>
      </c>
      <c r="H279" s="0" t="n">
        <v>78.5</v>
      </c>
      <c r="I279" s="0" t="n">
        <v>16.82</v>
      </c>
      <c r="J279" s="0" t="n">
        <v>55.63</v>
      </c>
      <c r="K279" s="0" t="n">
        <v>10</v>
      </c>
      <c r="T279" s="0" t="n">
        <v>2</v>
      </c>
      <c r="U279" s="0" t="n">
        <v>2</v>
      </c>
      <c r="V279" s="0" t="inlineStr">
        <is>
          <t>계단식</t>
        </is>
      </c>
      <c r="W279" s="0" t="inlineStr">
        <is>
          <t>78B1</t>
        </is>
      </c>
      <c r="X279" s="0" t="n">
        <v>25</v>
      </c>
      <c r="Y279" s="0" t="n">
        <v>15</v>
      </c>
      <c r="Z279" s="0" t="inlineStr">
        <is>
          <t>https://new.land.naver.com/complexes/141024?tab=detail&amp;rf=Y</t>
        </is>
      </c>
      <c r="AA279" s="0" t="inlineStr">
        <is>
          <t>경상남도 창원시 의창구 명곡동 34번지 일원</t>
        </is>
      </c>
      <c r="AB279" s="0" t="inlineStr">
        <is>
          <t>경상남도</t>
        </is>
      </c>
      <c r="AC279" s="0" t="inlineStr">
        <is>
          <t>창원시</t>
        </is>
      </c>
      <c r="AD279" s="0" t="inlineStr">
        <is>
          <t>의창구</t>
        </is>
      </c>
      <c r="AE279" s="0" t="inlineStr">
        <is>
          <t>명곡동</t>
        </is>
      </c>
      <c r="AG279" s="0" t="inlineStr">
        <is>
          <t>경상남도 창원시 의창구</t>
        </is>
      </c>
      <c r="AH279" s="0" t="n">
        <v>132</v>
      </c>
      <c r="AI279" s="0" t="n">
        <v>0</v>
      </c>
    </row>
    <row r="280">
      <c r="A280" s="0" t="inlineStr">
        <is>
          <t>[명서동]</t>
        </is>
      </c>
      <c r="B280" s="0" t="n">
        <v>101464</v>
      </c>
      <c r="C280" s="0" t="n">
        <v>1</v>
      </c>
      <c r="D280" s="0" t="inlineStr">
        <is>
          <t>두산위브</t>
        </is>
      </c>
      <c r="E280" s="0" t="inlineStr">
        <is>
          <t>2010.06.</t>
        </is>
      </c>
      <c r="F280" s="0" t="n">
        <v>1522</v>
      </c>
      <c r="G280" s="0" t="n">
        <v>34.22</v>
      </c>
      <c r="H280" s="0" t="n">
        <v>113.14</v>
      </c>
      <c r="I280" s="0" t="n">
        <v>25.7</v>
      </c>
      <c r="J280" s="0" t="n">
        <v>84.98999999999999</v>
      </c>
      <c r="K280" s="0" t="n">
        <v>294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113</v>
      </c>
      <c r="X280" s="0" t="n">
        <v>15</v>
      </c>
      <c r="Y280" s="0" t="n">
        <v>12</v>
      </c>
      <c r="Z280" s="0" t="inlineStr">
        <is>
          <t>https://new.land.naver.com/complexes/101464?tab=detail&amp;rf=Y</t>
        </is>
      </c>
      <c r="AA280" s="0" t="inlineStr">
        <is>
          <t>경상남도 창원시 의창구 명서동 27</t>
        </is>
      </c>
      <c r="AB280" s="0" t="inlineStr">
        <is>
          <t>경상남도</t>
        </is>
      </c>
      <c r="AC280" s="0" t="inlineStr">
        <is>
          <t>창원시</t>
        </is>
      </c>
      <c r="AD280" s="0" t="inlineStr">
        <is>
          <t>의창구</t>
        </is>
      </c>
      <c r="AE280" s="0" t="inlineStr">
        <is>
          <t>명서동</t>
        </is>
      </c>
      <c r="AG280" s="0" t="inlineStr">
        <is>
          <t>경상남도 창원시 의창구 도계로 135</t>
        </is>
      </c>
      <c r="AH280" s="0" t="n">
        <v>0</v>
      </c>
      <c r="AI280" s="0" t="n">
        <v>207</v>
      </c>
    </row>
    <row r="281">
      <c r="A281" s="0" t="inlineStr">
        <is>
          <t>[명서동]</t>
        </is>
      </c>
      <c r="B281" s="0" t="n">
        <v>101464</v>
      </c>
      <c r="C281" s="0" t="n">
        <v>2</v>
      </c>
      <c r="D281" s="0" t="inlineStr">
        <is>
          <t>두산위브</t>
        </is>
      </c>
      <c r="E281" s="0" t="inlineStr">
        <is>
          <t>2010.06.</t>
        </is>
      </c>
      <c r="F281" s="0" t="n">
        <v>1522</v>
      </c>
      <c r="G281" s="0" t="n">
        <v>38.85</v>
      </c>
      <c r="H281" s="0" t="n">
        <v>128.43</v>
      </c>
      <c r="I281" s="0" t="n">
        <v>31.38</v>
      </c>
      <c r="J281" s="0" t="n">
        <v>103.75</v>
      </c>
      <c r="K281" s="0" t="n">
        <v>120</v>
      </c>
      <c r="T281" s="0" t="n">
        <v>3</v>
      </c>
      <c r="U281" s="0" t="n">
        <v>2</v>
      </c>
      <c r="V281" s="0" t="inlineStr">
        <is>
          <t>복도식</t>
        </is>
      </c>
      <c r="W281" s="0" t="inlineStr">
        <is>
          <t>128C</t>
        </is>
      </c>
      <c r="X281" s="0" t="n">
        <v>15</v>
      </c>
      <c r="Y281" s="0" t="n">
        <v>12</v>
      </c>
      <c r="Z281" s="0" t="inlineStr">
        <is>
          <t>https://new.land.naver.com/complexes/101464?tab=detail&amp;rf=Y</t>
        </is>
      </c>
      <c r="AA281" s="0" t="inlineStr">
        <is>
          <t>경상남도 창원시 의창구 명서동 27</t>
        </is>
      </c>
      <c r="AB281" s="0" t="inlineStr">
        <is>
          <t>경상남도</t>
        </is>
      </c>
      <c r="AC281" s="0" t="inlineStr">
        <is>
          <t>창원시</t>
        </is>
      </c>
      <c r="AD281" s="0" t="inlineStr">
        <is>
          <t>의창구</t>
        </is>
      </c>
      <c r="AE281" s="0" t="inlineStr">
        <is>
          <t>명서동</t>
        </is>
      </c>
      <c r="AG281" s="0" t="inlineStr">
        <is>
          <t>경상남도 창원시 의창구 도계로 135</t>
        </is>
      </c>
      <c r="AH281" s="0" t="n">
        <v>0</v>
      </c>
      <c r="AI281" s="0" t="n">
        <v>207</v>
      </c>
    </row>
    <row r="282">
      <c r="A282" s="0" t="inlineStr">
        <is>
          <t>[명서동]</t>
        </is>
      </c>
      <c r="B282" s="0" t="n">
        <v>101464</v>
      </c>
      <c r="C282" s="0" t="n">
        <v>3</v>
      </c>
      <c r="D282" s="0" t="inlineStr">
        <is>
          <t>두산위브</t>
        </is>
      </c>
      <c r="E282" s="0" t="inlineStr">
        <is>
          <t>2010.06.</t>
        </is>
      </c>
      <c r="F282" s="0" t="n">
        <v>1522</v>
      </c>
      <c r="G282" s="0" t="n">
        <v>38.78</v>
      </c>
      <c r="H282" s="0" t="n">
        <v>128.22</v>
      </c>
      <c r="I282" s="0" t="n">
        <v>31.33</v>
      </c>
      <c r="J282" s="0" t="n">
        <v>103.58</v>
      </c>
      <c r="K282" s="0" t="n">
        <v>112</v>
      </c>
      <c r="T282" s="0" t="n">
        <v>3</v>
      </c>
      <c r="U282" s="0" t="n">
        <v>2</v>
      </c>
      <c r="V282" s="0" t="inlineStr">
        <is>
          <t>복도식</t>
        </is>
      </c>
      <c r="W282" s="0" t="inlineStr">
        <is>
          <t>128B</t>
        </is>
      </c>
      <c r="X282" s="0" t="n">
        <v>15</v>
      </c>
      <c r="Y282" s="0" t="n">
        <v>12</v>
      </c>
      <c r="Z282" s="0" t="inlineStr">
        <is>
          <t>https://new.land.naver.com/complexes/101464?tab=detail&amp;rf=Y</t>
        </is>
      </c>
      <c r="AA282" s="0" t="inlineStr">
        <is>
          <t>경상남도 창원시 의창구 명서동 27</t>
        </is>
      </c>
      <c r="AB282" s="0" t="inlineStr">
        <is>
          <t>경상남도</t>
        </is>
      </c>
      <c r="AC282" s="0" t="inlineStr">
        <is>
          <t>창원시</t>
        </is>
      </c>
      <c r="AD282" s="0" t="inlineStr">
        <is>
          <t>의창구</t>
        </is>
      </c>
      <c r="AE282" s="0" t="inlineStr">
        <is>
          <t>명서동</t>
        </is>
      </c>
      <c r="AG282" s="0" t="inlineStr">
        <is>
          <t>경상남도 창원시 의창구 도계로 135</t>
        </is>
      </c>
      <c r="AH282" s="0" t="n">
        <v>0</v>
      </c>
      <c r="AI282" s="0" t="n">
        <v>207</v>
      </c>
    </row>
    <row r="283">
      <c r="A283" s="0" t="inlineStr">
        <is>
          <t>[명서동]</t>
        </is>
      </c>
      <c r="B283" s="0" t="n">
        <v>101464</v>
      </c>
      <c r="C283" s="0" t="n">
        <v>4</v>
      </c>
      <c r="D283" s="0" t="inlineStr">
        <is>
          <t>두산위브</t>
        </is>
      </c>
      <c r="E283" s="0" t="inlineStr">
        <is>
          <t>2010.06.</t>
        </is>
      </c>
      <c r="F283" s="0" t="n">
        <v>1522</v>
      </c>
      <c r="G283" s="0" t="n">
        <v>38.78</v>
      </c>
      <c r="H283" s="0" t="n">
        <v>128.22</v>
      </c>
      <c r="I283" s="0" t="n">
        <v>31.3</v>
      </c>
      <c r="J283" s="0" t="n">
        <v>103.49</v>
      </c>
      <c r="K283" s="0" t="n">
        <v>56</v>
      </c>
      <c r="T283" s="0" t="n">
        <v>3</v>
      </c>
      <c r="U283" s="0" t="n">
        <v>2</v>
      </c>
      <c r="V283" s="0" t="inlineStr">
        <is>
          <t>복도식</t>
        </is>
      </c>
      <c r="W283" s="0" t="inlineStr">
        <is>
          <t>128A</t>
        </is>
      </c>
      <c r="X283" s="0" t="n">
        <v>15</v>
      </c>
      <c r="Y283" s="0" t="n">
        <v>12</v>
      </c>
      <c r="Z283" s="0" t="inlineStr">
        <is>
          <t>https://new.land.naver.com/complexes/101464?tab=detail&amp;rf=Y</t>
        </is>
      </c>
      <c r="AA283" s="0" t="inlineStr">
        <is>
          <t>경상남도 창원시 의창구 명서동 27</t>
        </is>
      </c>
      <c r="AB283" s="0" t="inlineStr">
        <is>
          <t>경상남도</t>
        </is>
      </c>
      <c r="AC283" s="0" t="inlineStr">
        <is>
          <t>창원시</t>
        </is>
      </c>
      <c r="AD283" s="0" t="inlineStr">
        <is>
          <t>의창구</t>
        </is>
      </c>
      <c r="AE283" s="0" t="inlineStr">
        <is>
          <t>명서동</t>
        </is>
      </c>
      <c r="AG283" s="0" t="inlineStr">
        <is>
          <t>경상남도 창원시 의창구 도계로 135</t>
        </is>
      </c>
      <c r="AH283" s="0" t="n">
        <v>0</v>
      </c>
      <c r="AI283" s="0" t="n">
        <v>207</v>
      </c>
    </row>
    <row r="284">
      <c r="A284" s="0" t="inlineStr">
        <is>
          <t>[명서동]</t>
        </is>
      </c>
      <c r="B284" s="0" t="n">
        <v>101464</v>
      </c>
      <c r="C284" s="0" t="n">
        <v>5</v>
      </c>
      <c r="D284" s="0" t="inlineStr">
        <is>
          <t>두산위브</t>
        </is>
      </c>
      <c r="E284" s="0" t="inlineStr">
        <is>
          <t>2010.06.</t>
        </is>
      </c>
      <c r="F284" s="0" t="n">
        <v>1522</v>
      </c>
      <c r="G284" s="0" t="n">
        <v>43.98</v>
      </c>
      <c r="H284" s="0" t="n">
        <v>145.42</v>
      </c>
      <c r="I284" s="0" t="n">
        <v>35.74</v>
      </c>
      <c r="J284" s="0" t="n">
        <v>118.16</v>
      </c>
      <c r="K284" s="0" t="n">
        <v>30</v>
      </c>
      <c r="T284" s="0" t="n">
        <v>4</v>
      </c>
      <c r="U284" s="0" t="n">
        <v>2</v>
      </c>
      <c r="V284" s="0" t="inlineStr">
        <is>
          <t>계단식</t>
        </is>
      </c>
      <c r="W284" s="0" t="inlineStr">
        <is>
          <t>145B</t>
        </is>
      </c>
      <c r="X284" s="0" t="n">
        <v>15</v>
      </c>
      <c r="Y284" s="0" t="n">
        <v>12</v>
      </c>
      <c r="Z284" s="0" t="inlineStr">
        <is>
          <t>https://new.land.naver.com/complexes/101464?tab=detail&amp;rf=Y</t>
        </is>
      </c>
      <c r="AA284" s="0" t="inlineStr">
        <is>
          <t>경상남도 창원시 의창구 명서동 27</t>
        </is>
      </c>
      <c r="AB284" s="0" t="inlineStr">
        <is>
          <t>경상남도</t>
        </is>
      </c>
      <c r="AC284" s="0" t="inlineStr">
        <is>
          <t>창원시</t>
        </is>
      </c>
      <c r="AD284" s="0" t="inlineStr">
        <is>
          <t>의창구</t>
        </is>
      </c>
      <c r="AE284" s="0" t="inlineStr">
        <is>
          <t>명서동</t>
        </is>
      </c>
      <c r="AG284" s="0" t="inlineStr">
        <is>
          <t>경상남도 창원시 의창구 도계로 135</t>
        </is>
      </c>
      <c r="AH284" s="0" t="n">
        <v>0</v>
      </c>
      <c r="AI284" s="0" t="n">
        <v>207</v>
      </c>
    </row>
    <row r="285">
      <c r="A285" s="0" t="inlineStr">
        <is>
          <t>[명서동]</t>
        </is>
      </c>
      <c r="B285" s="0" t="n">
        <v>101464</v>
      </c>
      <c r="C285" s="0" t="n">
        <v>6</v>
      </c>
      <c r="D285" s="0" t="inlineStr">
        <is>
          <t>두산위브</t>
        </is>
      </c>
      <c r="E285" s="0" t="inlineStr">
        <is>
          <t>2010.06.</t>
        </is>
      </c>
      <c r="F285" s="0" t="n">
        <v>1522</v>
      </c>
      <c r="G285" s="0" t="n">
        <v>43.87</v>
      </c>
      <c r="H285" s="0" t="n">
        <v>145.04</v>
      </c>
      <c r="I285" s="0" t="n">
        <v>35.47</v>
      </c>
      <c r="J285" s="0" t="n">
        <v>117.26</v>
      </c>
      <c r="K285" s="0" t="n">
        <v>27</v>
      </c>
      <c r="T285" s="0" t="n">
        <v>4</v>
      </c>
      <c r="U285" s="0" t="n">
        <v>2</v>
      </c>
      <c r="V285" s="0" t="inlineStr">
        <is>
          <t>계단식</t>
        </is>
      </c>
      <c r="W285" s="0" t="inlineStr">
        <is>
          <t>145A</t>
        </is>
      </c>
      <c r="X285" s="0" t="n">
        <v>15</v>
      </c>
      <c r="Y285" s="0" t="n">
        <v>12</v>
      </c>
      <c r="Z285" s="0" t="inlineStr">
        <is>
          <t>https://new.land.naver.com/complexes/101464?tab=detail&amp;rf=Y</t>
        </is>
      </c>
      <c r="AA285" s="0" t="inlineStr">
        <is>
          <t>경상남도 창원시 의창구 명서동 27</t>
        </is>
      </c>
      <c r="AB285" s="0" t="inlineStr">
        <is>
          <t>경상남도</t>
        </is>
      </c>
      <c r="AC285" s="0" t="inlineStr">
        <is>
          <t>창원시</t>
        </is>
      </c>
      <c r="AD285" s="0" t="inlineStr">
        <is>
          <t>의창구</t>
        </is>
      </c>
      <c r="AE285" s="0" t="inlineStr">
        <is>
          <t>명서동</t>
        </is>
      </c>
      <c r="AG285" s="0" t="inlineStr">
        <is>
          <t>경상남도 창원시 의창구 도계로 135</t>
        </is>
      </c>
      <c r="AH285" s="0" t="n">
        <v>0</v>
      </c>
      <c r="AI285" s="0" t="n">
        <v>207</v>
      </c>
    </row>
    <row r="286">
      <c r="A286" s="0" t="inlineStr">
        <is>
          <t>[명서동]</t>
        </is>
      </c>
      <c r="B286" s="0" t="n">
        <v>101464</v>
      </c>
      <c r="C286" s="0" t="n">
        <v>7</v>
      </c>
      <c r="D286" s="0" t="inlineStr">
        <is>
          <t>두산위브</t>
        </is>
      </c>
      <c r="E286" s="0" t="inlineStr">
        <is>
          <t>2010.06.</t>
        </is>
      </c>
      <c r="F286" s="0" t="n">
        <v>1522</v>
      </c>
      <c r="G286" s="0" t="n">
        <v>45.94</v>
      </c>
      <c r="H286" s="0" t="n">
        <v>151.9</v>
      </c>
      <c r="I286" s="0" t="n">
        <v>38.11</v>
      </c>
      <c r="J286" s="0" t="n">
        <v>126.01</v>
      </c>
      <c r="K286" s="0" t="n">
        <v>58</v>
      </c>
      <c r="T286" s="0" t="n">
        <v>3</v>
      </c>
      <c r="U286" s="0" t="n">
        <v>2</v>
      </c>
      <c r="V286" s="0" t="inlineStr">
        <is>
          <t>복도식</t>
        </is>
      </c>
      <c r="W286" s="0" t="inlineStr">
        <is>
          <t>151A</t>
        </is>
      </c>
      <c r="X286" s="0" t="n">
        <v>15</v>
      </c>
      <c r="Y286" s="0" t="n">
        <v>12</v>
      </c>
      <c r="Z286" s="0" t="inlineStr">
        <is>
          <t>https://new.land.naver.com/complexes/101464?tab=detail&amp;rf=Y</t>
        </is>
      </c>
      <c r="AA286" s="0" t="inlineStr">
        <is>
          <t>경상남도 창원시 의창구 명서동 27</t>
        </is>
      </c>
      <c r="AB286" s="0" t="inlineStr">
        <is>
          <t>경상남도</t>
        </is>
      </c>
      <c r="AC286" s="0" t="inlineStr">
        <is>
          <t>창원시</t>
        </is>
      </c>
      <c r="AD286" s="0" t="inlineStr">
        <is>
          <t>의창구</t>
        </is>
      </c>
      <c r="AE286" s="0" t="inlineStr">
        <is>
          <t>명서동</t>
        </is>
      </c>
      <c r="AG286" s="0" t="inlineStr">
        <is>
          <t>경상남도 창원시 의창구 도계로 135</t>
        </is>
      </c>
      <c r="AH286" s="0" t="n">
        <v>0</v>
      </c>
      <c r="AI286" s="0" t="n">
        <v>207</v>
      </c>
    </row>
    <row r="287">
      <c r="A287" s="0" t="inlineStr">
        <is>
          <t>[명서동]</t>
        </is>
      </c>
      <c r="B287" s="0" t="n">
        <v>101464</v>
      </c>
      <c r="C287" s="0" t="n">
        <v>8</v>
      </c>
      <c r="D287" s="0" t="inlineStr">
        <is>
          <t>두산위브</t>
        </is>
      </c>
      <c r="E287" s="0" t="inlineStr">
        <is>
          <t>2010.06.</t>
        </is>
      </c>
      <c r="F287" s="0" t="n">
        <v>1522</v>
      </c>
      <c r="G287" s="0" t="n">
        <v>45.68</v>
      </c>
      <c r="H287" s="0" t="n">
        <v>151.01</v>
      </c>
      <c r="I287" s="0" t="n">
        <v>38.13</v>
      </c>
      <c r="J287" s="0" t="n">
        <v>126.06</v>
      </c>
      <c r="K287" s="0" t="n">
        <v>56</v>
      </c>
      <c r="T287" s="0" t="n">
        <v>4</v>
      </c>
      <c r="U287" s="0" t="n">
        <v>2</v>
      </c>
      <c r="V287" s="0" t="inlineStr">
        <is>
          <t>복도식</t>
        </is>
      </c>
      <c r="W287" s="0" t="inlineStr">
        <is>
          <t>151B</t>
        </is>
      </c>
      <c r="X287" s="0" t="n">
        <v>15</v>
      </c>
      <c r="Y287" s="0" t="n">
        <v>12</v>
      </c>
      <c r="Z287" s="0" t="inlineStr">
        <is>
          <t>https://new.land.naver.com/complexes/101464?tab=detail&amp;rf=Y</t>
        </is>
      </c>
      <c r="AA287" s="0" t="inlineStr">
        <is>
          <t>경상남도 창원시 의창구 명서동 27</t>
        </is>
      </c>
      <c r="AB287" s="0" t="inlineStr">
        <is>
          <t>경상남도</t>
        </is>
      </c>
      <c r="AC287" s="0" t="inlineStr">
        <is>
          <t>창원시</t>
        </is>
      </c>
      <c r="AD287" s="0" t="inlineStr">
        <is>
          <t>의창구</t>
        </is>
      </c>
      <c r="AE287" s="0" t="inlineStr">
        <is>
          <t>명서동</t>
        </is>
      </c>
      <c r="AG287" s="0" t="inlineStr">
        <is>
          <t>경상남도 창원시 의창구 도계로 135</t>
        </is>
      </c>
      <c r="AH287" s="0" t="n">
        <v>0</v>
      </c>
      <c r="AI287" s="0" t="n">
        <v>207</v>
      </c>
    </row>
    <row r="288">
      <c r="A288" s="0" t="inlineStr">
        <is>
          <t>[명서동]</t>
        </is>
      </c>
      <c r="B288" s="0" t="n">
        <v>101464</v>
      </c>
      <c r="C288" s="0" t="n">
        <v>9</v>
      </c>
      <c r="D288" s="0" t="inlineStr">
        <is>
          <t>두산위브</t>
        </is>
      </c>
      <c r="E288" s="0" t="inlineStr">
        <is>
          <t>2010.06.</t>
        </is>
      </c>
      <c r="F288" s="0" t="n">
        <v>1522</v>
      </c>
      <c r="G288" s="0" t="n">
        <v>49.97</v>
      </c>
      <c r="H288" s="0" t="n">
        <v>165.22</v>
      </c>
      <c r="I288" s="0" t="n">
        <v>41.7</v>
      </c>
      <c r="J288" s="0" t="n">
        <v>137.86</v>
      </c>
      <c r="K288" s="0" t="n">
        <v>203</v>
      </c>
      <c r="T288" s="0" t="n">
        <v>4</v>
      </c>
      <c r="U288" s="0" t="n">
        <v>2</v>
      </c>
      <c r="V288" s="0" t="inlineStr">
        <is>
          <t>계단식</t>
        </is>
      </c>
      <c r="W288" s="0" t="inlineStr">
        <is>
          <t>165A</t>
        </is>
      </c>
      <c r="X288" s="0" t="n">
        <v>15</v>
      </c>
      <c r="Y288" s="0" t="n">
        <v>12</v>
      </c>
      <c r="Z288" s="0" t="inlineStr">
        <is>
          <t>https://new.land.naver.com/complexes/101464?tab=detail&amp;rf=Y</t>
        </is>
      </c>
      <c r="AA288" s="0" t="inlineStr">
        <is>
          <t>경상남도 창원시 의창구 명서동 27</t>
        </is>
      </c>
      <c r="AB288" s="0" t="inlineStr">
        <is>
          <t>경상남도</t>
        </is>
      </c>
      <c r="AC288" s="0" t="inlineStr">
        <is>
          <t>창원시</t>
        </is>
      </c>
      <c r="AD288" s="0" t="inlineStr">
        <is>
          <t>의창구</t>
        </is>
      </c>
      <c r="AE288" s="0" t="inlineStr">
        <is>
          <t>명서동</t>
        </is>
      </c>
      <c r="AG288" s="0" t="inlineStr">
        <is>
          <t>경상남도 창원시 의창구 도계로 135</t>
        </is>
      </c>
      <c r="AH288" s="0" t="n">
        <v>0</v>
      </c>
      <c r="AI288" s="0" t="n">
        <v>207</v>
      </c>
    </row>
    <row r="289">
      <c r="A289" s="0" t="inlineStr">
        <is>
          <t>[명서동]</t>
        </is>
      </c>
      <c r="B289" s="0" t="n">
        <v>101464</v>
      </c>
      <c r="C289" s="0" t="n">
        <v>10</v>
      </c>
      <c r="D289" s="0" t="inlineStr">
        <is>
          <t>두산위브</t>
        </is>
      </c>
      <c r="E289" s="0" t="inlineStr">
        <is>
          <t>2010.06.</t>
        </is>
      </c>
      <c r="F289" s="0" t="n">
        <v>1522</v>
      </c>
      <c r="G289" s="0" t="n">
        <v>49.98</v>
      </c>
      <c r="H289" s="0" t="n">
        <v>165.24</v>
      </c>
      <c r="I289" s="0" t="n">
        <v>41.73</v>
      </c>
      <c r="J289" s="0" t="n">
        <v>137.98</v>
      </c>
      <c r="K289" s="0" t="n">
        <v>196</v>
      </c>
      <c r="T289" s="0" t="n">
        <v>4</v>
      </c>
      <c r="U289" s="0" t="n">
        <v>2</v>
      </c>
      <c r="V289" s="0" t="inlineStr">
        <is>
          <t>계단식</t>
        </is>
      </c>
      <c r="W289" s="0" t="inlineStr">
        <is>
          <t>165B</t>
        </is>
      </c>
      <c r="X289" s="0" t="n">
        <v>15</v>
      </c>
      <c r="Y289" s="0" t="n">
        <v>12</v>
      </c>
      <c r="Z289" s="0" t="inlineStr">
        <is>
          <t>https://new.land.naver.com/complexes/101464?tab=detail&amp;rf=Y</t>
        </is>
      </c>
      <c r="AA289" s="0" t="inlineStr">
        <is>
          <t>경상남도 창원시 의창구 명서동 27</t>
        </is>
      </c>
      <c r="AB289" s="0" t="inlineStr">
        <is>
          <t>경상남도</t>
        </is>
      </c>
      <c r="AC289" s="0" t="inlineStr">
        <is>
          <t>창원시</t>
        </is>
      </c>
      <c r="AD289" s="0" t="inlineStr">
        <is>
          <t>의창구</t>
        </is>
      </c>
      <c r="AE289" s="0" t="inlineStr">
        <is>
          <t>명서동</t>
        </is>
      </c>
      <c r="AG289" s="0" t="inlineStr">
        <is>
          <t>경상남도 창원시 의창구 도계로 135</t>
        </is>
      </c>
      <c r="AH289" s="0" t="n">
        <v>0</v>
      </c>
      <c r="AI289" s="0" t="n">
        <v>207</v>
      </c>
    </row>
    <row r="290">
      <c r="A290" s="0" t="inlineStr">
        <is>
          <t>[명서동]</t>
        </is>
      </c>
      <c r="B290" s="0" t="n">
        <v>101464</v>
      </c>
      <c r="C290" s="0" t="n">
        <v>11</v>
      </c>
      <c r="D290" s="0" t="inlineStr">
        <is>
          <t>두산위브</t>
        </is>
      </c>
      <c r="E290" s="0" t="inlineStr">
        <is>
          <t>2010.06.</t>
        </is>
      </c>
      <c r="F290" s="0" t="n">
        <v>1522</v>
      </c>
      <c r="G290" s="0" t="n">
        <v>59.18</v>
      </c>
      <c r="H290" s="0" t="n">
        <v>195.65</v>
      </c>
      <c r="I290" s="0" t="n">
        <v>50.65</v>
      </c>
      <c r="J290" s="0" t="n">
        <v>167.45</v>
      </c>
      <c r="K290" s="0" t="n">
        <v>118</v>
      </c>
      <c r="T290" s="0" t="n">
        <v>4</v>
      </c>
      <c r="U290" s="0" t="n">
        <v>2</v>
      </c>
      <c r="V290" s="0" t="inlineStr">
        <is>
          <t>계단식</t>
        </is>
      </c>
      <c r="W290" s="0" t="inlineStr">
        <is>
          <t>195A</t>
        </is>
      </c>
      <c r="X290" s="0" t="n">
        <v>15</v>
      </c>
      <c r="Y290" s="0" t="n">
        <v>12</v>
      </c>
      <c r="Z290" s="0" t="inlineStr">
        <is>
          <t>https://new.land.naver.com/complexes/101464?tab=detail&amp;rf=Y</t>
        </is>
      </c>
      <c r="AA290" s="0" t="inlineStr">
        <is>
          <t>경상남도 창원시 의창구 명서동 27</t>
        </is>
      </c>
      <c r="AB290" s="0" t="inlineStr">
        <is>
          <t>경상남도</t>
        </is>
      </c>
      <c r="AC290" s="0" t="inlineStr">
        <is>
          <t>창원시</t>
        </is>
      </c>
      <c r="AD290" s="0" t="inlineStr">
        <is>
          <t>의창구</t>
        </is>
      </c>
      <c r="AE290" s="0" t="inlineStr">
        <is>
          <t>명서동</t>
        </is>
      </c>
      <c r="AG290" s="0" t="inlineStr">
        <is>
          <t>경상남도 창원시 의창구 도계로 135</t>
        </is>
      </c>
      <c r="AH290" s="0" t="n">
        <v>0</v>
      </c>
      <c r="AI290" s="0" t="n">
        <v>207</v>
      </c>
    </row>
    <row r="291">
      <c r="A291" s="0" t="inlineStr">
        <is>
          <t>[명서동]</t>
        </is>
      </c>
      <c r="B291" s="0" t="n">
        <v>101464</v>
      </c>
      <c r="C291" s="0" t="n">
        <v>12</v>
      </c>
      <c r="D291" s="0" t="inlineStr">
        <is>
          <t>두산위브</t>
        </is>
      </c>
      <c r="E291" s="0" t="inlineStr">
        <is>
          <t>2010.06.</t>
        </is>
      </c>
      <c r="F291" s="0" t="n">
        <v>1522</v>
      </c>
      <c r="G291" s="0" t="n">
        <v>59.95</v>
      </c>
      <c r="H291" s="0" t="n">
        <v>198.2</v>
      </c>
      <c r="I291" s="0" t="n">
        <v>50.87</v>
      </c>
      <c r="J291" s="0" t="n">
        <v>168.18</v>
      </c>
      <c r="K291" s="0" t="n">
        <v>110</v>
      </c>
      <c r="T291" s="0" t="n">
        <v>4</v>
      </c>
      <c r="U291" s="0" t="n">
        <v>2</v>
      </c>
      <c r="V291" s="0" t="inlineStr">
        <is>
          <t>계단식</t>
        </is>
      </c>
      <c r="W291" s="0" t="inlineStr">
        <is>
          <t>198B</t>
        </is>
      </c>
      <c r="X291" s="0" t="n">
        <v>15</v>
      </c>
      <c r="Y291" s="0" t="n">
        <v>12</v>
      </c>
      <c r="Z291" s="0" t="inlineStr">
        <is>
          <t>https://new.land.naver.com/complexes/101464?tab=detail&amp;rf=Y</t>
        </is>
      </c>
      <c r="AA291" s="0" t="inlineStr">
        <is>
          <t>경상남도 창원시 의창구 명서동 27</t>
        </is>
      </c>
      <c r="AB291" s="0" t="inlineStr">
        <is>
          <t>경상남도</t>
        </is>
      </c>
      <c r="AC291" s="0" t="inlineStr">
        <is>
          <t>창원시</t>
        </is>
      </c>
      <c r="AD291" s="0" t="inlineStr">
        <is>
          <t>의창구</t>
        </is>
      </c>
      <c r="AE291" s="0" t="inlineStr">
        <is>
          <t>명서동</t>
        </is>
      </c>
      <c r="AG291" s="0" t="inlineStr">
        <is>
          <t>경상남도 창원시 의창구 도계로 135</t>
        </is>
      </c>
      <c r="AH291" s="0" t="n">
        <v>0</v>
      </c>
      <c r="AI291" s="0" t="n">
        <v>207</v>
      </c>
    </row>
    <row r="292">
      <c r="A292" s="0" t="inlineStr">
        <is>
          <t>[명서동]</t>
        </is>
      </c>
      <c r="B292" s="0" t="n">
        <v>101464</v>
      </c>
      <c r="C292" s="0" t="n">
        <v>13</v>
      </c>
      <c r="D292" s="0" t="inlineStr">
        <is>
          <t>두산위브</t>
        </is>
      </c>
      <c r="E292" s="0" t="inlineStr">
        <is>
          <t>2010.06.</t>
        </is>
      </c>
      <c r="F292" s="0" t="n">
        <v>1522</v>
      </c>
      <c r="G292" s="0" t="n">
        <v>68.17</v>
      </c>
      <c r="H292" s="0" t="n">
        <v>225.36</v>
      </c>
      <c r="I292" s="0" t="n">
        <v>57.27</v>
      </c>
      <c r="J292" s="0" t="n">
        <v>189.35</v>
      </c>
      <c r="K292" s="0" t="n">
        <v>142</v>
      </c>
      <c r="T292" s="0" t="n">
        <v>4</v>
      </c>
      <c r="U292" s="0" t="n">
        <v>3</v>
      </c>
      <c r="V292" s="0" t="inlineStr">
        <is>
          <t>계단식</t>
        </is>
      </c>
      <c r="W292" s="0" t="n">
        <v>225</v>
      </c>
      <c r="X292" s="0" t="n">
        <v>15</v>
      </c>
      <c r="Y292" s="0" t="n">
        <v>12</v>
      </c>
      <c r="Z292" s="0" t="inlineStr">
        <is>
          <t>https://new.land.naver.com/complexes/101464?tab=detail&amp;rf=Y</t>
        </is>
      </c>
      <c r="AA292" s="0" t="inlineStr">
        <is>
          <t>경상남도 창원시 의창구 명서동 27</t>
        </is>
      </c>
      <c r="AB292" s="0" t="inlineStr">
        <is>
          <t>경상남도</t>
        </is>
      </c>
      <c r="AC292" s="0" t="inlineStr">
        <is>
          <t>창원시</t>
        </is>
      </c>
      <c r="AD292" s="0" t="inlineStr">
        <is>
          <t>의창구</t>
        </is>
      </c>
      <c r="AE292" s="0" t="inlineStr">
        <is>
          <t>명서동</t>
        </is>
      </c>
      <c r="AG292" s="0" t="inlineStr">
        <is>
          <t>경상남도 창원시 의창구 도계로 135</t>
        </is>
      </c>
      <c r="AH292" s="0" t="n">
        <v>0</v>
      </c>
      <c r="AI292" s="0" t="n">
        <v>207</v>
      </c>
    </row>
    <row r="293">
      <c r="A293" s="0" t="inlineStr">
        <is>
          <t>[봉곡동]</t>
        </is>
      </c>
      <c r="B293" s="0" t="n">
        <v>7756</v>
      </c>
      <c r="C293" s="0" t="n">
        <v>1</v>
      </c>
      <c r="D293" s="0" t="inlineStr">
        <is>
          <t>늘푸른마을코오롱</t>
        </is>
      </c>
      <c r="E293" s="0" t="inlineStr">
        <is>
          <t>1999.11.</t>
        </is>
      </c>
      <c r="F293" s="0" t="n">
        <v>426</v>
      </c>
      <c r="G293" s="0" t="n">
        <v>23.45</v>
      </c>
      <c r="H293" s="0" t="n">
        <v>77.53</v>
      </c>
      <c r="I293" s="0" t="n">
        <v>17.95</v>
      </c>
      <c r="J293" s="0" t="n">
        <v>59.36</v>
      </c>
      <c r="K293" s="0" t="n">
        <v>43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77</v>
      </c>
      <c r="X293" s="0" t="n">
        <v>12</v>
      </c>
      <c r="Y293" s="0" t="n">
        <v>8</v>
      </c>
      <c r="Z293" s="0" t="inlineStr">
        <is>
          <t>https://new.land.naver.com/complexes/7756?tab=detail&amp;rf=Y</t>
        </is>
      </c>
      <c r="AA293" s="0" t="inlineStr">
        <is>
          <t>경상남도 창원시 의창구 봉곡동 66</t>
        </is>
      </c>
      <c r="AB293" s="0" t="inlineStr">
        <is>
          <t>경상남도</t>
        </is>
      </c>
      <c r="AC293" s="0" t="inlineStr">
        <is>
          <t>창원시</t>
        </is>
      </c>
      <c r="AD293" s="0" t="inlineStr">
        <is>
          <t>의창구</t>
        </is>
      </c>
      <c r="AE293" s="0" t="inlineStr">
        <is>
          <t>봉곡동</t>
        </is>
      </c>
      <c r="AG293" s="0" t="inlineStr">
        <is>
          <t>경상남도 창원시 의창구 지귀로95번길 7</t>
        </is>
      </c>
      <c r="AH293" s="0" t="n">
        <v>0</v>
      </c>
      <c r="AI293" s="0" t="n">
        <v>185</v>
      </c>
    </row>
    <row r="294">
      <c r="A294" s="0" t="inlineStr">
        <is>
          <t>[봉곡동]</t>
        </is>
      </c>
      <c r="B294" s="0" t="n">
        <v>7756</v>
      </c>
      <c r="C294" s="0" t="n">
        <v>2</v>
      </c>
      <c r="D294" s="0" t="inlineStr">
        <is>
          <t>늘푸른마을코오롱</t>
        </is>
      </c>
      <c r="E294" s="0" t="inlineStr">
        <is>
          <t>1999.11.</t>
        </is>
      </c>
      <c r="F294" s="0" t="n">
        <v>426</v>
      </c>
      <c r="G294" s="0" t="n">
        <v>23.54</v>
      </c>
      <c r="H294" s="0" t="n">
        <v>77.84999999999999</v>
      </c>
      <c r="I294" s="0" t="n">
        <v>18.05</v>
      </c>
      <c r="J294" s="0" t="n">
        <v>59.69</v>
      </c>
      <c r="K294" s="0" t="n">
        <v>1</v>
      </c>
      <c r="T294" s="0" t="n">
        <v>3</v>
      </c>
      <c r="U294" s="0" t="n">
        <v>1</v>
      </c>
      <c r="V294" s="0" t="inlineStr">
        <is>
          <t>복도식</t>
        </is>
      </c>
      <c r="W294" s="0" t="n">
        <v>77</v>
      </c>
      <c r="X294" s="0" t="n">
        <v>12</v>
      </c>
      <c r="Y294" s="0" t="n">
        <v>8</v>
      </c>
      <c r="Z294" s="0" t="inlineStr">
        <is>
          <t>https://new.land.naver.com/complexes/7756?tab=detail&amp;rf=Y</t>
        </is>
      </c>
      <c r="AA294" s="0" t="inlineStr">
        <is>
          <t>경상남도 창원시 의창구 봉곡동 66</t>
        </is>
      </c>
      <c r="AB294" s="0" t="inlineStr">
        <is>
          <t>경상남도</t>
        </is>
      </c>
      <c r="AC294" s="0" t="inlineStr">
        <is>
          <t>창원시</t>
        </is>
      </c>
      <c r="AD294" s="0" t="inlineStr">
        <is>
          <t>의창구</t>
        </is>
      </c>
      <c r="AE294" s="0" t="inlineStr">
        <is>
          <t>봉곡동</t>
        </is>
      </c>
      <c r="AG294" s="0" t="inlineStr">
        <is>
          <t>경상남도 창원시 의창구 지귀로95번길 7</t>
        </is>
      </c>
      <c r="AH294" s="0" t="n">
        <v>0</v>
      </c>
      <c r="AI294" s="0" t="n">
        <v>185</v>
      </c>
    </row>
    <row r="295">
      <c r="A295" s="0" t="inlineStr">
        <is>
          <t>[봉곡동]</t>
        </is>
      </c>
      <c r="B295" s="0" t="n">
        <v>7756</v>
      </c>
      <c r="C295" s="0" t="n">
        <v>3</v>
      </c>
      <c r="D295" s="0" t="inlineStr">
        <is>
          <t>늘푸른마을코오롱</t>
        </is>
      </c>
      <c r="E295" s="0" t="inlineStr">
        <is>
          <t>1999.11.</t>
        </is>
      </c>
      <c r="F295" s="0" t="n">
        <v>426</v>
      </c>
      <c r="G295" s="0" t="n">
        <v>31.27</v>
      </c>
      <c r="H295" s="0" t="n">
        <v>103.4</v>
      </c>
      <c r="I295" s="0" t="n">
        <v>25.52</v>
      </c>
      <c r="J295" s="0" t="n">
        <v>84.38</v>
      </c>
      <c r="K295" s="0" t="n">
        <v>382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103</v>
      </c>
      <c r="X295" s="0" t="n">
        <v>12</v>
      </c>
      <c r="Y295" s="0" t="n">
        <v>8</v>
      </c>
      <c r="Z295" s="0" t="inlineStr">
        <is>
          <t>https://new.land.naver.com/complexes/7756?tab=detail&amp;rf=Y</t>
        </is>
      </c>
      <c r="AA295" s="0" t="inlineStr">
        <is>
          <t>경상남도 창원시 의창구 봉곡동 66</t>
        </is>
      </c>
      <c r="AB295" s="0" t="inlineStr">
        <is>
          <t>경상남도</t>
        </is>
      </c>
      <c r="AC295" s="0" t="inlineStr">
        <is>
          <t>창원시</t>
        </is>
      </c>
      <c r="AD295" s="0" t="inlineStr">
        <is>
          <t>의창구</t>
        </is>
      </c>
      <c r="AE295" s="0" t="inlineStr">
        <is>
          <t>봉곡동</t>
        </is>
      </c>
      <c r="AG295" s="0" t="inlineStr">
        <is>
          <t>경상남도 창원시 의창구 지귀로95번길 7</t>
        </is>
      </c>
      <c r="AH295" s="0" t="n">
        <v>0</v>
      </c>
      <c r="AI295" s="0" t="n">
        <v>185</v>
      </c>
    </row>
    <row r="296">
      <c r="A296" s="0" t="inlineStr">
        <is>
          <t>[봉림동]</t>
        </is>
      </c>
      <c r="B296" s="0" t="n">
        <v>106231</v>
      </c>
      <c r="C296" s="0" t="n">
        <v>1</v>
      </c>
      <c r="D296" s="0" t="inlineStr">
        <is>
          <t>엘에이치피닉스포레</t>
        </is>
      </c>
      <c r="E296" s="0" t="inlineStr">
        <is>
          <t>2011.10.</t>
        </is>
      </c>
      <c r="F296" s="0" t="n">
        <v>507</v>
      </c>
      <c r="G296" s="0" t="n">
        <v>32.79</v>
      </c>
      <c r="H296" s="0" t="n">
        <v>108.42</v>
      </c>
      <c r="I296" s="0" t="n">
        <v>25.7</v>
      </c>
      <c r="J296" s="0" t="n">
        <v>84.98999999999999</v>
      </c>
      <c r="K296" s="0" t="n">
        <v>150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108A</t>
        </is>
      </c>
      <c r="X296" s="0" t="n">
        <v>15</v>
      </c>
      <c r="Y296" s="0" t="n">
        <v>15</v>
      </c>
      <c r="Z296" s="0" t="inlineStr">
        <is>
          <t>https://new.land.naver.com/complexes/106231?tab=detail&amp;rf=Y</t>
        </is>
      </c>
      <c r="AA296" s="0" t="inlineStr">
        <is>
          <t>경상남도 창원시 의창구 봉림동 715</t>
        </is>
      </c>
      <c r="AB296" s="0" t="inlineStr">
        <is>
          <t>경상남도</t>
        </is>
      </c>
      <c r="AC296" s="0" t="inlineStr">
        <is>
          <t>창원시</t>
        </is>
      </c>
      <c r="AD296" s="0" t="inlineStr">
        <is>
          <t>의창구</t>
        </is>
      </c>
      <c r="AE296" s="0" t="inlineStr">
        <is>
          <t>봉림동</t>
        </is>
      </c>
      <c r="AG296" s="0" t="inlineStr">
        <is>
          <t>경상남도 창원시 의창구 대봉로 27</t>
        </is>
      </c>
      <c r="AH296" s="0" t="n">
        <v>0</v>
      </c>
      <c r="AI296" s="0" t="n">
        <v>164</v>
      </c>
    </row>
    <row r="297">
      <c r="A297" s="0" t="inlineStr">
        <is>
          <t>[봉림동]</t>
        </is>
      </c>
      <c r="B297" s="0" t="n">
        <v>106231</v>
      </c>
      <c r="C297" s="0" t="n">
        <v>2</v>
      </c>
      <c r="D297" s="0" t="inlineStr">
        <is>
          <t>엘에이치피닉스포레</t>
        </is>
      </c>
      <c r="E297" s="0" t="inlineStr">
        <is>
          <t>2011.10.</t>
        </is>
      </c>
      <c r="F297" s="0" t="n">
        <v>507</v>
      </c>
      <c r="G297" s="0" t="n">
        <v>32.76</v>
      </c>
      <c r="H297" s="0" t="n">
        <v>108.33</v>
      </c>
      <c r="I297" s="0" t="n">
        <v>25.68</v>
      </c>
      <c r="J297" s="0" t="n">
        <v>84.92</v>
      </c>
      <c r="K297" s="0" t="n">
        <v>141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108B</t>
        </is>
      </c>
      <c r="X297" s="0" t="n">
        <v>15</v>
      </c>
      <c r="Y297" s="0" t="n">
        <v>15</v>
      </c>
      <c r="Z297" s="0" t="inlineStr">
        <is>
          <t>https://new.land.naver.com/complexes/106231?tab=detail&amp;rf=Y</t>
        </is>
      </c>
      <c r="AA297" s="0" t="inlineStr">
        <is>
          <t>경상남도 창원시 의창구 봉림동 715</t>
        </is>
      </c>
      <c r="AB297" s="0" t="inlineStr">
        <is>
          <t>경상남도</t>
        </is>
      </c>
      <c r="AC297" s="0" t="inlineStr">
        <is>
          <t>창원시</t>
        </is>
      </c>
      <c r="AD297" s="0" t="inlineStr">
        <is>
          <t>의창구</t>
        </is>
      </c>
      <c r="AE297" s="0" t="inlineStr">
        <is>
          <t>봉림동</t>
        </is>
      </c>
      <c r="AG297" s="0" t="inlineStr">
        <is>
          <t>경상남도 창원시 의창구 대봉로 27</t>
        </is>
      </c>
      <c r="AH297" s="0" t="n">
        <v>0</v>
      </c>
      <c r="AI297" s="0" t="n">
        <v>164</v>
      </c>
    </row>
    <row r="298">
      <c r="A298" s="0" t="inlineStr">
        <is>
          <t>[봉림동]</t>
        </is>
      </c>
      <c r="B298" s="0" t="n">
        <v>106231</v>
      </c>
      <c r="C298" s="0" t="n">
        <v>3</v>
      </c>
      <c r="D298" s="0" t="inlineStr">
        <is>
          <t>엘에이치피닉스포레</t>
        </is>
      </c>
      <c r="E298" s="0" t="inlineStr">
        <is>
          <t>2011.10.</t>
        </is>
      </c>
      <c r="F298" s="0" t="n">
        <v>507</v>
      </c>
      <c r="G298" s="0" t="n">
        <v>39.27</v>
      </c>
      <c r="H298" s="0" t="n">
        <v>129.83</v>
      </c>
      <c r="I298" s="0" t="n">
        <v>30.78</v>
      </c>
      <c r="J298" s="0" t="n">
        <v>101.77</v>
      </c>
      <c r="K298" s="0" t="n">
        <v>30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129A</t>
        </is>
      </c>
      <c r="X298" s="0" t="n">
        <v>15</v>
      </c>
      <c r="Y298" s="0" t="n">
        <v>15</v>
      </c>
      <c r="Z298" s="0" t="inlineStr">
        <is>
          <t>https://new.land.naver.com/complexes/106231?tab=detail&amp;rf=Y</t>
        </is>
      </c>
      <c r="AA298" s="0" t="inlineStr">
        <is>
          <t>경상남도 창원시 의창구 봉림동 715</t>
        </is>
      </c>
      <c r="AB298" s="0" t="inlineStr">
        <is>
          <t>경상남도</t>
        </is>
      </c>
      <c r="AC298" s="0" t="inlineStr">
        <is>
          <t>창원시</t>
        </is>
      </c>
      <c r="AD298" s="0" t="inlineStr">
        <is>
          <t>의창구</t>
        </is>
      </c>
      <c r="AE298" s="0" t="inlineStr">
        <is>
          <t>봉림동</t>
        </is>
      </c>
      <c r="AG298" s="0" t="inlineStr">
        <is>
          <t>경상남도 창원시 의창구 대봉로 27</t>
        </is>
      </c>
      <c r="AH298" s="0" t="n">
        <v>0</v>
      </c>
      <c r="AI298" s="0" t="n">
        <v>164</v>
      </c>
    </row>
    <row r="299">
      <c r="A299" s="0" t="inlineStr">
        <is>
          <t>[봉림동]</t>
        </is>
      </c>
      <c r="B299" s="0" t="n">
        <v>106231</v>
      </c>
      <c r="C299" s="0" t="n">
        <v>4</v>
      </c>
      <c r="D299" s="0" t="inlineStr">
        <is>
          <t>엘에이치피닉스포레</t>
        </is>
      </c>
      <c r="E299" s="0" t="inlineStr">
        <is>
          <t>2011.10.</t>
        </is>
      </c>
      <c r="F299" s="0" t="n">
        <v>507</v>
      </c>
      <c r="G299" s="0" t="n">
        <v>39.21</v>
      </c>
      <c r="H299" s="0" t="n">
        <v>129.65</v>
      </c>
      <c r="I299" s="0" t="n">
        <v>30.74</v>
      </c>
      <c r="J299" s="0" t="n">
        <v>101.63</v>
      </c>
      <c r="K299" s="0" t="n">
        <v>30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129B</t>
        </is>
      </c>
      <c r="X299" s="0" t="n">
        <v>15</v>
      </c>
      <c r="Y299" s="0" t="n">
        <v>15</v>
      </c>
      <c r="Z299" s="0" t="inlineStr">
        <is>
          <t>https://new.land.naver.com/complexes/106231?tab=detail&amp;rf=Y</t>
        </is>
      </c>
      <c r="AA299" s="0" t="inlineStr">
        <is>
          <t>경상남도 창원시 의창구 봉림동 715</t>
        </is>
      </c>
      <c r="AB299" s="0" t="inlineStr">
        <is>
          <t>경상남도</t>
        </is>
      </c>
      <c r="AC299" s="0" t="inlineStr">
        <is>
          <t>창원시</t>
        </is>
      </c>
      <c r="AD299" s="0" t="inlineStr">
        <is>
          <t>의창구</t>
        </is>
      </c>
      <c r="AE299" s="0" t="inlineStr">
        <is>
          <t>봉림동</t>
        </is>
      </c>
      <c r="AG299" s="0" t="inlineStr">
        <is>
          <t>경상남도 창원시 의창구 대봉로 27</t>
        </is>
      </c>
      <c r="AH299" s="0" t="n">
        <v>0</v>
      </c>
      <c r="AI299" s="0" t="n">
        <v>164</v>
      </c>
    </row>
    <row r="300">
      <c r="A300" s="0" t="inlineStr">
        <is>
          <t>[봉림동]</t>
        </is>
      </c>
      <c r="B300" s="0" t="n">
        <v>106231</v>
      </c>
      <c r="C300" s="0" t="n">
        <v>5</v>
      </c>
      <c r="D300" s="0" t="inlineStr">
        <is>
          <t>엘에이치피닉스포레</t>
        </is>
      </c>
      <c r="E300" s="0" t="inlineStr">
        <is>
          <t>2011.10.</t>
        </is>
      </c>
      <c r="F300" s="0" t="n">
        <v>507</v>
      </c>
      <c r="G300" s="0" t="n">
        <v>47.04</v>
      </c>
      <c r="H300" s="0" t="n">
        <v>155.52</v>
      </c>
      <c r="I300" s="0" t="n">
        <v>36.87</v>
      </c>
      <c r="J300" s="0" t="n">
        <v>121.91</v>
      </c>
      <c r="K300" s="0" t="n">
        <v>48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155A</t>
        </is>
      </c>
      <c r="X300" s="0" t="n">
        <v>15</v>
      </c>
      <c r="Y300" s="0" t="n">
        <v>15</v>
      </c>
      <c r="Z300" s="0" t="inlineStr">
        <is>
          <t>https://new.land.naver.com/complexes/106231?tab=detail&amp;rf=Y</t>
        </is>
      </c>
      <c r="AA300" s="0" t="inlineStr">
        <is>
          <t>경상남도 창원시 의창구 봉림동 715</t>
        </is>
      </c>
      <c r="AB300" s="0" t="inlineStr">
        <is>
          <t>경상남도</t>
        </is>
      </c>
      <c r="AC300" s="0" t="inlineStr">
        <is>
          <t>창원시</t>
        </is>
      </c>
      <c r="AD300" s="0" t="inlineStr">
        <is>
          <t>의창구</t>
        </is>
      </c>
      <c r="AE300" s="0" t="inlineStr">
        <is>
          <t>봉림동</t>
        </is>
      </c>
      <c r="AG300" s="0" t="inlineStr">
        <is>
          <t>경상남도 창원시 의창구 대봉로 27</t>
        </is>
      </c>
      <c r="AH300" s="0" t="n">
        <v>0</v>
      </c>
      <c r="AI300" s="0" t="n">
        <v>164</v>
      </c>
    </row>
    <row r="301">
      <c r="A301" s="0" t="inlineStr">
        <is>
          <t>[봉림동]</t>
        </is>
      </c>
      <c r="B301" s="0" t="n">
        <v>106231</v>
      </c>
      <c r="C301" s="0" t="n">
        <v>6</v>
      </c>
      <c r="D301" s="0" t="inlineStr">
        <is>
          <t>엘에이치피닉스포레</t>
        </is>
      </c>
      <c r="E301" s="0" t="inlineStr">
        <is>
          <t>2011.10.</t>
        </is>
      </c>
      <c r="F301" s="0" t="n">
        <v>507</v>
      </c>
      <c r="G301" s="0" t="n">
        <v>47.04</v>
      </c>
      <c r="H301" s="0" t="n">
        <v>155.51</v>
      </c>
      <c r="I301" s="0" t="n">
        <v>36.87</v>
      </c>
      <c r="J301" s="0" t="n">
        <v>121.9</v>
      </c>
      <c r="K301" s="0" t="n">
        <v>28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155B</t>
        </is>
      </c>
      <c r="X301" s="0" t="n">
        <v>15</v>
      </c>
      <c r="Y301" s="0" t="n">
        <v>15</v>
      </c>
      <c r="Z301" s="0" t="inlineStr">
        <is>
          <t>https://new.land.naver.com/complexes/106231?tab=detail&amp;rf=Y</t>
        </is>
      </c>
      <c r="AA301" s="0" t="inlineStr">
        <is>
          <t>경상남도 창원시 의창구 봉림동 715</t>
        </is>
      </c>
      <c r="AB301" s="0" t="inlineStr">
        <is>
          <t>경상남도</t>
        </is>
      </c>
      <c r="AC301" s="0" t="inlineStr">
        <is>
          <t>창원시</t>
        </is>
      </c>
      <c r="AD301" s="0" t="inlineStr">
        <is>
          <t>의창구</t>
        </is>
      </c>
      <c r="AE301" s="0" t="inlineStr">
        <is>
          <t>봉림동</t>
        </is>
      </c>
      <c r="AG301" s="0" t="inlineStr">
        <is>
          <t>경상남도 창원시 의창구 대봉로 27</t>
        </is>
      </c>
      <c r="AH301" s="0" t="n">
        <v>0</v>
      </c>
      <c r="AI301" s="0" t="n">
        <v>164</v>
      </c>
    </row>
    <row r="302">
      <c r="A302" s="0" t="inlineStr">
        <is>
          <t>[봉림동]</t>
        </is>
      </c>
      <c r="B302" s="0" t="n">
        <v>106231</v>
      </c>
      <c r="C302" s="0" t="n">
        <v>7</v>
      </c>
      <c r="D302" s="0" t="inlineStr">
        <is>
          <t>엘에이치피닉스포레</t>
        </is>
      </c>
      <c r="E302" s="0" t="inlineStr">
        <is>
          <t>2011.10.</t>
        </is>
      </c>
      <c r="F302" s="0" t="n">
        <v>507</v>
      </c>
      <c r="G302" s="0" t="n">
        <v>47</v>
      </c>
      <c r="H302" s="0" t="n">
        <v>155.39</v>
      </c>
      <c r="I302" s="0" t="n">
        <v>36.84</v>
      </c>
      <c r="J302" s="0" t="n">
        <v>121.81</v>
      </c>
      <c r="K302" s="0" t="n">
        <v>28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155C</t>
        </is>
      </c>
      <c r="X302" s="0" t="n">
        <v>15</v>
      </c>
      <c r="Y302" s="0" t="n">
        <v>15</v>
      </c>
      <c r="Z302" s="0" t="inlineStr">
        <is>
          <t>https://new.land.naver.com/complexes/106231?tab=detail&amp;rf=Y</t>
        </is>
      </c>
      <c r="AA302" s="0" t="inlineStr">
        <is>
          <t>경상남도 창원시 의창구 봉림동 715</t>
        </is>
      </c>
      <c r="AB302" s="0" t="inlineStr">
        <is>
          <t>경상남도</t>
        </is>
      </c>
      <c r="AC302" s="0" t="inlineStr">
        <is>
          <t>창원시</t>
        </is>
      </c>
      <c r="AD302" s="0" t="inlineStr">
        <is>
          <t>의창구</t>
        </is>
      </c>
      <c r="AE302" s="0" t="inlineStr">
        <is>
          <t>봉림동</t>
        </is>
      </c>
      <c r="AG302" s="0" t="inlineStr">
        <is>
          <t>경상남도 창원시 의창구 대봉로 27</t>
        </is>
      </c>
      <c r="AH302" s="0" t="n">
        <v>0</v>
      </c>
      <c r="AI302" s="0" t="n">
        <v>164</v>
      </c>
    </row>
    <row r="303">
      <c r="A303" s="0" t="inlineStr">
        <is>
          <t>[봉림동]</t>
        </is>
      </c>
      <c r="B303" s="0" t="n">
        <v>106231</v>
      </c>
      <c r="C303" s="0" t="n">
        <v>8</v>
      </c>
      <c r="D303" s="0" t="inlineStr">
        <is>
          <t>엘에이치피닉스포레</t>
        </is>
      </c>
      <c r="E303" s="0" t="inlineStr">
        <is>
          <t>2011.10.</t>
        </is>
      </c>
      <c r="F303" s="0" t="n">
        <v>507</v>
      </c>
      <c r="G303" s="0" t="n">
        <v>51.81</v>
      </c>
      <c r="H303" s="0" t="n">
        <v>171.29</v>
      </c>
      <c r="I303" s="0" t="n">
        <v>40.61</v>
      </c>
      <c r="J303" s="0" t="n">
        <v>134.27</v>
      </c>
      <c r="K303" s="0" t="n">
        <v>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171B</t>
        </is>
      </c>
      <c r="X303" s="0" t="n">
        <v>15</v>
      </c>
      <c r="Y303" s="0" t="n">
        <v>15</v>
      </c>
      <c r="Z303" s="0" t="inlineStr">
        <is>
          <t>https://new.land.naver.com/complexes/106231?tab=detail&amp;rf=Y</t>
        </is>
      </c>
      <c r="AA303" s="0" t="inlineStr">
        <is>
          <t>경상남도 창원시 의창구 봉림동 715</t>
        </is>
      </c>
      <c r="AB303" s="0" t="inlineStr">
        <is>
          <t>경상남도</t>
        </is>
      </c>
      <c r="AC303" s="0" t="inlineStr">
        <is>
          <t>창원시</t>
        </is>
      </c>
      <c r="AD303" s="0" t="inlineStr">
        <is>
          <t>의창구</t>
        </is>
      </c>
      <c r="AE303" s="0" t="inlineStr">
        <is>
          <t>봉림동</t>
        </is>
      </c>
      <c r="AG303" s="0" t="inlineStr">
        <is>
          <t>경상남도 창원시 의창구 대봉로 27</t>
        </is>
      </c>
      <c r="AH303" s="0" t="n">
        <v>0</v>
      </c>
      <c r="AI303" s="0" t="n">
        <v>164</v>
      </c>
    </row>
    <row r="304">
      <c r="A304" s="0" t="inlineStr">
        <is>
          <t>[봉림동]</t>
        </is>
      </c>
      <c r="B304" s="0" t="n">
        <v>106231</v>
      </c>
      <c r="C304" s="0" t="n">
        <v>9</v>
      </c>
      <c r="D304" s="0" t="inlineStr">
        <is>
          <t>엘에이치피닉스포레</t>
        </is>
      </c>
      <c r="E304" s="0" t="inlineStr">
        <is>
          <t>2011.10.</t>
        </is>
      </c>
      <c r="F304" s="0" t="n">
        <v>507</v>
      </c>
      <c r="G304" s="0" t="n">
        <v>51.82</v>
      </c>
      <c r="H304" s="0" t="n">
        <v>171.33</v>
      </c>
      <c r="I304" s="0" t="n">
        <v>40.62</v>
      </c>
      <c r="J304" s="0" t="n">
        <v>134.3</v>
      </c>
      <c r="K304" s="0" t="n">
        <v>2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171C</t>
        </is>
      </c>
      <c r="X304" s="0" t="n">
        <v>15</v>
      </c>
      <c r="Y304" s="0" t="n">
        <v>15</v>
      </c>
      <c r="Z304" s="0" t="inlineStr">
        <is>
          <t>https://new.land.naver.com/complexes/106231?tab=detail&amp;rf=Y</t>
        </is>
      </c>
      <c r="AA304" s="0" t="inlineStr">
        <is>
          <t>경상남도 창원시 의창구 봉림동 715</t>
        </is>
      </c>
      <c r="AB304" s="0" t="inlineStr">
        <is>
          <t>경상남도</t>
        </is>
      </c>
      <c r="AC304" s="0" t="inlineStr">
        <is>
          <t>창원시</t>
        </is>
      </c>
      <c r="AD304" s="0" t="inlineStr">
        <is>
          <t>의창구</t>
        </is>
      </c>
      <c r="AE304" s="0" t="inlineStr">
        <is>
          <t>봉림동</t>
        </is>
      </c>
      <c r="AG304" s="0" t="inlineStr">
        <is>
          <t>경상남도 창원시 의창구 대봉로 27</t>
        </is>
      </c>
      <c r="AH304" s="0" t="n">
        <v>0</v>
      </c>
      <c r="AI304" s="0" t="n">
        <v>164</v>
      </c>
    </row>
    <row r="305">
      <c r="A305" s="0" t="inlineStr">
        <is>
          <t>[봉림동]</t>
        </is>
      </c>
      <c r="B305" s="0" t="n">
        <v>106231</v>
      </c>
      <c r="C305" s="0" t="n">
        <v>10</v>
      </c>
      <c r="D305" s="0" t="inlineStr">
        <is>
          <t>엘에이치피닉스포레</t>
        </is>
      </c>
      <c r="E305" s="0" t="inlineStr">
        <is>
          <t>2011.10.</t>
        </is>
      </c>
      <c r="F305" s="0" t="n">
        <v>507</v>
      </c>
      <c r="G305" s="0" t="n">
        <v>52.09</v>
      </c>
      <c r="H305" s="0" t="n">
        <v>172.2</v>
      </c>
      <c r="I305" s="0" t="n">
        <v>40.83</v>
      </c>
      <c r="J305" s="0" t="n">
        <v>134.98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172A</t>
        </is>
      </c>
      <c r="X305" s="0" t="n">
        <v>15</v>
      </c>
      <c r="Y305" s="0" t="n">
        <v>15</v>
      </c>
      <c r="Z305" s="0" t="inlineStr">
        <is>
          <t>https://new.land.naver.com/complexes/106231?tab=detail&amp;rf=Y</t>
        </is>
      </c>
      <c r="AA305" s="0" t="inlineStr">
        <is>
          <t>경상남도 창원시 의창구 봉림동 715</t>
        </is>
      </c>
      <c r="AB305" s="0" t="inlineStr">
        <is>
          <t>경상남도</t>
        </is>
      </c>
      <c r="AC305" s="0" t="inlineStr">
        <is>
          <t>창원시</t>
        </is>
      </c>
      <c r="AD305" s="0" t="inlineStr">
        <is>
          <t>의창구</t>
        </is>
      </c>
      <c r="AE305" s="0" t="inlineStr">
        <is>
          <t>봉림동</t>
        </is>
      </c>
      <c r="AG305" s="0" t="inlineStr">
        <is>
          <t>경상남도 창원시 의창구 대봉로 27</t>
        </is>
      </c>
      <c r="AH305" s="0" t="n">
        <v>0</v>
      </c>
      <c r="AI305" s="0" t="n">
        <v>164</v>
      </c>
    </row>
    <row r="306">
      <c r="A306" s="0" t="inlineStr">
        <is>
          <t>[북면]</t>
        </is>
      </c>
      <c r="B306" s="0" t="n">
        <v>101102</v>
      </c>
      <c r="C306" s="0" t="n">
        <v>1</v>
      </c>
      <c r="D306" s="0" t="inlineStr">
        <is>
          <t>신한그린파크맨션</t>
        </is>
      </c>
      <c r="E306" s="0" t="inlineStr">
        <is>
          <t>1994.04.</t>
        </is>
      </c>
      <c r="F306" s="0" t="n">
        <v>127</v>
      </c>
      <c r="G306" s="0" t="n">
        <v>22.43</v>
      </c>
      <c r="H306" s="0" t="n">
        <v>74.17</v>
      </c>
      <c r="I306" s="0" t="n">
        <v>18.08</v>
      </c>
      <c r="J306" s="0" t="n">
        <v>59.79</v>
      </c>
      <c r="K306" s="0" t="n">
        <v>75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74</v>
      </c>
      <c r="X306" s="0" t="n">
        <v>13</v>
      </c>
      <c r="Y306" s="0" t="n">
        <v>13</v>
      </c>
      <c r="Z306" s="0" t="inlineStr">
        <is>
          <t>https://new.land.naver.com/complexes/101102?tab=detail&amp;rf=Y</t>
        </is>
      </c>
      <c r="AA306" s="0" t="inlineStr">
        <is>
          <t>경상남도 창원시 의창구 북면 신촌리 561-1</t>
        </is>
      </c>
      <c r="AB306" s="0" t="inlineStr">
        <is>
          <t>경상남도</t>
        </is>
      </c>
      <c r="AC306" s="0" t="inlineStr">
        <is>
          <t>창원시</t>
        </is>
      </c>
      <c r="AD306" s="0" t="inlineStr">
        <is>
          <t>의창구</t>
        </is>
      </c>
      <c r="AE306" s="0" t="inlineStr">
        <is>
          <t>북면</t>
        </is>
      </c>
      <c r="AG306" s="0" t="inlineStr">
        <is>
          <t>경상남도 창원시 의창구 천주로 1104</t>
        </is>
      </c>
      <c r="AH306" s="0" t="n">
        <v>0</v>
      </c>
      <c r="AI306" s="0" t="n">
        <v>0</v>
      </c>
    </row>
    <row r="307">
      <c r="A307" s="0" t="inlineStr">
        <is>
          <t>[북면]</t>
        </is>
      </c>
      <c r="B307" s="0" t="n">
        <v>101102</v>
      </c>
      <c r="C307" s="0" t="n">
        <v>2</v>
      </c>
      <c r="D307" s="0" t="inlineStr">
        <is>
          <t>신한그린파크맨션</t>
        </is>
      </c>
      <c r="E307" s="0" t="inlineStr">
        <is>
          <t>1994.04.</t>
        </is>
      </c>
      <c r="F307" s="0" t="n">
        <v>127</v>
      </c>
      <c r="G307" s="0" t="n">
        <v>31.75</v>
      </c>
      <c r="H307" s="0" t="n">
        <v>104.96</v>
      </c>
      <c r="I307" s="0" t="n">
        <v>25.59</v>
      </c>
      <c r="J307" s="0" t="n">
        <v>84.62</v>
      </c>
      <c r="K307" s="0" t="n">
        <v>52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104</v>
      </c>
      <c r="X307" s="0" t="n">
        <v>13</v>
      </c>
      <c r="Y307" s="0" t="n">
        <v>13</v>
      </c>
      <c r="Z307" s="0" t="inlineStr">
        <is>
          <t>https://new.land.naver.com/complexes/101102?tab=detail&amp;rf=Y</t>
        </is>
      </c>
      <c r="AA307" s="0" t="inlineStr">
        <is>
          <t>경상남도 창원시 의창구 북면 신촌리 561-1</t>
        </is>
      </c>
      <c r="AB307" s="0" t="inlineStr">
        <is>
          <t>경상남도</t>
        </is>
      </c>
      <c r="AC307" s="0" t="inlineStr">
        <is>
          <t>창원시</t>
        </is>
      </c>
      <c r="AD307" s="0" t="inlineStr">
        <is>
          <t>의창구</t>
        </is>
      </c>
      <c r="AE307" s="0" t="inlineStr">
        <is>
          <t>북면</t>
        </is>
      </c>
      <c r="AG307" s="0" t="inlineStr">
        <is>
          <t>경상남도 창원시 의창구 천주로 1104</t>
        </is>
      </c>
      <c r="AH307" s="0" t="n">
        <v>0</v>
      </c>
      <c r="AI307" s="0" t="n">
        <v>0</v>
      </c>
    </row>
    <row r="308">
      <c r="A308" s="0" t="inlineStr">
        <is>
          <t>[북면]</t>
        </is>
      </c>
      <c r="B308" s="0" t="n">
        <v>144882</v>
      </c>
      <c r="C308" s="0" t="n">
        <v>1</v>
      </c>
      <c r="D308" s="0" t="inlineStr">
        <is>
          <t>창원무동동원로얄듀크</t>
        </is>
      </c>
      <c r="E308" s="0" t="inlineStr">
        <is>
          <t>2023.12.</t>
        </is>
      </c>
      <c r="F308" s="0" t="n">
        <v>525</v>
      </c>
      <c r="G308" s="0" t="n">
        <v>25.16</v>
      </c>
      <c r="H308" s="0" t="n">
        <v>83.19</v>
      </c>
      <c r="I308" s="0" t="n">
        <v>19.25</v>
      </c>
      <c r="J308" s="0" t="n">
        <v>63.64</v>
      </c>
      <c r="K308" s="0" t="n">
        <v>35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83A</t>
        </is>
      </c>
      <c r="X308" s="0" t="n">
        <v>23</v>
      </c>
      <c r="Y308" s="0" t="n">
        <v>14</v>
      </c>
      <c r="Z308" s="0" t="inlineStr">
        <is>
          <t>https://new.land.naver.com/complexes/144882?tab=detail&amp;rf=Y</t>
        </is>
      </c>
      <c r="AA308" s="0" t="inlineStr">
        <is>
          <t>경상남도 창원시 의창구 북면 무동리 무동지구 14블록</t>
        </is>
      </c>
      <c r="AB308" s="0" t="inlineStr">
        <is>
          <t>경상남도</t>
        </is>
      </c>
      <c r="AC308" s="0" t="inlineStr">
        <is>
          <t>창원시</t>
        </is>
      </c>
      <c r="AD308" s="0" t="inlineStr">
        <is>
          <t>의창구</t>
        </is>
      </c>
      <c r="AE308" s="0" t="inlineStr">
        <is>
          <t>북면</t>
        </is>
      </c>
      <c r="AG308" s="0" t="inlineStr">
        <is>
          <t>경상남도 창원시 의창구</t>
        </is>
      </c>
      <c r="AH308" s="0" t="n">
        <v>0</v>
      </c>
      <c r="AI308" s="0" t="n">
        <v>219</v>
      </c>
    </row>
    <row r="309">
      <c r="A309" s="0" t="inlineStr">
        <is>
          <t>[북면]</t>
        </is>
      </c>
      <c r="B309" s="0" t="n">
        <v>144882</v>
      </c>
      <c r="C309" s="0" t="n">
        <v>2</v>
      </c>
      <c r="D309" s="0" t="inlineStr">
        <is>
          <t>창원무동동원로얄듀크</t>
        </is>
      </c>
      <c r="E309" s="0" t="inlineStr">
        <is>
          <t>2023.12.</t>
        </is>
      </c>
      <c r="F309" s="0" t="n">
        <v>525</v>
      </c>
      <c r="G309" s="0" t="n">
        <v>25.42</v>
      </c>
      <c r="H309" s="0" t="n">
        <v>84.05</v>
      </c>
      <c r="I309" s="0" t="n">
        <v>19.3</v>
      </c>
      <c r="J309" s="0" t="n">
        <v>63.82</v>
      </c>
      <c r="K309" s="0" t="n">
        <v>137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84B</t>
        </is>
      </c>
      <c r="X309" s="0" t="n">
        <v>23</v>
      </c>
      <c r="Y309" s="0" t="n">
        <v>14</v>
      </c>
      <c r="Z309" s="0" t="inlineStr">
        <is>
          <t>https://new.land.naver.com/complexes/144882?tab=detail&amp;rf=Y</t>
        </is>
      </c>
      <c r="AA309" s="0" t="inlineStr">
        <is>
          <t>경상남도 창원시 의창구 북면 무동리 무동지구 14블록</t>
        </is>
      </c>
      <c r="AB309" s="0" t="inlineStr">
        <is>
          <t>경상남도</t>
        </is>
      </c>
      <c r="AC309" s="0" t="inlineStr">
        <is>
          <t>창원시</t>
        </is>
      </c>
      <c r="AD309" s="0" t="inlineStr">
        <is>
          <t>의창구</t>
        </is>
      </c>
      <c r="AE309" s="0" t="inlineStr">
        <is>
          <t>북면</t>
        </is>
      </c>
      <c r="AG309" s="0" t="inlineStr">
        <is>
          <t>경상남도 창원시 의창구</t>
        </is>
      </c>
      <c r="AH309" s="0" t="n">
        <v>0</v>
      </c>
      <c r="AI309" s="0" t="n">
        <v>219</v>
      </c>
    </row>
    <row r="310">
      <c r="A310" s="0" t="inlineStr">
        <is>
          <t>[북면]</t>
        </is>
      </c>
      <c r="B310" s="0" t="n">
        <v>144882</v>
      </c>
      <c r="C310" s="0" t="n">
        <v>3</v>
      </c>
      <c r="D310" s="0" t="inlineStr">
        <is>
          <t>창원무동동원로얄듀크</t>
        </is>
      </c>
      <c r="E310" s="0" t="inlineStr">
        <is>
          <t>2023.12.</t>
        </is>
      </c>
      <c r="F310" s="0" t="n">
        <v>525</v>
      </c>
      <c r="G310" s="0" t="n">
        <v>29.88</v>
      </c>
      <c r="H310" s="0" t="n">
        <v>98.8</v>
      </c>
      <c r="I310" s="0" t="n">
        <v>22.92</v>
      </c>
      <c r="J310" s="0" t="n">
        <v>75.77</v>
      </c>
      <c r="K310" s="0" t="n">
        <v>353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98</v>
      </c>
      <c r="X310" s="0" t="n">
        <v>23</v>
      </c>
      <c r="Y310" s="0" t="n">
        <v>14</v>
      </c>
      <c r="Z310" s="0" t="inlineStr">
        <is>
          <t>https://new.land.naver.com/complexes/144882?tab=detail&amp;rf=Y</t>
        </is>
      </c>
      <c r="AA310" s="0" t="inlineStr">
        <is>
          <t>경상남도 창원시 의창구 북면 무동리 무동지구 14블록</t>
        </is>
      </c>
      <c r="AB310" s="0" t="inlineStr">
        <is>
          <t>경상남도</t>
        </is>
      </c>
      <c r="AC310" s="0" t="inlineStr">
        <is>
          <t>창원시</t>
        </is>
      </c>
      <c r="AD310" s="0" t="inlineStr">
        <is>
          <t>의창구</t>
        </is>
      </c>
      <c r="AE310" s="0" t="inlineStr">
        <is>
          <t>북면</t>
        </is>
      </c>
      <c r="AG310" s="0" t="inlineStr">
        <is>
          <t>경상남도 창원시 의창구</t>
        </is>
      </c>
      <c r="AH310" s="0" t="n">
        <v>0</v>
      </c>
      <c r="AI310" s="0" t="n">
        <v>219</v>
      </c>
    </row>
    <row r="311">
      <c r="A311" s="0" t="inlineStr">
        <is>
          <t>[북면]</t>
        </is>
      </c>
      <c r="B311" s="0" t="n">
        <v>112711</v>
      </c>
      <c r="C311" s="0" t="n">
        <v>1</v>
      </c>
      <c r="D311" s="0" t="inlineStr">
        <is>
          <t>창원무동코아루파크</t>
        </is>
      </c>
      <c r="E311" s="0" t="inlineStr">
        <is>
          <t>2018.02.</t>
        </is>
      </c>
      <c r="F311" s="0" t="n">
        <v>253</v>
      </c>
      <c r="G311" s="0" t="n">
        <v>29.73</v>
      </c>
      <c r="H311" s="0" t="n">
        <v>98.29000000000001</v>
      </c>
      <c r="I311" s="0" t="n">
        <v>22.44</v>
      </c>
      <c r="J311" s="0" t="n">
        <v>74.20999999999999</v>
      </c>
      <c r="K311" s="0" t="n">
        <v>253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98</v>
      </c>
      <c r="X311" s="0" t="n">
        <v>15</v>
      </c>
      <c r="Y311" s="0" t="n">
        <v>10</v>
      </c>
      <c r="Z311" s="0" t="inlineStr">
        <is>
          <t>https://new.land.naver.com/complexes/112711?tab=detail&amp;rf=Y</t>
        </is>
      </c>
      <c r="AA311" s="0" t="inlineStr">
        <is>
          <t>경상남도 창원시 의창구 북면 무동리 149-1</t>
        </is>
      </c>
      <c r="AB311" s="0" t="inlineStr">
        <is>
          <t>경상남도</t>
        </is>
      </c>
      <c r="AC311" s="0" t="inlineStr">
        <is>
          <t>창원시</t>
        </is>
      </c>
      <c r="AD311" s="0" t="inlineStr">
        <is>
          <t>의창구</t>
        </is>
      </c>
      <c r="AE311" s="0" t="inlineStr">
        <is>
          <t>북면</t>
        </is>
      </c>
      <c r="AG311" s="0" t="inlineStr">
        <is>
          <t>경상남도 창원시 의창구 무동로 213</t>
        </is>
      </c>
      <c r="AH311" s="0" t="n">
        <v>0</v>
      </c>
      <c r="AI311" s="0" t="n">
        <v>149</v>
      </c>
    </row>
    <row r="312">
      <c r="A312" s="0" t="inlineStr">
        <is>
          <t>[북면]</t>
        </is>
      </c>
      <c r="B312" s="0" t="n">
        <v>102513</v>
      </c>
      <c r="C312" s="0" t="n">
        <v>1</v>
      </c>
      <c r="D312" s="0" t="inlineStr">
        <is>
          <t>창원무동휴먼빌2단지</t>
        </is>
      </c>
      <c r="E312" s="0" t="inlineStr">
        <is>
          <t>2013.06.</t>
        </is>
      </c>
      <c r="F312" s="0" t="n">
        <v>315</v>
      </c>
      <c r="G312" s="0" t="n">
        <v>24.28</v>
      </c>
      <c r="H312" s="0" t="n">
        <v>80.28</v>
      </c>
      <c r="I312" s="0" t="n">
        <v>18.14</v>
      </c>
      <c r="J312" s="0" t="n">
        <v>59.99</v>
      </c>
      <c r="K312" s="0" t="n">
        <v>27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80</v>
      </c>
      <c r="X312" s="0" t="n">
        <v>14</v>
      </c>
      <c r="Y312" s="0" t="n">
        <v>14</v>
      </c>
      <c r="Z312" s="0" t="inlineStr">
        <is>
          <t>https://new.land.naver.com/complexes/102513?tab=detail&amp;rf=Y</t>
        </is>
      </c>
      <c r="AA312" s="0" t="inlineStr">
        <is>
          <t>경상남도 창원시 의창구 북면 무동리 122-1</t>
        </is>
      </c>
      <c r="AB312" s="0" t="inlineStr">
        <is>
          <t>경상남도</t>
        </is>
      </c>
      <c r="AC312" s="0" t="inlineStr">
        <is>
          <t>창원시</t>
        </is>
      </c>
      <c r="AD312" s="0" t="inlineStr">
        <is>
          <t>의창구</t>
        </is>
      </c>
      <c r="AE312" s="0" t="inlineStr">
        <is>
          <t>북면</t>
        </is>
      </c>
      <c r="AG312" s="0" t="inlineStr">
        <is>
          <t>경상남도 창원시 의창구 동곡로 35</t>
        </is>
      </c>
      <c r="AH312" s="0" t="n">
        <v>0</v>
      </c>
      <c r="AI312" s="0" t="n">
        <v>148</v>
      </c>
    </row>
    <row r="313">
      <c r="A313" s="0" t="inlineStr">
        <is>
          <t>[북면]</t>
        </is>
      </c>
      <c r="B313" s="0" t="n">
        <v>102513</v>
      </c>
      <c r="C313" s="0" t="n">
        <v>2</v>
      </c>
      <c r="D313" s="0" t="inlineStr">
        <is>
          <t>창원무동휴먼빌2단지</t>
        </is>
      </c>
      <c r="E313" s="0" t="inlineStr">
        <is>
          <t>2013.06.</t>
        </is>
      </c>
      <c r="F313" s="0" t="n">
        <v>315</v>
      </c>
      <c r="G313" s="0" t="n">
        <v>34.42</v>
      </c>
      <c r="H313" s="0" t="n">
        <v>113.81</v>
      </c>
      <c r="I313" s="0" t="n">
        <v>25.7</v>
      </c>
      <c r="J313" s="0" t="n">
        <v>84.98999999999999</v>
      </c>
      <c r="K313" s="0" t="n">
        <v>178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113A</t>
        </is>
      </c>
      <c r="X313" s="0" t="n">
        <v>14</v>
      </c>
      <c r="Y313" s="0" t="n">
        <v>14</v>
      </c>
      <c r="Z313" s="0" t="inlineStr">
        <is>
          <t>https://new.land.naver.com/complexes/102513?tab=detail&amp;rf=Y</t>
        </is>
      </c>
      <c r="AA313" s="0" t="inlineStr">
        <is>
          <t>경상남도 창원시 의창구 북면 무동리 122-1</t>
        </is>
      </c>
      <c r="AB313" s="0" t="inlineStr">
        <is>
          <t>경상남도</t>
        </is>
      </c>
      <c r="AC313" s="0" t="inlineStr">
        <is>
          <t>창원시</t>
        </is>
      </c>
      <c r="AD313" s="0" t="inlineStr">
        <is>
          <t>의창구</t>
        </is>
      </c>
      <c r="AE313" s="0" t="inlineStr">
        <is>
          <t>북면</t>
        </is>
      </c>
      <c r="AG313" s="0" t="inlineStr">
        <is>
          <t>경상남도 창원시 의창구 동곡로 35</t>
        </is>
      </c>
      <c r="AH313" s="0" t="n">
        <v>0</v>
      </c>
      <c r="AI313" s="0" t="n">
        <v>148</v>
      </c>
    </row>
    <row r="314">
      <c r="A314" s="0" t="inlineStr">
        <is>
          <t>[북면]</t>
        </is>
      </c>
      <c r="B314" s="0" t="n">
        <v>102513</v>
      </c>
      <c r="C314" s="0" t="n">
        <v>3</v>
      </c>
      <c r="D314" s="0" t="inlineStr">
        <is>
          <t>창원무동휴먼빌2단지</t>
        </is>
      </c>
      <c r="E314" s="0" t="inlineStr">
        <is>
          <t>2013.06.</t>
        </is>
      </c>
      <c r="F314" s="0" t="n">
        <v>315</v>
      </c>
      <c r="G314" s="0" t="n">
        <v>34.33</v>
      </c>
      <c r="H314" s="0" t="n">
        <v>113.49</v>
      </c>
      <c r="I314" s="0" t="n">
        <v>25.7</v>
      </c>
      <c r="J314" s="0" t="n">
        <v>84.98999999999999</v>
      </c>
      <c r="K314" s="0" t="n">
        <v>110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113B</t>
        </is>
      </c>
      <c r="X314" s="0" t="n">
        <v>14</v>
      </c>
      <c r="Y314" s="0" t="n">
        <v>14</v>
      </c>
      <c r="Z314" s="0" t="inlineStr">
        <is>
          <t>https://new.land.naver.com/complexes/102513?tab=detail&amp;rf=Y</t>
        </is>
      </c>
      <c r="AA314" s="0" t="inlineStr">
        <is>
          <t>경상남도 창원시 의창구 북면 무동리 122-1</t>
        </is>
      </c>
      <c r="AB314" s="0" t="inlineStr">
        <is>
          <t>경상남도</t>
        </is>
      </c>
      <c r="AC314" s="0" t="inlineStr">
        <is>
          <t>창원시</t>
        </is>
      </c>
      <c r="AD314" s="0" t="inlineStr">
        <is>
          <t>의창구</t>
        </is>
      </c>
      <c r="AE314" s="0" t="inlineStr">
        <is>
          <t>북면</t>
        </is>
      </c>
      <c r="AG314" s="0" t="inlineStr">
        <is>
          <t>경상남도 창원시 의창구 동곡로 35</t>
        </is>
      </c>
      <c r="AH314" s="0" t="n">
        <v>0</v>
      </c>
      <c r="AI314" s="0" t="n">
        <v>148</v>
      </c>
    </row>
    <row r="315">
      <c r="A315" s="0" t="inlineStr">
        <is>
          <t>[북면]</t>
        </is>
      </c>
      <c r="B315" s="0" t="n">
        <v>120600</v>
      </c>
      <c r="C315" s="0" t="n">
        <v>1</v>
      </c>
      <c r="D315" s="0" t="inlineStr">
        <is>
          <t>창원무동센텀파라디아</t>
        </is>
      </c>
      <c r="E315" s="0" t="inlineStr">
        <is>
          <t>2018.03.</t>
        </is>
      </c>
      <c r="F315" s="0" t="n">
        <v>1034</v>
      </c>
      <c r="G315" s="0" t="n">
        <v>25.41</v>
      </c>
      <c r="H315" s="0" t="n">
        <v>84.01000000000001</v>
      </c>
      <c r="I315" s="0" t="n">
        <v>18.14</v>
      </c>
      <c r="J315" s="0" t="n">
        <v>59.99</v>
      </c>
      <c r="K315" s="0" t="n">
        <v>604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84</v>
      </c>
      <c r="X315" s="0" t="n">
        <v>24</v>
      </c>
      <c r="Y315" s="0" t="n">
        <v>14</v>
      </c>
      <c r="Z315" s="0" t="inlineStr">
        <is>
          <t>https://new.land.naver.com/complexes/120600?tab=detail&amp;rf=Y</t>
        </is>
      </c>
      <c r="AA315" s="0" t="inlineStr">
        <is>
          <t>경상남도 창원시 의창구 북면 무동리 124-1</t>
        </is>
      </c>
      <c r="AB315" s="0" t="inlineStr">
        <is>
          <t>경상남도</t>
        </is>
      </c>
      <c r="AC315" s="0" t="inlineStr">
        <is>
          <t>창원시</t>
        </is>
      </c>
      <c r="AD315" s="0" t="inlineStr">
        <is>
          <t>의창구</t>
        </is>
      </c>
      <c r="AE315" s="0" t="inlineStr">
        <is>
          <t>북면</t>
        </is>
      </c>
      <c r="AG315" s="0" t="inlineStr">
        <is>
          <t>경상남도 창원시 의창구 무동서로 24</t>
        </is>
      </c>
      <c r="AH315" s="0" t="n">
        <v>0</v>
      </c>
      <c r="AI315" s="0" t="n">
        <v>193</v>
      </c>
    </row>
    <row r="316">
      <c r="A316" s="0" t="inlineStr">
        <is>
          <t>[북면]</t>
        </is>
      </c>
      <c r="B316" s="0" t="n">
        <v>120600</v>
      </c>
      <c r="C316" s="0" t="n">
        <v>2</v>
      </c>
      <c r="D316" s="0" t="inlineStr">
        <is>
          <t>창원무동센텀파라디아</t>
        </is>
      </c>
      <c r="E316" s="0" t="inlineStr">
        <is>
          <t>2018.03.</t>
        </is>
      </c>
      <c r="F316" s="0" t="n">
        <v>1034</v>
      </c>
      <c r="G316" s="0" t="n">
        <v>29.75</v>
      </c>
      <c r="H316" s="0" t="n">
        <v>98.38</v>
      </c>
      <c r="I316" s="0" t="n">
        <v>22.07</v>
      </c>
      <c r="J316" s="0" t="n">
        <v>72.98999999999999</v>
      </c>
      <c r="K316" s="0" t="n">
        <v>166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98</v>
      </c>
      <c r="X316" s="0" t="n">
        <v>24</v>
      </c>
      <c r="Y316" s="0" t="n">
        <v>14</v>
      </c>
      <c r="Z316" s="0" t="inlineStr">
        <is>
          <t>https://new.land.naver.com/complexes/120600?tab=detail&amp;rf=Y</t>
        </is>
      </c>
      <c r="AA316" s="0" t="inlineStr">
        <is>
          <t>경상남도 창원시 의창구 북면 무동리 124-1</t>
        </is>
      </c>
      <c r="AB316" s="0" t="inlineStr">
        <is>
          <t>경상남도</t>
        </is>
      </c>
      <c r="AC316" s="0" t="inlineStr">
        <is>
          <t>창원시</t>
        </is>
      </c>
      <c r="AD316" s="0" t="inlineStr">
        <is>
          <t>의창구</t>
        </is>
      </c>
      <c r="AE316" s="0" t="inlineStr">
        <is>
          <t>북면</t>
        </is>
      </c>
      <c r="AG316" s="0" t="inlineStr">
        <is>
          <t>경상남도 창원시 의창구 무동서로 24</t>
        </is>
      </c>
      <c r="AH316" s="0" t="n">
        <v>0</v>
      </c>
      <c r="AI316" s="0" t="n">
        <v>193</v>
      </c>
    </row>
    <row r="317">
      <c r="A317" s="0" t="inlineStr">
        <is>
          <t>[북면]</t>
        </is>
      </c>
      <c r="B317" s="0" t="n">
        <v>120600</v>
      </c>
      <c r="C317" s="0" t="n">
        <v>3</v>
      </c>
      <c r="D317" s="0" t="inlineStr">
        <is>
          <t>창원무동센텀파라디아</t>
        </is>
      </c>
      <c r="E317" s="0" t="inlineStr">
        <is>
          <t>2018.03.</t>
        </is>
      </c>
      <c r="F317" s="0" t="n">
        <v>1034</v>
      </c>
      <c r="G317" s="0" t="n">
        <v>34.27</v>
      </c>
      <c r="H317" s="0" t="n">
        <v>113.3</v>
      </c>
      <c r="I317" s="0" t="n">
        <v>25.7</v>
      </c>
      <c r="J317" s="0" t="n">
        <v>84.98999999999999</v>
      </c>
      <c r="K317" s="0" t="n">
        <v>176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113A</t>
        </is>
      </c>
      <c r="X317" s="0" t="n">
        <v>24</v>
      </c>
      <c r="Y317" s="0" t="n">
        <v>14</v>
      </c>
      <c r="Z317" s="0" t="inlineStr">
        <is>
          <t>https://new.land.naver.com/complexes/120600?tab=detail&amp;rf=Y</t>
        </is>
      </c>
      <c r="AA317" s="0" t="inlineStr">
        <is>
          <t>경상남도 창원시 의창구 북면 무동리 124-1</t>
        </is>
      </c>
      <c r="AB317" s="0" t="inlineStr">
        <is>
          <t>경상남도</t>
        </is>
      </c>
      <c r="AC317" s="0" t="inlineStr">
        <is>
          <t>창원시</t>
        </is>
      </c>
      <c r="AD317" s="0" t="inlineStr">
        <is>
          <t>의창구</t>
        </is>
      </c>
      <c r="AE317" s="0" t="inlineStr">
        <is>
          <t>북면</t>
        </is>
      </c>
      <c r="AG317" s="0" t="inlineStr">
        <is>
          <t>경상남도 창원시 의창구 무동서로 24</t>
        </is>
      </c>
      <c r="AH317" s="0" t="n">
        <v>0</v>
      </c>
      <c r="AI317" s="0" t="n">
        <v>193</v>
      </c>
    </row>
    <row r="318">
      <c r="A318" s="0" t="inlineStr">
        <is>
          <t>[북면]</t>
        </is>
      </c>
      <c r="B318" s="0" t="n">
        <v>120600</v>
      </c>
      <c r="C318" s="0" t="n">
        <v>4</v>
      </c>
      <c r="D318" s="0" t="inlineStr">
        <is>
          <t>창원무동센텀파라디아</t>
        </is>
      </c>
      <c r="E318" s="0" t="inlineStr">
        <is>
          <t>2018.03.</t>
        </is>
      </c>
      <c r="F318" s="0" t="n">
        <v>1034</v>
      </c>
      <c r="G318" s="0" t="n">
        <v>36.89</v>
      </c>
      <c r="H318" s="0" t="n">
        <v>121.97</v>
      </c>
      <c r="I318" s="0" t="n">
        <v>25.7</v>
      </c>
      <c r="J318" s="0" t="n">
        <v>84.98999999999999</v>
      </c>
      <c r="K318" s="0" t="n">
        <v>88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121B</t>
        </is>
      </c>
      <c r="X318" s="0" t="n">
        <v>24</v>
      </c>
      <c r="Y318" s="0" t="n">
        <v>14</v>
      </c>
      <c r="Z318" s="0" t="inlineStr">
        <is>
          <t>https://new.land.naver.com/complexes/120600?tab=detail&amp;rf=Y</t>
        </is>
      </c>
      <c r="AA318" s="0" t="inlineStr">
        <is>
          <t>경상남도 창원시 의창구 북면 무동리 124-1</t>
        </is>
      </c>
      <c r="AB318" s="0" t="inlineStr">
        <is>
          <t>경상남도</t>
        </is>
      </c>
      <c r="AC318" s="0" t="inlineStr">
        <is>
          <t>창원시</t>
        </is>
      </c>
      <c r="AD318" s="0" t="inlineStr">
        <is>
          <t>의창구</t>
        </is>
      </c>
      <c r="AE318" s="0" t="inlineStr">
        <is>
          <t>북면</t>
        </is>
      </c>
      <c r="AG318" s="0" t="inlineStr">
        <is>
          <t>경상남도 창원시 의창구 무동서로 24</t>
        </is>
      </c>
      <c r="AH318" s="0" t="n">
        <v>0</v>
      </c>
      <c r="AI318" s="0" t="n">
        <v>193</v>
      </c>
    </row>
    <row r="319">
      <c r="A319" s="0" t="inlineStr">
        <is>
          <t>[북면]</t>
        </is>
      </c>
      <c r="B319" s="0" t="n">
        <v>15780</v>
      </c>
      <c r="C319" s="0" t="n">
        <v>1</v>
      </c>
      <c r="D319" s="0" t="inlineStr">
        <is>
          <t>춘광1차</t>
        </is>
      </c>
      <c r="E319" s="0" t="inlineStr">
        <is>
          <t>1992.10.</t>
        </is>
      </c>
      <c r="F319" s="0" t="n">
        <v>113</v>
      </c>
      <c r="G319" s="0" t="n">
        <v>23.75</v>
      </c>
      <c r="H319" s="0" t="n">
        <v>78.54000000000001</v>
      </c>
      <c r="I319" s="0" t="n">
        <v>18.14</v>
      </c>
      <c r="J319" s="0" t="n">
        <v>59.98</v>
      </c>
      <c r="K319" s="0" t="n">
        <v>57</v>
      </c>
      <c r="T319" s="0" t="n">
        <v>3</v>
      </c>
      <c r="U319" s="0" t="n">
        <v>1</v>
      </c>
      <c r="V319" s="0" t="inlineStr">
        <is>
          <t>계단식</t>
        </is>
      </c>
      <c r="W319" s="0" t="n">
        <v>78</v>
      </c>
      <c r="X319" s="0" t="n">
        <v>15</v>
      </c>
      <c r="Y319" s="0" t="n">
        <v>9</v>
      </c>
      <c r="Z319" s="0" t="inlineStr">
        <is>
          <t>https://new.land.naver.com/complexes/15780?tab=detail&amp;rf=Y</t>
        </is>
      </c>
      <c r="AA319" s="0" t="inlineStr">
        <is>
          <t>경상남도 창원시 의창구 북면 신촌리 905-3</t>
        </is>
      </c>
      <c r="AB319" s="0" t="inlineStr">
        <is>
          <t>경상남도</t>
        </is>
      </c>
      <c r="AC319" s="0" t="inlineStr">
        <is>
          <t>창원시</t>
        </is>
      </c>
      <c r="AD319" s="0" t="inlineStr">
        <is>
          <t>의창구</t>
        </is>
      </c>
      <c r="AE319" s="0" t="inlineStr">
        <is>
          <t>북면</t>
        </is>
      </c>
      <c r="AG319" s="0" t="inlineStr">
        <is>
          <t>경상남도 창원시 의창구 신촌본포로 14</t>
        </is>
      </c>
      <c r="AH319" s="0" t="n">
        <v>0</v>
      </c>
      <c r="AI319" s="0" t="n">
        <v>283</v>
      </c>
    </row>
    <row r="320">
      <c r="A320" s="0" t="inlineStr">
        <is>
          <t>[북면]</t>
        </is>
      </c>
      <c r="B320" s="0" t="n">
        <v>15780</v>
      </c>
      <c r="C320" s="0" t="n">
        <v>2</v>
      </c>
      <c r="D320" s="0" t="inlineStr">
        <is>
          <t>춘광1차</t>
        </is>
      </c>
      <c r="E320" s="0" t="inlineStr">
        <is>
          <t>1992.10.</t>
        </is>
      </c>
      <c r="F320" s="0" t="n">
        <v>113</v>
      </c>
      <c r="G320" s="0" t="n">
        <v>27.73</v>
      </c>
      <c r="H320" s="0" t="n">
        <v>91.7</v>
      </c>
      <c r="I320" s="0" t="n">
        <v>22.36</v>
      </c>
      <c r="J320" s="0" t="n">
        <v>73.92</v>
      </c>
      <c r="K320" s="0" t="n">
        <v>56</v>
      </c>
      <c r="T320" s="0" t="n">
        <v>3</v>
      </c>
      <c r="U320" s="0" t="n">
        <v>1</v>
      </c>
      <c r="V320" s="0" t="inlineStr">
        <is>
          <t>복도식</t>
        </is>
      </c>
      <c r="W320" s="0" t="n">
        <v>91</v>
      </c>
      <c r="X320" s="0" t="n">
        <v>15</v>
      </c>
      <c r="Y320" s="0" t="n">
        <v>9</v>
      </c>
      <c r="Z320" s="0" t="inlineStr">
        <is>
          <t>https://new.land.naver.com/complexes/15780?tab=detail&amp;rf=Y</t>
        </is>
      </c>
      <c r="AA320" s="0" t="inlineStr">
        <is>
          <t>경상남도 창원시 의창구 북면 신촌리 905-3</t>
        </is>
      </c>
      <c r="AB320" s="0" t="inlineStr">
        <is>
          <t>경상남도</t>
        </is>
      </c>
      <c r="AC320" s="0" t="inlineStr">
        <is>
          <t>창원시</t>
        </is>
      </c>
      <c r="AD320" s="0" t="inlineStr">
        <is>
          <t>의창구</t>
        </is>
      </c>
      <c r="AE320" s="0" t="inlineStr">
        <is>
          <t>북면</t>
        </is>
      </c>
      <c r="AG320" s="0" t="inlineStr">
        <is>
          <t>경상남도 창원시 의창구 신촌본포로 14</t>
        </is>
      </c>
      <c r="AH320" s="0" t="n">
        <v>0</v>
      </c>
      <c r="AI320" s="0" t="n">
        <v>283</v>
      </c>
    </row>
    <row r="321">
      <c r="A321" s="0" t="inlineStr">
        <is>
          <t>[북면]</t>
        </is>
      </c>
      <c r="B321" s="0" t="n">
        <v>7764</v>
      </c>
      <c r="C321" s="0" t="n">
        <v>1</v>
      </c>
      <c r="D321" s="0" t="inlineStr">
        <is>
          <t>춘광2차</t>
        </is>
      </c>
      <c r="E321" s="0" t="inlineStr">
        <is>
          <t>1995.12.</t>
        </is>
      </c>
      <c r="F321" s="0" t="n">
        <v>218</v>
      </c>
      <c r="G321" s="0" t="n">
        <v>15.66</v>
      </c>
      <c r="H321" s="0" t="n">
        <v>51.78</v>
      </c>
      <c r="I321" s="0" t="n">
        <v>11.92</v>
      </c>
      <c r="J321" s="0" t="n">
        <v>39.41</v>
      </c>
      <c r="K321" s="0" t="n">
        <v>25</v>
      </c>
      <c r="T321" s="0" t="n">
        <v>2</v>
      </c>
      <c r="U321" s="0" t="n">
        <v>1</v>
      </c>
      <c r="V321" s="0" t="inlineStr">
        <is>
          <t>복도식</t>
        </is>
      </c>
      <c r="W321" s="0" t="n">
        <v>51</v>
      </c>
      <c r="X321" s="0" t="n">
        <v>15</v>
      </c>
      <c r="Y321" s="0" t="n">
        <v>7</v>
      </c>
      <c r="Z321" s="0" t="inlineStr">
        <is>
          <t>https://new.land.naver.com/complexes/7764?tab=detail&amp;rf=Y</t>
        </is>
      </c>
      <c r="AA321" s="0" t="inlineStr">
        <is>
          <t>경상남도 창원시 의창구 북면 신촌리 905-24</t>
        </is>
      </c>
      <c r="AB321" s="0" t="inlineStr">
        <is>
          <t>경상남도</t>
        </is>
      </c>
      <c r="AC321" s="0" t="inlineStr">
        <is>
          <t>창원시</t>
        </is>
      </c>
      <c r="AD321" s="0" t="inlineStr">
        <is>
          <t>의창구</t>
        </is>
      </c>
      <c r="AE321" s="0" t="inlineStr">
        <is>
          <t>북면</t>
        </is>
      </c>
      <c r="AG321" s="0" t="inlineStr">
        <is>
          <t>경상남도 창원시 의창구 신촌본포로 12-13</t>
        </is>
      </c>
      <c r="AH321" s="0" t="n">
        <v>0</v>
      </c>
      <c r="AI321" s="0" t="n">
        <v>0</v>
      </c>
    </row>
    <row r="322">
      <c r="A322" s="0" t="inlineStr">
        <is>
          <t>[북면]</t>
        </is>
      </c>
      <c r="B322" s="0" t="n">
        <v>7764</v>
      </c>
      <c r="C322" s="0" t="n">
        <v>2</v>
      </c>
      <c r="D322" s="0" t="inlineStr">
        <is>
          <t>춘광2차</t>
        </is>
      </c>
      <c r="E322" s="0" t="inlineStr">
        <is>
          <t>1995.12.</t>
        </is>
      </c>
      <c r="F322" s="0" t="n">
        <v>218</v>
      </c>
      <c r="G322" s="0" t="n">
        <v>23.02</v>
      </c>
      <c r="H322" s="0" t="n">
        <v>76.09999999999999</v>
      </c>
      <c r="I322" s="0" t="n">
        <v>17.52</v>
      </c>
      <c r="J322" s="0" t="n">
        <v>57.92</v>
      </c>
      <c r="K322" s="0" t="n">
        <v>105</v>
      </c>
      <c r="T322" s="0" t="n">
        <v>3</v>
      </c>
      <c r="U322" s="0" t="n">
        <v>1</v>
      </c>
      <c r="V322" s="0" t="inlineStr">
        <is>
          <t>복도식</t>
        </is>
      </c>
      <c r="W322" s="0" t="n">
        <v>76</v>
      </c>
      <c r="X322" s="0" t="n">
        <v>15</v>
      </c>
      <c r="Y322" s="0" t="n">
        <v>7</v>
      </c>
      <c r="Z322" s="0" t="inlineStr">
        <is>
          <t>https://new.land.naver.com/complexes/7764?tab=detail&amp;rf=Y</t>
        </is>
      </c>
      <c r="AA322" s="0" t="inlineStr">
        <is>
          <t>경상남도 창원시 의창구 북면 신촌리 905-24</t>
        </is>
      </c>
      <c r="AB322" s="0" t="inlineStr">
        <is>
          <t>경상남도</t>
        </is>
      </c>
      <c r="AC322" s="0" t="inlineStr">
        <is>
          <t>창원시</t>
        </is>
      </c>
      <c r="AD322" s="0" t="inlineStr">
        <is>
          <t>의창구</t>
        </is>
      </c>
      <c r="AE322" s="0" t="inlineStr">
        <is>
          <t>북면</t>
        </is>
      </c>
      <c r="AG322" s="0" t="inlineStr">
        <is>
          <t>경상남도 창원시 의창구 신촌본포로 12-13</t>
        </is>
      </c>
      <c r="AH322" s="0" t="n">
        <v>0</v>
      </c>
      <c r="AI322" s="0" t="n">
        <v>0</v>
      </c>
    </row>
    <row r="323">
      <c r="A323" s="0" t="inlineStr">
        <is>
          <t>[북면]</t>
        </is>
      </c>
      <c r="B323" s="0" t="n">
        <v>7764</v>
      </c>
      <c r="C323" s="0" t="n">
        <v>3</v>
      </c>
      <c r="D323" s="0" t="inlineStr">
        <is>
          <t>춘광2차</t>
        </is>
      </c>
      <c r="E323" s="0" t="inlineStr">
        <is>
          <t>1995.12.</t>
        </is>
      </c>
      <c r="F323" s="0" t="n">
        <v>218</v>
      </c>
      <c r="G323" s="0" t="n">
        <v>23.77</v>
      </c>
      <c r="H323" s="0" t="n">
        <v>78.58</v>
      </c>
      <c r="I323" s="0" t="n">
        <v>18.09</v>
      </c>
      <c r="J323" s="0" t="n">
        <v>59.81</v>
      </c>
      <c r="K323" s="0" t="n">
        <v>88</v>
      </c>
      <c r="T323" s="0" t="n">
        <v>3</v>
      </c>
      <c r="U323" s="0" t="n">
        <v>1</v>
      </c>
      <c r="V323" s="0" t="inlineStr">
        <is>
          <t>복도식</t>
        </is>
      </c>
      <c r="W323" s="0" t="n">
        <v>78</v>
      </c>
      <c r="X323" s="0" t="n">
        <v>15</v>
      </c>
      <c r="Y323" s="0" t="n">
        <v>7</v>
      </c>
      <c r="Z323" s="0" t="inlineStr">
        <is>
          <t>https://new.land.naver.com/complexes/7764?tab=detail&amp;rf=Y</t>
        </is>
      </c>
      <c r="AA323" s="0" t="inlineStr">
        <is>
          <t>경상남도 창원시 의창구 북면 신촌리 905-24</t>
        </is>
      </c>
      <c r="AB323" s="0" t="inlineStr">
        <is>
          <t>경상남도</t>
        </is>
      </c>
      <c r="AC323" s="0" t="inlineStr">
        <is>
          <t>창원시</t>
        </is>
      </c>
      <c r="AD323" s="0" t="inlineStr">
        <is>
          <t>의창구</t>
        </is>
      </c>
      <c r="AE323" s="0" t="inlineStr">
        <is>
          <t>북면</t>
        </is>
      </c>
      <c r="AG323" s="0" t="inlineStr">
        <is>
          <t>경상남도 창원시 의창구 신촌본포로 12-13</t>
        </is>
      </c>
      <c r="AH323" s="0" t="n">
        <v>0</v>
      </c>
      <c r="AI323" s="0" t="n">
        <v>0</v>
      </c>
    </row>
    <row r="324">
      <c r="A324" s="0" t="inlineStr">
        <is>
          <t>[북면]</t>
        </is>
      </c>
      <c r="B324" s="0" t="n">
        <v>133270</v>
      </c>
      <c r="C324" s="0" t="n">
        <v>1</v>
      </c>
      <c r="D324" s="0" t="inlineStr">
        <is>
          <t>삼우</t>
        </is>
      </c>
      <c r="E324" s="0" t="inlineStr">
        <is>
          <t>1997.12.</t>
        </is>
      </c>
      <c r="F324" s="0" t="n">
        <v>63</v>
      </c>
      <c r="G324" s="0" t="n">
        <v>22.56</v>
      </c>
      <c r="H324" s="0" t="n">
        <v>74.59999999999999</v>
      </c>
      <c r="I324" s="0" t="n">
        <v>18.07</v>
      </c>
      <c r="J324" s="0" t="n">
        <v>59.74</v>
      </c>
      <c r="K324" s="0" t="n">
        <v>11</v>
      </c>
      <c r="T324" s="0" t="n">
        <v>3</v>
      </c>
      <c r="U324" s="0" t="n">
        <v>1</v>
      </c>
      <c r="V324" s="0" t="inlineStr">
        <is>
          <t>계단식</t>
        </is>
      </c>
      <c r="W324" s="0" t="inlineStr">
        <is>
          <t>74A</t>
        </is>
      </c>
      <c r="X324" s="0" t="n">
        <v>12</v>
      </c>
      <c r="Y324" s="0" t="n">
        <v>11</v>
      </c>
      <c r="Z324" s="0" t="inlineStr">
        <is>
          <t>https://new.land.naver.com/complexes/133270?tab=detail&amp;rf=Y</t>
        </is>
      </c>
      <c r="AA324" s="0" t="inlineStr">
        <is>
          <t>경상남도 창원시 의창구 북면 화천리 807</t>
        </is>
      </c>
      <c r="AB324" s="0" t="inlineStr">
        <is>
          <t>경상남도</t>
        </is>
      </c>
      <c r="AC324" s="0" t="inlineStr">
        <is>
          <t>창원시</t>
        </is>
      </c>
      <c r="AD324" s="0" t="inlineStr">
        <is>
          <t>의창구</t>
        </is>
      </c>
      <c r="AE324" s="0" t="inlineStr">
        <is>
          <t>북면</t>
        </is>
      </c>
      <c r="AG324" s="0" t="inlineStr">
        <is>
          <t>경상남도 창원시 의창구 천주로613번길 5</t>
        </is>
      </c>
      <c r="AH324" s="0" t="n">
        <v>0</v>
      </c>
      <c r="AI324" s="0" t="n">
        <v>186</v>
      </c>
    </row>
    <row r="325">
      <c r="A325" s="0" t="inlineStr">
        <is>
          <t>[북면]</t>
        </is>
      </c>
      <c r="B325" s="0" t="n">
        <v>133270</v>
      </c>
      <c r="C325" s="0" t="n">
        <v>2</v>
      </c>
      <c r="D325" s="0" t="inlineStr">
        <is>
          <t>삼우</t>
        </is>
      </c>
      <c r="E325" s="0" t="inlineStr">
        <is>
          <t>1997.12.</t>
        </is>
      </c>
      <c r="F325" s="0" t="n">
        <v>63</v>
      </c>
      <c r="G325" s="0" t="n">
        <v>22.59</v>
      </c>
      <c r="H325" s="0" t="n">
        <v>74.69</v>
      </c>
      <c r="I325" s="0" t="n">
        <v>18.09</v>
      </c>
      <c r="J325" s="0" t="n">
        <v>59.81</v>
      </c>
      <c r="K325" s="0" t="n">
        <v>11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74C</t>
        </is>
      </c>
      <c r="X325" s="0" t="n">
        <v>12</v>
      </c>
      <c r="Y325" s="0" t="n">
        <v>11</v>
      </c>
      <c r="Z325" s="0" t="inlineStr">
        <is>
          <t>https://new.land.naver.com/complexes/133270?tab=detail&amp;rf=Y</t>
        </is>
      </c>
      <c r="AA325" s="0" t="inlineStr">
        <is>
          <t>경상남도 창원시 의창구 북면 화천리 807</t>
        </is>
      </c>
      <c r="AB325" s="0" t="inlineStr">
        <is>
          <t>경상남도</t>
        </is>
      </c>
      <c r="AC325" s="0" t="inlineStr">
        <is>
          <t>창원시</t>
        </is>
      </c>
      <c r="AD325" s="0" t="inlineStr">
        <is>
          <t>의창구</t>
        </is>
      </c>
      <c r="AE325" s="0" t="inlineStr">
        <is>
          <t>북면</t>
        </is>
      </c>
      <c r="AG325" s="0" t="inlineStr">
        <is>
          <t>경상남도 창원시 의창구 천주로613번길 5</t>
        </is>
      </c>
      <c r="AH325" s="0" t="n">
        <v>0</v>
      </c>
      <c r="AI325" s="0" t="n">
        <v>186</v>
      </c>
    </row>
    <row r="326">
      <c r="A326" s="0" t="inlineStr">
        <is>
          <t>[북면]</t>
        </is>
      </c>
      <c r="B326" s="0" t="n">
        <v>133270</v>
      </c>
      <c r="C326" s="0" t="n">
        <v>3</v>
      </c>
      <c r="D326" s="0" t="inlineStr">
        <is>
          <t>삼우</t>
        </is>
      </c>
      <c r="E326" s="0" t="inlineStr">
        <is>
          <t>1997.12.</t>
        </is>
      </c>
      <c r="F326" s="0" t="n">
        <v>63</v>
      </c>
      <c r="G326" s="0" t="n">
        <v>22.58</v>
      </c>
      <c r="H326" s="0" t="n">
        <v>74.65000000000001</v>
      </c>
      <c r="I326" s="0" t="n">
        <v>18.08</v>
      </c>
      <c r="J326" s="0" t="n">
        <v>59.78</v>
      </c>
      <c r="K326" s="0" t="n">
        <v>1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74B</t>
        </is>
      </c>
      <c r="X326" s="0" t="n">
        <v>12</v>
      </c>
      <c r="Y326" s="0" t="n">
        <v>11</v>
      </c>
      <c r="Z326" s="0" t="inlineStr">
        <is>
          <t>https://new.land.naver.com/complexes/133270?tab=detail&amp;rf=Y</t>
        </is>
      </c>
      <c r="AA326" s="0" t="inlineStr">
        <is>
          <t>경상남도 창원시 의창구 북면 화천리 807</t>
        </is>
      </c>
      <c r="AB326" s="0" t="inlineStr">
        <is>
          <t>경상남도</t>
        </is>
      </c>
      <c r="AC326" s="0" t="inlineStr">
        <is>
          <t>창원시</t>
        </is>
      </c>
      <c r="AD326" s="0" t="inlineStr">
        <is>
          <t>의창구</t>
        </is>
      </c>
      <c r="AE326" s="0" t="inlineStr">
        <is>
          <t>북면</t>
        </is>
      </c>
      <c r="AG326" s="0" t="inlineStr">
        <is>
          <t>경상남도 창원시 의창구 천주로613번길 5</t>
        </is>
      </c>
      <c r="AH326" s="0" t="n">
        <v>0</v>
      </c>
      <c r="AI326" s="0" t="n">
        <v>186</v>
      </c>
    </row>
    <row r="327">
      <c r="A327" s="0" t="inlineStr">
        <is>
          <t>[북면]</t>
        </is>
      </c>
      <c r="B327" s="0" t="n">
        <v>133270</v>
      </c>
      <c r="C327" s="0" t="n">
        <v>4</v>
      </c>
      <c r="D327" s="0" t="inlineStr">
        <is>
          <t>삼우</t>
        </is>
      </c>
      <c r="E327" s="0" t="inlineStr">
        <is>
          <t>1997.12.</t>
        </is>
      </c>
      <c r="F327" s="0" t="n">
        <v>63</v>
      </c>
      <c r="G327" s="0" t="n">
        <v>27.4</v>
      </c>
      <c r="H327" s="0" t="n">
        <v>90.59</v>
      </c>
      <c r="I327" s="0" t="n">
        <v>21.94</v>
      </c>
      <c r="J327" s="0" t="n">
        <v>72.54000000000001</v>
      </c>
      <c r="K327" s="0" t="n">
        <v>10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90</v>
      </c>
      <c r="X327" s="0" t="n">
        <v>12</v>
      </c>
      <c r="Y327" s="0" t="n">
        <v>11</v>
      </c>
      <c r="Z327" s="0" t="inlineStr">
        <is>
          <t>https://new.land.naver.com/complexes/133270?tab=detail&amp;rf=Y</t>
        </is>
      </c>
      <c r="AA327" s="0" t="inlineStr">
        <is>
          <t>경상남도 창원시 의창구 북면 화천리 807</t>
        </is>
      </c>
      <c r="AB327" s="0" t="inlineStr">
        <is>
          <t>경상남도</t>
        </is>
      </c>
      <c r="AC327" s="0" t="inlineStr">
        <is>
          <t>창원시</t>
        </is>
      </c>
      <c r="AD327" s="0" t="inlineStr">
        <is>
          <t>의창구</t>
        </is>
      </c>
      <c r="AE327" s="0" t="inlineStr">
        <is>
          <t>북면</t>
        </is>
      </c>
      <c r="AG327" s="0" t="inlineStr">
        <is>
          <t>경상남도 창원시 의창구 천주로613번길 5</t>
        </is>
      </c>
      <c r="AH327" s="0" t="n">
        <v>0</v>
      </c>
      <c r="AI327" s="0" t="n">
        <v>186</v>
      </c>
    </row>
    <row r="328">
      <c r="A328" s="0" t="inlineStr">
        <is>
          <t>[북면]</t>
        </is>
      </c>
      <c r="B328" s="0" t="n">
        <v>133270</v>
      </c>
      <c r="C328" s="0" t="n">
        <v>5</v>
      </c>
      <c r="D328" s="0" t="inlineStr">
        <is>
          <t>삼우</t>
        </is>
      </c>
      <c r="E328" s="0" t="inlineStr">
        <is>
          <t>1997.12.</t>
        </is>
      </c>
      <c r="F328" s="0" t="n">
        <v>63</v>
      </c>
      <c r="G328" s="0" t="n">
        <v>32.06</v>
      </c>
      <c r="H328" s="0" t="n">
        <v>105.99</v>
      </c>
      <c r="I328" s="0" t="n">
        <v>25.67</v>
      </c>
      <c r="J328" s="0" t="n">
        <v>84.87</v>
      </c>
      <c r="K328" s="0" t="n">
        <v>30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105</v>
      </c>
      <c r="X328" s="0" t="n">
        <v>12</v>
      </c>
      <c r="Y328" s="0" t="n">
        <v>11</v>
      </c>
      <c r="Z328" s="0" t="inlineStr">
        <is>
          <t>https://new.land.naver.com/complexes/133270?tab=detail&amp;rf=Y</t>
        </is>
      </c>
      <c r="AA328" s="0" t="inlineStr">
        <is>
          <t>경상남도 창원시 의창구 북면 화천리 807</t>
        </is>
      </c>
      <c r="AB328" s="0" t="inlineStr">
        <is>
          <t>경상남도</t>
        </is>
      </c>
      <c r="AC328" s="0" t="inlineStr">
        <is>
          <t>창원시</t>
        </is>
      </c>
      <c r="AD328" s="0" t="inlineStr">
        <is>
          <t>의창구</t>
        </is>
      </c>
      <c r="AE328" s="0" t="inlineStr">
        <is>
          <t>북면</t>
        </is>
      </c>
      <c r="AG328" s="0" t="inlineStr">
        <is>
          <t>경상남도 창원시 의창구 천주로613번길 5</t>
        </is>
      </c>
      <c r="AH328" s="0" t="n">
        <v>0</v>
      </c>
      <c r="AI328" s="0" t="n">
        <v>186</v>
      </c>
    </row>
    <row r="329">
      <c r="A329" s="0" t="inlineStr">
        <is>
          <t>[북면]</t>
        </is>
      </c>
      <c r="B329" s="0" t="n">
        <v>104011</v>
      </c>
      <c r="C329" s="0" t="n">
        <v>1</v>
      </c>
      <c r="D329" s="0" t="inlineStr">
        <is>
          <t>창원감계힐스테이트1차</t>
        </is>
      </c>
      <c r="E329" s="0" t="inlineStr">
        <is>
          <t>2014.03.</t>
        </is>
      </c>
      <c r="F329" s="0" t="n">
        <v>1082</v>
      </c>
      <c r="G329" s="0" t="n">
        <v>28.9</v>
      </c>
      <c r="H329" s="0" t="n">
        <v>95.56</v>
      </c>
      <c r="I329" s="0" t="n">
        <v>20.82</v>
      </c>
      <c r="J329" s="0" t="n">
        <v>68.84</v>
      </c>
      <c r="K329" s="0" t="n">
        <v>74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95A</t>
        </is>
      </c>
      <c r="X329" s="0" t="n">
        <v>22</v>
      </c>
      <c r="Y329" s="0" t="n">
        <v>16</v>
      </c>
      <c r="Z329" s="0" t="inlineStr">
        <is>
          <t>https://new.land.naver.com/complexes/104011?tab=detail&amp;rf=Y</t>
        </is>
      </c>
      <c r="AA329" s="0" t="inlineStr">
        <is>
          <t>경상남도 창원시 의창구 북면 감계리 230-1</t>
        </is>
      </c>
      <c r="AB329" s="0" t="inlineStr">
        <is>
          <t>경상남도</t>
        </is>
      </c>
      <c r="AC329" s="0" t="inlineStr">
        <is>
          <t>창원시</t>
        </is>
      </c>
      <c r="AD329" s="0" t="inlineStr">
        <is>
          <t>의창구</t>
        </is>
      </c>
      <c r="AE329" s="0" t="inlineStr">
        <is>
          <t>북면</t>
        </is>
      </c>
      <c r="AG329" s="0" t="inlineStr">
        <is>
          <t>경상남도 창원시 의창구 동전로 86</t>
        </is>
      </c>
      <c r="AH329" s="0" t="n">
        <v>0</v>
      </c>
      <c r="AI329" s="0" t="n">
        <v>211</v>
      </c>
    </row>
    <row r="330">
      <c r="A330" s="0" t="inlineStr">
        <is>
          <t>[북면]</t>
        </is>
      </c>
      <c r="B330" s="0" t="n">
        <v>104011</v>
      </c>
      <c r="C330" s="0" t="n">
        <v>2</v>
      </c>
      <c r="D330" s="0" t="inlineStr">
        <is>
          <t>창원감계힐스테이트1차</t>
        </is>
      </c>
      <c r="E330" s="0" t="inlineStr">
        <is>
          <t>2014.03.</t>
        </is>
      </c>
      <c r="F330" s="0" t="n">
        <v>1082</v>
      </c>
      <c r="G330" s="0" t="n">
        <v>28.99</v>
      </c>
      <c r="H330" s="0" t="n">
        <v>95.84</v>
      </c>
      <c r="I330" s="0" t="n">
        <v>20.69</v>
      </c>
      <c r="J330" s="0" t="n">
        <v>68.40000000000001</v>
      </c>
      <c r="K330" s="0" t="n">
        <v>44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95B</t>
        </is>
      </c>
      <c r="X330" s="0" t="n">
        <v>22</v>
      </c>
      <c r="Y330" s="0" t="n">
        <v>16</v>
      </c>
      <c r="Z330" s="0" t="inlineStr">
        <is>
          <t>https://new.land.naver.com/complexes/104011?tab=detail&amp;rf=Y</t>
        </is>
      </c>
      <c r="AA330" s="0" t="inlineStr">
        <is>
          <t>경상남도 창원시 의창구 북면 감계리 230-1</t>
        </is>
      </c>
      <c r="AB330" s="0" t="inlineStr">
        <is>
          <t>경상남도</t>
        </is>
      </c>
      <c r="AC330" s="0" t="inlineStr">
        <is>
          <t>창원시</t>
        </is>
      </c>
      <c r="AD330" s="0" t="inlineStr">
        <is>
          <t>의창구</t>
        </is>
      </c>
      <c r="AE330" s="0" t="inlineStr">
        <is>
          <t>북면</t>
        </is>
      </c>
      <c r="AG330" s="0" t="inlineStr">
        <is>
          <t>경상남도 창원시 의창구 동전로 86</t>
        </is>
      </c>
      <c r="AH330" s="0" t="n">
        <v>0</v>
      </c>
      <c r="AI330" s="0" t="n">
        <v>211</v>
      </c>
    </row>
    <row r="331">
      <c r="A331" s="0" t="inlineStr">
        <is>
          <t>[북면]</t>
        </is>
      </c>
      <c r="B331" s="0" t="n">
        <v>104011</v>
      </c>
      <c r="C331" s="0" t="n">
        <v>3</v>
      </c>
      <c r="D331" s="0" t="inlineStr">
        <is>
          <t>창원감계힐스테이트1차</t>
        </is>
      </c>
      <c r="E331" s="0" t="inlineStr">
        <is>
          <t>2014.03.</t>
        </is>
      </c>
      <c r="F331" s="0" t="n">
        <v>1082</v>
      </c>
      <c r="G331" s="0" t="n">
        <v>34.69</v>
      </c>
      <c r="H331" s="0" t="n">
        <v>114.7</v>
      </c>
      <c r="I331" s="0" t="n">
        <v>25.7</v>
      </c>
      <c r="J331" s="0" t="n">
        <v>84.95999999999999</v>
      </c>
      <c r="K331" s="0" t="n">
        <v>377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114A</t>
        </is>
      </c>
      <c r="X331" s="0" t="n">
        <v>22</v>
      </c>
      <c r="Y331" s="0" t="n">
        <v>16</v>
      </c>
      <c r="Z331" s="0" t="inlineStr">
        <is>
          <t>https://new.land.naver.com/complexes/104011?tab=detail&amp;rf=Y</t>
        </is>
      </c>
      <c r="AA331" s="0" t="inlineStr">
        <is>
          <t>경상남도 창원시 의창구 북면 감계리 230-1</t>
        </is>
      </c>
      <c r="AB331" s="0" t="inlineStr">
        <is>
          <t>경상남도</t>
        </is>
      </c>
      <c r="AC331" s="0" t="inlineStr">
        <is>
          <t>창원시</t>
        </is>
      </c>
      <c r="AD331" s="0" t="inlineStr">
        <is>
          <t>의창구</t>
        </is>
      </c>
      <c r="AE331" s="0" t="inlineStr">
        <is>
          <t>북면</t>
        </is>
      </c>
      <c r="AG331" s="0" t="inlineStr">
        <is>
          <t>경상남도 창원시 의창구 동전로 86</t>
        </is>
      </c>
      <c r="AH331" s="0" t="n">
        <v>0</v>
      </c>
      <c r="AI331" s="0" t="n">
        <v>211</v>
      </c>
    </row>
    <row r="332">
      <c r="A332" s="0" t="inlineStr">
        <is>
          <t>[북면]</t>
        </is>
      </c>
      <c r="B332" s="0" t="n">
        <v>104011</v>
      </c>
      <c r="C332" s="0" t="n">
        <v>4</v>
      </c>
      <c r="D332" s="0" t="inlineStr">
        <is>
          <t>창원감계힐스테이트1차</t>
        </is>
      </c>
      <c r="E332" s="0" t="inlineStr">
        <is>
          <t>2014.03.</t>
        </is>
      </c>
      <c r="F332" s="0" t="n">
        <v>1082</v>
      </c>
      <c r="G332" s="0" t="n">
        <v>34.88</v>
      </c>
      <c r="H332" s="0" t="n">
        <v>115.33</v>
      </c>
      <c r="I332" s="0" t="n">
        <v>25.67</v>
      </c>
      <c r="J332" s="0" t="n">
        <v>84.89</v>
      </c>
      <c r="K332" s="0" t="n">
        <v>459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115B</t>
        </is>
      </c>
      <c r="X332" s="0" t="n">
        <v>22</v>
      </c>
      <c r="Y332" s="0" t="n">
        <v>16</v>
      </c>
      <c r="Z332" s="0" t="inlineStr">
        <is>
          <t>https://new.land.naver.com/complexes/104011?tab=detail&amp;rf=Y</t>
        </is>
      </c>
      <c r="AA332" s="0" t="inlineStr">
        <is>
          <t>경상남도 창원시 의창구 북면 감계리 230-1</t>
        </is>
      </c>
      <c r="AB332" s="0" t="inlineStr">
        <is>
          <t>경상남도</t>
        </is>
      </c>
      <c r="AC332" s="0" t="inlineStr">
        <is>
          <t>창원시</t>
        </is>
      </c>
      <c r="AD332" s="0" t="inlineStr">
        <is>
          <t>의창구</t>
        </is>
      </c>
      <c r="AE332" s="0" t="inlineStr">
        <is>
          <t>북면</t>
        </is>
      </c>
      <c r="AG332" s="0" t="inlineStr">
        <is>
          <t>경상남도 창원시 의창구 동전로 86</t>
        </is>
      </c>
      <c r="AH332" s="0" t="n">
        <v>0</v>
      </c>
      <c r="AI332" s="0" t="n">
        <v>211</v>
      </c>
    </row>
    <row r="333">
      <c r="A333" s="0" t="inlineStr">
        <is>
          <t>[북면]</t>
        </is>
      </c>
      <c r="B333" s="0" t="n">
        <v>104011</v>
      </c>
      <c r="C333" s="0" t="n">
        <v>5</v>
      </c>
      <c r="D333" s="0" t="inlineStr">
        <is>
          <t>창원감계힐스테이트1차</t>
        </is>
      </c>
      <c r="E333" s="0" t="inlineStr">
        <is>
          <t>2014.03.</t>
        </is>
      </c>
      <c r="F333" s="0" t="n">
        <v>1082</v>
      </c>
      <c r="G333" s="0" t="n">
        <v>39.98</v>
      </c>
      <c r="H333" s="0" t="n">
        <v>132.18</v>
      </c>
      <c r="I333" s="0" t="n">
        <v>30.8</v>
      </c>
      <c r="J333" s="0" t="n">
        <v>101.85</v>
      </c>
      <c r="K333" s="0" t="n">
        <v>128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132</v>
      </c>
      <c r="X333" s="0" t="n">
        <v>22</v>
      </c>
      <c r="Y333" s="0" t="n">
        <v>16</v>
      </c>
      <c r="Z333" s="0" t="inlineStr">
        <is>
          <t>https://new.land.naver.com/complexes/104011?tab=detail&amp;rf=Y</t>
        </is>
      </c>
      <c r="AA333" s="0" t="inlineStr">
        <is>
          <t>경상남도 창원시 의창구 북면 감계리 230-1</t>
        </is>
      </c>
      <c r="AB333" s="0" t="inlineStr">
        <is>
          <t>경상남도</t>
        </is>
      </c>
      <c r="AC333" s="0" t="inlineStr">
        <is>
          <t>창원시</t>
        </is>
      </c>
      <c r="AD333" s="0" t="inlineStr">
        <is>
          <t>의창구</t>
        </is>
      </c>
      <c r="AE333" s="0" t="inlineStr">
        <is>
          <t>북면</t>
        </is>
      </c>
      <c r="AG333" s="0" t="inlineStr">
        <is>
          <t>경상남도 창원시 의창구 동전로 86</t>
        </is>
      </c>
      <c r="AH333" s="0" t="n">
        <v>0</v>
      </c>
      <c r="AI333" s="0" t="n">
        <v>211</v>
      </c>
    </row>
    <row r="334">
      <c r="A334" s="0" t="inlineStr">
        <is>
          <t>[북면]</t>
        </is>
      </c>
      <c r="B334" s="0" t="n">
        <v>16807</v>
      </c>
      <c r="C334" s="0" t="n">
        <v>1</v>
      </c>
      <c r="D334" s="0" t="inlineStr">
        <is>
          <t>신한2차</t>
        </is>
      </c>
      <c r="E334" s="0" t="inlineStr">
        <is>
          <t>1998.09.</t>
        </is>
      </c>
      <c r="F334" s="0" t="n">
        <v>146</v>
      </c>
      <c r="G334" s="0" t="n">
        <v>25.05</v>
      </c>
      <c r="H334" s="0" t="n">
        <v>82.81999999999999</v>
      </c>
      <c r="I334" s="0" t="n">
        <v>18.08</v>
      </c>
      <c r="J334" s="0" t="n">
        <v>59.79</v>
      </c>
      <c r="K334" s="0" t="n">
        <v>116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82</v>
      </c>
      <c r="X334" s="0" t="n">
        <v>15</v>
      </c>
      <c r="Y334" s="0" t="n">
        <v>13</v>
      </c>
      <c r="Z334" s="0" t="inlineStr">
        <is>
          <t>https://new.land.naver.com/complexes/16807?tab=detail&amp;rf=Y</t>
        </is>
      </c>
      <c r="AA334" s="0" t="inlineStr">
        <is>
          <t>경상남도 창원시 의창구 북면 신촌리 960-1</t>
        </is>
      </c>
      <c r="AB334" s="0" t="inlineStr">
        <is>
          <t>경상남도</t>
        </is>
      </c>
      <c r="AC334" s="0" t="inlineStr">
        <is>
          <t>창원시</t>
        </is>
      </c>
      <c r="AD334" s="0" t="inlineStr">
        <is>
          <t>의창구</t>
        </is>
      </c>
      <c r="AE334" s="0" t="inlineStr">
        <is>
          <t>북면</t>
        </is>
      </c>
      <c r="AG334" s="0" t="inlineStr">
        <is>
          <t>경상남도 창원시 의창구 천주로 1103</t>
        </is>
      </c>
      <c r="AH334" s="0" t="n">
        <v>0</v>
      </c>
      <c r="AI334" s="0" t="n">
        <v>326</v>
      </c>
    </row>
    <row r="335">
      <c r="A335" s="0" t="inlineStr">
        <is>
          <t>[북면]</t>
        </is>
      </c>
      <c r="B335" s="0" t="n">
        <v>16807</v>
      </c>
      <c r="C335" s="0" t="n">
        <v>2</v>
      </c>
      <c r="D335" s="0" t="inlineStr">
        <is>
          <t>신한2차</t>
        </is>
      </c>
      <c r="E335" s="0" t="inlineStr">
        <is>
          <t>1998.09.</t>
        </is>
      </c>
      <c r="F335" s="0" t="n">
        <v>146</v>
      </c>
      <c r="G335" s="0" t="n">
        <v>30.28</v>
      </c>
      <c r="H335" s="0" t="n">
        <v>100.13</v>
      </c>
      <c r="I335" s="0" t="n">
        <v>25.67</v>
      </c>
      <c r="J335" s="0" t="n">
        <v>84.87</v>
      </c>
      <c r="K335" s="0" t="n">
        <v>30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100</v>
      </c>
      <c r="X335" s="0" t="n">
        <v>15</v>
      </c>
      <c r="Y335" s="0" t="n">
        <v>13</v>
      </c>
      <c r="Z335" s="0" t="inlineStr">
        <is>
          <t>https://new.land.naver.com/complexes/16807?tab=detail&amp;rf=Y</t>
        </is>
      </c>
      <c r="AA335" s="0" t="inlineStr">
        <is>
          <t>경상남도 창원시 의창구 북면 신촌리 960-1</t>
        </is>
      </c>
      <c r="AB335" s="0" t="inlineStr">
        <is>
          <t>경상남도</t>
        </is>
      </c>
      <c r="AC335" s="0" t="inlineStr">
        <is>
          <t>창원시</t>
        </is>
      </c>
      <c r="AD335" s="0" t="inlineStr">
        <is>
          <t>의창구</t>
        </is>
      </c>
      <c r="AE335" s="0" t="inlineStr">
        <is>
          <t>북면</t>
        </is>
      </c>
      <c r="AG335" s="0" t="inlineStr">
        <is>
          <t>경상남도 창원시 의창구 천주로 1103</t>
        </is>
      </c>
      <c r="AH335" s="0" t="n">
        <v>0</v>
      </c>
      <c r="AI335" s="0" t="n">
        <v>326</v>
      </c>
    </row>
    <row r="336">
      <c r="A336" s="0" t="inlineStr">
        <is>
          <t>[북면]</t>
        </is>
      </c>
      <c r="B336" s="0" t="n">
        <v>7761</v>
      </c>
      <c r="C336" s="0" t="n">
        <v>1</v>
      </c>
      <c r="D336" s="0" t="inlineStr">
        <is>
          <t>신우</t>
        </is>
      </c>
      <c r="E336" s="0" t="inlineStr">
        <is>
          <t>1999.05.</t>
        </is>
      </c>
      <c r="F336" s="0" t="n">
        <v>146</v>
      </c>
      <c r="G336" s="0" t="n">
        <v>21.25</v>
      </c>
      <c r="H336" s="0" t="n">
        <v>70.28</v>
      </c>
      <c r="I336" s="0" t="n">
        <v>15.86</v>
      </c>
      <c r="J336" s="0" t="n">
        <v>52.44</v>
      </c>
      <c r="K336" s="0" t="n">
        <v>1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70</v>
      </c>
      <c r="X336" s="0" t="n">
        <v>15</v>
      </c>
      <c r="Y336" s="0" t="n">
        <v>14</v>
      </c>
      <c r="Z336" s="0" t="inlineStr">
        <is>
          <t>https://new.land.naver.com/complexes/7761?tab=detail&amp;rf=Y</t>
        </is>
      </c>
      <c r="AA336" s="0" t="inlineStr">
        <is>
          <t>경상남도 창원시 의창구 북면 신촌리 905-6</t>
        </is>
      </c>
      <c r="AB336" s="0" t="inlineStr">
        <is>
          <t>경상남도</t>
        </is>
      </c>
      <c r="AC336" s="0" t="inlineStr">
        <is>
          <t>창원시</t>
        </is>
      </c>
      <c r="AD336" s="0" t="inlineStr">
        <is>
          <t>의창구</t>
        </is>
      </c>
      <c r="AE336" s="0" t="inlineStr">
        <is>
          <t>북면</t>
        </is>
      </c>
      <c r="AG336" s="0" t="inlineStr">
        <is>
          <t>경상남도 창원시 의창구 신촌본포로 12-10</t>
        </is>
      </c>
      <c r="AH336" s="0" t="n">
        <v>0</v>
      </c>
      <c r="AI336" s="0" t="n">
        <v>247</v>
      </c>
    </row>
    <row r="337">
      <c r="A337" s="0" t="inlineStr">
        <is>
          <t>[북면]</t>
        </is>
      </c>
      <c r="B337" s="0" t="n">
        <v>7761</v>
      </c>
      <c r="C337" s="0" t="n">
        <v>2</v>
      </c>
      <c r="D337" s="0" t="inlineStr">
        <is>
          <t>신우</t>
        </is>
      </c>
      <c r="E337" s="0" t="inlineStr">
        <is>
          <t>1999.05.</t>
        </is>
      </c>
      <c r="F337" s="0" t="n">
        <v>146</v>
      </c>
      <c r="G337" s="0" t="n">
        <v>23.54</v>
      </c>
      <c r="H337" s="0" t="n">
        <v>77.84</v>
      </c>
      <c r="I337" s="0" t="n">
        <v>18.15</v>
      </c>
      <c r="J337" s="0" t="n">
        <v>60</v>
      </c>
      <c r="K337" s="0" t="n">
        <v>89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77</v>
      </c>
      <c r="X337" s="0" t="n">
        <v>15</v>
      </c>
      <c r="Y337" s="0" t="n">
        <v>14</v>
      </c>
      <c r="Z337" s="0" t="inlineStr">
        <is>
          <t>https://new.land.naver.com/complexes/7761?tab=detail&amp;rf=Y</t>
        </is>
      </c>
      <c r="AA337" s="0" t="inlineStr">
        <is>
          <t>경상남도 창원시 의창구 북면 신촌리 905-6</t>
        </is>
      </c>
      <c r="AB337" s="0" t="inlineStr">
        <is>
          <t>경상남도</t>
        </is>
      </c>
      <c r="AC337" s="0" t="inlineStr">
        <is>
          <t>창원시</t>
        </is>
      </c>
      <c r="AD337" s="0" t="inlineStr">
        <is>
          <t>의창구</t>
        </is>
      </c>
      <c r="AE337" s="0" t="inlineStr">
        <is>
          <t>북면</t>
        </is>
      </c>
      <c r="AG337" s="0" t="inlineStr">
        <is>
          <t>경상남도 창원시 의창구 신촌본포로 12-10</t>
        </is>
      </c>
      <c r="AH337" s="0" t="n">
        <v>0</v>
      </c>
      <c r="AI337" s="0" t="n">
        <v>247</v>
      </c>
    </row>
    <row r="338">
      <c r="A338" s="0" t="inlineStr">
        <is>
          <t>[북면]</t>
        </is>
      </c>
      <c r="B338" s="0" t="n">
        <v>7761</v>
      </c>
      <c r="C338" s="0" t="n">
        <v>3</v>
      </c>
      <c r="D338" s="0" t="inlineStr">
        <is>
          <t>신우</t>
        </is>
      </c>
      <c r="E338" s="0" t="inlineStr">
        <is>
          <t>1999.05.</t>
        </is>
      </c>
      <c r="F338" s="0" t="n">
        <v>146</v>
      </c>
      <c r="G338" s="0" t="n">
        <v>31.73</v>
      </c>
      <c r="H338" s="0" t="n">
        <v>104.9</v>
      </c>
      <c r="I338" s="0" t="n">
        <v>25.62</v>
      </c>
      <c r="J338" s="0" t="n">
        <v>84.72</v>
      </c>
      <c r="K338" s="0" t="n">
        <v>56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104</v>
      </c>
      <c r="X338" s="0" t="n">
        <v>15</v>
      </c>
      <c r="Y338" s="0" t="n">
        <v>14</v>
      </c>
      <c r="Z338" s="0" t="inlineStr">
        <is>
          <t>https://new.land.naver.com/complexes/7761?tab=detail&amp;rf=Y</t>
        </is>
      </c>
      <c r="AA338" s="0" t="inlineStr">
        <is>
          <t>경상남도 창원시 의창구 북면 신촌리 905-6</t>
        </is>
      </c>
      <c r="AB338" s="0" t="inlineStr">
        <is>
          <t>경상남도</t>
        </is>
      </c>
      <c r="AC338" s="0" t="inlineStr">
        <is>
          <t>창원시</t>
        </is>
      </c>
      <c r="AD338" s="0" t="inlineStr">
        <is>
          <t>의창구</t>
        </is>
      </c>
      <c r="AE338" s="0" t="inlineStr">
        <is>
          <t>북면</t>
        </is>
      </c>
      <c r="AG338" s="0" t="inlineStr">
        <is>
          <t>경상남도 창원시 의창구 신촌본포로 12-10</t>
        </is>
      </c>
      <c r="AH338" s="0" t="n">
        <v>0</v>
      </c>
      <c r="AI338" s="0" t="n">
        <v>247</v>
      </c>
    </row>
    <row r="339">
      <c r="A339" s="0" t="inlineStr">
        <is>
          <t>[북면]</t>
        </is>
      </c>
      <c r="B339" s="0" t="n">
        <v>117126</v>
      </c>
      <c r="C339" s="0" t="n">
        <v>1</v>
      </c>
      <c r="D339" s="0" t="inlineStr">
        <is>
          <t>창원동전월드메르디앙</t>
        </is>
      </c>
      <c r="E339" s="0" t="inlineStr">
        <is>
          <t>2016.10.</t>
        </is>
      </c>
      <c r="F339" s="0" t="n">
        <v>217</v>
      </c>
      <c r="G339" s="0" t="n">
        <v>26.22</v>
      </c>
      <c r="H339" s="0" t="n">
        <v>86.69</v>
      </c>
      <c r="I339" s="0" t="n">
        <v>20.45</v>
      </c>
      <c r="J339" s="0" t="n">
        <v>67.63</v>
      </c>
      <c r="K339" s="0" t="n">
        <v>77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86A</t>
        </is>
      </c>
      <c r="X339" s="0" t="n">
        <v>7</v>
      </c>
      <c r="Y339" s="0" t="n">
        <v>7</v>
      </c>
      <c r="Z339" s="0" t="inlineStr">
        <is>
          <t>https://new.land.naver.com/complexes/117126?tab=detail&amp;rf=Y</t>
        </is>
      </c>
      <c r="AA339" s="0" t="inlineStr">
        <is>
          <t>경상남도 창원시 의창구 북면 동전리 128</t>
        </is>
      </c>
      <c r="AB339" s="0" t="inlineStr">
        <is>
          <t>경상남도</t>
        </is>
      </c>
      <c r="AC339" s="0" t="inlineStr">
        <is>
          <t>창원시</t>
        </is>
      </c>
      <c r="AD339" s="0" t="inlineStr">
        <is>
          <t>의창구</t>
        </is>
      </c>
      <c r="AE339" s="0" t="inlineStr">
        <is>
          <t>북면</t>
        </is>
      </c>
      <c r="AG339" s="0" t="inlineStr">
        <is>
          <t>경상남도 창원시 의창구 동전로224번길 3</t>
        </is>
      </c>
      <c r="AH339" s="0" t="n">
        <v>0</v>
      </c>
      <c r="AI339" s="0" t="n">
        <v>129</v>
      </c>
    </row>
    <row r="340">
      <c r="A340" s="0" t="inlineStr">
        <is>
          <t>[북면]</t>
        </is>
      </c>
      <c r="B340" s="0" t="n">
        <v>117126</v>
      </c>
      <c r="C340" s="0" t="n">
        <v>2</v>
      </c>
      <c r="D340" s="0" t="inlineStr">
        <is>
          <t>창원동전월드메르디앙</t>
        </is>
      </c>
      <c r="E340" s="0" t="inlineStr">
        <is>
          <t>2016.10.</t>
        </is>
      </c>
      <c r="F340" s="0" t="n">
        <v>217</v>
      </c>
      <c r="G340" s="0" t="n">
        <v>26.22</v>
      </c>
      <c r="H340" s="0" t="n">
        <v>86.69</v>
      </c>
      <c r="I340" s="0" t="n">
        <v>20.45</v>
      </c>
      <c r="J340" s="0" t="n">
        <v>67.63</v>
      </c>
      <c r="K340" s="0" t="n">
        <v>1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86B</t>
        </is>
      </c>
      <c r="X340" s="0" t="n">
        <v>7</v>
      </c>
      <c r="Y340" s="0" t="n">
        <v>7</v>
      </c>
      <c r="Z340" s="0" t="inlineStr">
        <is>
          <t>https://new.land.naver.com/complexes/117126?tab=detail&amp;rf=Y</t>
        </is>
      </c>
      <c r="AA340" s="0" t="inlineStr">
        <is>
          <t>경상남도 창원시 의창구 북면 동전리 128</t>
        </is>
      </c>
      <c r="AB340" s="0" t="inlineStr">
        <is>
          <t>경상남도</t>
        </is>
      </c>
      <c r="AC340" s="0" t="inlineStr">
        <is>
          <t>창원시</t>
        </is>
      </c>
      <c r="AD340" s="0" t="inlineStr">
        <is>
          <t>의창구</t>
        </is>
      </c>
      <c r="AE340" s="0" t="inlineStr">
        <is>
          <t>북면</t>
        </is>
      </c>
      <c r="AG340" s="0" t="inlineStr">
        <is>
          <t>경상남도 창원시 의창구 동전로224번길 3</t>
        </is>
      </c>
      <c r="AH340" s="0" t="n">
        <v>0</v>
      </c>
      <c r="AI340" s="0" t="n">
        <v>129</v>
      </c>
    </row>
    <row r="341">
      <c r="A341" s="0" t="inlineStr">
        <is>
          <t>[북면]</t>
        </is>
      </c>
      <c r="B341" s="0" t="n">
        <v>117126</v>
      </c>
      <c r="C341" s="0" t="n">
        <v>3</v>
      </c>
      <c r="D341" s="0" t="inlineStr">
        <is>
          <t>창원동전월드메르디앙</t>
        </is>
      </c>
      <c r="E341" s="0" t="inlineStr">
        <is>
          <t>2016.10.</t>
        </is>
      </c>
      <c r="F341" s="0" t="n">
        <v>217</v>
      </c>
      <c r="G341" s="0" t="n">
        <v>27.09</v>
      </c>
      <c r="H341" s="0" t="n">
        <v>89.56</v>
      </c>
      <c r="I341" s="0" t="n">
        <v>21.06</v>
      </c>
      <c r="J341" s="0" t="n">
        <v>69.62</v>
      </c>
      <c r="K341" s="0" t="n">
        <v>7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89B</t>
        </is>
      </c>
      <c r="X341" s="0" t="n">
        <v>7</v>
      </c>
      <c r="Y341" s="0" t="n">
        <v>7</v>
      </c>
      <c r="Z341" s="0" t="inlineStr">
        <is>
          <t>https://new.land.naver.com/complexes/117126?tab=detail&amp;rf=Y</t>
        </is>
      </c>
      <c r="AA341" s="0" t="inlineStr">
        <is>
          <t>경상남도 창원시 의창구 북면 동전리 128</t>
        </is>
      </c>
      <c r="AB341" s="0" t="inlineStr">
        <is>
          <t>경상남도</t>
        </is>
      </c>
      <c r="AC341" s="0" t="inlineStr">
        <is>
          <t>창원시</t>
        </is>
      </c>
      <c r="AD341" s="0" t="inlineStr">
        <is>
          <t>의창구</t>
        </is>
      </c>
      <c r="AE341" s="0" t="inlineStr">
        <is>
          <t>북면</t>
        </is>
      </c>
      <c r="AG341" s="0" t="inlineStr">
        <is>
          <t>경상남도 창원시 의창구 동전로224번길 3</t>
        </is>
      </c>
      <c r="AH341" s="0" t="n">
        <v>0</v>
      </c>
      <c r="AI341" s="0" t="n">
        <v>129</v>
      </c>
    </row>
    <row r="342">
      <c r="A342" s="0" t="inlineStr">
        <is>
          <t>[북면]</t>
        </is>
      </c>
      <c r="B342" s="0" t="n">
        <v>117126</v>
      </c>
      <c r="C342" s="0" t="n">
        <v>4</v>
      </c>
      <c r="D342" s="0" t="inlineStr">
        <is>
          <t>창원동전월드메르디앙</t>
        </is>
      </c>
      <c r="E342" s="0" t="inlineStr">
        <is>
          <t>2016.10.</t>
        </is>
      </c>
      <c r="F342" s="0" t="n">
        <v>217</v>
      </c>
      <c r="G342" s="0" t="n">
        <v>27.28</v>
      </c>
      <c r="H342" s="0" t="n">
        <v>90.19</v>
      </c>
      <c r="I342" s="0" t="n">
        <v>20.96</v>
      </c>
      <c r="J342" s="0" t="n">
        <v>69.3</v>
      </c>
      <c r="K342" s="0" t="n">
        <v>20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90A</t>
        </is>
      </c>
      <c r="X342" s="0" t="n">
        <v>7</v>
      </c>
      <c r="Y342" s="0" t="n">
        <v>7</v>
      </c>
      <c r="Z342" s="0" t="inlineStr">
        <is>
          <t>https://new.land.naver.com/complexes/117126?tab=detail&amp;rf=Y</t>
        </is>
      </c>
      <c r="AA342" s="0" t="inlineStr">
        <is>
          <t>경상남도 창원시 의창구 북면 동전리 128</t>
        </is>
      </c>
      <c r="AB342" s="0" t="inlineStr">
        <is>
          <t>경상남도</t>
        </is>
      </c>
      <c r="AC342" s="0" t="inlineStr">
        <is>
          <t>창원시</t>
        </is>
      </c>
      <c r="AD342" s="0" t="inlineStr">
        <is>
          <t>의창구</t>
        </is>
      </c>
      <c r="AE342" s="0" t="inlineStr">
        <is>
          <t>북면</t>
        </is>
      </c>
      <c r="AG342" s="0" t="inlineStr">
        <is>
          <t>경상남도 창원시 의창구 동전로224번길 3</t>
        </is>
      </c>
      <c r="AH342" s="0" t="n">
        <v>0</v>
      </c>
      <c r="AI342" s="0" t="n">
        <v>129</v>
      </c>
    </row>
    <row r="343">
      <c r="A343" s="0" t="inlineStr">
        <is>
          <t>[북면]</t>
        </is>
      </c>
      <c r="B343" s="0" t="n">
        <v>117126</v>
      </c>
      <c r="C343" s="0" t="n">
        <v>5</v>
      </c>
      <c r="D343" s="0" t="inlineStr">
        <is>
          <t>창원동전월드메르디앙</t>
        </is>
      </c>
      <c r="E343" s="0" t="inlineStr">
        <is>
          <t>2016.10.</t>
        </is>
      </c>
      <c r="F343" s="0" t="n">
        <v>217</v>
      </c>
      <c r="G343" s="0" t="n">
        <v>30.42</v>
      </c>
      <c r="H343" s="0" t="n">
        <v>100.58</v>
      </c>
      <c r="I343" s="0" t="n">
        <v>23.81</v>
      </c>
      <c r="J343" s="0" t="n">
        <v>78.72</v>
      </c>
      <c r="K343" s="0" t="n">
        <v>112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100</v>
      </c>
      <c r="X343" s="0" t="n">
        <v>7</v>
      </c>
      <c r="Y343" s="0" t="n">
        <v>7</v>
      </c>
      <c r="Z343" s="0" t="inlineStr">
        <is>
          <t>https://new.land.naver.com/complexes/117126?tab=detail&amp;rf=Y</t>
        </is>
      </c>
      <c r="AA343" s="0" t="inlineStr">
        <is>
          <t>경상남도 창원시 의창구 북면 동전리 128</t>
        </is>
      </c>
      <c r="AB343" s="0" t="inlineStr">
        <is>
          <t>경상남도</t>
        </is>
      </c>
      <c r="AC343" s="0" t="inlineStr">
        <is>
          <t>창원시</t>
        </is>
      </c>
      <c r="AD343" s="0" t="inlineStr">
        <is>
          <t>의창구</t>
        </is>
      </c>
      <c r="AE343" s="0" t="inlineStr">
        <is>
          <t>북면</t>
        </is>
      </c>
      <c r="AG343" s="0" t="inlineStr">
        <is>
          <t>경상남도 창원시 의창구 동전로224번길 3</t>
        </is>
      </c>
      <c r="AH343" s="0" t="n">
        <v>0</v>
      </c>
      <c r="AI343" s="0" t="n">
        <v>129</v>
      </c>
    </row>
    <row r="344">
      <c r="A344" s="0" t="inlineStr">
        <is>
          <t>[북면]</t>
        </is>
      </c>
      <c r="B344" s="0" t="n">
        <v>129387</v>
      </c>
      <c r="C344" s="0" t="n">
        <v>1</v>
      </c>
      <c r="D344" s="0" t="inlineStr">
        <is>
          <t>리치빌(도시형)</t>
        </is>
      </c>
      <c r="E344" s="0" t="inlineStr">
        <is>
          <t>2012.08.</t>
        </is>
      </c>
      <c r="F344" s="0" t="n">
        <v>23</v>
      </c>
      <c r="G344" s="0" t="n">
        <v>22.68</v>
      </c>
      <c r="H344" s="0" t="n">
        <v>74.98999999999999</v>
      </c>
      <c r="I344" s="0" t="n">
        <v>19.48</v>
      </c>
      <c r="J344" s="0" t="n">
        <v>64.41</v>
      </c>
      <c r="K344" s="0" t="n">
        <v>4</v>
      </c>
      <c r="T344" s="0" t="n">
        <v>3</v>
      </c>
      <c r="U344" s="0" t="n">
        <v>1</v>
      </c>
      <c r="V344" s="0" t="inlineStr">
        <is>
          <t>계단식</t>
        </is>
      </c>
      <c r="W344" s="0" t="inlineStr">
        <is>
          <t>74B</t>
        </is>
      </c>
      <c r="X344" s="0" t="n">
        <v>5</v>
      </c>
      <c r="Y344" s="0" t="n">
        <v>4</v>
      </c>
      <c r="Z344" s="0" t="inlineStr">
        <is>
          <t>https://new.land.naver.com/complexes/129387?tab=detail&amp;rf=Y</t>
        </is>
      </c>
      <c r="AA344" s="0" t="inlineStr">
        <is>
          <t>경상남도 창원시 의창구 북면 신촌리 905-19</t>
        </is>
      </c>
      <c r="AB344" s="0" t="inlineStr">
        <is>
          <t>경상남도</t>
        </is>
      </c>
      <c r="AC344" s="0" t="inlineStr">
        <is>
          <t>창원시</t>
        </is>
      </c>
      <c r="AD344" s="0" t="inlineStr">
        <is>
          <t>의창구</t>
        </is>
      </c>
      <c r="AE344" s="0" t="inlineStr">
        <is>
          <t>북면</t>
        </is>
      </c>
      <c r="AG344" s="0" t="inlineStr">
        <is>
          <t>경상남도 창원시 의창구 신촌본포로 12-20</t>
        </is>
      </c>
      <c r="AH344" s="0" t="n">
        <v>0</v>
      </c>
      <c r="AI344" s="0" t="n">
        <v>133</v>
      </c>
    </row>
    <row r="345">
      <c r="A345" s="0" t="inlineStr">
        <is>
          <t>[북면]</t>
        </is>
      </c>
      <c r="B345" s="0" t="n">
        <v>129387</v>
      </c>
      <c r="C345" s="0" t="n">
        <v>2</v>
      </c>
      <c r="D345" s="0" t="inlineStr">
        <is>
          <t>리치빌(도시형)</t>
        </is>
      </c>
      <c r="E345" s="0" t="inlineStr">
        <is>
          <t>2012.08.</t>
        </is>
      </c>
      <c r="F345" s="0" t="n">
        <v>23</v>
      </c>
      <c r="G345" s="0" t="n">
        <v>23.42</v>
      </c>
      <c r="H345" s="0" t="n">
        <v>77.44</v>
      </c>
      <c r="I345" s="0" t="n">
        <v>19.21</v>
      </c>
      <c r="J345" s="0" t="n">
        <v>63.51</v>
      </c>
      <c r="K345" s="0" t="n">
        <v>4</v>
      </c>
      <c r="T345" s="0" t="n">
        <v>3</v>
      </c>
      <c r="U345" s="0" t="n">
        <v>1</v>
      </c>
      <c r="V345" s="0" t="inlineStr">
        <is>
          <t>계단식</t>
        </is>
      </c>
      <c r="W345" s="0" t="inlineStr">
        <is>
          <t>77A</t>
        </is>
      </c>
      <c r="X345" s="0" t="n">
        <v>5</v>
      </c>
      <c r="Y345" s="0" t="n">
        <v>4</v>
      </c>
      <c r="Z345" s="0" t="inlineStr">
        <is>
          <t>https://new.land.naver.com/complexes/129387?tab=detail&amp;rf=Y</t>
        </is>
      </c>
      <c r="AA345" s="0" t="inlineStr">
        <is>
          <t>경상남도 창원시 의창구 북면 신촌리 905-19</t>
        </is>
      </c>
      <c r="AB345" s="0" t="inlineStr">
        <is>
          <t>경상남도</t>
        </is>
      </c>
      <c r="AC345" s="0" t="inlineStr">
        <is>
          <t>창원시</t>
        </is>
      </c>
      <c r="AD345" s="0" t="inlineStr">
        <is>
          <t>의창구</t>
        </is>
      </c>
      <c r="AE345" s="0" t="inlineStr">
        <is>
          <t>북면</t>
        </is>
      </c>
      <c r="AG345" s="0" t="inlineStr">
        <is>
          <t>경상남도 창원시 의창구 신촌본포로 12-20</t>
        </is>
      </c>
      <c r="AH345" s="0" t="n">
        <v>0</v>
      </c>
      <c r="AI345" s="0" t="n">
        <v>133</v>
      </c>
    </row>
    <row r="346">
      <c r="A346" s="0" t="inlineStr">
        <is>
          <t>[북면]</t>
        </is>
      </c>
      <c r="B346" s="0" t="n">
        <v>129387</v>
      </c>
      <c r="C346" s="0" t="n">
        <v>3</v>
      </c>
      <c r="D346" s="0" t="inlineStr">
        <is>
          <t>리치빌(도시형)</t>
        </is>
      </c>
      <c r="E346" s="0" t="inlineStr">
        <is>
          <t>2012.08.</t>
        </is>
      </c>
      <c r="F346" s="0" t="n">
        <v>23</v>
      </c>
      <c r="G346" s="0" t="n">
        <v>24.44</v>
      </c>
      <c r="H346" s="0" t="n">
        <v>80.8</v>
      </c>
      <c r="I346" s="0" t="n">
        <v>20.04</v>
      </c>
      <c r="J346" s="0" t="n">
        <v>66.26000000000001</v>
      </c>
      <c r="K346" s="0" t="n">
        <v>1</v>
      </c>
      <c r="T346" s="0" t="n">
        <v>3</v>
      </c>
      <c r="U346" s="0" t="n">
        <v>1</v>
      </c>
      <c r="V346" s="0" t="inlineStr">
        <is>
          <t>계단식</t>
        </is>
      </c>
      <c r="W346" s="0" t="n">
        <v>80</v>
      </c>
      <c r="X346" s="0" t="n">
        <v>5</v>
      </c>
      <c r="Y346" s="0" t="n">
        <v>4</v>
      </c>
      <c r="Z346" s="0" t="inlineStr">
        <is>
          <t>https://new.land.naver.com/complexes/129387?tab=detail&amp;rf=Y</t>
        </is>
      </c>
      <c r="AA346" s="0" t="inlineStr">
        <is>
          <t>경상남도 창원시 의창구 북면 신촌리 905-19</t>
        </is>
      </c>
      <c r="AB346" s="0" t="inlineStr">
        <is>
          <t>경상남도</t>
        </is>
      </c>
      <c r="AC346" s="0" t="inlineStr">
        <is>
          <t>창원시</t>
        </is>
      </c>
      <c r="AD346" s="0" t="inlineStr">
        <is>
          <t>의창구</t>
        </is>
      </c>
      <c r="AE346" s="0" t="inlineStr">
        <is>
          <t>북면</t>
        </is>
      </c>
      <c r="AG346" s="0" t="inlineStr">
        <is>
          <t>경상남도 창원시 의창구 신촌본포로 12-20</t>
        </is>
      </c>
      <c r="AH346" s="0" t="n">
        <v>0</v>
      </c>
      <c r="AI346" s="0" t="n">
        <v>133</v>
      </c>
    </row>
    <row r="347">
      <c r="A347" s="0" t="inlineStr">
        <is>
          <t>[북면]</t>
        </is>
      </c>
      <c r="B347" s="0" t="n">
        <v>129387</v>
      </c>
      <c r="C347" s="0" t="n">
        <v>4</v>
      </c>
      <c r="D347" s="0" t="inlineStr">
        <is>
          <t>리치빌(도시형)</t>
        </is>
      </c>
      <c r="E347" s="0" t="inlineStr">
        <is>
          <t>2012.08.</t>
        </is>
      </c>
      <c r="F347" s="0" t="n">
        <v>23</v>
      </c>
      <c r="G347" s="0" t="n">
        <v>25.86</v>
      </c>
      <c r="H347" s="0" t="n">
        <v>85.51000000000001</v>
      </c>
      <c r="I347" s="0" t="n">
        <v>21.21</v>
      </c>
      <c r="J347" s="0" t="n">
        <v>70.12</v>
      </c>
      <c r="K347" s="0" t="n">
        <v>3</v>
      </c>
      <c r="T347" s="0" t="n">
        <v>3</v>
      </c>
      <c r="U347" s="0" t="n">
        <v>2</v>
      </c>
      <c r="V347" s="0" t="inlineStr">
        <is>
          <t>복도식</t>
        </is>
      </c>
      <c r="W347" s="0" t="n">
        <v>85</v>
      </c>
      <c r="X347" s="0" t="n">
        <v>5</v>
      </c>
      <c r="Y347" s="0" t="n">
        <v>4</v>
      </c>
      <c r="Z347" s="0" t="inlineStr">
        <is>
          <t>https://new.land.naver.com/complexes/129387?tab=detail&amp;rf=Y</t>
        </is>
      </c>
      <c r="AA347" s="0" t="inlineStr">
        <is>
          <t>경상남도 창원시 의창구 북면 신촌리 905-19</t>
        </is>
      </c>
      <c r="AB347" s="0" t="inlineStr">
        <is>
          <t>경상남도</t>
        </is>
      </c>
      <c r="AC347" s="0" t="inlineStr">
        <is>
          <t>창원시</t>
        </is>
      </c>
      <c r="AD347" s="0" t="inlineStr">
        <is>
          <t>의창구</t>
        </is>
      </c>
      <c r="AE347" s="0" t="inlineStr">
        <is>
          <t>북면</t>
        </is>
      </c>
      <c r="AG347" s="0" t="inlineStr">
        <is>
          <t>경상남도 창원시 의창구 신촌본포로 12-20</t>
        </is>
      </c>
      <c r="AH347" s="0" t="n">
        <v>0</v>
      </c>
      <c r="AI347" s="0" t="n">
        <v>133</v>
      </c>
    </row>
    <row r="348">
      <c r="A348" s="0" t="inlineStr">
        <is>
          <t>[북면]</t>
        </is>
      </c>
      <c r="B348" s="0" t="n">
        <v>129387</v>
      </c>
      <c r="C348" s="0" t="n">
        <v>5</v>
      </c>
      <c r="D348" s="0" t="inlineStr">
        <is>
          <t>리치빌(도시형)</t>
        </is>
      </c>
      <c r="E348" s="0" t="inlineStr">
        <is>
          <t>2012.08.</t>
        </is>
      </c>
      <c r="F348" s="0" t="n">
        <v>23</v>
      </c>
      <c r="G348" s="0" t="n">
        <v>26.76</v>
      </c>
      <c r="H348" s="0" t="n">
        <v>88.48999999999999</v>
      </c>
      <c r="I348" s="0" t="n">
        <v>22.99</v>
      </c>
      <c r="J348" s="0" t="n">
        <v>76</v>
      </c>
      <c r="K348" s="0" t="n">
        <v>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88</v>
      </c>
      <c r="X348" s="0" t="n">
        <v>5</v>
      </c>
      <c r="Y348" s="0" t="n">
        <v>4</v>
      </c>
      <c r="Z348" s="0" t="inlineStr">
        <is>
          <t>https://new.land.naver.com/complexes/129387?tab=detail&amp;rf=Y</t>
        </is>
      </c>
      <c r="AA348" s="0" t="inlineStr">
        <is>
          <t>경상남도 창원시 의창구 북면 신촌리 905-19</t>
        </is>
      </c>
      <c r="AB348" s="0" t="inlineStr">
        <is>
          <t>경상남도</t>
        </is>
      </c>
      <c r="AC348" s="0" t="inlineStr">
        <is>
          <t>창원시</t>
        </is>
      </c>
      <c r="AD348" s="0" t="inlineStr">
        <is>
          <t>의창구</t>
        </is>
      </c>
      <c r="AE348" s="0" t="inlineStr">
        <is>
          <t>북면</t>
        </is>
      </c>
      <c r="AG348" s="0" t="inlineStr">
        <is>
          <t>경상남도 창원시 의창구 신촌본포로 12-20</t>
        </is>
      </c>
      <c r="AH348" s="0" t="n">
        <v>0</v>
      </c>
      <c r="AI348" s="0" t="n">
        <v>133</v>
      </c>
    </row>
    <row r="349">
      <c r="A349" s="0" t="inlineStr">
        <is>
          <t>[북면]</t>
        </is>
      </c>
      <c r="B349" s="0" t="n">
        <v>129387</v>
      </c>
      <c r="C349" s="0" t="n">
        <v>6</v>
      </c>
      <c r="D349" s="0" t="inlineStr">
        <is>
          <t>리치빌(도시형)</t>
        </is>
      </c>
      <c r="E349" s="0" t="inlineStr">
        <is>
          <t>2012.08.</t>
        </is>
      </c>
      <c r="F349" s="0" t="n">
        <v>23</v>
      </c>
      <c r="G349" s="0" t="n">
        <v>28.15</v>
      </c>
      <c r="H349" s="0" t="n">
        <v>93.06999999999999</v>
      </c>
      <c r="I349" s="0" t="n">
        <v>25.59</v>
      </c>
      <c r="J349" s="0" t="n">
        <v>84.62</v>
      </c>
      <c r="K349" s="0" t="n">
        <v>4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93A</t>
        </is>
      </c>
      <c r="X349" s="0" t="n">
        <v>5</v>
      </c>
      <c r="Y349" s="0" t="n">
        <v>4</v>
      </c>
      <c r="Z349" s="0" t="inlineStr">
        <is>
          <t>https://new.land.naver.com/complexes/129387?tab=detail&amp;rf=Y</t>
        </is>
      </c>
      <c r="AA349" s="0" t="inlineStr">
        <is>
          <t>경상남도 창원시 의창구 북면 신촌리 905-19</t>
        </is>
      </c>
      <c r="AB349" s="0" t="inlineStr">
        <is>
          <t>경상남도</t>
        </is>
      </c>
      <c r="AC349" s="0" t="inlineStr">
        <is>
          <t>창원시</t>
        </is>
      </c>
      <c r="AD349" s="0" t="inlineStr">
        <is>
          <t>의창구</t>
        </is>
      </c>
      <c r="AE349" s="0" t="inlineStr">
        <is>
          <t>북면</t>
        </is>
      </c>
      <c r="AG349" s="0" t="inlineStr">
        <is>
          <t>경상남도 창원시 의창구 신촌본포로 12-20</t>
        </is>
      </c>
      <c r="AH349" s="0" t="n">
        <v>0</v>
      </c>
      <c r="AI349" s="0" t="n">
        <v>133</v>
      </c>
    </row>
    <row r="350">
      <c r="A350" s="0" t="inlineStr">
        <is>
          <t>[북면]</t>
        </is>
      </c>
      <c r="B350" s="0" t="n">
        <v>129387</v>
      </c>
      <c r="C350" s="0" t="n">
        <v>7</v>
      </c>
      <c r="D350" s="0" t="inlineStr">
        <is>
          <t>리치빌(도시형)</t>
        </is>
      </c>
      <c r="E350" s="0" t="inlineStr">
        <is>
          <t>2012.08.</t>
        </is>
      </c>
      <c r="F350" s="0" t="n">
        <v>23</v>
      </c>
      <c r="G350" s="0" t="n">
        <v>28.24</v>
      </c>
      <c r="H350" s="0" t="n">
        <v>93.37</v>
      </c>
      <c r="I350" s="0" t="n">
        <v>25.68</v>
      </c>
      <c r="J350" s="0" t="n">
        <v>84.90000000000001</v>
      </c>
      <c r="K350" s="0" t="n">
        <v>3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93B</t>
        </is>
      </c>
      <c r="X350" s="0" t="n">
        <v>5</v>
      </c>
      <c r="Y350" s="0" t="n">
        <v>4</v>
      </c>
      <c r="Z350" s="0" t="inlineStr">
        <is>
          <t>https://new.land.naver.com/complexes/129387?tab=detail&amp;rf=Y</t>
        </is>
      </c>
      <c r="AA350" s="0" t="inlineStr">
        <is>
          <t>경상남도 창원시 의창구 북면 신촌리 905-19</t>
        </is>
      </c>
      <c r="AB350" s="0" t="inlineStr">
        <is>
          <t>경상남도</t>
        </is>
      </c>
      <c r="AC350" s="0" t="inlineStr">
        <is>
          <t>창원시</t>
        </is>
      </c>
      <c r="AD350" s="0" t="inlineStr">
        <is>
          <t>의창구</t>
        </is>
      </c>
      <c r="AE350" s="0" t="inlineStr">
        <is>
          <t>북면</t>
        </is>
      </c>
      <c r="AG350" s="0" t="inlineStr">
        <is>
          <t>경상남도 창원시 의창구 신촌본포로 12-20</t>
        </is>
      </c>
      <c r="AH350" s="0" t="n">
        <v>0</v>
      </c>
      <c r="AI350" s="0" t="n">
        <v>133</v>
      </c>
    </row>
    <row r="351">
      <c r="A351" s="0" t="inlineStr">
        <is>
          <t>[북면]</t>
        </is>
      </c>
      <c r="B351" s="0" t="n">
        <v>108772</v>
      </c>
      <c r="C351" s="0" t="n">
        <v>1</v>
      </c>
      <c r="D351" s="0" t="inlineStr">
        <is>
          <t>창원감계힐스테이트4차</t>
        </is>
      </c>
      <c r="E351" s="0" t="inlineStr">
        <is>
          <t>2017.04.</t>
        </is>
      </c>
      <c r="F351" s="0" t="n">
        <v>1665</v>
      </c>
      <c r="G351" s="0" t="n">
        <v>25.93</v>
      </c>
      <c r="H351" s="0" t="n">
        <v>85.73999999999999</v>
      </c>
      <c r="I351" s="0" t="n">
        <v>18.1</v>
      </c>
      <c r="J351" s="0" t="n">
        <v>59.85</v>
      </c>
      <c r="K351" s="0" t="n">
        <v>164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85A</t>
        </is>
      </c>
      <c r="X351" s="0" t="n">
        <v>25</v>
      </c>
      <c r="Y351" s="0" t="n">
        <v>16</v>
      </c>
      <c r="Z351" s="0" t="inlineStr">
        <is>
          <t>https://new.land.naver.com/complexes/108772?tab=detail&amp;rf=Y</t>
        </is>
      </c>
      <c r="AA351" s="0" t="inlineStr">
        <is>
          <t>경상남도 창원시 의창구 북면 감계리 225-1</t>
        </is>
      </c>
      <c r="AB351" s="0" t="inlineStr">
        <is>
          <t>경상남도</t>
        </is>
      </c>
      <c r="AC351" s="0" t="inlineStr">
        <is>
          <t>창원시</t>
        </is>
      </c>
      <c r="AD351" s="0" t="inlineStr">
        <is>
          <t>의창구</t>
        </is>
      </c>
      <c r="AE351" s="0" t="inlineStr">
        <is>
          <t>북면</t>
        </is>
      </c>
      <c r="AG351" s="0" t="inlineStr">
        <is>
          <t>경상남도 창원시 의창구 감계로 233</t>
        </is>
      </c>
      <c r="AH351" s="0" t="n">
        <v>0</v>
      </c>
      <c r="AI351" s="0" t="n">
        <v>213</v>
      </c>
    </row>
    <row r="352">
      <c r="A352" s="0" t="inlineStr">
        <is>
          <t>[북면]</t>
        </is>
      </c>
      <c r="B352" s="0" t="n">
        <v>108772</v>
      </c>
      <c r="C352" s="0" t="n">
        <v>2</v>
      </c>
      <c r="D352" s="0" t="inlineStr">
        <is>
          <t>창원감계힐스테이트4차</t>
        </is>
      </c>
      <c r="E352" s="0" t="inlineStr">
        <is>
          <t>2017.04.</t>
        </is>
      </c>
      <c r="F352" s="0" t="n">
        <v>1665</v>
      </c>
      <c r="G352" s="0" t="n">
        <v>25.83</v>
      </c>
      <c r="H352" s="0" t="n">
        <v>85.40000000000001</v>
      </c>
      <c r="I352" s="0" t="n">
        <v>17.85</v>
      </c>
      <c r="J352" s="0" t="n">
        <v>59.02</v>
      </c>
      <c r="K352" s="0" t="n">
        <v>93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85B</t>
        </is>
      </c>
      <c r="X352" s="0" t="n">
        <v>25</v>
      </c>
      <c r="Y352" s="0" t="n">
        <v>16</v>
      </c>
      <c r="Z352" s="0" t="inlineStr">
        <is>
          <t>https://new.land.naver.com/complexes/108772?tab=detail&amp;rf=Y</t>
        </is>
      </c>
      <c r="AA352" s="0" t="inlineStr">
        <is>
          <t>경상남도 창원시 의창구 북면 감계리 225-1</t>
        </is>
      </c>
      <c r="AB352" s="0" t="inlineStr">
        <is>
          <t>경상남도</t>
        </is>
      </c>
      <c r="AC352" s="0" t="inlineStr">
        <is>
          <t>창원시</t>
        </is>
      </c>
      <c r="AD352" s="0" t="inlineStr">
        <is>
          <t>의창구</t>
        </is>
      </c>
      <c r="AE352" s="0" t="inlineStr">
        <is>
          <t>북면</t>
        </is>
      </c>
      <c r="AG352" s="0" t="inlineStr">
        <is>
          <t>경상남도 창원시 의창구 감계로 233</t>
        </is>
      </c>
      <c r="AH352" s="0" t="n">
        <v>0</v>
      </c>
      <c r="AI352" s="0" t="n">
        <v>213</v>
      </c>
    </row>
    <row r="353">
      <c r="A353" s="0" t="inlineStr">
        <is>
          <t>[북면]</t>
        </is>
      </c>
      <c r="B353" s="0" t="n">
        <v>108772</v>
      </c>
      <c r="C353" s="0" t="n">
        <v>3</v>
      </c>
      <c r="D353" s="0" t="inlineStr">
        <is>
          <t>창원감계힐스테이트4차</t>
        </is>
      </c>
      <c r="E353" s="0" t="inlineStr">
        <is>
          <t>2017.04.</t>
        </is>
      </c>
      <c r="F353" s="0" t="n">
        <v>1665</v>
      </c>
      <c r="G353" s="0" t="n">
        <v>28.81</v>
      </c>
      <c r="H353" s="0" t="n">
        <v>95.25</v>
      </c>
      <c r="I353" s="0" t="n">
        <v>20.86</v>
      </c>
      <c r="J353" s="0" t="n">
        <v>68.97</v>
      </c>
      <c r="K353" s="0" t="n">
        <v>380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95A</t>
        </is>
      </c>
      <c r="X353" s="0" t="n">
        <v>25</v>
      </c>
      <c r="Y353" s="0" t="n">
        <v>16</v>
      </c>
      <c r="Z353" s="0" t="inlineStr">
        <is>
          <t>https://new.land.naver.com/complexes/108772?tab=detail&amp;rf=Y</t>
        </is>
      </c>
      <c r="AA353" s="0" t="inlineStr">
        <is>
          <t>경상남도 창원시 의창구 북면 감계리 225-1</t>
        </is>
      </c>
      <c r="AB353" s="0" t="inlineStr">
        <is>
          <t>경상남도</t>
        </is>
      </c>
      <c r="AC353" s="0" t="inlineStr">
        <is>
          <t>창원시</t>
        </is>
      </c>
      <c r="AD353" s="0" t="inlineStr">
        <is>
          <t>의창구</t>
        </is>
      </c>
      <c r="AE353" s="0" t="inlineStr">
        <is>
          <t>북면</t>
        </is>
      </c>
      <c r="AG353" s="0" t="inlineStr">
        <is>
          <t>경상남도 창원시 의창구 감계로 233</t>
        </is>
      </c>
      <c r="AH353" s="0" t="n">
        <v>0</v>
      </c>
      <c r="AI353" s="0" t="n">
        <v>213</v>
      </c>
    </row>
    <row r="354">
      <c r="A354" s="0" t="inlineStr">
        <is>
          <t>[북면]</t>
        </is>
      </c>
      <c r="B354" s="0" t="n">
        <v>108772</v>
      </c>
      <c r="C354" s="0" t="n">
        <v>4</v>
      </c>
      <c r="D354" s="0" t="inlineStr">
        <is>
          <t>창원감계힐스테이트4차</t>
        </is>
      </c>
      <c r="E354" s="0" t="inlineStr">
        <is>
          <t>2017.04.</t>
        </is>
      </c>
      <c r="F354" s="0" t="n">
        <v>1665</v>
      </c>
      <c r="G354" s="0" t="n">
        <v>28.98</v>
      </c>
      <c r="H354" s="0" t="n">
        <v>95.83</v>
      </c>
      <c r="I354" s="0" t="n">
        <v>20.78</v>
      </c>
      <c r="J354" s="0" t="n">
        <v>68.72</v>
      </c>
      <c r="K354" s="0" t="n">
        <v>95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95B</t>
        </is>
      </c>
      <c r="X354" s="0" t="n">
        <v>25</v>
      </c>
      <c r="Y354" s="0" t="n">
        <v>16</v>
      </c>
      <c r="Z354" s="0" t="inlineStr">
        <is>
          <t>https://new.land.naver.com/complexes/108772?tab=detail&amp;rf=Y</t>
        </is>
      </c>
      <c r="AA354" s="0" t="inlineStr">
        <is>
          <t>경상남도 창원시 의창구 북면 감계리 225-1</t>
        </is>
      </c>
      <c r="AB354" s="0" t="inlineStr">
        <is>
          <t>경상남도</t>
        </is>
      </c>
      <c r="AC354" s="0" t="inlineStr">
        <is>
          <t>창원시</t>
        </is>
      </c>
      <c r="AD354" s="0" t="inlineStr">
        <is>
          <t>의창구</t>
        </is>
      </c>
      <c r="AE354" s="0" t="inlineStr">
        <is>
          <t>북면</t>
        </is>
      </c>
      <c r="AG354" s="0" t="inlineStr">
        <is>
          <t>경상남도 창원시 의창구 감계로 233</t>
        </is>
      </c>
      <c r="AH354" s="0" t="n">
        <v>0</v>
      </c>
      <c r="AI354" s="0" t="n">
        <v>213</v>
      </c>
    </row>
    <row r="355">
      <c r="A355" s="0" t="inlineStr">
        <is>
          <t>[북면]</t>
        </is>
      </c>
      <c r="B355" s="0" t="n">
        <v>108772</v>
      </c>
      <c r="C355" s="0" t="n">
        <v>5</v>
      </c>
      <c r="D355" s="0" t="inlineStr">
        <is>
          <t>창원감계힐스테이트4차</t>
        </is>
      </c>
      <c r="E355" s="0" t="inlineStr">
        <is>
          <t>2017.04.</t>
        </is>
      </c>
      <c r="F355" s="0" t="n">
        <v>1665</v>
      </c>
      <c r="G355" s="0" t="n">
        <v>32.7</v>
      </c>
      <c r="H355" s="0" t="n">
        <v>108.12</v>
      </c>
      <c r="I355" s="0" t="n">
        <v>23.89</v>
      </c>
      <c r="J355" s="0" t="n">
        <v>78.98</v>
      </c>
      <c r="K355" s="0" t="n">
        <v>143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108A</t>
        </is>
      </c>
      <c r="X355" s="0" t="n">
        <v>25</v>
      </c>
      <c r="Y355" s="0" t="n">
        <v>16</v>
      </c>
      <c r="Z355" s="0" t="inlineStr">
        <is>
          <t>https://new.land.naver.com/complexes/108772?tab=detail&amp;rf=Y</t>
        </is>
      </c>
      <c r="AA355" s="0" t="inlineStr">
        <is>
          <t>경상남도 창원시 의창구 북면 감계리 225-1</t>
        </is>
      </c>
      <c r="AB355" s="0" t="inlineStr">
        <is>
          <t>경상남도</t>
        </is>
      </c>
      <c r="AC355" s="0" t="inlineStr">
        <is>
          <t>창원시</t>
        </is>
      </c>
      <c r="AD355" s="0" t="inlineStr">
        <is>
          <t>의창구</t>
        </is>
      </c>
      <c r="AE355" s="0" t="inlineStr">
        <is>
          <t>북면</t>
        </is>
      </c>
      <c r="AG355" s="0" t="inlineStr">
        <is>
          <t>경상남도 창원시 의창구 감계로 233</t>
        </is>
      </c>
      <c r="AH355" s="0" t="n">
        <v>0</v>
      </c>
      <c r="AI355" s="0" t="n">
        <v>213</v>
      </c>
    </row>
    <row r="356">
      <c r="A356" s="0" t="inlineStr">
        <is>
          <t>[북면]</t>
        </is>
      </c>
      <c r="B356" s="0" t="n">
        <v>108772</v>
      </c>
      <c r="C356" s="0" t="n">
        <v>6</v>
      </c>
      <c r="D356" s="0" t="inlineStr">
        <is>
          <t>창원감계힐스테이트4차</t>
        </is>
      </c>
      <c r="E356" s="0" t="inlineStr">
        <is>
          <t>2017.04.</t>
        </is>
      </c>
      <c r="F356" s="0" t="n">
        <v>1665</v>
      </c>
      <c r="G356" s="0" t="n">
        <v>32.75</v>
      </c>
      <c r="H356" s="0" t="n">
        <v>108.28</v>
      </c>
      <c r="I356" s="0" t="n">
        <v>23.86</v>
      </c>
      <c r="J356" s="0" t="n">
        <v>78.89</v>
      </c>
      <c r="K356" s="0" t="n">
        <v>142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108B</t>
        </is>
      </c>
      <c r="X356" s="0" t="n">
        <v>25</v>
      </c>
      <c r="Y356" s="0" t="n">
        <v>16</v>
      </c>
      <c r="Z356" s="0" t="inlineStr">
        <is>
          <t>https://new.land.naver.com/complexes/108772?tab=detail&amp;rf=Y</t>
        </is>
      </c>
      <c r="AA356" s="0" t="inlineStr">
        <is>
          <t>경상남도 창원시 의창구 북면 감계리 225-1</t>
        </is>
      </c>
      <c r="AB356" s="0" t="inlineStr">
        <is>
          <t>경상남도</t>
        </is>
      </c>
      <c r="AC356" s="0" t="inlineStr">
        <is>
          <t>창원시</t>
        </is>
      </c>
      <c r="AD356" s="0" t="inlineStr">
        <is>
          <t>의창구</t>
        </is>
      </c>
      <c r="AE356" s="0" t="inlineStr">
        <is>
          <t>북면</t>
        </is>
      </c>
      <c r="AG356" s="0" t="inlineStr">
        <is>
          <t>경상남도 창원시 의창구 감계로 233</t>
        </is>
      </c>
      <c r="AH356" s="0" t="n">
        <v>0</v>
      </c>
      <c r="AI356" s="0" t="n">
        <v>213</v>
      </c>
    </row>
    <row r="357">
      <c r="A357" s="0" t="inlineStr">
        <is>
          <t>[북면]</t>
        </is>
      </c>
      <c r="B357" s="0" t="n">
        <v>108772</v>
      </c>
      <c r="C357" s="0" t="n">
        <v>7</v>
      </c>
      <c r="D357" s="0" t="inlineStr">
        <is>
          <t>창원감계힐스테이트4차</t>
        </is>
      </c>
      <c r="E357" s="0" t="inlineStr">
        <is>
          <t>2017.04.</t>
        </is>
      </c>
      <c r="F357" s="0" t="n">
        <v>1665</v>
      </c>
      <c r="G357" s="0" t="n">
        <v>34.98</v>
      </c>
      <c r="H357" s="0" t="n">
        <v>115.65</v>
      </c>
      <c r="I357" s="0" t="n">
        <v>25.7</v>
      </c>
      <c r="J357" s="0" t="n">
        <v>84.97</v>
      </c>
      <c r="K357" s="0" t="n">
        <v>514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115</v>
      </c>
      <c r="X357" s="0" t="n">
        <v>25</v>
      </c>
      <c r="Y357" s="0" t="n">
        <v>16</v>
      </c>
      <c r="Z357" s="0" t="inlineStr">
        <is>
          <t>https://new.land.naver.com/complexes/108772?tab=detail&amp;rf=Y</t>
        </is>
      </c>
      <c r="AA357" s="0" t="inlineStr">
        <is>
          <t>경상남도 창원시 의창구 북면 감계리 225-1</t>
        </is>
      </c>
      <c r="AB357" s="0" t="inlineStr">
        <is>
          <t>경상남도</t>
        </is>
      </c>
      <c r="AC357" s="0" t="inlineStr">
        <is>
          <t>창원시</t>
        </is>
      </c>
      <c r="AD357" s="0" t="inlineStr">
        <is>
          <t>의창구</t>
        </is>
      </c>
      <c r="AE357" s="0" t="inlineStr">
        <is>
          <t>북면</t>
        </is>
      </c>
      <c r="AG357" s="0" t="inlineStr">
        <is>
          <t>경상남도 창원시 의창구 감계로 233</t>
        </is>
      </c>
      <c r="AH357" s="0" t="n">
        <v>0</v>
      </c>
      <c r="AI357" s="0" t="n">
        <v>213</v>
      </c>
    </row>
    <row r="358">
      <c r="A358" s="0" t="inlineStr">
        <is>
          <t>[북면]</t>
        </is>
      </c>
      <c r="B358" s="0" t="n">
        <v>108772</v>
      </c>
      <c r="C358" s="0" t="n">
        <v>8</v>
      </c>
      <c r="D358" s="0" t="inlineStr">
        <is>
          <t>창원감계힐스테이트4차</t>
        </is>
      </c>
      <c r="E358" s="0" t="inlineStr">
        <is>
          <t>2017.04.</t>
        </is>
      </c>
      <c r="F358" s="0" t="n">
        <v>1665</v>
      </c>
      <c r="G358" s="0" t="n">
        <v>39.86</v>
      </c>
      <c r="H358" s="0" t="n">
        <v>131.77</v>
      </c>
      <c r="I358" s="0" t="n">
        <v>30.83</v>
      </c>
      <c r="J358" s="0" t="n">
        <v>101.92</v>
      </c>
      <c r="K358" s="0" t="n">
        <v>134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131</v>
      </c>
      <c r="X358" s="0" t="n">
        <v>25</v>
      </c>
      <c r="Y358" s="0" t="n">
        <v>16</v>
      </c>
      <c r="Z358" s="0" t="inlineStr">
        <is>
          <t>https://new.land.naver.com/complexes/108772?tab=detail&amp;rf=Y</t>
        </is>
      </c>
      <c r="AA358" s="0" t="inlineStr">
        <is>
          <t>경상남도 창원시 의창구 북면 감계리 225-1</t>
        </is>
      </c>
      <c r="AB358" s="0" t="inlineStr">
        <is>
          <t>경상남도</t>
        </is>
      </c>
      <c r="AC358" s="0" t="inlineStr">
        <is>
          <t>창원시</t>
        </is>
      </c>
      <c r="AD358" s="0" t="inlineStr">
        <is>
          <t>의창구</t>
        </is>
      </c>
      <c r="AE358" s="0" t="inlineStr">
        <is>
          <t>북면</t>
        </is>
      </c>
      <c r="AG358" s="0" t="inlineStr">
        <is>
          <t>경상남도 창원시 의창구 감계로 233</t>
        </is>
      </c>
      <c r="AH358" s="0" t="n">
        <v>0</v>
      </c>
      <c r="AI358" s="0" t="n">
        <v>213</v>
      </c>
    </row>
    <row r="359">
      <c r="A359" s="0" t="inlineStr">
        <is>
          <t>[북면]</t>
        </is>
      </c>
      <c r="B359" s="0" t="n">
        <v>7759</v>
      </c>
      <c r="C359" s="0" t="n">
        <v>1</v>
      </c>
      <c r="D359" s="0" t="inlineStr">
        <is>
          <t>대호</t>
        </is>
      </c>
      <c r="E359" s="0" t="inlineStr">
        <is>
          <t>1998.06.</t>
        </is>
      </c>
      <c r="F359" s="0" t="n">
        <v>294</v>
      </c>
      <c r="G359" s="0" t="n">
        <v>20.99</v>
      </c>
      <c r="H359" s="0" t="n">
        <v>69.40000000000001</v>
      </c>
      <c r="I359" s="0" t="n">
        <v>18.09</v>
      </c>
      <c r="J359" s="0" t="n">
        <v>59.83</v>
      </c>
      <c r="K359" s="0" t="n">
        <v>174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69B</t>
        </is>
      </c>
      <c r="X359" s="0" t="n">
        <v>15</v>
      </c>
      <c r="Y359" s="0" t="n">
        <v>12</v>
      </c>
      <c r="Z359" s="0" t="inlineStr">
        <is>
          <t>https://new.land.naver.com/complexes/7759?tab=detail&amp;rf=Y</t>
        </is>
      </c>
      <c r="AA359" s="0" t="inlineStr">
        <is>
          <t>경상남도 창원시 의창구 북면 신촌리 995-1</t>
        </is>
      </c>
      <c r="AB359" s="0" t="inlineStr">
        <is>
          <t>경상남도</t>
        </is>
      </c>
      <c r="AC359" s="0" t="inlineStr">
        <is>
          <t>창원시</t>
        </is>
      </c>
      <c r="AD359" s="0" t="inlineStr">
        <is>
          <t>의창구</t>
        </is>
      </c>
      <c r="AE359" s="0" t="inlineStr">
        <is>
          <t>북면</t>
        </is>
      </c>
      <c r="AG359" s="0" t="inlineStr">
        <is>
          <t>경상남도 창원시 의창구 천주로 1053</t>
        </is>
      </c>
      <c r="AH359" s="0" t="n">
        <v>0</v>
      </c>
      <c r="AI359" s="0" t="n">
        <v>221</v>
      </c>
    </row>
    <row r="360">
      <c r="A360" s="0" t="inlineStr">
        <is>
          <t>[북면]</t>
        </is>
      </c>
      <c r="B360" s="0" t="n">
        <v>7759</v>
      </c>
      <c r="C360" s="0" t="n">
        <v>2</v>
      </c>
      <c r="D360" s="0" t="inlineStr">
        <is>
          <t>대호</t>
        </is>
      </c>
      <c r="E360" s="0" t="inlineStr">
        <is>
          <t>1998.06.</t>
        </is>
      </c>
      <c r="F360" s="0" t="n">
        <v>294</v>
      </c>
      <c r="G360" s="0" t="n">
        <v>20.92</v>
      </c>
      <c r="H360" s="0" t="n">
        <v>69.19</v>
      </c>
      <c r="I360" s="0" t="n">
        <v>18.04</v>
      </c>
      <c r="J360" s="0" t="n">
        <v>59.65</v>
      </c>
      <c r="K360" s="0" t="n">
        <v>120</v>
      </c>
      <c r="T360" s="0" t="n">
        <v>2</v>
      </c>
      <c r="U360" s="0" t="n">
        <v>1</v>
      </c>
      <c r="V360" s="0" t="inlineStr">
        <is>
          <t>계단식</t>
        </is>
      </c>
      <c r="W360" s="0" t="inlineStr">
        <is>
          <t>69A</t>
        </is>
      </c>
      <c r="X360" s="0" t="n">
        <v>15</v>
      </c>
      <c r="Y360" s="0" t="n">
        <v>12</v>
      </c>
      <c r="Z360" s="0" t="inlineStr">
        <is>
          <t>https://new.land.naver.com/complexes/7759?tab=detail&amp;rf=Y</t>
        </is>
      </c>
      <c r="AA360" s="0" t="inlineStr">
        <is>
          <t>경상남도 창원시 의창구 북면 신촌리 995-1</t>
        </is>
      </c>
      <c r="AB360" s="0" t="inlineStr">
        <is>
          <t>경상남도</t>
        </is>
      </c>
      <c r="AC360" s="0" t="inlineStr">
        <is>
          <t>창원시</t>
        </is>
      </c>
      <c r="AD360" s="0" t="inlineStr">
        <is>
          <t>의창구</t>
        </is>
      </c>
      <c r="AE360" s="0" t="inlineStr">
        <is>
          <t>북면</t>
        </is>
      </c>
      <c r="AG360" s="0" t="inlineStr">
        <is>
          <t>경상남도 창원시 의창구 천주로 1053</t>
        </is>
      </c>
      <c r="AH360" s="0" t="n">
        <v>0</v>
      </c>
      <c r="AI360" s="0" t="n">
        <v>221</v>
      </c>
    </row>
    <row r="361">
      <c r="A361" s="0" t="inlineStr">
        <is>
          <t>[북면]</t>
        </is>
      </c>
      <c r="B361" s="0" t="n">
        <v>104533</v>
      </c>
      <c r="C361" s="0" t="n">
        <v>1</v>
      </c>
      <c r="D361" s="0" t="inlineStr">
        <is>
          <t>창원감계아내에코프리미엄</t>
        </is>
      </c>
      <c r="E361" s="0" t="inlineStr">
        <is>
          <t>2014.09.</t>
        </is>
      </c>
      <c r="F361" s="0" t="n">
        <v>812</v>
      </c>
      <c r="G361" s="0" t="n">
        <v>33.8</v>
      </c>
      <c r="H361" s="0" t="n">
        <v>111.76</v>
      </c>
      <c r="I361" s="0" t="n">
        <v>25.7</v>
      </c>
      <c r="J361" s="0" t="n">
        <v>84.98</v>
      </c>
      <c r="K361" s="0" t="n">
        <v>442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111A</t>
        </is>
      </c>
      <c r="X361" s="0" t="n">
        <v>20</v>
      </c>
      <c r="Y361" s="0" t="n">
        <v>14</v>
      </c>
      <c r="Z361" s="0" t="inlineStr">
        <is>
          <t>https://new.land.naver.com/complexes/104533?tab=detail&amp;rf=Y</t>
        </is>
      </c>
      <c r="AA361" s="0" t="inlineStr">
        <is>
          <t>경상남도 창원시 의창구 북면 감계리 227-2</t>
        </is>
      </c>
      <c r="AB361" s="0" t="inlineStr">
        <is>
          <t>경상남도</t>
        </is>
      </c>
      <c r="AC361" s="0" t="inlineStr">
        <is>
          <t>창원시</t>
        </is>
      </c>
      <c r="AD361" s="0" t="inlineStr">
        <is>
          <t>의창구</t>
        </is>
      </c>
      <c r="AE361" s="0" t="inlineStr">
        <is>
          <t>북면</t>
        </is>
      </c>
      <c r="AG361" s="0" t="inlineStr">
        <is>
          <t>경상남도 창원시 의창구 감계로 277</t>
        </is>
      </c>
      <c r="AH361" s="0" t="n">
        <v>0</v>
      </c>
      <c r="AI361" s="0" t="n">
        <v>199</v>
      </c>
    </row>
    <row r="362">
      <c r="A362" s="0" t="inlineStr">
        <is>
          <t>[북면]</t>
        </is>
      </c>
      <c r="B362" s="0" t="n">
        <v>104533</v>
      </c>
      <c r="C362" s="0" t="n">
        <v>2</v>
      </c>
      <c r="D362" s="0" t="inlineStr">
        <is>
          <t>창원감계아내에코프리미엄</t>
        </is>
      </c>
      <c r="E362" s="0" t="inlineStr">
        <is>
          <t>2014.09.</t>
        </is>
      </c>
      <c r="F362" s="0" t="n">
        <v>812</v>
      </c>
      <c r="G362" s="0" t="n">
        <v>33.67</v>
      </c>
      <c r="H362" s="0" t="n">
        <v>111.33</v>
      </c>
      <c r="I362" s="0" t="n">
        <v>25.65</v>
      </c>
      <c r="J362" s="0" t="n">
        <v>84.8</v>
      </c>
      <c r="K362" s="0" t="n">
        <v>213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111C</t>
        </is>
      </c>
      <c r="X362" s="0" t="n">
        <v>20</v>
      </c>
      <c r="Y362" s="0" t="n">
        <v>14</v>
      </c>
      <c r="Z362" s="0" t="inlineStr">
        <is>
          <t>https://new.land.naver.com/complexes/104533?tab=detail&amp;rf=Y</t>
        </is>
      </c>
      <c r="AA362" s="0" t="inlineStr">
        <is>
          <t>경상남도 창원시 의창구 북면 감계리 227-2</t>
        </is>
      </c>
      <c r="AB362" s="0" t="inlineStr">
        <is>
          <t>경상남도</t>
        </is>
      </c>
      <c r="AC362" s="0" t="inlineStr">
        <is>
          <t>창원시</t>
        </is>
      </c>
      <c r="AD362" s="0" t="inlineStr">
        <is>
          <t>의창구</t>
        </is>
      </c>
      <c r="AE362" s="0" t="inlineStr">
        <is>
          <t>북면</t>
        </is>
      </c>
      <c r="AG362" s="0" t="inlineStr">
        <is>
          <t>경상남도 창원시 의창구 감계로 277</t>
        </is>
      </c>
      <c r="AH362" s="0" t="n">
        <v>0</v>
      </c>
      <c r="AI362" s="0" t="n">
        <v>199</v>
      </c>
    </row>
    <row r="363">
      <c r="A363" s="0" t="inlineStr">
        <is>
          <t>[북면]</t>
        </is>
      </c>
      <c r="B363" s="0" t="n">
        <v>104533</v>
      </c>
      <c r="C363" s="0" t="n">
        <v>3</v>
      </c>
      <c r="D363" s="0" t="inlineStr">
        <is>
          <t>창원감계아내에코프리미엄</t>
        </is>
      </c>
      <c r="E363" s="0" t="inlineStr">
        <is>
          <t>2014.09.</t>
        </is>
      </c>
      <c r="F363" s="0" t="n">
        <v>812</v>
      </c>
      <c r="G363" s="0" t="n">
        <v>33.65</v>
      </c>
      <c r="H363" s="0" t="n">
        <v>111.25</v>
      </c>
      <c r="I363" s="0" t="n">
        <v>25.7</v>
      </c>
      <c r="J363" s="0" t="n">
        <v>84.98</v>
      </c>
      <c r="K363" s="0" t="n">
        <v>157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111B</t>
        </is>
      </c>
      <c r="X363" s="0" t="n">
        <v>20</v>
      </c>
      <c r="Y363" s="0" t="n">
        <v>14</v>
      </c>
      <c r="Z363" s="0" t="inlineStr">
        <is>
          <t>https://new.land.naver.com/complexes/104533?tab=detail&amp;rf=Y</t>
        </is>
      </c>
      <c r="AA363" s="0" t="inlineStr">
        <is>
          <t>경상남도 창원시 의창구 북면 감계리 227-2</t>
        </is>
      </c>
      <c r="AB363" s="0" t="inlineStr">
        <is>
          <t>경상남도</t>
        </is>
      </c>
      <c r="AC363" s="0" t="inlineStr">
        <is>
          <t>창원시</t>
        </is>
      </c>
      <c r="AD363" s="0" t="inlineStr">
        <is>
          <t>의창구</t>
        </is>
      </c>
      <c r="AE363" s="0" t="inlineStr">
        <is>
          <t>북면</t>
        </is>
      </c>
      <c r="AG363" s="0" t="inlineStr">
        <is>
          <t>경상남도 창원시 의창구 감계로 277</t>
        </is>
      </c>
      <c r="AH363" s="0" t="n">
        <v>0</v>
      </c>
      <c r="AI363" s="0" t="n">
        <v>199</v>
      </c>
    </row>
    <row r="364">
      <c r="A364" s="0" t="inlineStr">
        <is>
          <t>[북면]</t>
        </is>
      </c>
      <c r="B364" s="0" t="n">
        <v>105439</v>
      </c>
      <c r="C364" s="0" t="n">
        <v>1</v>
      </c>
      <c r="D364" s="0" t="inlineStr">
        <is>
          <t>창원무동STX칸2차</t>
        </is>
      </c>
      <c r="E364" s="0" t="inlineStr">
        <is>
          <t>2015.01.</t>
        </is>
      </c>
      <c r="F364" s="0" t="n">
        <v>231</v>
      </c>
      <c r="G364" s="0" t="n">
        <v>25.49</v>
      </c>
      <c r="H364" s="0" t="n">
        <v>84.28</v>
      </c>
      <c r="I364" s="0" t="n">
        <v>18.14</v>
      </c>
      <c r="J364" s="0" t="n">
        <v>59.99</v>
      </c>
      <c r="K364" s="0" t="n">
        <v>24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84A</t>
        </is>
      </c>
      <c r="X364" s="0" t="n">
        <v>14</v>
      </c>
      <c r="Y364" s="0" t="n">
        <v>13</v>
      </c>
      <c r="Z364" s="0" t="inlineStr">
        <is>
          <t>https://new.land.naver.com/complexes/105439?tab=detail&amp;rf=Y</t>
        </is>
      </c>
      <c r="AA364" s="0" t="inlineStr">
        <is>
          <t>경상남도 창원시 의창구 북면 무동리 155-1</t>
        </is>
      </c>
      <c r="AB364" s="0" t="inlineStr">
        <is>
          <t>경상남도</t>
        </is>
      </c>
      <c r="AC364" s="0" t="inlineStr">
        <is>
          <t>창원시</t>
        </is>
      </c>
      <c r="AD364" s="0" t="inlineStr">
        <is>
          <t>의창구</t>
        </is>
      </c>
      <c r="AE364" s="0" t="inlineStr">
        <is>
          <t>북면</t>
        </is>
      </c>
      <c r="AG364" s="0" t="inlineStr">
        <is>
          <t>경상남도 창원시 의창구 무동로267번길 10</t>
        </is>
      </c>
      <c r="AH364" s="0" t="n">
        <v>0</v>
      </c>
      <c r="AI364" s="0" t="n">
        <v>149</v>
      </c>
    </row>
    <row r="365">
      <c r="A365" s="0" t="inlineStr">
        <is>
          <t>[북면]</t>
        </is>
      </c>
      <c r="B365" s="0" t="n">
        <v>105439</v>
      </c>
      <c r="C365" s="0" t="n">
        <v>2</v>
      </c>
      <c r="D365" s="0" t="inlineStr">
        <is>
          <t>창원무동STX칸2차</t>
        </is>
      </c>
      <c r="E365" s="0" t="inlineStr">
        <is>
          <t>2015.01.</t>
        </is>
      </c>
      <c r="F365" s="0" t="n">
        <v>231</v>
      </c>
      <c r="G365" s="0" t="n">
        <v>34.22</v>
      </c>
      <c r="H365" s="0" t="n">
        <v>113.14</v>
      </c>
      <c r="I365" s="0" t="n">
        <v>25.7</v>
      </c>
      <c r="J365" s="0" t="n">
        <v>84.98999999999999</v>
      </c>
      <c r="K365" s="0" t="n">
        <v>104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113A</t>
        </is>
      </c>
      <c r="X365" s="0" t="n">
        <v>14</v>
      </c>
      <c r="Y365" s="0" t="n">
        <v>13</v>
      </c>
      <c r="Z365" s="0" t="inlineStr">
        <is>
          <t>https://new.land.naver.com/complexes/105439?tab=detail&amp;rf=Y</t>
        </is>
      </c>
      <c r="AA365" s="0" t="inlineStr">
        <is>
          <t>경상남도 창원시 의창구 북면 무동리 155-1</t>
        </is>
      </c>
      <c r="AB365" s="0" t="inlineStr">
        <is>
          <t>경상남도</t>
        </is>
      </c>
      <c r="AC365" s="0" t="inlineStr">
        <is>
          <t>창원시</t>
        </is>
      </c>
      <c r="AD365" s="0" t="inlineStr">
        <is>
          <t>의창구</t>
        </is>
      </c>
      <c r="AE365" s="0" t="inlineStr">
        <is>
          <t>북면</t>
        </is>
      </c>
      <c r="AG365" s="0" t="inlineStr">
        <is>
          <t>경상남도 창원시 의창구 무동로267번길 10</t>
        </is>
      </c>
      <c r="AH365" s="0" t="n">
        <v>0</v>
      </c>
      <c r="AI365" s="0" t="n">
        <v>149</v>
      </c>
    </row>
    <row r="366">
      <c r="A366" s="0" t="inlineStr">
        <is>
          <t>[북면]</t>
        </is>
      </c>
      <c r="B366" s="0" t="n">
        <v>105439</v>
      </c>
      <c r="C366" s="0" t="n">
        <v>3</v>
      </c>
      <c r="D366" s="0" t="inlineStr">
        <is>
          <t>창원무동STX칸2차</t>
        </is>
      </c>
      <c r="E366" s="0" t="inlineStr">
        <is>
          <t>2015.01.</t>
        </is>
      </c>
      <c r="F366" s="0" t="n">
        <v>231</v>
      </c>
      <c r="G366" s="0" t="n">
        <v>34.43</v>
      </c>
      <c r="H366" s="0" t="n">
        <v>113.83</v>
      </c>
      <c r="I366" s="0" t="n">
        <v>25.7</v>
      </c>
      <c r="J366" s="0" t="n">
        <v>84.98999999999999</v>
      </c>
      <c r="K366" s="0" t="n">
        <v>103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113B</t>
        </is>
      </c>
      <c r="X366" s="0" t="n">
        <v>14</v>
      </c>
      <c r="Y366" s="0" t="n">
        <v>13</v>
      </c>
      <c r="Z366" s="0" t="inlineStr">
        <is>
          <t>https://new.land.naver.com/complexes/105439?tab=detail&amp;rf=Y</t>
        </is>
      </c>
      <c r="AA366" s="0" t="inlineStr">
        <is>
          <t>경상남도 창원시 의창구 북면 무동리 155-1</t>
        </is>
      </c>
      <c r="AB366" s="0" t="inlineStr">
        <is>
          <t>경상남도</t>
        </is>
      </c>
      <c r="AC366" s="0" t="inlineStr">
        <is>
          <t>창원시</t>
        </is>
      </c>
      <c r="AD366" s="0" t="inlineStr">
        <is>
          <t>의창구</t>
        </is>
      </c>
      <c r="AE366" s="0" t="inlineStr">
        <is>
          <t>북면</t>
        </is>
      </c>
      <c r="AG366" s="0" t="inlineStr">
        <is>
          <t>경상남도 창원시 의창구 무동로267번길 10</t>
        </is>
      </c>
      <c r="AH366" s="0" t="n">
        <v>0</v>
      </c>
      <c r="AI366" s="0" t="n">
        <v>149</v>
      </c>
    </row>
    <row r="367">
      <c r="A367" s="0" t="inlineStr">
        <is>
          <t>[북면]</t>
        </is>
      </c>
      <c r="B367" s="0" t="n">
        <v>128468</v>
      </c>
      <c r="C367" s="0" t="n">
        <v>1</v>
      </c>
      <c r="D367" s="0" t="inlineStr">
        <is>
          <t>청우</t>
        </is>
      </c>
      <c r="E367" s="0" t="inlineStr">
        <is>
          <t>1992.01.</t>
        </is>
      </c>
      <c r="F367" s="0" t="n">
        <v>54</v>
      </c>
      <c r="G367" s="0" t="n">
        <v>17.25</v>
      </c>
      <c r="H367" s="0" t="n">
        <v>57.05</v>
      </c>
      <c r="I367" s="0" t="n">
        <v>15.59</v>
      </c>
      <c r="J367" s="0" t="n">
        <v>51.57</v>
      </c>
      <c r="K367" s="0" t="n">
        <v>1</v>
      </c>
      <c r="T367" s="0" t="n">
        <v>2</v>
      </c>
      <c r="U367" s="0" t="n">
        <v>1</v>
      </c>
      <c r="V367" s="0" t="inlineStr">
        <is>
          <t>복도식</t>
        </is>
      </c>
      <c r="W367" s="0" t="n">
        <v>57</v>
      </c>
      <c r="X367" s="0" t="n">
        <v>6</v>
      </c>
      <c r="Y367" s="0" t="n">
        <v>6</v>
      </c>
      <c r="Z367" s="0" t="inlineStr">
        <is>
          <t>https://new.land.naver.com/complexes/128468?tab=detail&amp;rf=Y</t>
        </is>
      </c>
      <c r="AA367" s="0" t="inlineStr">
        <is>
          <t>경상남도 창원시 의창구 북면 신촌리 959-1</t>
        </is>
      </c>
      <c r="AB367" s="0" t="inlineStr">
        <is>
          <t>경상남도</t>
        </is>
      </c>
      <c r="AC367" s="0" t="inlineStr">
        <is>
          <t>창원시</t>
        </is>
      </c>
      <c r="AD367" s="0" t="inlineStr">
        <is>
          <t>의창구</t>
        </is>
      </c>
      <c r="AE367" s="0" t="inlineStr">
        <is>
          <t>북면</t>
        </is>
      </c>
      <c r="AG367" s="0" t="inlineStr">
        <is>
          <t>경상남도 창원시 의창구 천주로1083번길 10-1</t>
        </is>
      </c>
      <c r="AH367" s="0" t="n">
        <v>0</v>
      </c>
      <c r="AI367" s="0" t="n">
        <v>0</v>
      </c>
    </row>
    <row r="368">
      <c r="A368" s="0" t="inlineStr">
        <is>
          <t>[북면]</t>
        </is>
      </c>
      <c r="B368" s="0" t="n">
        <v>128468</v>
      </c>
      <c r="C368" s="0" t="n">
        <v>2</v>
      </c>
      <c r="D368" s="0" t="inlineStr">
        <is>
          <t>청우</t>
        </is>
      </c>
      <c r="E368" s="0" t="inlineStr">
        <is>
          <t>1992.01.</t>
        </is>
      </c>
      <c r="F368" s="0" t="n">
        <v>54</v>
      </c>
      <c r="G368" s="0" t="n">
        <v>21.55</v>
      </c>
      <c r="H368" s="0" t="n">
        <v>71.23999999999999</v>
      </c>
      <c r="I368" s="0" t="n">
        <v>19.89</v>
      </c>
      <c r="J368" s="0" t="n">
        <v>65.76000000000001</v>
      </c>
      <c r="K368" s="0" t="n">
        <v>1</v>
      </c>
      <c r="T368" s="0" t="n">
        <v>3</v>
      </c>
      <c r="U368" s="0" t="n">
        <v>1</v>
      </c>
      <c r="V368" s="0" t="inlineStr">
        <is>
          <t>복도식</t>
        </is>
      </c>
      <c r="W368" s="0" t="n">
        <v>71</v>
      </c>
      <c r="X368" s="0" t="n">
        <v>6</v>
      </c>
      <c r="Y368" s="0" t="n">
        <v>6</v>
      </c>
      <c r="Z368" s="0" t="inlineStr">
        <is>
          <t>https://new.land.naver.com/complexes/128468?tab=detail&amp;rf=Y</t>
        </is>
      </c>
      <c r="AA368" s="0" t="inlineStr">
        <is>
          <t>경상남도 창원시 의창구 북면 신촌리 959-1</t>
        </is>
      </c>
      <c r="AB368" s="0" t="inlineStr">
        <is>
          <t>경상남도</t>
        </is>
      </c>
      <c r="AC368" s="0" t="inlineStr">
        <is>
          <t>창원시</t>
        </is>
      </c>
      <c r="AD368" s="0" t="inlineStr">
        <is>
          <t>의창구</t>
        </is>
      </c>
      <c r="AE368" s="0" t="inlineStr">
        <is>
          <t>북면</t>
        </is>
      </c>
      <c r="AG368" s="0" t="inlineStr">
        <is>
          <t>경상남도 창원시 의창구 천주로1083번길 10-1</t>
        </is>
      </c>
      <c r="AH368" s="0" t="n">
        <v>0</v>
      </c>
      <c r="AI368" s="0" t="n">
        <v>0</v>
      </c>
    </row>
    <row r="369">
      <c r="A369" s="0" t="inlineStr">
        <is>
          <t>[북면]</t>
        </is>
      </c>
      <c r="B369" s="0" t="n">
        <v>128468</v>
      </c>
      <c r="C369" s="0" t="n">
        <v>3</v>
      </c>
      <c r="D369" s="0" t="inlineStr">
        <is>
          <t>청우</t>
        </is>
      </c>
      <c r="E369" s="0" t="inlineStr">
        <is>
          <t>1992.01.</t>
        </is>
      </c>
      <c r="F369" s="0" t="n">
        <v>54</v>
      </c>
      <c r="G369" s="0" t="n">
        <v>22.99</v>
      </c>
      <c r="H369" s="0" t="n">
        <v>76.03</v>
      </c>
      <c r="I369" s="0" t="n">
        <v>21.02</v>
      </c>
      <c r="J369" s="0" t="n">
        <v>69.51000000000001</v>
      </c>
      <c r="K369" s="0" t="n">
        <v>24</v>
      </c>
      <c r="T369" s="0" t="n">
        <v>3</v>
      </c>
      <c r="U369" s="0" t="n">
        <v>1</v>
      </c>
      <c r="V369" s="0" t="inlineStr">
        <is>
          <t>복도식</t>
        </is>
      </c>
      <c r="W369" s="0" t="n">
        <v>76</v>
      </c>
      <c r="X369" s="0" t="n">
        <v>6</v>
      </c>
      <c r="Y369" s="0" t="n">
        <v>6</v>
      </c>
      <c r="Z369" s="0" t="inlineStr">
        <is>
          <t>https://new.land.naver.com/complexes/128468?tab=detail&amp;rf=Y</t>
        </is>
      </c>
      <c r="AA369" s="0" t="inlineStr">
        <is>
          <t>경상남도 창원시 의창구 북면 신촌리 959-1</t>
        </is>
      </c>
      <c r="AB369" s="0" t="inlineStr">
        <is>
          <t>경상남도</t>
        </is>
      </c>
      <c r="AC369" s="0" t="inlineStr">
        <is>
          <t>창원시</t>
        </is>
      </c>
      <c r="AD369" s="0" t="inlineStr">
        <is>
          <t>의창구</t>
        </is>
      </c>
      <c r="AE369" s="0" t="inlineStr">
        <is>
          <t>북면</t>
        </is>
      </c>
      <c r="AG369" s="0" t="inlineStr">
        <is>
          <t>경상남도 창원시 의창구 천주로1083번길 10-1</t>
        </is>
      </c>
      <c r="AH369" s="0" t="n">
        <v>0</v>
      </c>
      <c r="AI369" s="0" t="n">
        <v>0</v>
      </c>
    </row>
    <row r="370">
      <c r="A370" s="0" t="inlineStr">
        <is>
          <t>[북면]</t>
        </is>
      </c>
      <c r="B370" s="0" t="n">
        <v>128468</v>
      </c>
      <c r="C370" s="0" t="n">
        <v>4</v>
      </c>
      <c r="D370" s="0" t="inlineStr">
        <is>
          <t>청우</t>
        </is>
      </c>
      <c r="E370" s="0" t="inlineStr">
        <is>
          <t>1992.01.</t>
        </is>
      </c>
      <c r="F370" s="0" t="n">
        <v>54</v>
      </c>
      <c r="G370" s="0" t="n">
        <v>23.57</v>
      </c>
      <c r="H370" s="0" t="n">
        <v>77.93000000000001</v>
      </c>
      <c r="I370" s="0" t="n">
        <v>21.91</v>
      </c>
      <c r="J370" s="0" t="n">
        <v>72.45</v>
      </c>
      <c r="K370" s="0" t="n">
        <v>6</v>
      </c>
      <c r="T370" s="0" t="n">
        <v>3</v>
      </c>
      <c r="U370" s="0" t="n">
        <v>1</v>
      </c>
      <c r="V370" s="0" t="inlineStr">
        <is>
          <t>복도식</t>
        </is>
      </c>
      <c r="W370" s="0" t="inlineStr">
        <is>
          <t>77A</t>
        </is>
      </c>
      <c r="X370" s="0" t="n">
        <v>6</v>
      </c>
      <c r="Y370" s="0" t="n">
        <v>6</v>
      </c>
      <c r="Z370" s="0" t="inlineStr">
        <is>
          <t>https://new.land.naver.com/complexes/128468?tab=detail&amp;rf=Y</t>
        </is>
      </c>
      <c r="AA370" s="0" t="inlineStr">
        <is>
          <t>경상남도 창원시 의창구 북면 신촌리 959-1</t>
        </is>
      </c>
      <c r="AB370" s="0" t="inlineStr">
        <is>
          <t>경상남도</t>
        </is>
      </c>
      <c r="AC370" s="0" t="inlineStr">
        <is>
          <t>창원시</t>
        </is>
      </c>
      <c r="AD370" s="0" t="inlineStr">
        <is>
          <t>의창구</t>
        </is>
      </c>
      <c r="AE370" s="0" t="inlineStr">
        <is>
          <t>북면</t>
        </is>
      </c>
      <c r="AG370" s="0" t="inlineStr">
        <is>
          <t>경상남도 창원시 의창구 천주로1083번길 10-1</t>
        </is>
      </c>
      <c r="AH370" s="0" t="n">
        <v>0</v>
      </c>
      <c r="AI370" s="0" t="n">
        <v>0</v>
      </c>
    </row>
    <row r="371">
      <c r="A371" s="0" t="inlineStr">
        <is>
          <t>[북면]</t>
        </is>
      </c>
      <c r="B371" s="0" t="n">
        <v>128468</v>
      </c>
      <c r="C371" s="0" t="n">
        <v>5</v>
      </c>
      <c r="D371" s="0" t="inlineStr">
        <is>
          <t>청우</t>
        </is>
      </c>
      <c r="E371" s="0" t="inlineStr">
        <is>
          <t>1992.01.</t>
        </is>
      </c>
      <c r="F371" s="0" t="n">
        <v>54</v>
      </c>
      <c r="G371" s="0" t="n">
        <v>23.92</v>
      </c>
      <c r="H371" s="0" t="n">
        <v>79.09999999999999</v>
      </c>
      <c r="I371" s="0" t="n">
        <v>22.27</v>
      </c>
      <c r="J371" s="0" t="n">
        <v>73.62</v>
      </c>
      <c r="K371" s="0" t="n">
        <v>5</v>
      </c>
      <c r="T371" s="0" t="n">
        <v>3</v>
      </c>
      <c r="U371" s="0" t="n">
        <v>1</v>
      </c>
      <c r="V371" s="0" t="inlineStr">
        <is>
          <t>복도식</t>
        </is>
      </c>
      <c r="W371" s="0" t="inlineStr">
        <is>
          <t>79B</t>
        </is>
      </c>
      <c r="X371" s="0" t="n">
        <v>6</v>
      </c>
      <c r="Y371" s="0" t="n">
        <v>6</v>
      </c>
      <c r="Z371" s="0" t="inlineStr">
        <is>
          <t>https://new.land.naver.com/complexes/128468?tab=detail&amp;rf=Y</t>
        </is>
      </c>
      <c r="AA371" s="0" t="inlineStr">
        <is>
          <t>경상남도 창원시 의창구 북면 신촌리 959-1</t>
        </is>
      </c>
      <c r="AB371" s="0" t="inlineStr">
        <is>
          <t>경상남도</t>
        </is>
      </c>
      <c r="AC371" s="0" t="inlineStr">
        <is>
          <t>창원시</t>
        </is>
      </c>
      <c r="AD371" s="0" t="inlineStr">
        <is>
          <t>의창구</t>
        </is>
      </c>
      <c r="AE371" s="0" t="inlineStr">
        <is>
          <t>북면</t>
        </is>
      </c>
      <c r="AG371" s="0" t="inlineStr">
        <is>
          <t>경상남도 창원시 의창구 천주로1083번길 10-1</t>
        </is>
      </c>
      <c r="AH371" s="0" t="n">
        <v>0</v>
      </c>
      <c r="AI371" s="0" t="n">
        <v>0</v>
      </c>
    </row>
    <row r="372">
      <c r="A372" s="0" t="inlineStr">
        <is>
          <t>[북면]</t>
        </is>
      </c>
      <c r="B372" s="0" t="n">
        <v>128468</v>
      </c>
      <c r="C372" s="0" t="n">
        <v>6</v>
      </c>
      <c r="D372" s="0" t="inlineStr">
        <is>
          <t>청우</t>
        </is>
      </c>
      <c r="E372" s="0" t="inlineStr">
        <is>
          <t>1992.01.</t>
        </is>
      </c>
      <c r="F372" s="0" t="n">
        <v>54</v>
      </c>
      <c r="G372" s="0" t="n">
        <v>24.57</v>
      </c>
      <c r="H372" s="0" t="n">
        <v>81.25</v>
      </c>
      <c r="I372" s="0" t="n">
        <v>22.38</v>
      </c>
      <c r="J372" s="0" t="n">
        <v>74.01000000000001</v>
      </c>
      <c r="K372" s="0" t="n">
        <v>1</v>
      </c>
      <c r="T372" s="0" t="n">
        <v>3</v>
      </c>
      <c r="U372" s="0" t="n">
        <v>1</v>
      </c>
      <c r="V372" s="0" t="inlineStr">
        <is>
          <t>복도식</t>
        </is>
      </c>
      <c r="W372" s="0" t="inlineStr">
        <is>
          <t>81A</t>
        </is>
      </c>
      <c r="X372" s="0" t="n">
        <v>6</v>
      </c>
      <c r="Y372" s="0" t="n">
        <v>6</v>
      </c>
      <c r="Z372" s="0" t="inlineStr">
        <is>
          <t>https://new.land.naver.com/complexes/128468?tab=detail&amp;rf=Y</t>
        </is>
      </c>
      <c r="AA372" s="0" t="inlineStr">
        <is>
          <t>경상남도 창원시 의창구 북면 신촌리 959-1</t>
        </is>
      </c>
      <c r="AB372" s="0" t="inlineStr">
        <is>
          <t>경상남도</t>
        </is>
      </c>
      <c r="AC372" s="0" t="inlineStr">
        <is>
          <t>창원시</t>
        </is>
      </c>
      <c r="AD372" s="0" t="inlineStr">
        <is>
          <t>의창구</t>
        </is>
      </c>
      <c r="AE372" s="0" t="inlineStr">
        <is>
          <t>북면</t>
        </is>
      </c>
      <c r="AG372" s="0" t="inlineStr">
        <is>
          <t>경상남도 창원시 의창구 천주로1083번길 10-1</t>
        </is>
      </c>
      <c r="AH372" s="0" t="n">
        <v>0</v>
      </c>
      <c r="AI372" s="0" t="n">
        <v>0</v>
      </c>
    </row>
    <row r="373">
      <c r="A373" s="0" t="inlineStr">
        <is>
          <t>[북면]</t>
        </is>
      </c>
      <c r="B373" s="0" t="n">
        <v>128468</v>
      </c>
      <c r="C373" s="0" t="n">
        <v>7</v>
      </c>
      <c r="D373" s="0" t="inlineStr">
        <is>
          <t>청우</t>
        </is>
      </c>
      <c r="E373" s="0" t="inlineStr">
        <is>
          <t>1992.01.</t>
        </is>
      </c>
      <c r="F373" s="0" t="n">
        <v>54</v>
      </c>
      <c r="G373" s="0" t="n">
        <v>24.71</v>
      </c>
      <c r="H373" s="0" t="n">
        <v>81.7</v>
      </c>
      <c r="I373" s="0" t="n">
        <v>22.52</v>
      </c>
      <c r="J373" s="0" t="n">
        <v>74.45999999999999</v>
      </c>
      <c r="K373" s="0" t="n">
        <v>1</v>
      </c>
      <c r="T373" s="0" t="n">
        <v>3</v>
      </c>
      <c r="U373" s="0" t="n">
        <v>1</v>
      </c>
      <c r="V373" s="0" t="inlineStr">
        <is>
          <t>복도식</t>
        </is>
      </c>
      <c r="W373" s="0" t="inlineStr">
        <is>
          <t>81B</t>
        </is>
      </c>
      <c r="X373" s="0" t="n">
        <v>6</v>
      </c>
      <c r="Y373" s="0" t="n">
        <v>6</v>
      </c>
      <c r="Z373" s="0" t="inlineStr">
        <is>
          <t>https://new.land.naver.com/complexes/128468?tab=detail&amp;rf=Y</t>
        </is>
      </c>
      <c r="AA373" s="0" t="inlineStr">
        <is>
          <t>경상남도 창원시 의창구 북면 신촌리 959-1</t>
        </is>
      </c>
      <c r="AB373" s="0" t="inlineStr">
        <is>
          <t>경상남도</t>
        </is>
      </c>
      <c r="AC373" s="0" t="inlineStr">
        <is>
          <t>창원시</t>
        </is>
      </c>
      <c r="AD373" s="0" t="inlineStr">
        <is>
          <t>의창구</t>
        </is>
      </c>
      <c r="AE373" s="0" t="inlineStr">
        <is>
          <t>북면</t>
        </is>
      </c>
      <c r="AG373" s="0" t="inlineStr">
        <is>
          <t>경상남도 창원시 의창구 천주로1083번길 10-1</t>
        </is>
      </c>
      <c r="AH373" s="0" t="n">
        <v>0</v>
      </c>
      <c r="AI373" s="0" t="n">
        <v>0</v>
      </c>
    </row>
    <row r="374">
      <c r="A374" s="0" t="inlineStr">
        <is>
          <t>[북면]</t>
        </is>
      </c>
      <c r="B374" s="0" t="n">
        <v>128468</v>
      </c>
      <c r="C374" s="0" t="n">
        <v>8</v>
      </c>
      <c r="D374" s="0" t="inlineStr">
        <is>
          <t>청우</t>
        </is>
      </c>
      <c r="E374" s="0" t="inlineStr">
        <is>
          <t>1992.01.</t>
        </is>
      </c>
      <c r="F374" s="0" t="n">
        <v>54</v>
      </c>
      <c r="G374" s="0" t="n">
        <v>25.99</v>
      </c>
      <c r="H374" s="0" t="n">
        <v>85.93000000000001</v>
      </c>
      <c r="I374" s="0" t="n">
        <v>23.8</v>
      </c>
      <c r="J374" s="0" t="n">
        <v>78.69</v>
      </c>
      <c r="K374" s="0" t="n">
        <v>5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85A</t>
        </is>
      </c>
      <c r="X374" s="0" t="n">
        <v>6</v>
      </c>
      <c r="Y374" s="0" t="n">
        <v>6</v>
      </c>
      <c r="Z374" s="0" t="inlineStr">
        <is>
          <t>https://new.land.naver.com/complexes/128468?tab=detail&amp;rf=Y</t>
        </is>
      </c>
      <c r="AA374" s="0" t="inlineStr">
        <is>
          <t>경상남도 창원시 의창구 북면 신촌리 959-1</t>
        </is>
      </c>
      <c r="AB374" s="0" t="inlineStr">
        <is>
          <t>경상남도</t>
        </is>
      </c>
      <c r="AC374" s="0" t="inlineStr">
        <is>
          <t>창원시</t>
        </is>
      </c>
      <c r="AD374" s="0" t="inlineStr">
        <is>
          <t>의창구</t>
        </is>
      </c>
      <c r="AE374" s="0" t="inlineStr">
        <is>
          <t>북면</t>
        </is>
      </c>
      <c r="AG374" s="0" t="inlineStr">
        <is>
          <t>경상남도 창원시 의창구 천주로1083번길 10-1</t>
        </is>
      </c>
      <c r="AH374" s="0" t="n">
        <v>0</v>
      </c>
      <c r="AI374" s="0" t="n">
        <v>0</v>
      </c>
    </row>
    <row r="375">
      <c r="A375" s="0" t="inlineStr">
        <is>
          <t>[북면]</t>
        </is>
      </c>
      <c r="B375" s="0" t="n">
        <v>128468</v>
      </c>
      <c r="C375" s="0" t="n">
        <v>9</v>
      </c>
      <c r="D375" s="0" t="inlineStr">
        <is>
          <t>청우</t>
        </is>
      </c>
      <c r="E375" s="0" t="inlineStr">
        <is>
          <t>1992.01.</t>
        </is>
      </c>
      <c r="F375" s="0" t="n">
        <v>54</v>
      </c>
      <c r="G375" s="0" t="n">
        <v>25.8</v>
      </c>
      <c r="H375" s="0" t="n">
        <v>85.31</v>
      </c>
      <c r="I375" s="0" t="n">
        <v>24.14</v>
      </c>
      <c r="J375" s="0" t="n">
        <v>79.83</v>
      </c>
      <c r="K375" s="0" t="n">
        <v>5</v>
      </c>
      <c r="T375" s="0" t="n">
        <v>3</v>
      </c>
      <c r="U375" s="0" t="n">
        <v>2</v>
      </c>
      <c r="V375" s="0" t="inlineStr">
        <is>
          <t>복도식</t>
        </is>
      </c>
      <c r="W375" s="0" t="inlineStr">
        <is>
          <t>85B</t>
        </is>
      </c>
      <c r="X375" s="0" t="n">
        <v>6</v>
      </c>
      <c r="Y375" s="0" t="n">
        <v>6</v>
      </c>
      <c r="Z375" s="0" t="inlineStr">
        <is>
          <t>https://new.land.naver.com/complexes/128468?tab=detail&amp;rf=Y</t>
        </is>
      </c>
      <c r="AA375" s="0" t="inlineStr">
        <is>
          <t>경상남도 창원시 의창구 북면 신촌리 959-1</t>
        </is>
      </c>
      <c r="AB375" s="0" t="inlineStr">
        <is>
          <t>경상남도</t>
        </is>
      </c>
      <c r="AC375" s="0" t="inlineStr">
        <is>
          <t>창원시</t>
        </is>
      </c>
      <c r="AD375" s="0" t="inlineStr">
        <is>
          <t>의창구</t>
        </is>
      </c>
      <c r="AE375" s="0" t="inlineStr">
        <is>
          <t>북면</t>
        </is>
      </c>
      <c r="AG375" s="0" t="inlineStr">
        <is>
          <t>경상남도 창원시 의창구 천주로1083번길 10-1</t>
        </is>
      </c>
      <c r="AH375" s="0" t="n">
        <v>0</v>
      </c>
      <c r="AI375" s="0" t="n">
        <v>0</v>
      </c>
    </row>
    <row r="376">
      <c r="A376" s="0" t="inlineStr">
        <is>
          <t>[북면]</t>
        </is>
      </c>
      <c r="B376" s="0" t="n">
        <v>128468</v>
      </c>
      <c r="C376" s="0" t="n">
        <v>10</v>
      </c>
      <c r="D376" s="0" t="inlineStr">
        <is>
          <t>청우</t>
        </is>
      </c>
      <c r="E376" s="0" t="inlineStr">
        <is>
          <t>1992.01.</t>
        </is>
      </c>
      <c r="F376" s="0" t="n">
        <v>54</v>
      </c>
      <c r="G376" s="0" t="n">
        <v>26.12</v>
      </c>
      <c r="H376" s="0" t="n">
        <v>86.38</v>
      </c>
      <c r="I376" s="0" t="n">
        <v>24.18</v>
      </c>
      <c r="J376" s="0" t="n">
        <v>79.94</v>
      </c>
      <c r="K376" s="0" t="n">
        <v>5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86C</t>
        </is>
      </c>
      <c r="X376" s="0" t="n">
        <v>6</v>
      </c>
      <c r="Y376" s="0" t="n">
        <v>6</v>
      </c>
      <c r="Z376" s="0" t="inlineStr">
        <is>
          <t>https://new.land.naver.com/complexes/128468?tab=detail&amp;rf=Y</t>
        </is>
      </c>
      <c r="AA376" s="0" t="inlineStr">
        <is>
          <t>경상남도 창원시 의창구 북면 신촌리 959-1</t>
        </is>
      </c>
      <c r="AB376" s="0" t="inlineStr">
        <is>
          <t>경상남도</t>
        </is>
      </c>
      <c r="AC376" s="0" t="inlineStr">
        <is>
          <t>창원시</t>
        </is>
      </c>
      <c r="AD376" s="0" t="inlineStr">
        <is>
          <t>의창구</t>
        </is>
      </c>
      <c r="AE376" s="0" t="inlineStr">
        <is>
          <t>북면</t>
        </is>
      </c>
      <c r="AG376" s="0" t="inlineStr">
        <is>
          <t>경상남도 창원시 의창구 천주로1083번길 10-1</t>
        </is>
      </c>
      <c r="AH376" s="0" t="n">
        <v>0</v>
      </c>
      <c r="AI376" s="0" t="n">
        <v>0</v>
      </c>
    </row>
    <row r="377">
      <c r="A377" s="0" t="inlineStr">
        <is>
          <t>[북면]</t>
        </is>
      </c>
      <c r="B377" s="0" t="n">
        <v>109629</v>
      </c>
      <c r="C377" s="0" t="n">
        <v>1</v>
      </c>
      <c r="D377" s="0" t="inlineStr">
        <is>
          <t>창원감계푸르지오</t>
        </is>
      </c>
      <c r="E377" s="0" t="inlineStr">
        <is>
          <t>2017.02.</t>
        </is>
      </c>
      <c r="F377" s="0" t="n">
        <v>583</v>
      </c>
      <c r="G377" s="0" t="n">
        <v>25.94</v>
      </c>
      <c r="H377" s="0" t="n">
        <v>85.77</v>
      </c>
      <c r="I377" s="0" t="n">
        <v>18.14</v>
      </c>
      <c r="J377" s="0" t="n">
        <v>59.98</v>
      </c>
      <c r="K377" s="0" t="n">
        <v>67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85</v>
      </c>
      <c r="X377" s="0" t="n">
        <v>25</v>
      </c>
      <c r="Y377" s="0" t="n">
        <v>17</v>
      </c>
      <c r="Z377" s="0" t="inlineStr">
        <is>
          <t>https://new.land.naver.com/complexes/109629?tab=detail&amp;rf=Y</t>
        </is>
      </c>
      <c r="AA377" s="0" t="inlineStr">
        <is>
          <t>경상남도 창원시 의창구 북면 감계리 225-2</t>
        </is>
      </c>
      <c r="AB377" s="0" t="inlineStr">
        <is>
          <t>경상남도</t>
        </is>
      </c>
      <c r="AC377" s="0" t="inlineStr">
        <is>
          <t>창원시</t>
        </is>
      </c>
      <c r="AD377" s="0" t="inlineStr">
        <is>
          <t>의창구</t>
        </is>
      </c>
      <c r="AE377" s="0" t="inlineStr">
        <is>
          <t>북면</t>
        </is>
      </c>
      <c r="AG377" s="0" t="inlineStr">
        <is>
          <t>경상남도 창원시 의창구 감계로 221</t>
        </is>
      </c>
      <c r="AH377" s="0" t="n">
        <v>0</v>
      </c>
      <c r="AI377" s="0" t="n">
        <v>212</v>
      </c>
    </row>
    <row r="378">
      <c r="A378" s="0" t="inlineStr">
        <is>
          <t>[북면]</t>
        </is>
      </c>
      <c r="B378" s="0" t="n">
        <v>109629</v>
      </c>
      <c r="C378" s="0" t="n">
        <v>2</v>
      </c>
      <c r="D378" s="0" t="inlineStr">
        <is>
          <t>창원감계푸르지오</t>
        </is>
      </c>
      <c r="E378" s="0" t="inlineStr">
        <is>
          <t>2017.02.</t>
        </is>
      </c>
      <c r="F378" s="0" t="n">
        <v>583</v>
      </c>
      <c r="G378" s="0" t="n">
        <v>29.6</v>
      </c>
      <c r="H378" s="0" t="n">
        <v>97.87</v>
      </c>
      <c r="I378" s="0" t="n">
        <v>22.03</v>
      </c>
      <c r="J378" s="0" t="n">
        <v>72.84999999999999</v>
      </c>
      <c r="K378" s="0" t="n">
        <v>262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97</v>
      </c>
      <c r="X378" s="0" t="n">
        <v>25</v>
      </c>
      <c r="Y378" s="0" t="n">
        <v>17</v>
      </c>
      <c r="Z378" s="0" t="inlineStr">
        <is>
          <t>https://new.land.naver.com/complexes/109629?tab=detail&amp;rf=Y</t>
        </is>
      </c>
      <c r="AA378" s="0" t="inlineStr">
        <is>
          <t>경상남도 창원시 의창구 북면 감계리 225-2</t>
        </is>
      </c>
      <c r="AB378" s="0" t="inlineStr">
        <is>
          <t>경상남도</t>
        </is>
      </c>
      <c r="AC378" s="0" t="inlineStr">
        <is>
          <t>창원시</t>
        </is>
      </c>
      <c r="AD378" s="0" t="inlineStr">
        <is>
          <t>의창구</t>
        </is>
      </c>
      <c r="AE378" s="0" t="inlineStr">
        <is>
          <t>북면</t>
        </is>
      </c>
      <c r="AG378" s="0" t="inlineStr">
        <is>
          <t>경상남도 창원시 의창구 감계로 221</t>
        </is>
      </c>
      <c r="AH378" s="0" t="n">
        <v>0</v>
      </c>
      <c r="AI378" s="0" t="n">
        <v>212</v>
      </c>
    </row>
    <row r="379">
      <c r="A379" s="0" t="inlineStr">
        <is>
          <t>[북면]</t>
        </is>
      </c>
      <c r="B379" s="0" t="n">
        <v>109629</v>
      </c>
      <c r="C379" s="0" t="n">
        <v>3</v>
      </c>
      <c r="D379" s="0" t="inlineStr">
        <is>
          <t>창원감계푸르지오</t>
        </is>
      </c>
      <c r="E379" s="0" t="inlineStr">
        <is>
          <t>2017.02.</t>
        </is>
      </c>
      <c r="F379" s="0" t="n">
        <v>583</v>
      </c>
      <c r="G379" s="0" t="n">
        <v>34.29</v>
      </c>
      <c r="H379" s="0" t="n">
        <v>113.36</v>
      </c>
      <c r="I379" s="0" t="n">
        <v>25.67</v>
      </c>
      <c r="J379" s="0" t="n">
        <v>84.88</v>
      </c>
      <c r="K379" s="0" t="n">
        <v>254</v>
      </c>
      <c r="T379" s="0" t="n">
        <v>4</v>
      </c>
      <c r="U379" s="0" t="n">
        <v>2</v>
      </c>
      <c r="V379" s="0" t="inlineStr">
        <is>
          <t>계단식</t>
        </is>
      </c>
      <c r="W379" s="0" t="n">
        <v>113</v>
      </c>
      <c r="X379" s="0" t="n">
        <v>25</v>
      </c>
      <c r="Y379" s="0" t="n">
        <v>17</v>
      </c>
      <c r="Z379" s="0" t="inlineStr">
        <is>
          <t>https://new.land.naver.com/complexes/109629?tab=detail&amp;rf=Y</t>
        </is>
      </c>
      <c r="AA379" s="0" t="inlineStr">
        <is>
          <t>경상남도 창원시 의창구 북면 감계리 225-2</t>
        </is>
      </c>
      <c r="AB379" s="0" t="inlineStr">
        <is>
          <t>경상남도</t>
        </is>
      </c>
      <c r="AC379" s="0" t="inlineStr">
        <is>
          <t>창원시</t>
        </is>
      </c>
      <c r="AD379" s="0" t="inlineStr">
        <is>
          <t>의창구</t>
        </is>
      </c>
      <c r="AE379" s="0" t="inlineStr">
        <is>
          <t>북면</t>
        </is>
      </c>
      <c r="AG379" s="0" t="inlineStr">
        <is>
          <t>경상남도 창원시 의창구 감계로 221</t>
        </is>
      </c>
      <c r="AH379" s="0" t="n">
        <v>0</v>
      </c>
      <c r="AI379" s="0" t="n">
        <v>212</v>
      </c>
    </row>
    <row r="380">
      <c r="A380" s="0" t="inlineStr">
        <is>
          <t>[북면]</t>
        </is>
      </c>
      <c r="B380" s="0" t="n">
        <v>105156</v>
      </c>
      <c r="C380" s="0" t="n">
        <v>1</v>
      </c>
      <c r="D380" s="0" t="inlineStr">
        <is>
          <t>창원감계힐스테이트3차</t>
        </is>
      </c>
      <c r="E380" s="0" t="inlineStr">
        <is>
          <t>2014.12.</t>
        </is>
      </c>
      <c r="F380" s="0" t="n">
        <v>630</v>
      </c>
      <c r="G380" s="0" t="n">
        <v>34.78</v>
      </c>
      <c r="H380" s="0" t="n">
        <v>114.98</v>
      </c>
      <c r="I380" s="0" t="n">
        <v>25.64</v>
      </c>
      <c r="J380" s="0" t="n">
        <v>84.77</v>
      </c>
      <c r="K380" s="0" t="n">
        <v>274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114A</t>
        </is>
      </c>
      <c r="X380" s="0" t="n">
        <v>23</v>
      </c>
      <c r="Y380" s="0" t="n">
        <v>15</v>
      </c>
      <c r="Z380" s="0" t="inlineStr">
        <is>
          <t>https://new.land.naver.com/complexes/105156?tab=detail&amp;rf=Y</t>
        </is>
      </c>
      <c r="AA380" s="0" t="inlineStr">
        <is>
          <t>경상남도 창원시 의창구 북면 감계리 227-1</t>
        </is>
      </c>
      <c r="AB380" s="0" t="inlineStr">
        <is>
          <t>경상남도</t>
        </is>
      </c>
      <c r="AC380" s="0" t="inlineStr">
        <is>
          <t>창원시</t>
        </is>
      </c>
      <c r="AD380" s="0" t="inlineStr">
        <is>
          <t>의창구</t>
        </is>
      </c>
      <c r="AE380" s="0" t="inlineStr">
        <is>
          <t>북면</t>
        </is>
      </c>
      <c r="AG380" s="0" t="inlineStr">
        <is>
          <t>경상남도 창원시 의창구 감계로 259</t>
        </is>
      </c>
      <c r="AH380" s="0" t="n">
        <v>0</v>
      </c>
      <c r="AI380" s="0" t="n">
        <v>210</v>
      </c>
    </row>
    <row r="381">
      <c r="A381" s="0" t="inlineStr">
        <is>
          <t>[북면]</t>
        </is>
      </c>
      <c r="B381" s="0" t="n">
        <v>105156</v>
      </c>
      <c r="C381" s="0" t="n">
        <v>2</v>
      </c>
      <c r="D381" s="0" t="inlineStr">
        <is>
          <t>창원감계힐스테이트3차</t>
        </is>
      </c>
      <c r="E381" s="0" t="inlineStr">
        <is>
          <t>2014.12.</t>
        </is>
      </c>
      <c r="F381" s="0" t="n">
        <v>630</v>
      </c>
      <c r="G381" s="0" t="n">
        <v>34.7</v>
      </c>
      <c r="H381" s="0" t="n">
        <v>114.74</v>
      </c>
      <c r="I381" s="0" t="n">
        <v>25.64</v>
      </c>
      <c r="J381" s="0" t="n">
        <v>84.77</v>
      </c>
      <c r="K381" s="0" t="n">
        <v>145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114B</t>
        </is>
      </c>
      <c r="X381" s="0" t="n">
        <v>23</v>
      </c>
      <c r="Y381" s="0" t="n">
        <v>15</v>
      </c>
      <c r="Z381" s="0" t="inlineStr">
        <is>
          <t>https://new.land.naver.com/complexes/105156?tab=detail&amp;rf=Y</t>
        </is>
      </c>
      <c r="AA381" s="0" t="inlineStr">
        <is>
          <t>경상남도 창원시 의창구 북면 감계리 227-1</t>
        </is>
      </c>
      <c r="AB381" s="0" t="inlineStr">
        <is>
          <t>경상남도</t>
        </is>
      </c>
      <c r="AC381" s="0" t="inlineStr">
        <is>
          <t>창원시</t>
        </is>
      </c>
      <c r="AD381" s="0" t="inlineStr">
        <is>
          <t>의창구</t>
        </is>
      </c>
      <c r="AE381" s="0" t="inlineStr">
        <is>
          <t>북면</t>
        </is>
      </c>
      <c r="AG381" s="0" t="inlineStr">
        <is>
          <t>경상남도 창원시 의창구 감계로 259</t>
        </is>
      </c>
      <c r="AH381" s="0" t="n">
        <v>0</v>
      </c>
      <c r="AI381" s="0" t="n">
        <v>210</v>
      </c>
    </row>
    <row r="382">
      <c r="A382" s="0" t="inlineStr">
        <is>
          <t>[북면]</t>
        </is>
      </c>
      <c r="B382" s="0" t="n">
        <v>105156</v>
      </c>
      <c r="C382" s="0" t="n">
        <v>3</v>
      </c>
      <c r="D382" s="0" t="inlineStr">
        <is>
          <t>창원감계힐스테이트3차</t>
        </is>
      </c>
      <c r="E382" s="0" t="inlineStr">
        <is>
          <t>2014.12.</t>
        </is>
      </c>
      <c r="F382" s="0" t="n">
        <v>630</v>
      </c>
      <c r="G382" s="0" t="n">
        <v>34.65</v>
      </c>
      <c r="H382" s="0" t="n">
        <v>114.55</v>
      </c>
      <c r="I382" s="0" t="n">
        <v>25.63</v>
      </c>
      <c r="J382" s="0" t="n">
        <v>84.73</v>
      </c>
      <c r="K382" s="0" t="n">
        <v>145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114C</t>
        </is>
      </c>
      <c r="X382" s="0" t="n">
        <v>23</v>
      </c>
      <c r="Y382" s="0" t="n">
        <v>15</v>
      </c>
      <c r="Z382" s="0" t="inlineStr">
        <is>
          <t>https://new.land.naver.com/complexes/105156?tab=detail&amp;rf=Y</t>
        </is>
      </c>
      <c r="AA382" s="0" t="inlineStr">
        <is>
          <t>경상남도 창원시 의창구 북면 감계리 227-1</t>
        </is>
      </c>
      <c r="AB382" s="0" t="inlineStr">
        <is>
          <t>경상남도</t>
        </is>
      </c>
      <c r="AC382" s="0" t="inlineStr">
        <is>
          <t>창원시</t>
        </is>
      </c>
      <c r="AD382" s="0" t="inlineStr">
        <is>
          <t>의창구</t>
        </is>
      </c>
      <c r="AE382" s="0" t="inlineStr">
        <is>
          <t>북면</t>
        </is>
      </c>
      <c r="AG382" s="0" t="inlineStr">
        <is>
          <t>경상남도 창원시 의창구 감계로 259</t>
        </is>
      </c>
      <c r="AH382" s="0" t="n">
        <v>0</v>
      </c>
      <c r="AI382" s="0" t="n">
        <v>210</v>
      </c>
    </row>
    <row r="383">
      <c r="A383" s="0" t="inlineStr">
        <is>
          <t>[북면]</t>
        </is>
      </c>
      <c r="B383" s="0" t="n">
        <v>105156</v>
      </c>
      <c r="C383" s="0" t="n">
        <v>4</v>
      </c>
      <c r="D383" s="0" t="inlineStr">
        <is>
          <t>창원감계힐스테이트3차</t>
        </is>
      </c>
      <c r="E383" s="0" t="inlineStr">
        <is>
          <t>2014.12.</t>
        </is>
      </c>
      <c r="F383" s="0" t="n">
        <v>630</v>
      </c>
      <c r="G383" s="0" t="n">
        <v>39.97</v>
      </c>
      <c r="H383" s="0" t="n">
        <v>132.15</v>
      </c>
      <c r="I383" s="0" t="n">
        <v>30.74</v>
      </c>
      <c r="J383" s="0" t="n">
        <v>101.65</v>
      </c>
      <c r="K383" s="0" t="n">
        <v>66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132</v>
      </c>
      <c r="X383" s="0" t="n">
        <v>23</v>
      </c>
      <c r="Y383" s="0" t="n">
        <v>15</v>
      </c>
      <c r="Z383" s="0" t="inlineStr">
        <is>
          <t>https://new.land.naver.com/complexes/105156?tab=detail&amp;rf=Y</t>
        </is>
      </c>
      <c r="AA383" s="0" t="inlineStr">
        <is>
          <t>경상남도 창원시 의창구 북면 감계리 227-1</t>
        </is>
      </c>
      <c r="AB383" s="0" t="inlineStr">
        <is>
          <t>경상남도</t>
        </is>
      </c>
      <c r="AC383" s="0" t="inlineStr">
        <is>
          <t>창원시</t>
        </is>
      </c>
      <c r="AD383" s="0" t="inlineStr">
        <is>
          <t>의창구</t>
        </is>
      </c>
      <c r="AE383" s="0" t="inlineStr">
        <is>
          <t>북면</t>
        </is>
      </c>
      <c r="AG383" s="0" t="inlineStr">
        <is>
          <t>경상남도 창원시 의창구 감계로 259</t>
        </is>
      </c>
      <c r="AH383" s="0" t="n">
        <v>0</v>
      </c>
      <c r="AI383" s="0" t="n">
        <v>210</v>
      </c>
    </row>
    <row r="384">
      <c r="A384" s="0" t="inlineStr">
        <is>
          <t>[북면]</t>
        </is>
      </c>
      <c r="B384" s="0" t="n">
        <v>102512</v>
      </c>
      <c r="C384" s="0" t="n">
        <v>1</v>
      </c>
      <c r="D384" s="0" t="inlineStr">
        <is>
          <t>창원무동휴먼빌1단지</t>
        </is>
      </c>
      <c r="E384" s="0" t="inlineStr">
        <is>
          <t>2013.06.</t>
        </is>
      </c>
      <c r="F384" s="0" t="n">
        <v>546</v>
      </c>
      <c r="G384" s="0" t="n">
        <v>24.28</v>
      </c>
      <c r="H384" s="0" t="n">
        <v>80.29000000000001</v>
      </c>
      <c r="I384" s="0" t="n">
        <v>18.14</v>
      </c>
      <c r="J384" s="0" t="n">
        <v>59.99</v>
      </c>
      <c r="K384" s="0" t="n">
        <v>54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80</v>
      </c>
      <c r="X384" s="0" t="n">
        <v>20</v>
      </c>
      <c r="Y384" s="0" t="n">
        <v>16</v>
      </c>
      <c r="Z384" s="0" t="inlineStr">
        <is>
          <t>https://new.land.naver.com/complexes/102512?tab=detail&amp;rf=Y</t>
        </is>
      </c>
      <c r="AA384" s="0" t="inlineStr">
        <is>
          <t>경상남도 창원시 의창구 북면 무동리 123-1</t>
        </is>
      </c>
      <c r="AB384" s="0" t="inlineStr">
        <is>
          <t>경상남도</t>
        </is>
      </c>
      <c r="AC384" s="0" t="inlineStr">
        <is>
          <t>창원시</t>
        </is>
      </c>
      <c r="AD384" s="0" t="inlineStr">
        <is>
          <t>의창구</t>
        </is>
      </c>
      <c r="AE384" s="0" t="inlineStr">
        <is>
          <t>북면</t>
        </is>
      </c>
      <c r="AG384" s="0" t="inlineStr">
        <is>
          <t>경상남도 창원시 의창구 동곡로 33</t>
        </is>
      </c>
      <c r="AH384" s="0" t="n">
        <v>0</v>
      </c>
      <c r="AI384" s="0" t="n">
        <v>193</v>
      </c>
    </row>
    <row r="385">
      <c r="A385" s="0" t="inlineStr">
        <is>
          <t>[북면]</t>
        </is>
      </c>
      <c r="B385" s="0" t="n">
        <v>102512</v>
      </c>
      <c r="C385" s="0" t="n">
        <v>2</v>
      </c>
      <c r="D385" s="0" t="inlineStr">
        <is>
          <t>창원무동휴먼빌1단지</t>
        </is>
      </c>
      <c r="E385" s="0" t="inlineStr">
        <is>
          <t>2013.06.</t>
        </is>
      </c>
      <c r="F385" s="0" t="n">
        <v>546</v>
      </c>
      <c r="G385" s="0" t="n">
        <v>34.43</v>
      </c>
      <c r="H385" s="0" t="n">
        <v>113.82</v>
      </c>
      <c r="I385" s="0" t="n">
        <v>25.7</v>
      </c>
      <c r="J385" s="0" t="n">
        <v>84.98999999999999</v>
      </c>
      <c r="K385" s="0" t="n">
        <v>359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113A</t>
        </is>
      </c>
      <c r="X385" s="0" t="n">
        <v>20</v>
      </c>
      <c r="Y385" s="0" t="n">
        <v>16</v>
      </c>
      <c r="Z385" s="0" t="inlineStr">
        <is>
          <t>https://new.land.naver.com/complexes/102512?tab=detail&amp;rf=Y</t>
        </is>
      </c>
      <c r="AA385" s="0" t="inlineStr">
        <is>
          <t>경상남도 창원시 의창구 북면 무동리 123-1</t>
        </is>
      </c>
      <c r="AB385" s="0" t="inlineStr">
        <is>
          <t>경상남도</t>
        </is>
      </c>
      <c r="AC385" s="0" t="inlineStr">
        <is>
          <t>창원시</t>
        </is>
      </c>
      <c r="AD385" s="0" t="inlineStr">
        <is>
          <t>의창구</t>
        </is>
      </c>
      <c r="AE385" s="0" t="inlineStr">
        <is>
          <t>북면</t>
        </is>
      </c>
      <c r="AG385" s="0" t="inlineStr">
        <is>
          <t>경상남도 창원시 의창구 동곡로 33</t>
        </is>
      </c>
      <c r="AH385" s="0" t="n">
        <v>0</v>
      </c>
      <c r="AI385" s="0" t="n">
        <v>193</v>
      </c>
    </row>
    <row r="386">
      <c r="A386" s="0" t="inlineStr">
        <is>
          <t>[북면]</t>
        </is>
      </c>
      <c r="B386" s="0" t="n">
        <v>102512</v>
      </c>
      <c r="C386" s="0" t="n">
        <v>3</v>
      </c>
      <c r="D386" s="0" t="inlineStr">
        <is>
          <t>창원무동휴먼빌1단지</t>
        </is>
      </c>
      <c r="E386" s="0" t="inlineStr">
        <is>
          <t>2013.06.</t>
        </is>
      </c>
      <c r="F386" s="0" t="n">
        <v>546</v>
      </c>
      <c r="G386" s="0" t="n">
        <v>34.33</v>
      </c>
      <c r="H386" s="0" t="n">
        <v>113.51</v>
      </c>
      <c r="I386" s="0" t="n">
        <v>25.7</v>
      </c>
      <c r="J386" s="0" t="n">
        <v>84.98999999999999</v>
      </c>
      <c r="K386" s="0" t="n">
        <v>133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113B</t>
        </is>
      </c>
      <c r="X386" s="0" t="n">
        <v>20</v>
      </c>
      <c r="Y386" s="0" t="n">
        <v>16</v>
      </c>
      <c r="Z386" s="0" t="inlineStr">
        <is>
          <t>https://new.land.naver.com/complexes/102512?tab=detail&amp;rf=Y</t>
        </is>
      </c>
      <c r="AA386" s="0" t="inlineStr">
        <is>
          <t>경상남도 창원시 의창구 북면 무동리 123-1</t>
        </is>
      </c>
      <c r="AB386" s="0" t="inlineStr">
        <is>
          <t>경상남도</t>
        </is>
      </c>
      <c r="AC386" s="0" t="inlineStr">
        <is>
          <t>창원시</t>
        </is>
      </c>
      <c r="AD386" s="0" t="inlineStr">
        <is>
          <t>의창구</t>
        </is>
      </c>
      <c r="AE386" s="0" t="inlineStr">
        <is>
          <t>북면</t>
        </is>
      </c>
      <c r="AG386" s="0" t="inlineStr">
        <is>
          <t>경상남도 창원시 의창구 동곡로 33</t>
        </is>
      </c>
      <c r="AH386" s="0" t="n">
        <v>0</v>
      </c>
      <c r="AI386" s="0" t="n">
        <v>193</v>
      </c>
    </row>
    <row r="387">
      <c r="A387" s="0" t="inlineStr">
        <is>
          <t>[북면]</t>
        </is>
      </c>
      <c r="B387" s="0" t="n">
        <v>105152</v>
      </c>
      <c r="C387" s="0" t="n">
        <v>1</v>
      </c>
      <c r="D387" s="0" t="inlineStr">
        <is>
          <t>창원무동지구휴먼빌3단지</t>
        </is>
      </c>
      <c r="E387" s="0" t="inlineStr">
        <is>
          <t>2014.12.</t>
        </is>
      </c>
      <c r="F387" s="0" t="n">
        <v>451</v>
      </c>
      <c r="G387" s="0" t="n">
        <v>24.71</v>
      </c>
      <c r="H387" s="0" t="n">
        <v>81.69</v>
      </c>
      <c r="I387" s="0" t="n">
        <v>18.14</v>
      </c>
      <c r="J387" s="0" t="n">
        <v>59.97</v>
      </c>
      <c r="K387" s="0" t="n">
        <v>117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81</v>
      </c>
      <c r="X387" s="0" t="n">
        <v>22</v>
      </c>
      <c r="Y387" s="0" t="n">
        <v>15</v>
      </c>
      <c r="Z387" s="0" t="inlineStr">
        <is>
          <t>https://new.land.naver.com/complexes/105152?tab=detail&amp;rf=Y</t>
        </is>
      </c>
      <c r="AA387" s="0" t="inlineStr">
        <is>
          <t>경상남도 창원시 의창구 북면 무동리 144-1</t>
        </is>
      </c>
      <c r="AB387" s="0" t="inlineStr">
        <is>
          <t>경상남도</t>
        </is>
      </c>
      <c r="AC387" s="0" t="inlineStr">
        <is>
          <t>창원시</t>
        </is>
      </c>
      <c r="AD387" s="0" t="inlineStr">
        <is>
          <t>의창구</t>
        </is>
      </c>
      <c r="AE387" s="0" t="inlineStr">
        <is>
          <t>북면</t>
        </is>
      </c>
      <c r="AG387" s="0" t="inlineStr">
        <is>
          <t>경상남도 창원시 의창구 무동로226번길 19</t>
        </is>
      </c>
      <c r="AH387" s="0" t="n">
        <v>0</v>
      </c>
      <c r="AI387" s="0" t="n">
        <v>195</v>
      </c>
    </row>
    <row r="388">
      <c r="A388" s="0" t="inlineStr">
        <is>
          <t>[북면]</t>
        </is>
      </c>
      <c r="B388" s="0" t="n">
        <v>105152</v>
      </c>
      <c r="C388" s="0" t="n">
        <v>2</v>
      </c>
      <c r="D388" s="0" t="inlineStr">
        <is>
          <t>창원무동지구휴먼빌3단지</t>
        </is>
      </c>
      <c r="E388" s="0" t="inlineStr">
        <is>
          <t>2014.12.</t>
        </is>
      </c>
      <c r="F388" s="0" t="n">
        <v>451</v>
      </c>
      <c r="G388" s="0" t="n">
        <v>34.93</v>
      </c>
      <c r="H388" s="0" t="n">
        <v>115.49</v>
      </c>
      <c r="I388" s="0" t="n">
        <v>25.7</v>
      </c>
      <c r="J388" s="0" t="n">
        <v>84.98</v>
      </c>
      <c r="K388" s="0" t="n">
        <v>212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115A</t>
        </is>
      </c>
      <c r="X388" s="0" t="n">
        <v>22</v>
      </c>
      <c r="Y388" s="0" t="n">
        <v>15</v>
      </c>
      <c r="Z388" s="0" t="inlineStr">
        <is>
          <t>https://new.land.naver.com/complexes/105152?tab=detail&amp;rf=Y</t>
        </is>
      </c>
      <c r="AA388" s="0" t="inlineStr">
        <is>
          <t>경상남도 창원시 의창구 북면 무동리 144-1</t>
        </is>
      </c>
      <c r="AB388" s="0" t="inlineStr">
        <is>
          <t>경상남도</t>
        </is>
      </c>
      <c r="AC388" s="0" t="inlineStr">
        <is>
          <t>창원시</t>
        </is>
      </c>
      <c r="AD388" s="0" t="inlineStr">
        <is>
          <t>의창구</t>
        </is>
      </c>
      <c r="AE388" s="0" t="inlineStr">
        <is>
          <t>북면</t>
        </is>
      </c>
      <c r="AG388" s="0" t="inlineStr">
        <is>
          <t>경상남도 창원시 의창구 무동로226번길 19</t>
        </is>
      </c>
      <c r="AH388" s="0" t="n">
        <v>0</v>
      </c>
      <c r="AI388" s="0" t="n">
        <v>195</v>
      </c>
    </row>
    <row r="389">
      <c r="A389" s="0" t="inlineStr">
        <is>
          <t>[북면]</t>
        </is>
      </c>
      <c r="B389" s="0" t="n">
        <v>105152</v>
      </c>
      <c r="C389" s="0" t="n">
        <v>3</v>
      </c>
      <c r="D389" s="0" t="inlineStr">
        <is>
          <t>창원무동지구휴먼빌3단지</t>
        </is>
      </c>
      <c r="E389" s="0" t="inlineStr">
        <is>
          <t>2014.12.</t>
        </is>
      </c>
      <c r="F389" s="0" t="n">
        <v>451</v>
      </c>
      <c r="G389" s="0" t="n">
        <v>34.96</v>
      </c>
      <c r="H389" s="0" t="n">
        <v>115.6</v>
      </c>
      <c r="I389" s="0" t="n">
        <v>25.69</v>
      </c>
      <c r="J389" s="0" t="n">
        <v>84.95</v>
      </c>
      <c r="K389" s="0" t="n">
        <v>122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115B</t>
        </is>
      </c>
      <c r="X389" s="0" t="n">
        <v>22</v>
      </c>
      <c r="Y389" s="0" t="n">
        <v>15</v>
      </c>
      <c r="Z389" s="0" t="inlineStr">
        <is>
          <t>https://new.land.naver.com/complexes/105152?tab=detail&amp;rf=Y</t>
        </is>
      </c>
      <c r="AA389" s="0" t="inlineStr">
        <is>
          <t>경상남도 창원시 의창구 북면 무동리 144-1</t>
        </is>
      </c>
      <c r="AB389" s="0" t="inlineStr">
        <is>
          <t>경상남도</t>
        </is>
      </c>
      <c r="AC389" s="0" t="inlineStr">
        <is>
          <t>창원시</t>
        </is>
      </c>
      <c r="AD389" s="0" t="inlineStr">
        <is>
          <t>의창구</t>
        </is>
      </c>
      <c r="AE389" s="0" t="inlineStr">
        <is>
          <t>북면</t>
        </is>
      </c>
      <c r="AG389" s="0" t="inlineStr">
        <is>
          <t>경상남도 창원시 의창구 무동로226번길 19</t>
        </is>
      </c>
      <c r="AH389" s="0" t="n">
        <v>0</v>
      </c>
      <c r="AI389" s="0" t="n">
        <v>195</v>
      </c>
    </row>
    <row r="390">
      <c r="A390" s="0" t="inlineStr">
        <is>
          <t>[북면]</t>
        </is>
      </c>
      <c r="B390" s="0" t="n">
        <v>104218</v>
      </c>
      <c r="C390" s="0" t="n">
        <v>1</v>
      </c>
      <c r="D390" s="0" t="inlineStr">
        <is>
          <t>감계휴먼빌</t>
        </is>
      </c>
      <c r="E390" s="0" t="inlineStr">
        <is>
          <t>2014.03.</t>
        </is>
      </c>
      <c r="F390" s="0" t="n">
        <v>697</v>
      </c>
      <c r="G390" s="0" t="n">
        <v>24.58</v>
      </c>
      <c r="H390" s="0" t="n">
        <v>81.28</v>
      </c>
      <c r="I390" s="0" t="n">
        <v>18.14</v>
      </c>
      <c r="J390" s="0" t="n">
        <v>59.97</v>
      </c>
      <c r="K390" s="0" t="n">
        <v>134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81</v>
      </c>
      <c r="X390" s="0" t="n">
        <v>21</v>
      </c>
      <c r="Y390" s="0" t="n">
        <v>14</v>
      </c>
      <c r="Z390" s="0" t="inlineStr">
        <is>
          <t>https://new.land.naver.com/complexes/104218?tab=detail&amp;rf=Y</t>
        </is>
      </c>
      <c r="AA390" s="0" t="inlineStr">
        <is>
          <t>경상남도 창원시 의창구 북면 감계리 229-1</t>
        </is>
      </c>
      <c r="AB390" s="0" t="inlineStr">
        <is>
          <t>경상남도</t>
        </is>
      </c>
      <c r="AC390" s="0" t="inlineStr">
        <is>
          <t>창원시</t>
        </is>
      </c>
      <c r="AD390" s="0" t="inlineStr">
        <is>
          <t>의창구</t>
        </is>
      </c>
      <c r="AE390" s="0" t="inlineStr">
        <is>
          <t>북면</t>
        </is>
      </c>
      <c r="AG390" s="0" t="inlineStr">
        <is>
          <t>경상남도 창원시 의창구 감계로 297</t>
        </is>
      </c>
      <c r="AH390" s="0" t="n">
        <v>0</v>
      </c>
      <c r="AI390" s="0" t="n">
        <v>196</v>
      </c>
    </row>
    <row r="391">
      <c r="A391" s="0" t="inlineStr">
        <is>
          <t>[북면]</t>
        </is>
      </c>
      <c r="B391" s="0" t="n">
        <v>104218</v>
      </c>
      <c r="C391" s="0" t="n">
        <v>2</v>
      </c>
      <c r="D391" s="0" t="inlineStr">
        <is>
          <t>감계휴먼빌</t>
        </is>
      </c>
      <c r="E391" s="0" t="inlineStr">
        <is>
          <t>2014.03.</t>
        </is>
      </c>
      <c r="F391" s="0" t="n">
        <v>697</v>
      </c>
      <c r="G391" s="0" t="n">
        <v>34.72</v>
      </c>
      <c r="H391" s="0" t="n">
        <v>114.78</v>
      </c>
      <c r="I391" s="0" t="n">
        <v>25.69</v>
      </c>
      <c r="J391" s="0" t="n">
        <v>84.93000000000001</v>
      </c>
      <c r="K391" s="0" t="n">
        <v>297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114B</t>
        </is>
      </c>
      <c r="X391" s="0" t="n">
        <v>21</v>
      </c>
      <c r="Y391" s="0" t="n">
        <v>14</v>
      </c>
      <c r="Z391" s="0" t="inlineStr">
        <is>
          <t>https://new.land.naver.com/complexes/104218?tab=detail&amp;rf=Y</t>
        </is>
      </c>
      <c r="AA391" s="0" t="inlineStr">
        <is>
          <t>경상남도 창원시 의창구 북면 감계리 229-1</t>
        </is>
      </c>
      <c r="AB391" s="0" t="inlineStr">
        <is>
          <t>경상남도</t>
        </is>
      </c>
      <c r="AC391" s="0" t="inlineStr">
        <is>
          <t>창원시</t>
        </is>
      </c>
      <c r="AD391" s="0" t="inlineStr">
        <is>
          <t>의창구</t>
        </is>
      </c>
      <c r="AE391" s="0" t="inlineStr">
        <is>
          <t>북면</t>
        </is>
      </c>
      <c r="AG391" s="0" t="inlineStr">
        <is>
          <t>경상남도 창원시 의창구 감계로 297</t>
        </is>
      </c>
      <c r="AH391" s="0" t="n">
        <v>0</v>
      </c>
      <c r="AI391" s="0" t="n">
        <v>196</v>
      </c>
    </row>
    <row r="392">
      <c r="A392" s="0" t="inlineStr">
        <is>
          <t>[북면]</t>
        </is>
      </c>
      <c r="B392" s="0" t="n">
        <v>104218</v>
      </c>
      <c r="C392" s="0" t="n">
        <v>3</v>
      </c>
      <c r="D392" s="0" t="inlineStr">
        <is>
          <t>감계휴먼빌</t>
        </is>
      </c>
      <c r="E392" s="0" t="inlineStr">
        <is>
          <t>2014.03.</t>
        </is>
      </c>
      <c r="F392" s="0" t="n">
        <v>697</v>
      </c>
      <c r="G392" s="0" t="n">
        <v>34.73</v>
      </c>
      <c r="H392" s="0" t="n">
        <v>114.82</v>
      </c>
      <c r="I392" s="0" t="n">
        <v>25.69</v>
      </c>
      <c r="J392" s="0" t="n">
        <v>84.95</v>
      </c>
      <c r="K392" s="0" t="n">
        <v>266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114A</t>
        </is>
      </c>
      <c r="X392" s="0" t="n">
        <v>21</v>
      </c>
      <c r="Y392" s="0" t="n">
        <v>14</v>
      </c>
      <c r="Z392" s="0" t="inlineStr">
        <is>
          <t>https://new.land.naver.com/complexes/104218?tab=detail&amp;rf=Y</t>
        </is>
      </c>
      <c r="AA392" s="0" t="inlineStr">
        <is>
          <t>경상남도 창원시 의창구 북면 감계리 229-1</t>
        </is>
      </c>
      <c r="AB392" s="0" t="inlineStr">
        <is>
          <t>경상남도</t>
        </is>
      </c>
      <c r="AC392" s="0" t="inlineStr">
        <is>
          <t>창원시</t>
        </is>
      </c>
      <c r="AD392" s="0" t="inlineStr">
        <is>
          <t>의창구</t>
        </is>
      </c>
      <c r="AE392" s="0" t="inlineStr">
        <is>
          <t>북면</t>
        </is>
      </c>
      <c r="AG392" s="0" t="inlineStr">
        <is>
          <t>경상남도 창원시 의창구 감계로 297</t>
        </is>
      </c>
      <c r="AH392" s="0" t="n">
        <v>0</v>
      </c>
      <c r="AI392" s="0" t="n">
        <v>196</v>
      </c>
    </row>
    <row r="393">
      <c r="A393" s="0" t="inlineStr">
        <is>
          <t>[북면]</t>
        </is>
      </c>
      <c r="B393" s="0" t="n">
        <v>105440</v>
      </c>
      <c r="C393" s="0" t="n">
        <v>1</v>
      </c>
      <c r="D393" s="0" t="inlineStr">
        <is>
          <t>창원무동STX칸1차</t>
        </is>
      </c>
      <c r="E393" s="0" t="inlineStr">
        <is>
          <t>2015.01.</t>
        </is>
      </c>
      <c r="F393" s="0" t="n">
        <v>854</v>
      </c>
      <c r="G393" s="0" t="n">
        <v>25.24</v>
      </c>
      <c r="H393" s="0" t="n">
        <v>83.45999999999999</v>
      </c>
      <c r="I393" s="0" t="n">
        <v>18.14</v>
      </c>
      <c r="J393" s="0" t="n">
        <v>59.99</v>
      </c>
      <c r="K393" s="0" t="n">
        <v>43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83A</t>
        </is>
      </c>
      <c r="X393" s="0" t="n">
        <v>22</v>
      </c>
      <c r="Y393" s="0" t="n">
        <v>14</v>
      </c>
      <c r="Z393" s="0" t="inlineStr">
        <is>
          <t>https://new.land.naver.com/complexes/105440?tab=detail&amp;rf=Y</t>
        </is>
      </c>
      <c r="AA393" s="0" t="inlineStr">
        <is>
          <t>경상남도 창원시 의창구 북면 무동리 104-1</t>
        </is>
      </c>
      <c r="AB393" s="0" t="inlineStr">
        <is>
          <t>경상남도</t>
        </is>
      </c>
      <c r="AC393" s="0" t="inlineStr">
        <is>
          <t>창원시</t>
        </is>
      </c>
      <c r="AD393" s="0" t="inlineStr">
        <is>
          <t>의창구</t>
        </is>
      </c>
      <c r="AE393" s="0" t="inlineStr">
        <is>
          <t>북면</t>
        </is>
      </c>
      <c r="AG393" s="0" t="inlineStr">
        <is>
          <t>경상남도 창원시 의창구 무동서로 76</t>
        </is>
      </c>
      <c r="AH393" s="0" t="n">
        <v>0</v>
      </c>
      <c r="AI393" s="0" t="n">
        <v>199</v>
      </c>
    </row>
    <row r="394">
      <c r="A394" s="0" t="inlineStr">
        <is>
          <t>[북면]</t>
        </is>
      </c>
      <c r="B394" s="0" t="n">
        <v>105440</v>
      </c>
      <c r="C394" s="0" t="n">
        <v>2</v>
      </c>
      <c r="D394" s="0" t="inlineStr">
        <is>
          <t>창원무동STX칸1차</t>
        </is>
      </c>
      <c r="E394" s="0" t="inlineStr">
        <is>
          <t>2015.01.</t>
        </is>
      </c>
      <c r="F394" s="0" t="n">
        <v>854</v>
      </c>
      <c r="G394" s="0" t="n">
        <v>25.42</v>
      </c>
      <c r="H394" s="0" t="n">
        <v>84.05</v>
      </c>
      <c r="I394" s="0" t="n">
        <v>18.14</v>
      </c>
      <c r="J394" s="0" t="n">
        <v>59.99</v>
      </c>
      <c r="K394" s="0" t="n">
        <v>44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84B</t>
        </is>
      </c>
      <c r="X394" s="0" t="n">
        <v>22</v>
      </c>
      <c r="Y394" s="0" t="n">
        <v>14</v>
      </c>
      <c r="Z394" s="0" t="inlineStr">
        <is>
          <t>https://new.land.naver.com/complexes/105440?tab=detail&amp;rf=Y</t>
        </is>
      </c>
      <c r="AA394" s="0" t="inlineStr">
        <is>
          <t>경상남도 창원시 의창구 북면 무동리 104-1</t>
        </is>
      </c>
      <c r="AB394" s="0" t="inlineStr">
        <is>
          <t>경상남도</t>
        </is>
      </c>
      <c r="AC394" s="0" t="inlineStr">
        <is>
          <t>창원시</t>
        </is>
      </c>
      <c r="AD394" s="0" t="inlineStr">
        <is>
          <t>의창구</t>
        </is>
      </c>
      <c r="AE394" s="0" t="inlineStr">
        <is>
          <t>북면</t>
        </is>
      </c>
      <c r="AG394" s="0" t="inlineStr">
        <is>
          <t>경상남도 창원시 의창구 무동서로 76</t>
        </is>
      </c>
      <c r="AH394" s="0" t="n">
        <v>0</v>
      </c>
      <c r="AI394" s="0" t="n">
        <v>199</v>
      </c>
    </row>
    <row r="395">
      <c r="A395" s="0" t="inlineStr">
        <is>
          <t>[북면]</t>
        </is>
      </c>
      <c r="B395" s="0" t="n">
        <v>105440</v>
      </c>
      <c r="C395" s="0" t="n">
        <v>3</v>
      </c>
      <c r="D395" s="0" t="inlineStr">
        <is>
          <t>창원무동STX칸1차</t>
        </is>
      </c>
      <c r="E395" s="0" t="inlineStr">
        <is>
          <t>2015.01.</t>
        </is>
      </c>
      <c r="F395" s="0" t="n">
        <v>854</v>
      </c>
      <c r="G395" s="0" t="n">
        <v>34.05</v>
      </c>
      <c r="H395" s="0" t="n">
        <v>112.59</v>
      </c>
      <c r="I395" s="0" t="n">
        <v>25.7</v>
      </c>
      <c r="J395" s="0" t="n">
        <v>84.98999999999999</v>
      </c>
      <c r="K395" s="0" t="n">
        <v>449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112A</t>
        </is>
      </c>
      <c r="X395" s="0" t="n">
        <v>22</v>
      </c>
      <c r="Y395" s="0" t="n">
        <v>14</v>
      </c>
      <c r="Z395" s="0" t="inlineStr">
        <is>
          <t>https://new.land.naver.com/complexes/105440?tab=detail&amp;rf=Y</t>
        </is>
      </c>
      <c r="AA395" s="0" t="inlineStr">
        <is>
          <t>경상남도 창원시 의창구 북면 무동리 104-1</t>
        </is>
      </c>
      <c r="AB395" s="0" t="inlineStr">
        <is>
          <t>경상남도</t>
        </is>
      </c>
      <c r="AC395" s="0" t="inlineStr">
        <is>
          <t>창원시</t>
        </is>
      </c>
      <c r="AD395" s="0" t="inlineStr">
        <is>
          <t>의창구</t>
        </is>
      </c>
      <c r="AE395" s="0" t="inlineStr">
        <is>
          <t>북면</t>
        </is>
      </c>
      <c r="AG395" s="0" t="inlineStr">
        <is>
          <t>경상남도 창원시 의창구 무동서로 76</t>
        </is>
      </c>
      <c r="AH395" s="0" t="n">
        <v>0</v>
      </c>
      <c r="AI395" s="0" t="n">
        <v>199</v>
      </c>
    </row>
    <row r="396">
      <c r="A396" s="0" t="inlineStr">
        <is>
          <t>[북면]</t>
        </is>
      </c>
      <c r="B396" s="0" t="n">
        <v>105440</v>
      </c>
      <c r="C396" s="0" t="n">
        <v>4</v>
      </c>
      <c r="D396" s="0" t="inlineStr">
        <is>
          <t>창원무동STX칸1차</t>
        </is>
      </c>
      <c r="E396" s="0" t="inlineStr">
        <is>
          <t>2015.01.</t>
        </is>
      </c>
      <c r="F396" s="0" t="n">
        <v>854</v>
      </c>
      <c r="G396" s="0" t="n">
        <v>34.27</v>
      </c>
      <c r="H396" s="0" t="n">
        <v>113.29</v>
      </c>
      <c r="I396" s="0" t="n">
        <v>25.7</v>
      </c>
      <c r="J396" s="0" t="n">
        <v>84.98999999999999</v>
      </c>
      <c r="K396" s="0" t="n">
        <v>318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113B</t>
        </is>
      </c>
      <c r="X396" s="0" t="n">
        <v>22</v>
      </c>
      <c r="Y396" s="0" t="n">
        <v>14</v>
      </c>
      <c r="Z396" s="0" t="inlineStr">
        <is>
          <t>https://new.land.naver.com/complexes/105440?tab=detail&amp;rf=Y</t>
        </is>
      </c>
      <c r="AA396" s="0" t="inlineStr">
        <is>
          <t>경상남도 창원시 의창구 북면 무동리 104-1</t>
        </is>
      </c>
      <c r="AB396" s="0" t="inlineStr">
        <is>
          <t>경상남도</t>
        </is>
      </c>
      <c r="AC396" s="0" t="inlineStr">
        <is>
          <t>창원시</t>
        </is>
      </c>
      <c r="AD396" s="0" t="inlineStr">
        <is>
          <t>의창구</t>
        </is>
      </c>
      <c r="AE396" s="0" t="inlineStr">
        <is>
          <t>북면</t>
        </is>
      </c>
      <c r="AG396" s="0" t="inlineStr">
        <is>
          <t>경상남도 창원시 의창구 무동서로 76</t>
        </is>
      </c>
      <c r="AH396" s="0" t="n">
        <v>0</v>
      </c>
      <c r="AI396" s="0" t="n">
        <v>199</v>
      </c>
    </row>
    <row r="397">
      <c r="A397" s="0" t="inlineStr">
        <is>
          <t>[북면]</t>
        </is>
      </c>
      <c r="B397" s="0" t="n">
        <v>110155</v>
      </c>
      <c r="C397" s="0" t="n">
        <v>1</v>
      </c>
      <c r="D397" s="0" t="inlineStr">
        <is>
          <t>창원감계힐스테이트2차</t>
        </is>
      </c>
      <c r="E397" s="0" t="inlineStr">
        <is>
          <t>2017.10.</t>
        </is>
      </c>
      <c r="F397" s="0" t="n">
        <v>836</v>
      </c>
      <c r="G397" s="0" t="n">
        <v>25.9</v>
      </c>
      <c r="H397" s="0" t="n">
        <v>85.63</v>
      </c>
      <c r="I397" s="0" t="n">
        <v>17.93</v>
      </c>
      <c r="J397" s="0" t="n">
        <v>59.28</v>
      </c>
      <c r="K397" s="0" t="n">
        <v>147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85</v>
      </c>
      <c r="X397" s="0" t="n">
        <v>25</v>
      </c>
      <c r="Y397" s="0" t="n">
        <v>13</v>
      </c>
      <c r="Z397" s="0" t="inlineStr">
        <is>
          <t>https://new.land.naver.com/complexes/110155?tab=detail&amp;rf=Y</t>
        </is>
      </c>
      <c r="AA397" s="0" t="inlineStr">
        <is>
          <t>경상남도 창원시 의창구 북면 감계리 231-10</t>
        </is>
      </c>
      <c r="AB397" s="0" t="inlineStr">
        <is>
          <t>경상남도</t>
        </is>
      </c>
      <c r="AC397" s="0" t="inlineStr">
        <is>
          <t>창원시</t>
        </is>
      </c>
      <c r="AD397" s="0" t="inlineStr">
        <is>
          <t>의창구</t>
        </is>
      </c>
      <c r="AE397" s="0" t="inlineStr">
        <is>
          <t>북면</t>
        </is>
      </c>
      <c r="AG397" s="0" t="inlineStr">
        <is>
          <t>경상남도 창원시 의창구 감계로 341</t>
        </is>
      </c>
      <c r="AH397" s="0" t="n">
        <v>0</v>
      </c>
      <c r="AI397" s="0" t="n">
        <v>214</v>
      </c>
    </row>
    <row r="398">
      <c r="A398" s="0" t="inlineStr">
        <is>
          <t>[북면]</t>
        </is>
      </c>
      <c r="B398" s="0" t="n">
        <v>110155</v>
      </c>
      <c r="C398" s="0" t="n">
        <v>2</v>
      </c>
      <c r="D398" s="0" t="inlineStr">
        <is>
          <t>창원감계힐스테이트2차</t>
        </is>
      </c>
      <c r="E398" s="0" t="inlineStr">
        <is>
          <t>2017.10.</t>
        </is>
      </c>
      <c r="F398" s="0" t="n">
        <v>836</v>
      </c>
      <c r="G398" s="0" t="n">
        <v>28.95</v>
      </c>
      <c r="H398" s="0" t="n">
        <v>95.72</v>
      </c>
      <c r="I398" s="0" t="n">
        <v>21.2</v>
      </c>
      <c r="J398" s="0" t="n">
        <v>70.09999999999999</v>
      </c>
      <c r="K398" s="0" t="n">
        <v>215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95</v>
      </c>
      <c r="X398" s="0" t="n">
        <v>25</v>
      </c>
      <c r="Y398" s="0" t="n">
        <v>13</v>
      </c>
      <c r="Z398" s="0" t="inlineStr">
        <is>
          <t>https://new.land.naver.com/complexes/110155?tab=detail&amp;rf=Y</t>
        </is>
      </c>
      <c r="AA398" s="0" t="inlineStr">
        <is>
          <t>경상남도 창원시 의창구 북면 감계리 231-10</t>
        </is>
      </c>
      <c r="AB398" s="0" t="inlineStr">
        <is>
          <t>경상남도</t>
        </is>
      </c>
      <c r="AC398" s="0" t="inlineStr">
        <is>
          <t>창원시</t>
        </is>
      </c>
      <c r="AD398" s="0" t="inlineStr">
        <is>
          <t>의창구</t>
        </is>
      </c>
      <c r="AE398" s="0" t="inlineStr">
        <is>
          <t>북면</t>
        </is>
      </c>
      <c r="AG398" s="0" t="inlineStr">
        <is>
          <t>경상남도 창원시 의창구 감계로 341</t>
        </is>
      </c>
      <c r="AH398" s="0" t="n">
        <v>0</v>
      </c>
      <c r="AI398" s="0" t="n">
        <v>214</v>
      </c>
    </row>
    <row r="399">
      <c r="A399" s="0" t="inlineStr">
        <is>
          <t>[북면]</t>
        </is>
      </c>
      <c r="B399" s="0" t="n">
        <v>110155</v>
      </c>
      <c r="C399" s="0" t="n">
        <v>3</v>
      </c>
      <c r="D399" s="0" t="inlineStr">
        <is>
          <t>창원감계힐스테이트2차</t>
        </is>
      </c>
      <c r="E399" s="0" t="inlineStr">
        <is>
          <t>2017.10.</t>
        </is>
      </c>
      <c r="F399" s="0" t="n">
        <v>836</v>
      </c>
      <c r="G399" s="0" t="n">
        <v>33.9</v>
      </c>
      <c r="H399" s="0" t="n">
        <v>112.08</v>
      </c>
      <c r="I399" s="0" t="n">
        <v>25.66</v>
      </c>
      <c r="J399" s="0" t="n">
        <v>84.84999999999999</v>
      </c>
      <c r="K399" s="0" t="n">
        <v>284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112A</t>
        </is>
      </c>
      <c r="X399" s="0" t="n">
        <v>25</v>
      </c>
      <c r="Y399" s="0" t="n">
        <v>13</v>
      </c>
      <c r="Z399" s="0" t="inlineStr">
        <is>
          <t>https://new.land.naver.com/complexes/110155?tab=detail&amp;rf=Y</t>
        </is>
      </c>
      <c r="AA399" s="0" t="inlineStr">
        <is>
          <t>경상남도 창원시 의창구 북면 감계리 231-10</t>
        </is>
      </c>
      <c r="AB399" s="0" t="inlineStr">
        <is>
          <t>경상남도</t>
        </is>
      </c>
      <c r="AC399" s="0" t="inlineStr">
        <is>
          <t>창원시</t>
        </is>
      </c>
      <c r="AD399" s="0" t="inlineStr">
        <is>
          <t>의창구</t>
        </is>
      </c>
      <c r="AE399" s="0" t="inlineStr">
        <is>
          <t>북면</t>
        </is>
      </c>
      <c r="AG399" s="0" t="inlineStr">
        <is>
          <t>경상남도 창원시 의창구 감계로 341</t>
        </is>
      </c>
      <c r="AH399" s="0" t="n">
        <v>0</v>
      </c>
      <c r="AI399" s="0" t="n">
        <v>214</v>
      </c>
    </row>
    <row r="400">
      <c r="A400" s="0" t="inlineStr">
        <is>
          <t>[북면]</t>
        </is>
      </c>
      <c r="B400" s="0" t="n">
        <v>110155</v>
      </c>
      <c r="C400" s="0" t="n">
        <v>4</v>
      </c>
      <c r="D400" s="0" t="inlineStr">
        <is>
          <t>창원감계힐스테이트2차</t>
        </is>
      </c>
      <c r="E400" s="0" t="inlineStr">
        <is>
          <t>2017.10.</t>
        </is>
      </c>
      <c r="F400" s="0" t="n">
        <v>836</v>
      </c>
      <c r="G400" s="0" t="n">
        <v>33.92</v>
      </c>
      <c r="H400" s="0" t="n">
        <v>112.14</v>
      </c>
      <c r="I400" s="0" t="n">
        <v>25.44</v>
      </c>
      <c r="J400" s="0" t="n">
        <v>84.11</v>
      </c>
      <c r="K400" s="0" t="n">
        <v>101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112B</t>
        </is>
      </c>
      <c r="X400" s="0" t="n">
        <v>25</v>
      </c>
      <c r="Y400" s="0" t="n">
        <v>13</v>
      </c>
      <c r="Z400" s="0" t="inlineStr">
        <is>
          <t>https://new.land.naver.com/complexes/110155?tab=detail&amp;rf=Y</t>
        </is>
      </c>
      <c r="AA400" s="0" t="inlineStr">
        <is>
          <t>경상남도 창원시 의창구 북면 감계리 231-10</t>
        </is>
      </c>
      <c r="AB400" s="0" t="inlineStr">
        <is>
          <t>경상남도</t>
        </is>
      </c>
      <c r="AC400" s="0" t="inlineStr">
        <is>
          <t>창원시</t>
        </is>
      </c>
      <c r="AD400" s="0" t="inlineStr">
        <is>
          <t>의창구</t>
        </is>
      </c>
      <c r="AE400" s="0" t="inlineStr">
        <is>
          <t>북면</t>
        </is>
      </c>
      <c r="AG400" s="0" t="inlineStr">
        <is>
          <t>경상남도 창원시 의창구 감계로 341</t>
        </is>
      </c>
      <c r="AH400" s="0" t="n">
        <v>0</v>
      </c>
      <c r="AI400" s="0" t="n">
        <v>214</v>
      </c>
    </row>
    <row r="401">
      <c r="A401" s="0" t="inlineStr">
        <is>
          <t>[북면]</t>
        </is>
      </c>
      <c r="B401" s="0" t="n">
        <v>110155</v>
      </c>
      <c r="C401" s="0" t="n">
        <v>5</v>
      </c>
      <c r="D401" s="0" t="inlineStr">
        <is>
          <t>창원감계힐스테이트2차</t>
        </is>
      </c>
      <c r="E401" s="0" t="inlineStr">
        <is>
          <t>2017.10.</t>
        </is>
      </c>
      <c r="F401" s="0" t="n">
        <v>836</v>
      </c>
      <c r="G401" s="0" t="n">
        <v>39.96</v>
      </c>
      <c r="H401" s="0" t="n">
        <v>132.11</v>
      </c>
      <c r="I401" s="0" t="n">
        <v>30.66</v>
      </c>
      <c r="J401" s="0" t="n">
        <v>101.38</v>
      </c>
      <c r="K401" s="0" t="n">
        <v>89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132</v>
      </c>
      <c r="X401" s="0" t="n">
        <v>25</v>
      </c>
      <c r="Y401" s="0" t="n">
        <v>13</v>
      </c>
      <c r="Z401" s="0" t="inlineStr">
        <is>
          <t>https://new.land.naver.com/complexes/110155?tab=detail&amp;rf=Y</t>
        </is>
      </c>
      <c r="AA401" s="0" t="inlineStr">
        <is>
          <t>경상남도 창원시 의창구 북면 감계리 231-10</t>
        </is>
      </c>
      <c r="AB401" s="0" t="inlineStr">
        <is>
          <t>경상남도</t>
        </is>
      </c>
      <c r="AC401" s="0" t="inlineStr">
        <is>
          <t>창원시</t>
        </is>
      </c>
      <c r="AD401" s="0" t="inlineStr">
        <is>
          <t>의창구</t>
        </is>
      </c>
      <c r="AE401" s="0" t="inlineStr">
        <is>
          <t>북면</t>
        </is>
      </c>
      <c r="AG401" s="0" t="inlineStr">
        <is>
          <t>경상남도 창원시 의창구 감계로 341</t>
        </is>
      </c>
      <c r="AH401" s="0" t="n">
        <v>0</v>
      </c>
      <c r="AI401" s="0" t="n">
        <v>214</v>
      </c>
    </row>
    <row r="402">
      <c r="A402" s="0" t="inlineStr">
        <is>
          <t>[북면]</t>
        </is>
      </c>
      <c r="B402" s="0" t="n">
        <v>113261</v>
      </c>
      <c r="C402" s="0" t="n">
        <v>1</v>
      </c>
      <c r="D402" s="0" t="inlineStr">
        <is>
          <t>창원감계아내에코프리미엄2차</t>
        </is>
      </c>
      <c r="E402" s="0" t="inlineStr">
        <is>
          <t>2019.01.</t>
        </is>
      </c>
      <c r="F402" s="0" t="n">
        <v>1393</v>
      </c>
      <c r="G402" s="0" t="n">
        <v>25.73</v>
      </c>
      <c r="H402" s="0" t="n">
        <v>85.06999999999999</v>
      </c>
      <c r="I402" s="0" t="n">
        <v>18.11</v>
      </c>
      <c r="J402" s="0" t="n">
        <v>59.89</v>
      </c>
      <c r="K402" s="0" t="n">
        <v>408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85</v>
      </c>
      <c r="X402" s="0" t="n">
        <v>23</v>
      </c>
      <c r="Y402" s="0" t="n">
        <v>16</v>
      </c>
      <c r="Z402" s="0" t="inlineStr">
        <is>
          <t>https://new.land.naver.com/complexes/113261?tab=detail&amp;rf=Y</t>
        </is>
      </c>
      <c r="AA402" s="0" t="inlineStr">
        <is>
          <t>경상남도 창원시 의창구 북면 감계리 232-1</t>
        </is>
      </c>
      <c r="AB402" s="0" t="inlineStr">
        <is>
          <t>경상남도</t>
        </is>
      </c>
      <c r="AC402" s="0" t="inlineStr">
        <is>
          <t>창원시</t>
        </is>
      </c>
      <c r="AD402" s="0" t="inlineStr">
        <is>
          <t>의창구</t>
        </is>
      </c>
      <c r="AE402" s="0" t="inlineStr">
        <is>
          <t>북면</t>
        </is>
      </c>
      <c r="AG402" s="0" t="inlineStr">
        <is>
          <t>경상남도 창원시 의창구 감계로 342</t>
        </is>
      </c>
      <c r="AH402" s="0" t="n">
        <v>0</v>
      </c>
      <c r="AI402" s="0" t="n">
        <v>199</v>
      </c>
    </row>
    <row r="403">
      <c r="A403" s="0" t="inlineStr">
        <is>
          <t>[북면]</t>
        </is>
      </c>
      <c r="B403" s="0" t="n">
        <v>113261</v>
      </c>
      <c r="C403" s="0" t="n">
        <v>2</v>
      </c>
      <c r="D403" s="0" t="inlineStr">
        <is>
          <t>창원감계아내에코프리미엄2차</t>
        </is>
      </c>
      <c r="E403" s="0" t="inlineStr">
        <is>
          <t>2019.01.</t>
        </is>
      </c>
      <c r="F403" s="0" t="n">
        <v>1393</v>
      </c>
      <c r="G403" s="0" t="n">
        <v>29.51</v>
      </c>
      <c r="H403" s="0" t="n">
        <v>97.56999999999999</v>
      </c>
      <c r="I403" s="0" t="n">
        <v>21.35</v>
      </c>
      <c r="J403" s="0" t="n">
        <v>70.59</v>
      </c>
      <c r="K403" s="0" t="n">
        <v>174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97A</t>
        </is>
      </c>
      <c r="X403" s="0" t="n">
        <v>23</v>
      </c>
      <c r="Y403" s="0" t="n">
        <v>16</v>
      </c>
      <c r="Z403" s="0" t="inlineStr">
        <is>
          <t>https://new.land.naver.com/complexes/113261?tab=detail&amp;rf=Y</t>
        </is>
      </c>
      <c r="AA403" s="0" t="inlineStr">
        <is>
          <t>경상남도 창원시 의창구 북면 감계리 232-1</t>
        </is>
      </c>
      <c r="AB403" s="0" t="inlineStr">
        <is>
          <t>경상남도</t>
        </is>
      </c>
      <c r="AC403" s="0" t="inlineStr">
        <is>
          <t>창원시</t>
        </is>
      </c>
      <c r="AD403" s="0" t="inlineStr">
        <is>
          <t>의창구</t>
        </is>
      </c>
      <c r="AE403" s="0" t="inlineStr">
        <is>
          <t>북면</t>
        </is>
      </c>
      <c r="AG403" s="0" t="inlineStr">
        <is>
          <t>경상남도 창원시 의창구 감계로 342</t>
        </is>
      </c>
      <c r="AH403" s="0" t="n">
        <v>0</v>
      </c>
      <c r="AI403" s="0" t="n">
        <v>199</v>
      </c>
    </row>
    <row r="404">
      <c r="A404" s="0" t="inlineStr">
        <is>
          <t>[북면]</t>
        </is>
      </c>
      <c r="B404" s="0" t="n">
        <v>113261</v>
      </c>
      <c r="C404" s="0" t="n">
        <v>3</v>
      </c>
      <c r="D404" s="0" t="inlineStr">
        <is>
          <t>창원감계아내에코프리미엄2차</t>
        </is>
      </c>
      <c r="E404" s="0" t="inlineStr">
        <is>
          <t>2019.01.</t>
        </is>
      </c>
      <c r="F404" s="0" t="n">
        <v>1393</v>
      </c>
      <c r="G404" s="0" t="n">
        <v>29.57</v>
      </c>
      <c r="H404" s="0" t="n">
        <v>97.76000000000001</v>
      </c>
      <c r="I404" s="0" t="n">
        <v>21.44</v>
      </c>
      <c r="J404" s="0" t="n">
        <v>70.89</v>
      </c>
      <c r="K404" s="0" t="n">
        <v>172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97B</t>
        </is>
      </c>
      <c r="X404" s="0" t="n">
        <v>23</v>
      </c>
      <c r="Y404" s="0" t="n">
        <v>16</v>
      </c>
      <c r="Z404" s="0" t="inlineStr">
        <is>
          <t>https://new.land.naver.com/complexes/113261?tab=detail&amp;rf=Y</t>
        </is>
      </c>
      <c r="AA404" s="0" t="inlineStr">
        <is>
          <t>경상남도 창원시 의창구 북면 감계리 232-1</t>
        </is>
      </c>
      <c r="AB404" s="0" t="inlineStr">
        <is>
          <t>경상남도</t>
        </is>
      </c>
      <c r="AC404" s="0" t="inlineStr">
        <is>
          <t>창원시</t>
        </is>
      </c>
      <c r="AD404" s="0" t="inlineStr">
        <is>
          <t>의창구</t>
        </is>
      </c>
      <c r="AE404" s="0" t="inlineStr">
        <is>
          <t>북면</t>
        </is>
      </c>
      <c r="AG404" s="0" t="inlineStr">
        <is>
          <t>경상남도 창원시 의창구 감계로 342</t>
        </is>
      </c>
      <c r="AH404" s="0" t="n">
        <v>0</v>
      </c>
      <c r="AI404" s="0" t="n">
        <v>199</v>
      </c>
    </row>
    <row r="405">
      <c r="A405" s="0" t="inlineStr">
        <is>
          <t>[북면]</t>
        </is>
      </c>
      <c r="B405" s="0" t="n">
        <v>113261</v>
      </c>
      <c r="C405" s="0" t="n">
        <v>4</v>
      </c>
      <c r="D405" s="0" t="inlineStr">
        <is>
          <t>창원감계아내에코프리미엄2차</t>
        </is>
      </c>
      <c r="E405" s="0" t="inlineStr">
        <is>
          <t>2019.01.</t>
        </is>
      </c>
      <c r="F405" s="0" t="n">
        <v>1393</v>
      </c>
      <c r="G405" s="0" t="n">
        <v>34.05</v>
      </c>
      <c r="H405" s="0" t="n">
        <v>112.57</v>
      </c>
      <c r="I405" s="0" t="n">
        <v>25.56</v>
      </c>
      <c r="J405" s="0" t="n">
        <v>84.5</v>
      </c>
      <c r="K405" s="0" t="n">
        <v>285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23</v>
      </c>
      <c r="Y405" s="0" t="n">
        <v>16</v>
      </c>
      <c r="Z405" s="0" t="inlineStr">
        <is>
          <t>https://new.land.naver.com/complexes/113261?tab=detail&amp;rf=Y</t>
        </is>
      </c>
      <c r="AA405" s="0" t="inlineStr">
        <is>
          <t>경상남도 창원시 의창구 북면 감계리 232-1</t>
        </is>
      </c>
      <c r="AB405" s="0" t="inlineStr">
        <is>
          <t>경상남도</t>
        </is>
      </c>
      <c r="AC405" s="0" t="inlineStr">
        <is>
          <t>창원시</t>
        </is>
      </c>
      <c r="AD405" s="0" t="inlineStr">
        <is>
          <t>의창구</t>
        </is>
      </c>
      <c r="AE405" s="0" t="inlineStr">
        <is>
          <t>북면</t>
        </is>
      </c>
      <c r="AG405" s="0" t="inlineStr">
        <is>
          <t>경상남도 창원시 의창구 감계로 342</t>
        </is>
      </c>
      <c r="AH405" s="0" t="n">
        <v>0</v>
      </c>
      <c r="AI405" s="0" t="n">
        <v>199</v>
      </c>
    </row>
    <row r="406">
      <c r="A406" s="0" t="inlineStr">
        <is>
          <t>[북면]</t>
        </is>
      </c>
      <c r="B406" s="0" t="n">
        <v>113261</v>
      </c>
      <c r="C406" s="0" t="n">
        <v>5</v>
      </c>
      <c r="D406" s="0" t="inlineStr">
        <is>
          <t>창원감계아내에코프리미엄2차</t>
        </is>
      </c>
      <c r="E406" s="0" t="inlineStr">
        <is>
          <t>2019.01.</t>
        </is>
      </c>
      <c r="F406" s="0" t="n">
        <v>1393</v>
      </c>
      <c r="G406" s="0" t="n">
        <v>34.2</v>
      </c>
      <c r="H406" s="0" t="n">
        <v>113.06</v>
      </c>
      <c r="I406" s="0" t="n">
        <v>25.67</v>
      </c>
      <c r="J406" s="0" t="n">
        <v>84.87</v>
      </c>
      <c r="K406" s="0" t="n">
        <v>354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113B</t>
        </is>
      </c>
      <c r="X406" s="0" t="n">
        <v>23</v>
      </c>
      <c r="Y406" s="0" t="n">
        <v>16</v>
      </c>
      <c r="Z406" s="0" t="inlineStr">
        <is>
          <t>https://new.land.naver.com/complexes/113261?tab=detail&amp;rf=Y</t>
        </is>
      </c>
      <c r="AA406" s="0" t="inlineStr">
        <is>
          <t>경상남도 창원시 의창구 북면 감계리 232-1</t>
        </is>
      </c>
      <c r="AB406" s="0" t="inlineStr">
        <is>
          <t>경상남도</t>
        </is>
      </c>
      <c r="AC406" s="0" t="inlineStr">
        <is>
          <t>창원시</t>
        </is>
      </c>
      <c r="AD406" s="0" t="inlineStr">
        <is>
          <t>의창구</t>
        </is>
      </c>
      <c r="AE406" s="0" t="inlineStr">
        <is>
          <t>북면</t>
        </is>
      </c>
      <c r="AG406" s="0" t="inlineStr">
        <is>
          <t>경상남도 창원시 의창구 감계로 342</t>
        </is>
      </c>
      <c r="AH406" s="0" t="n">
        <v>0</v>
      </c>
      <c r="AI406" s="0" t="n">
        <v>199</v>
      </c>
    </row>
    <row r="407">
      <c r="A407" s="0" t="inlineStr">
        <is>
          <t>[서상동]</t>
        </is>
      </c>
      <c r="B407" s="0" t="n">
        <v>135986</v>
      </c>
      <c r="C407" s="0" t="n">
        <v>1</v>
      </c>
      <c r="D407" s="0" t="inlineStr">
        <is>
          <t>일심골든타워</t>
        </is>
      </c>
      <c r="E407" s="0" t="inlineStr">
        <is>
          <t>2019.11.</t>
        </is>
      </c>
      <c r="F407" s="0" t="n">
        <v>18</v>
      </c>
      <c r="G407" s="0" t="n">
        <v>35.25</v>
      </c>
      <c r="H407" s="0" t="n">
        <v>116.56</v>
      </c>
      <c r="I407" s="0" t="n">
        <v>25.69</v>
      </c>
      <c r="J407" s="0" t="n">
        <v>84.94</v>
      </c>
      <c r="K407" s="0" t="n">
        <v>18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116</v>
      </c>
      <c r="X407" s="0" t="n">
        <v>11</v>
      </c>
      <c r="Y407" s="0" t="n">
        <v>11</v>
      </c>
      <c r="Z407" s="0" t="inlineStr">
        <is>
          <t>https://new.land.naver.com/complexes/135986?tab=detail&amp;rf=Y</t>
        </is>
      </c>
      <c r="AA407" s="0" t="inlineStr">
        <is>
          <t>경상남도 창원시 의창구 서상동 213-2</t>
        </is>
      </c>
      <c r="AB407" s="0" t="inlineStr">
        <is>
          <t>경상남도</t>
        </is>
      </c>
      <c r="AC407" s="0" t="inlineStr">
        <is>
          <t>창원시</t>
        </is>
      </c>
      <c r="AD407" s="0" t="inlineStr">
        <is>
          <t>의창구</t>
        </is>
      </c>
      <c r="AE407" s="0" t="inlineStr">
        <is>
          <t>서상동</t>
        </is>
      </c>
      <c r="AG407" s="0" t="inlineStr">
        <is>
          <t>경상남도 창원시 의창구 서상로12번길 29</t>
        </is>
      </c>
      <c r="AH407" s="0" t="n">
        <v>0</v>
      </c>
      <c r="AI407" s="0" t="n">
        <v>296</v>
      </c>
    </row>
    <row r="408">
      <c r="A408" s="0" t="inlineStr">
        <is>
          <t>[서상동]</t>
        </is>
      </c>
      <c r="B408" s="0" t="n">
        <v>125733</v>
      </c>
      <c r="C408" s="0" t="n">
        <v>1</v>
      </c>
      <c r="D408" s="0" t="inlineStr">
        <is>
          <t>목화데파트</t>
        </is>
      </c>
      <c r="E408" s="0" t="inlineStr">
        <is>
          <t>1991.06.</t>
        </is>
      </c>
      <c r="F408" s="0" t="n">
        <v>19</v>
      </c>
      <c r="G408" s="0" t="n">
        <v>27.34</v>
      </c>
      <c r="H408" s="0" t="n">
        <v>90.41</v>
      </c>
      <c r="I408" s="0" t="n">
        <v>23.36</v>
      </c>
      <c r="J408" s="0" t="n">
        <v>77.25</v>
      </c>
      <c r="K408" s="0" t="n">
        <v>4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90</v>
      </c>
      <c r="X408" s="0" t="n">
        <v>7</v>
      </c>
      <c r="Y408" s="0" t="n">
        <v>6</v>
      </c>
      <c r="Z408" s="0" t="inlineStr">
        <is>
          <t>https://new.land.naver.com/complexes/125733?tab=detail&amp;rf=Y</t>
        </is>
      </c>
      <c r="AA408" s="0" t="inlineStr">
        <is>
          <t>경상남도 창원시 의창구 서상동 309-8</t>
        </is>
      </c>
      <c r="AB408" s="0" t="inlineStr">
        <is>
          <t>경상남도</t>
        </is>
      </c>
      <c r="AC408" s="0" t="inlineStr">
        <is>
          <t>창원시</t>
        </is>
      </c>
      <c r="AD408" s="0" t="inlineStr">
        <is>
          <t>의창구</t>
        </is>
      </c>
      <c r="AE408" s="0" t="inlineStr">
        <is>
          <t>서상동</t>
        </is>
      </c>
      <c r="AG408" s="0" t="inlineStr">
        <is>
          <t>경상남도 창원시 의창구 의창대로211번길 2</t>
        </is>
      </c>
      <c r="AH408" s="0" t="n">
        <v>0</v>
      </c>
      <c r="AI408" s="0" t="n">
        <v>0</v>
      </c>
    </row>
    <row r="409">
      <c r="A409" s="0" t="inlineStr">
        <is>
          <t>[서상동]</t>
        </is>
      </c>
      <c r="B409" s="0" t="n">
        <v>125733</v>
      </c>
      <c r="C409" s="0" t="n">
        <v>2</v>
      </c>
      <c r="D409" s="0" t="inlineStr">
        <is>
          <t>목화데파트</t>
        </is>
      </c>
      <c r="E409" s="0" t="inlineStr">
        <is>
          <t>1991.06.</t>
        </is>
      </c>
      <c r="F409" s="0" t="n">
        <v>19</v>
      </c>
      <c r="G409" s="0" t="n">
        <v>29.71</v>
      </c>
      <c r="H409" s="0" t="n">
        <v>98.22</v>
      </c>
      <c r="I409" s="0" t="n">
        <v>25.38</v>
      </c>
      <c r="J409" s="0" t="n">
        <v>83.92</v>
      </c>
      <c r="K409" s="0" t="n">
        <v>5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98</v>
      </c>
      <c r="X409" s="0" t="n">
        <v>7</v>
      </c>
      <c r="Y409" s="0" t="n">
        <v>6</v>
      </c>
      <c r="Z409" s="0" t="inlineStr">
        <is>
          <t>https://new.land.naver.com/complexes/125733?tab=detail&amp;rf=Y</t>
        </is>
      </c>
      <c r="AA409" s="0" t="inlineStr">
        <is>
          <t>경상남도 창원시 의창구 서상동 309-8</t>
        </is>
      </c>
      <c r="AB409" s="0" t="inlineStr">
        <is>
          <t>경상남도</t>
        </is>
      </c>
      <c r="AC409" s="0" t="inlineStr">
        <is>
          <t>창원시</t>
        </is>
      </c>
      <c r="AD409" s="0" t="inlineStr">
        <is>
          <t>의창구</t>
        </is>
      </c>
      <c r="AE409" s="0" t="inlineStr">
        <is>
          <t>서상동</t>
        </is>
      </c>
      <c r="AG409" s="0" t="inlineStr">
        <is>
          <t>경상남도 창원시 의창구 의창대로211번길 2</t>
        </is>
      </c>
      <c r="AH409" s="0" t="n">
        <v>0</v>
      </c>
      <c r="AI409" s="0" t="n">
        <v>0</v>
      </c>
    </row>
    <row r="410">
      <c r="A410" s="0" t="inlineStr">
        <is>
          <t>[서상동]</t>
        </is>
      </c>
      <c r="B410" s="0" t="n">
        <v>125733</v>
      </c>
      <c r="C410" s="0" t="n">
        <v>3</v>
      </c>
      <c r="D410" s="0" t="inlineStr">
        <is>
          <t>목화데파트</t>
        </is>
      </c>
      <c r="E410" s="0" t="inlineStr">
        <is>
          <t>1991.06.</t>
        </is>
      </c>
      <c r="F410" s="0" t="n">
        <v>19</v>
      </c>
      <c r="G410" s="0" t="n">
        <v>34.28</v>
      </c>
      <c r="H410" s="0" t="n">
        <v>113.33</v>
      </c>
      <c r="I410" s="0" t="n">
        <v>29.29</v>
      </c>
      <c r="J410" s="0" t="n">
        <v>96.83</v>
      </c>
      <c r="K410" s="0" t="n">
        <v>5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113</v>
      </c>
      <c r="X410" s="0" t="n">
        <v>7</v>
      </c>
      <c r="Y410" s="0" t="n">
        <v>6</v>
      </c>
      <c r="Z410" s="0" t="inlineStr">
        <is>
          <t>https://new.land.naver.com/complexes/125733?tab=detail&amp;rf=Y</t>
        </is>
      </c>
      <c r="AA410" s="0" t="inlineStr">
        <is>
          <t>경상남도 창원시 의창구 서상동 309-8</t>
        </is>
      </c>
      <c r="AB410" s="0" t="inlineStr">
        <is>
          <t>경상남도</t>
        </is>
      </c>
      <c r="AC410" s="0" t="inlineStr">
        <is>
          <t>창원시</t>
        </is>
      </c>
      <c r="AD410" s="0" t="inlineStr">
        <is>
          <t>의창구</t>
        </is>
      </c>
      <c r="AE410" s="0" t="inlineStr">
        <is>
          <t>서상동</t>
        </is>
      </c>
      <c r="AG410" s="0" t="inlineStr">
        <is>
          <t>경상남도 창원시 의창구 의창대로211번길 2</t>
        </is>
      </c>
      <c r="AH410" s="0" t="n">
        <v>0</v>
      </c>
      <c r="AI410" s="0" t="n">
        <v>0</v>
      </c>
    </row>
    <row r="411">
      <c r="A411" s="0" t="inlineStr">
        <is>
          <t>[서상동]</t>
        </is>
      </c>
      <c r="B411" s="0" t="n">
        <v>125733</v>
      </c>
      <c r="C411" s="0" t="n">
        <v>4</v>
      </c>
      <c r="D411" s="0" t="inlineStr">
        <is>
          <t>목화데파트</t>
        </is>
      </c>
      <c r="E411" s="0" t="inlineStr">
        <is>
          <t>1991.06.</t>
        </is>
      </c>
      <c r="F411" s="0" t="n">
        <v>19</v>
      </c>
      <c r="G411" s="0" t="n">
        <v>35.64</v>
      </c>
      <c r="H411" s="0" t="n">
        <v>117.84</v>
      </c>
      <c r="I411" s="0" t="n">
        <v>30.45</v>
      </c>
      <c r="J411" s="0" t="n">
        <v>100.68</v>
      </c>
      <c r="K411" s="0" t="n">
        <v>4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117</v>
      </c>
      <c r="X411" s="0" t="n">
        <v>7</v>
      </c>
      <c r="Y411" s="0" t="n">
        <v>6</v>
      </c>
      <c r="Z411" s="0" t="inlineStr">
        <is>
          <t>https://new.land.naver.com/complexes/125733?tab=detail&amp;rf=Y</t>
        </is>
      </c>
      <c r="AA411" s="0" t="inlineStr">
        <is>
          <t>경상남도 창원시 의창구 서상동 309-8</t>
        </is>
      </c>
      <c r="AB411" s="0" t="inlineStr">
        <is>
          <t>경상남도</t>
        </is>
      </c>
      <c r="AC411" s="0" t="inlineStr">
        <is>
          <t>창원시</t>
        </is>
      </c>
      <c r="AD411" s="0" t="inlineStr">
        <is>
          <t>의창구</t>
        </is>
      </c>
      <c r="AE411" s="0" t="inlineStr">
        <is>
          <t>서상동</t>
        </is>
      </c>
      <c r="AG411" s="0" t="inlineStr">
        <is>
          <t>경상남도 창원시 의창구 의창대로211번길 2</t>
        </is>
      </c>
      <c r="AH411" s="0" t="n">
        <v>0</v>
      </c>
      <c r="AI411" s="0" t="n">
        <v>0</v>
      </c>
    </row>
    <row r="412">
      <c r="A412" s="0" t="inlineStr">
        <is>
          <t>[서상동]</t>
        </is>
      </c>
      <c r="B412" s="0" t="n">
        <v>125733</v>
      </c>
      <c r="C412" s="0" t="n">
        <v>5</v>
      </c>
      <c r="D412" s="0" t="inlineStr">
        <is>
          <t>목화데파트</t>
        </is>
      </c>
      <c r="E412" s="0" t="inlineStr">
        <is>
          <t>1991.06.</t>
        </is>
      </c>
      <c r="F412" s="0" t="n">
        <v>19</v>
      </c>
      <c r="G412" s="0" t="n">
        <v>46.46</v>
      </c>
      <c r="H412" s="0" t="n">
        <v>153.6</v>
      </c>
      <c r="I412" s="0" t="n">
        <v>39.71</v>
      </c>
      <c r="J412" s="0" t="n">
        <v>131.28</v>
      </c>
      <c r="K412" s="0" t="n">
        <v>1</v>
      </c>
      <c r="T412" s="0" t="n">
        <v>4</v>
      </c>
      <c r="U412" s="0" t="n">
        <v>2</v>
      </c>
      <c r="V412" s="0" t="inlineStr">
        <is>
          <t>계단식</t>
        </is>
      </c>
      <c r="W412" s="0" t="n">
        <v>153</v>
      </c>
      <c r="X412" s="0" t="n">
        <v>7</v>
      </c>
      <c r="Y412" s="0" t="n">
        <v>6</v>
      </c>
      <c r="Z412" s="0" t="inlineStr">
        <is>
          <t>https://new.land.naver.com/complexes/125733?tab=detail&amp;rf=Y</t>
        </is>
      </c>
      <c r="AA412" s="0" t="inlineStr">
        <is>
          <t>경상남도 창원시 의창구 서상동 309-8</t>
        </is>
      </c>
      <c r="AB412" s="0" t="inlineStr">
        <is>
          <t>경상남도</t>
        </is>
      </c>
      <c r="AC412" s="0" t="inlineStr">
        <is>
          <t>창원시</t>
        </is>
      </c>
      <c r="AD412" s="0" t="inlineStr">
        <is>
          <t>의창구</t>
        </is>
      </c>
      <c r="AE412" s="0" t="inlineStr">
        <is>
          <t>서상동</t>
        </is>
      </c>
      <c r="AG412" s="0" t="inlineStr">
        <is>
          <t>경상남도 창원시 의창구 의창대로211번길 2</t>
        </is>
      </c>
      <c r="AH412" s="0" t="n">
        <v>0</v>
      </c>
      <c r="AI412" s="0" t="n">
        <v>0</v>
      </c>
    </row>
    <row r="413">
      <c r="A413" s="0" t="inlineStr">
        <is>
          <t>[서상동]</t>
        </is>
      </c>
      <c r="B413" s="0" t="n">
        <v>7817</v>
      </c>
      <c r="C413" s="0" t="n">
        <v>1</v>
      </c>
      <c r="D413" s="0" t="inlineStr">
        <is>
          <t>무학서문마을</t>
        </is>
      </c>
      <c r="E413" s="0" t="inlineStr">
        <is>
          <t>1999.03.</t>
        </is>
      </c>
      <c r="F413" s="0" t="n">
        <v>122</v>
      </c>
      <c r="G413" s="0" t="n">
        <v>27.96</v>
      </c>
      <c r="H413" s="0" t="n">
        <v>92.43000000000001</v>
      </c>
      <c r="I413" s="0" t="n">
        <v>20.12</v>
      </c>
      <c r="J413" s="0" t="n">
        <v>66.54000000000001</v>
      </c>
      <c r="K413" s="0" t="n">
        <v>74</v>
      </c>
      <c r="T413" s="0" t="n">
        <v>3</v>
      </c>
      <c r="U413" s="0" t="n">
        <v>1</v>
      </c>
      <c r="V413" s="0" t="inlineStr">
        <is>
          <t>복도식</t>
        </is>
      </c>
      <c r="W413" s="0" t="n">
        <v>92</v>
      </c>
      <c r="X413" s="0" t="n">
        <v>12</v>
      </c>
      <c r="Y413" s="0" t="n">
        <v>10</v>
      </c>
      <c r="Z413" s="0" t="inlineStr">
        <is>
          <t>https://new.land.naver.com/complexes/7817?tab=detail&amp;rf=Y</t>
        </is>
      </c>
      <c r="AA413" s="0" t="inlineStr">
        <is>
          <t>경상남도 창원시 의창구 서상동 11-5</t>
        </is>
      </c>
      <c r="AB413" s="0" t="inlineStr">
        <is>
          <t>경상남도</t>
        </is>
      </c>
      <c r="AC413" s="0" t="inlineStr">
        <is>
          <t>창원시</t>
        </is>
      </c>
      <c r="AD413" s="0" t="inlineStr">
        <is>
          <t>의창구</t>
        </is>
      </c>
      <c r="AE413" s="0" t="inlineStr">
        <is>
          <t>서상동</t>
        </is>
      </c>
      <c r="AG413" s="0" t="inlineStr">
        <is>
          <t>경상남도 창원시 의창구 서상로12번길 83-15</t>
        </is>
      </c>
      <c r="AH413" s="0" t="n">
        <v>0</v>
      </c>
      <c r="AI413" s="0" t="n">
        <v>226</v>
      </c>
    </row>
    <row r="414">
      <c r="A414" s="0" t="inlineStr">
        <is>
          <t>[서상동]</t>
        </is>
      </c>
      <c r="B414" s="0" t="n">
        <v>7817</v>
      </c>
      <c r="C414" s="0" t="n">
        <v>2</v>
      </c>
      <c r="D414" s="0" t="inlineStr">
        <is>
          <t>무학서문마을</t>
        </is>
      </c>
      <c r="E414" s="0" t="inlineStr">
        <is>
          <t>1999.03.</t>
        </is>
      </c>
      <c r="F414" s="0" t="n">
        <v>122</v>
      </c>
      <c r="G414" s="0" t="n">
        <v>31.85</v>
      </c>
      <c r="H414" s="0" t="n">
        <v>105.3</v>
      </c>
      <c r="I414" s="0" t="n">
        <v>25.69</v>
      </c>
      <c r="J414" s="0" t="n">
        <v>84.93000000000001</v>
      </c>
      <c r="K414" s="0" t="n">
        <v>48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105</v>
      </c>
      <c r="X414" s="0" t="n">
        <v>12</v>
      </c>
      <c r="Y414" s="0" t="n">
        <v>10</v>
      </c>
      <c r="Z414" s="0" t="inlineStr">
        <is>
          <t>https://new.land.naver.com/complexes/7817?tab=detail&amp;rf=Y</t>
        </is>
      </c>
      <c r="AA414" s="0" t="inlineStr">
        <is>
          <t>경상남도 창원시 의창구 서상동 11-5</t>
        </is>
      </c>
      <c r="AB414" s="0" t="inlineStr">
        <is>
          <t>경상남도</t>
        </is>
      </c>
      <c r="AC414" s="0" t="inlineStr">
        <is>
          <t>창원시</t>
        </is>
      </c>
      <c r="AD414" s="0" t="inlineStr">
        <is>
          <t>의창구</t>
        </is>
      </c>
      <c r="AE414" s="0" t="inlineStr">
        <is>
          <t>서상동</t>
        </is>
      </c>
      <c r="AG414" s="0" t="inlineStr">
        <is>
          <t>경상남도 창원시 의창구 서상로12번길 83-15</t>
        </is>
      </c>
      <c r="AH414" s="0" t="n">
        <v>0</v>
      </c>
      <c r="AI414" s="0" t="n">
        <v>226</v>
      </c>
    </row>
    <row r="415">
      <c r="A415" s="0" t="inlineStr">
        <is>
          <t>[서상동]</t>
        </is>
      </c>
      <c r="B415" s="0" t="n">
        <v>100905</v>
      </c>
      <c r="C415" s="0" t="n">
        <v>1</v>
      </c>
      <c r="D415" s="0" t="inlineStr">
        <is>
          <t>중동대동다숲</t>
        </is>
      </c>
      <c r="E415" s="0" t="inlineStr">
        <is>
          <t>2005.12.</t>
        </is>
      </c>
      <c r="F415" s="0" t="n">
        <v>630</v>
      </c>
      <c r="G415" s="0" t="n">
        <v>32.34</v>
      </c>
      <c r="H415" s="0" t="n">
        <v>106.92</v>
      </c>
      <c r="I415" s="0" t="n">
        <v>25.67</v>
      </c>
      <c r="J415" s="0" t="n">
        <v>84.87</v>
      </c>
      <c r="K415" s="0" t="n">
        <v>230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106</v>
      </c>
      <c r="X415" s="0" t="n">
        <v>15</v>
      </c>
      <c r="Y415" s="0" t="n">
        <v>10</v>
      </c>
      <c r="Z415" s="0" t="inlineStr">
        <is>
          <t>https://new.land.naver.com/complexes/100905?tab=detail&amp;rf=Y</t>
        </is>
      </c>
      <c r="AA415" s="0" t="inlineStr">
        <is>
          <t>경상남도 창원시 의창구 서상동 649</t>
        </is>
      </c>
      <c r="AB415" s="0" t="inlineStr">
        <is>
          <t>경상남도</t>
        </is>
      </c>
      <c r="AC415" s="0" t="inlineStr">
        <is>
          <t>창원시</t>
        </is>
      </c>
      <c r="AD415" s="0" t="inlineStr">
        <is>
          <t>의창구</t>
        </is>
      </c>
      <c r="AE415" s="0" t="inlineStr">
        <is>
          <t>서상동</t>
        </is>
      </c>
      <c r="AG415" s="0" t="inlineStr">
        <is>
          <t>경상남도 창원시 의창구 팔용로 512</t>
        </is>
      </c>
      <c r="AH415" s="0" t="n">
        <v>0</v>
      </c>
      <c r="AI415" s="0" t="n">
        <v>219</v>
      </c>
    </row>
    <row r="416">
      <c r="A416" s="0" t="inlineStr">
        <is>
          <t>[서상동]</t>
        </is>
      </c>
      <c r="B416" s="0" t="n">
        <v>100905</v>
      </c>
      <c r="C416" s="0" t="n">
        <v>2</v>
      </c>
      <c r="D416" s="0" t="inlineStr">
        <is>
          <t>중동대동다숲</t>
        </is>
      </c>
      <c r="E416" s="0" t="inlineStr">
        <is>
          <t>2005.12.</t>
        </is>
      </c>
      <c r="F416" s="0" t="n">
        <v>630</v>
      </c>
      <c r="G416" s="0" t="n">
        <v>34.1</v>
      </c>
      <c r="H416" s="0" t="n">
        <v>112.75</v>
      </c>
      <c r="I416" s="0" t="n">
        <v>25.69</v>
      </c>
      <c r="J416" s="0" t="n">
        <v>84.93000000000001</v>
      </c>
      <c r="K416" s="0" t="n">
        <v>192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112A</t>
        </is>
      </c>
      <c r="X416" s="0" t="n">
        <v>15</v>
      </c>
      <c r="Y416" s="0" t="n">
        <v>10</v>
      </c>
      <c r="Z416" s="0" t="inlineStr">
        <is>
          <t>https://new.land.naver.com/complexes/100905?tab=detail&amp;rf=Y</t>
        </is>
      </c>
      <c r="AA416" s="0" t="inlineStr">
        <is>
          <t>경상남도 창원시 의창구 서상동 649</t>
        </is>
      </c>
      <c r="AB416" s="0" t="inlineStr">
        <is>
          <t>경상남도</t>
        </is>
      </c>
      <c r="AC416" s="0" t="inlineStr">
        <is>
          <t>창원시</t>
        </is>
      </c>
      <c r="AD416" s="0" t="inlineStr">
        <is>
          <t>의창구</t>
        </is>
      </c>
      <c r="AE416" s="0" t="inlineStr">
        <is>
          <t>서상동</t>
        </is>
      </c>
      <c r="AG416" s="0" t="inlineStr">
        <is>
          <t>경상남도 창원시 의창구 팔용로 512</t>
        </is>
      </c>
      <c r="AH416" s="0" t="n">
        <v>0</v>
      </c>
      <c r="AI416" s="0" t="n">
        <v>219</v>
      </c>
    </row>
    <row r="417">
      <c r="A417" s="0" t="inlineStr">
        <is>
          <t>[서상동]</t>
        </is>
      </c>
      <c r="B417" s="0" t="n">
        <v>100905</v>
      </c>
      <c r="C417" s="0" t="n">
        <v>3</v>
      </c>
      <c r="D417" s="0" t="inlineStr">
        <is>
          <t>중동대동다숲</t>
        </is>
      </c>
      <c r="E417" s="0" t="inlineStr">
        <is>
          <t>2005.12.</t>
        </is>
      </c>
      <c r="F417" s="0" t="n">
        <v>630</v>
      </c>
      <c r="G417" s="0" t="n">
        <v>34.38</v>
      </c>
      <c r="H417" s="0" t="n">
        <v>113.68</v>
      </c>
      <c r="I417" s="0" t="n">
        <v>25.7</v>
      </c>
      <c r="J417" s="0" t="n">
        <v>84.97</v>
      </c>
      <c r="K417" s="0" t="n">
        <v>150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113B</t>
        </is>
      </c>
      <c r="X417" s="0" t="n">
        <v>15</v>
      </c>
      <c r="Y417" s="0" t="n">
        <v>10</v>
      </c>
      <c r="Z417" s="0" t="inlineStr">
        <is>
          <t>https://new.land.naver.com/complexes/100905?tab=detail&amp;rf=Y</t>
        </is>
      </c>
      <c r="AA417" s="0" t="inlineStr">
        <is>
          <t>경상남도 창원시 의창구 서상동 649</t>
        </is>
      </c>
      <c r="AB417" s="0" t="inlineStr">
        <is>
          <t>경상남도</t>
        </is>
      </c>
      <c r="AC417" s="0" t="inlineStr">
        <is>
          <t>창원시</t>
        </is>
      </c>
      <c r="AD417" s="0" t="inlineStr">
        <is>
          <t>의창구</t>
        </is>
      </c>
      <c r="AE417" s="0" t="inlineStr">
        <is>
          <t>서상동</t>
        </is>
      </c>
      <c r="AG417" s="0" t="inlineStr">
        <is>
          <t>경상남도 창원시 의창구 팔용로 512</t>
        </is>
      </c>
      <c r="AH417" s="0" t="n">
        <v>0</v>
      </c>
      <c r="AI417" s="0" t="n">
        <v>219</v>
      </c>
    </row>
    <row r="418">
      <c r="A418" s="0" t="inlineStr">
        <is>
          <t>[서상동]</t>
        </is>
      </c>
      <c r="B418" s="0" t="n">
        <v>100905</v>
      </c>
      <c r="C418" s="0" t="n">
        <v>4</v>
      </c>
      <c r="D418" s="0" t="inlineStr">
        <is>
          <t>중동대동다숲</t>
        </is>
      </c>
      <c r="E418" s="0" t="inlineStr">
        <is>
          <t>2005.12.</t>
        </is>
      </c>
      <c r="F418" s="0" t="n">
        <v>630</v>
      </c>
      <c r="G418" s="0" t="n">
        <v>47.8</v>
      </c>
      <c r="H418" s="0" t="n">
        <v>158.02</v>
      </c>
      <c r="I418" s="0" t="n">
        <v>39.66</v>
      </c>
      <c r="J418" s="0" t="n">
        <v>131.11</v>
      </c>
      <c r="K418" s="0" t="n">
        <v>30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158</v>
      </c>
      <c r="X418" s="0" t="n">
        <v>15</v>
      </c>
      <c r="Y418" s="0" t="n">
        <v>10</v>
      </c>
      <c r="Z418" s="0" t="inlineStr">
        <is>
          <t>https://new.land.naver.com/complexes/100905?tab=detail&amp;rf=Y</t>
        </is>
      </c>
      <c r="AA418" s="0" t="inlineStr">
        <is>
          <t>경상남도 창원시 의창구 서상동 649</t>
        </is>
      </c>
      <c r="AB418" s="0" t="inlineStr">
        <is>
          <t>경상남도</t>
        </is>
      </c>
      <c r="AC418" s="0" t="inlineStr">
        <is>
          <t>창원시</t>
        </is>
      </c>
      <c r="AD418" s="0" t="inlineStr">
        <is>
          <t>의창구</t>
        </is>
      </c>
      <c r="AE418" s="0" t="inlineStr">
        <is>
          <t>서상동</t>
        </is>
      </c>
      <c r="AG418" s="0" t="inlineStr">
        <is>
          <t>경상남도 창원시 의창구 팔용로 512</t>
        </is>
      </c>
      <c r="AH418" s="0" t="n">
        <v>0</v>
      </c>
      <c r="AI418" s="0" t="n">
        <v>219</v>
      </c>
    </row>
    <row r="419">
      <c r="A419" s="0" t="inlineStr">
        <is>
          <t>[서상동]</t>
        </is>
      </c>
      <c r="B419" s="0" t="n">
        <v>100905</v>
      </c>
      <c r="C419" s="0" t="n">
        <v>5</v>
      </c>
      <c r="D419" s="0" t="inlineStr">
        <is>
          <t>중동대동다숲</t>
        </is>
      </c>
      <c r="E419" s="0" t="inlineStr">
        <is>
          <t>2005.12.</t>
        </is>
      </c>
      <c r="F419" s="0" t="n">
        <v>630</v>
      </c>
      <c r="G419" s="0" t="n">
        <v>55.03</v>
      </c>
      <c r="H419" s="0" t="n">
        <v>181.95</v>
      </c>
      <c r="I419" s="0" t="n">
        <v>45.95</v>
      </c>
      <c r="J419" s="0" t="n">
        <v>151.92</v>
      </c>
      <c r="K419" s="0" t="n">
        <v>28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181</v>
      </c>
      <c r="X419" s="0" t="n">
        <v>15</v>
      </c>
      <c r="Y419" s="0" t="n">
        <v>10</v>
      </c>
      <c r="Z419" s="0" t="inlineStr">
        <is>
          <t>https://new.land.naver.com/complexes/100905?tab=detail&amp;rf=Y</t>
        </is>
      </c>
      <c r="AA419" s="0" t="inlineStr">
        <is>
          <t>경상남도 창원시 의창구 서상동 649</t>
        </is>
      </c>
      <c r="AB419" s="0" t="inlineStr">
        <is>
          <t>경상남도</t>
        </is>
      </c>
      <c r="AC419" s="0" t="inlineStr">
        <is>
          <t>창원시</t>
        </is>
      </c>
      <c r="AD419" s="0" t="inlineStr">
        <is>
          <t>의창구</t>
        </is>
      </c>
      <c r="AE419" s="0" t="inlineStr">
        <is>
          <t>서상동</t>
        </is>
      </c>
      <c r="AG419" s="0" t="inlineStr">
        <is>
          <t>경상남도 창원시 의창구 팔용로 512</t>
        </is>
      </c>
      <c r="AH419" s="0" t="n">
        <v>0</v>
      </c>
      <c r="AI419" s="0" t="n">
        <v>219</v>
      </c>
    </row>
    <row r="420">
      <c r="A420" s="0" t="inlineStr">
        <is>
          <t>[서상동]</t>
        </is>
      </c>
      <c r="B420" s="0" t="n">
        <v>126779</v>
      </c>
      <c r="C420" s="0" t="n">
        <v>1</v>
      </c>
      <c r="D420" s="0" t="inlineStr">
        <is>
          <t>서상</t>
        </is>
      </c>
      <c r="E420" s="0" t="inlineStr">
        <is>
          <t>1984.06.</t>
        </is>
      </c>
      <c r="F420" s="0" t="n">
        <v>50</v>
      </c>
      <c r="G420" s="0" t="n">
        <v>17.31</v>
      </c>
      <c r="H420" s="0" t="n">
        <v>57.24</v>
      </c>
      <c r="I420" s="0" t="n">
        <v>15</v>
      </c>
      <c r="J420" s="0" t="n">
        <v>49.59</v>
      </c>
      <c r="K420" s="0" t="n">
        <v>15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57</v>
      </c>
      <c r="X420" s="0" t="n">
        <v>5</v>
      </c>
      <c r="Y420" s="0" t="n">
        <v>5</v>
      </c>
      <c r="Z420" s="0" t="inlineStr">
        <is>
          <t>https://new.land.naver.com/complexes/126779?tab=detail&amp;rf=Y</t>
        </is>
      </c>
      <c r="AA420" s="0" t="inlineStr">
        <is>
          <t>경상남도 창원시 의창구 서상동 352-2</t>
        </is>
      </c>
      <c r="AB420" s="0" t="inlineStr">
        <is>
          <t>경상남도</t>
        </is>
      </c>
      <c r="AC420" s="0" t="inlineStr">
        <is>
          <t>창원시</t>
        </is>
      </c>
      <c r="AD420" s="0" t="inlineStr">
        <is>
          <t>의창구</t>
        </is>
      </c>
      <c r="AE420" s="0" t="inlineStr">
        <is>
          <t>서상동</t>
        </is>
      </c>
      <c r="AG420" s="0" t="inlineStr">
        <is>
          <t>경상남도 창원시 의창구 서상로 32-9</t>
        </is>
      </c>
      <c r="AH420" s="0" t="n">
        <v>0</v>
      </c>
      <c r="AI420" s="0" t="n">
        <v>0</v>
      </c>
    </row>
    <row r="421">
      <c r="A421" s="0" t="inlineStr">
        <is>
          <t>[서상동]</t>
        </is>
      </c>
      <c r="B421" s="0" t="n">
        <v>126779</v>
      </c>
      <c r="C421" s="0" t="n">
        <v>2</v>
      </c>
      <c r="D421" s="0" t="inlineStr">
        <is>
          <t>서상</t>
        </is>
      </c>
      <c r="E421" s="0" t="inlineStr">
        <is>
          <t>1984.06.</t>
        </is>
      </c>
      <c r="F421" s="0" t="n">
        <v>50</v>
      </c>
      <c r="G421" s="0" t="n">
        <v>18.24</v>
      </c>
      <c r="H421" s="0" t="n">
        <v>60.3</v>
      </c>
      <c r="I421" s="0" t="n">
        <v>15.92</v>
      </c>
      <c r="J421" s="0" t="n">
        <v>52.65</v>
      </c>
      <c r="K421" s="0" t="n">
        <v>5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60</v>
      </c>
      <c r="X421" s="0" t="n">
        <v>5</v>
      </c>
      <c r="Y421" s="0" t="n">
        <v>5</v>
      </c>
      <c r="Z421" s="0" t="inlineStr">
        <is>
          <t>https://new.land.naver.com/complexes/126779?tab=detail&amp;rf=Y</t>
        </is>
      </c>
      <c r="AA421" s="0" t="inlineStr">
        <is>
          <t>경상남도 창원시 의창구 서상동 352-2</t>
        </is>
      </c>
      <c r="AB421" s="0" t="inlineStr">
        <is>
          <t>경상남도</t>
        </is>
      </c>
      <c r="AC421" s="0" t="inlineStr">
        <is>
          <t>창원시</t>
        </is>
      </c>
      <c r="AD421" s="0" t="inlineStr">
        <is>
          <t>의창구</t>
        </is>
      </c>
      <c r="AE421" s="0" t="inlineStr">
        <is>
          <t>서상동</t>
        </is>
      </c>
      <c r="AG421" s="0" t="inlineStr">
        <is>
          <t>경상남도 창원시 의창구 서상로 32-9</t>
        </is>
      </c>
      <c r="AH421" s="0" t="n">
        <v>0</v>
      </c>
      <c r="AI421" s="0" t="n">
        <v>0</v>
      </c>
    </row>
    <row r="422">
      <c r="A422" s="0" t="inlineStr">
        <is>
          <t>[서상동]</t>
        </is>
      </c>
      <c r="B422" s="0" t="n">
        <v>126779</v>
      </c>
      <c r="C422" s="0" t="n">
        <v>3</v>
      </c>
      <c r="D422" s="0" t="inlineStr">
        <is>
          <t>서상</t>
        </is>
      </c>
      <c r="E422" s="0" t="inlineStr">
        <is>
          <t>1984.06.</t>
        </is>
      </c>
      <c r="F422" s="0" t="n">
        <v>50</v>
      </c>
      <c r="G422" s="0" t="n">
        <v>18.83</v>
      </c>
      <c r="H422" s="0" t="n">
        <v>62.28</v>
      </c>
      <c r="I422" s="0" t="n">
        <v>16.52</v>
      </c>
      <c r="J422" s="0" t="n">
        <v>54.63</v>
      </c>
      <c r="K422" s="0" t="n">
        <v>15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62</v>
      </c>
      <c r="X422" s="0" t="n">
        <v>5</v>
      </c>
      <c r="Y422" s="0" t="n">
        <v>5</v>
      </c>
      <c r="Z422" s="0" t="inlineStr">
        <is>
          <t>https://new.land.naver.com/complexes/126779?tab=detail&amp;rf=Y</t>
        </is>
      </c>
      <c r="AA422" s="0" t="inlineStr">
        <is>
          <t>경상남도 창원시 의창구 서상동 352-2</t>
        </is>
      </c>
      <c r="AB422" s="0" t="inlineStr">
        <is>
          <t>경상남도</t>
        </is>
      </c>
      <c r="AC422" s="0" t="inlineStr">
        <is>
          <t>창원시</t>
        </is>
      </c>
      <c r="AD422" s="0" t="inlineStr">
        <is>
          <t>의창구</t>
        </is>
      </c>
      <c r="AE422" s="0" t="inlineStr">
        <is>
          <t>서상동</t>
        </is>
      </c>
      <c r="AG422" s="0" t="inlineStr">
        <is>
          <t>경상남도 창원시 의창구 서상로 32-9</t>
        </is>
      </c>
      <c r="AH422" s="0" t="n">
        <v>0</v>
      </c>
      <c r="AI422" s="0" t="n">
        <v>0</v>
      </c>
    </row>
    <row r="423">
      <c r="A423" s="0" t="inlineStr">
        <is>
          <t>[서상동]</t>
        </is>
      </c>
      <c r="B423" s="0" t="n">
        <v>126779</v>
      </c>
      <c r="C423" s="0" t="n">
        <v>4</v>
      </c>
      <c r="D423" s="0" t="inlineStr">
        <is>
          <t>서상</t>
        </is>
      </c>
      <c r="E423" s="0" t="inlineStr">
        <is>
          <t>1984.06.</t>
        </is>
      </c>
      <c r="F423" s="0" t="n">
        <v>50</v>
      </c>
      <c r="G423" s="0" t="n">
        <v>24.17</v>
      </c>
      <c r="H423" s="0" t="n">
        <v>79.92</v>
      </c>
      <c r="I423" s="0" t="n">
        <v>21.86</v>
      </c>
      <c r="J423" s="0" t="n">
        <v>72.27</v>
      </c>
      <c r="K423" s="0" t="n">
        <v>15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79</v>
      </c>
      <c r="X423" s="0" t="n">
        <v>5</v>
      </c>
      <c r="Y423" s="0" t="n">
        <v>5</v>
      </c>
      <c r="Z423" s="0" t="inlineStr">
        <is>
          <t>https://new.land.naver.com/complexes/126779?tab=detail&amp;rf=Y</t>
        </is>
      </c>
      <c r="AA423" s="0" t="inlineStr">
        <is>
          <t>경상남도 창원시 의창구 서상동 352-2</t>
        </is>
      </c>
      <c r="AB423" s="0" t="inlineStr">
        <is>
          <t>경상남도</t>
        </is>
      </c>
      <c r="AC423" s="0" t="inlineStr">
        <is>
          <t>창원시</t>
        </is>
      </c>
      <c r="AD423" s="0" t="inlineStr">
        <is>
          <t>의창구</t>
        </is>
      </c>
      <c r="AE423" s="0" t="inlineStr">
        <is>
          <t>서상동</t>
        </is>
      </c>
      <c r="AG423" s="0" t="inlineStr">
        <is>
          <t>경상남도 창원시 의창구 서상로 32-9</t>
        </is>
      </c>
      <c r="AH423" s="0" t="n">
        <v>0</v>
      </c>
      <c r="AI423" s="0" t="n">
        <v>0</v>
      </c>
    </row>
    <row r="424">
      <c r="A424" s="0" t="inlineStr">
        <is>
          <t>[소계동]</t>
        </is>
      </c>
      <c r="B424" s="0" t="n">
        <v>7825</v>
      </c>
      <c r="C424" s="0" t="n">
        <v>1</v>
      </c>
      <c r="D424" s="0" t="inlineStr">
        <is>
          <t>소계럭키</t>
        </is>
      </c>
      <c r="E424" s="0" t="inlineStr">
        <is>
          <t>1991.03.</t>
        </is>
      </c>
      <c r="F424" s="0" t="n">
        <v>243</v>
      </c>
      <c r="G424" s="0" t="n">
        <v>19.89</v>
      </c>
      <c r="H424" s="0" t="n">
        <v>65.76000000000001</v>
      </c>
      <c r="I424" s="0" t="n">
        <v>15.05</v>
      </c>
      <c r="J424" s="0" t="n">
        <v>49.77</v>
      </c>
      <c r="K424" s="0" t="n">
        <v>21</v>
      </c>
      <c r="T424" s="0" t="n">
        <v>2</v>
      </c>
      <c r="U424" s="0" t="n">
        <v>1</v>
      </c>
      <c r="V424" s="0" t="inlineStr">
        <is>
          <t>복도식</t>
        </is>
      </c>
      <c r="W424" s="0" t="n">
        <v>65</v>
      </c>
      <c r="X424" s="0" t="n">
        <v>15</v>
      </c>
      <c r="Y424" s="0" t="n">
        <v>9</v>
      </c>
      <c r="Z424" s="0" t="inlineStr">
        <is>
          <t>https://new.land.naver.com/complexes/7825?tab=detail&amp;rf=Y</t>
        </is>
      </c>
      <c r="AA424" s="0" t="inlineStr">
        <is>
          <t>경상남도 창원시 의창구 소계동 468-1</t>
        </is>
      </c>
      <c r="AB424" s="0" t="inlineStr">
        <is>
          <t>경상남도</t>
        </is>
      </c>
      <c r="AC424" s="0" t="inlineStr">
        <is>
          <t>창원시</t>
        </is>
      </c>
      <c r="AD424" s="0" t="inlineStr">
        <is>
          <t>의창구</t>
        </is>
      </c>
      <c r="AE424" s="0" t="inlineStr">
        <is>
          <t>소계동</t>
        </is>
      </c>
      <c r="AG424" s="0" t="inlineStr">
        <is>
          <t>경상남도 창원시 의창구 금강로379번길 16-9</t>
        </is>
      </c>
      <c r="AH424" s="0" t="n">
        <v>0</v>
      </c>
      <c r="AI424" s="0" t="n">
        <v>0</v>
      </c>
    </row>
    <row r="425">
      <c r="A425" s="0" t="inlineStr">
        <is>
          <t>[소계동]</t>
        </is>
      </c>
      <c r="B425" s="0" t="n">
        <v>7825</v>
      </c>
      <c r="C425" s="0" t="n">
        <v>2</v>
      </c>
      <c r="D425" s="0" t="inlineStr">
        <is>
          <t>소계럭키</t>
        </is>
      </c>
      <c r="E425" s="0" t="inlineStr">
        <is>
          <t>1991.03.</t>
        </is>
      </c>
      <c r="F425" s="0" t="n">
        <v>243</v>
      </c>
      <c r="G425" s="0" t="n">
        <v>21.6</v>
      </c>
      <c r="H425" s="0" t="n">
        <v>71.43000000000001</v>
      </c>
      <c r="I425" s="0" t="n">
        <v>16.35</v>
      </c>
      <c r="J425" s="0" t="n">
        <v>54.06</v>
      </c>
      <c r="K425" s="0" t="n">
        <v>90</v>
      </c>
      <c r="T425" s="0" t="n">
        <v>3</v>
      </c>
      <c r="U425" s="0" t="n">
        <v>1</v>
      </c>
      <c r="V425" s="0" t="inlineStr">
        <is>
          <t>복도식</t>
        </is>
      </c>
      <c r="W425" s="0" t="n">
        <v>71</v>
      </c>
      <c r="X425" s="0" t="n">
        <v>15</v>
      </c>
      <c r="Y425" s="0" t="n">
        <v>9</v>
      </c>
      <c r="Z425" s="0" t="inlineStr">
        <is>
          <t>https://new.land.naver.com/complexes/7825?tab=detail&amp;rf=Y</t>
        </is>
      </c>
      <c r="AA425" s="0" t="inlineStr">
        <is>
          <t>경상남도 창원시 의창구 소계동 468-1</t>
        </is>
      </c>
      <c r="AB425" s="0" t="inlineStr">
        <is>
          <t>경상남도</t>
        </is>
      </c>
      <c r="AC425" s="0" t="inlineStr">
        <is>
          <t>창원시</t>
        </is>
      </c>
      <c r="AD425" s="0" t="inlineStr">
        <is>
          <t>의창구</t>
        </is>
      </c>
      <c r="AE425" s="0" t="inlineStr">
        <is>
          <t>소계동</t>
        </is>
      </c>
      <c r="AG425" s="0" t="inlineStr">
        <is>
          <t>경상남도 창원시 의창구 금강로379번길 16-9</t>
        </is>
      </c>
      <c r="AH425" s="0" t="n">
        <v>0</v>
      </c>
      <c r="AI425" s="0" t="n">
        <v>0</v>
      </c>
    </row>
    <row r="426">
      <c r="A426" s="0" t="inlineStr">
        <is>
          <t>[소계동]</t>
        </is>
      </c>
      <c r="B426" s="0" t="n">
        <v>7825</v>
      </c>
      <c r="C426" s="0" t="n">
        <v>3</v>
      </c>
      <c r="D426" s="0" t="inlineStr">
        <is>
          <t>소계럭키</t>
        </is>
      </c>
      <c r="E426" s="0" t="inlineStr">
        <is>
          <t>1991.03.</t>
        </is>
      </c>
      <c r="F426" s="0" t="n">
        <v>243</v>
      </c>
      <c r="G426" s="0" t="n">
        <v>23.97</v>
      </c>
      <c r="H426" s="0" t="n">
        <v>79.27</v>
      </c>
      <c r="I426" s="0" t="n">
        <v>18.15</v>
      </c>
      <c r="J426" s="0" t="n">
        <v>60</v>
      </c>
      <c r="K426" s="0" t="n">
        <v>132</v>
      </c>
      <c r="T426" s="0" t="n">
        <v>3</v>
      </c>
      <c r="U426" s="0" t="n">
        <v>1</v>
      </c>
      <c r="V426" s="0" t="inlineStr">
        <is>
          <t>복도식</t>
        </is>
      </c>
      <c r="W426" s="0" t="n">
        <v>79</v>
      </c>
      <c r="X426" s="0" t="n">
        <v>15</v>
      </c>
      <c r="Y426" s="0" t="n">
        <v>9</v>
      </c>
      <c r="Z426" s="0" t="inlineStr">
        <is>
          <t>https://new.land.naver.com/complexes/7825?tab=detail&amp;rf=Y</t>
        </is>
      </c>
      <c r="AA426" s="0" t="inlineStr">
        <is>
          <t>경상남도 창원시 의창구 소계동 468-1</t>
        </is>
      </c>
      <c r="AB426" s="0" t="inlineStr">
        <is>
          <t>경상남도</t>
        </is>
      </c>
      <c r="AC426" s="0" t="inlineStr">
        <is>
          <t>창원시</t>
        </is>
      </c>
      <c r="AD426" s="0" t="inlineStr">
        <is>
          <t>의창구</t>
        </is>
      </c>
      <c r="AE426" s="0" t="inlineStr">
        <is>
          <t>소계동</t>
        </is>
      </c>
      <c r="AG426" s="0" t="inlineStr">
        <is>
          <t>경상남도 창원시 의창구 금강로379번길 16-9</t>
        </is>
      </c>
      <c r="AH426" s="0" t="n">
        <v>0</v>
      </c>
      <c r="AI426" s="0" t="n">
        <v>0</v>
      </c>
    </row>
    <row r="427">
      <c r="A427" s="0" t="inlineStr">
        <is>
          <t>[소계동]</t>
        </is>
      </c>
      <c r="B427" s="0" t="n">
        <v>119181</v>
      </c>
      <c r="C427" s="0" t="n">
        <v>1</v>
      </c>
      <c r="D427" s="0" t="inlineStr">
        <is>
          <t>경상</t>
        </is>
      </c>
      <c r="E427" s="0" t="inlineStr">
        <is>
          <t>1984.04.</t>
        </is>
      </c>
      <c r="F427" s="0" t="n">
        <v>40</v>
      </c>
      <c r="G427" s="0" t="n">
        <v>16.19</v>
      </c>
      <c r="H427" s="0" t="n">
        <v>53.55</v>
      </c>
      <c r="I427" s="0" t="n">
        <v>14.02</v>
      </c>
      <c r="J427" s="0" t="n">
        <v>46.35</v>
      </c>
      <c r="K427" s="0" t="n">
        <v>30</v>
      </c>
      <c r="T427" s="0" t="n">
        <v>2</v>
      </c>
      <c r="U427" s="0" t="n">
        <v>1</v>
      </c>
      <c r="V427" s="0" t="inlineStr">
        <is>
          <t>계단식</t>
        </is>
      </c>
      <c r="W427" s="0" t="inlineStr">
        <is>
          <t>53A</t>
        </is>
      </c>
      <c r="X427" s="0" t="n">
        <v>5</v>
      </c>
      <c r="Y427" s="0" t="n">
        <v>5</v>
      </c>
      <c r="Z427" s="0" t="inlineStr">
        <is>
          <t>https://new.land.naver.com/complexes/119181?tab=detail&amp;rf=Y</t>
        </is>
      </c>
      <c r="AA427" s="0" t="inlineStr">
        <is>
          <t>경상남도 창원시 의창구 소계동 722-1</t>
        </is>
      </c>
      <c r="AB427" s="0" t="inlineStr">
        <is>
          <t>경상남도</t>
        </is>
      </c>
      <c r="AC427" s="0" t="inlineStr">
        <is>
          <t>창원시</t>
        </is>
      </c>
      <c r="AD427" s="0" t="inlineStr">
        <is>
          <t>의창구</t>
        </is>
      </c>
      <c r="AE427" s="0" t="inlineStr">
        <is>
          <t>소계동</t>
        </is>
      </c>
      <c r="AG427" s="0" t="inlineStr">
        <is>
          <t>경상남도 창원시 의창구 소계로 113</t>
        </is>
      </c>
      <c r="AH427" s="0" t="n">
        <v>0</v>
      </c>
      <c r="AI427" s="0" t="n">
        <v>0</v>
      </c>
    </row>
    <row r="428">
      <c r="A428" s="0" t="inlineStr">
        <is>
          <t>[소계동]</t>
        </is>
      </c>
      <c r="B428" s="0" t="n">
        <v>119181</v>
      </c>
      <c r="C428" s="0" t="n">
        <v>2</v>
      </c>
      <c r="D428" s="0" t="inlineStr">
        <is>
          <t>경상</t>
        </is>
      </c>
      <c r="E428" s="0" t="inlineStr">
        <is>
          <t>1984.04.</t>
        </is>
      </c>
      <c r="F428" s="0" t="n">
        <v>40</v>
      </c>
      <c r="G428" s="0" t="n">
        <v>16.47</v>
      </c>
      <c r="H428" s="0" t="n">
        <v>54.45</v>
      </c>
      <c r="I428" s="0" t="n">
        <v>14.29</v>
      </c>
      <c r="J428" s="0" t="n">
        <v>47.25</v>
      </c>
      <c r="K428" s="0" t="n">
        <v>10</v>
      </c>
      <c r="T428" s="0" t="n">
        <v>2</v>
      </c>
      <c r="U428" s="0" t="n">
        <v>1</v>
      </c>
      <c r="V428" s="0" t="inlineStr">
        <is>
          <t>계단식</t>
        </is>
      </c>
      <c r="W428" s="0" t="inlineStr">
        <is>
          <t>54B</t>
        </is>
      </c>
      <c r="X428" s="0" t="n">
        <v>5</v>
      </c>
      <c r="Y428" s="0" t="n">
        <v>5</v>
      </c>
      <c r="Z428" s="0" t="inlineStr">
        <is>
          <t>https://new.land.naver.com/complexes/119181?tab=detail&amp;rf=Y</t>
        </is>
      </c>
      <c r="AA428" s="0" t="inlineStr">
        <is>
          <t>경상남도 창원시 의창구 소계동 722-1</t>
        </is>
      </c>
      <c r="AB428" s="0" t="inlineStr">
        <is>
          <t>경상남도</t>
        </is>
      </c>
      <c r="AC428" s="0" t="inlineStr">
        <is>
          <t>창원시</t>
        </is>
      </c>
      <c r="AD428" s="0" t="inlineStr">
        <is>
          <t>의창구</t>
        </is>
      </c>
      <c r="AE428" s="0" t="inlineStr">
        <is>
          <t>소계동</t>
        </is>
      </c>
      <c r="AG428" s="0" t="inlineStr">
        <is>
          <t>경상남도 창원시 의창구 소계로 113</t>
        </is>
      </c>
      <c r="AH428" s="0" t="n">
        <v>0</v>
      </c>
      <c r="AI428" s="0" t="n">
        <v>0</v>
      </c>
    </row>
    <row r="429">
      <c r="A429" s="0" t="inlineStr">
        <is>
          <t>[소답동]</t>
        </is>
      </c>
      <c r="B429" s="0" t="n">
        <v>121043</v>
      </c>
      <c r="C429" s="0" t="n">
        <v>1</v>
      </c>
      <c r="D429" s="0" t="inlineStr">
        <is>
          <t>소답대림맨션</t>
        </is>
      </c>
      <c r="E429" s="0" t="inlineStr">
        <is>
          <t>1989.12.</t>
        </is>
      </c>
      <c r="F429" s="0" t="n">
        <v>48</v>
      </c>
      <c r="G429" s="0" t="n">
        <v>32.26</v>
      </c>
      <c r="H429" s="0" t="n">
        <v>106.67</v>
      </c>
      <c r="I429" s="0" t="n">
        <v>25.66</v>
      </c>
      <c r="J429" s="0" t="n">
        <v>84.84999999999999</v>
      </c>
      <c r="K429" s="0" t="n">
        <v>48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106</v>
      </c>
      <c r="X429" s="0" t="n">
        <v>6</v>
      </c>
      <c r="Y429" s="0" t="n">
        <v>6</v>
      </c>
      <c r="Z429" s="0" t="inlineStr">
        <is>
          <t>https://new.land.naver.com/complexes/121043?tab=detail&amp;rf=Y</t>
        </is>
      </c>
      <c r="AA429" s="0" t="inlineStr">
        <is>
          <t>경상남도 창원시 의창구 소답동 101-4</t>
        </is>
      </c>
      <c r="AB429" s="0" t="inlineStr">
        <is>
          <t>경상남도</t>
        </is>
      </c>
      <c r="AC429" s="0" t="inlineStr">
        <is>
          <t>창원시</t>
        </is>
      </c>
      <c r="AD429" s="0" t="inlineStr">
        <is>
          <t>의창구</t>
        </is>
      </c>
      <c r="AE429" s="0" t="inlineStr">
        <is>
          <t>소답동</t>
        </is>
      </c>
      <c r="AG429" s="0" t="inlineStr">
        <is>
          <t>경상남도 창원시 의창구 읍성로67번길 27</t>
        </is>
      </c>
      <c r="AH429" s="0" t="n">
        <v>0</v>
      </c>
      <c r="AI429" s="0" t="n">
        <v>0</v>
      </c>
    </row>
    <row r="430">
      <c r="A430" s="0" t="inlineStr">
        <is>
          <t>[소답동]</t>
        </is>
      </c>
      <c r="B430" s="0" t="n">
        <v>15794</v>
      </c>
      <c r="C430" s="0" t="n">
        <v>1</v>
      </c>
      <c r="D430" s="0" t="inlineStr">
        <is>
          <t>팔도맨션</t>
        </is>
      </c>
      <c r="E430" s="0" t="inlineStr">
        <is>
          <t>1994.02.</t>
        </is>
      </c>
      <c r="F430" s="0" t="n">
        <v>82</v>
      </c>
      <c r="G430" s="0" t="n">
        <v>16.48</v>
      </c>
      <c r="H430" s="0" t="n">
        <v>54.51</v>
      </c>
      <c r="I430" s="0" t="n">
        <v>13.46</v>
      </c>
      <c r="J430" s="0" t="n">
        <v>44.52</v>
      </c>
      <c r="K430" s="0" t="n">
        <v>4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54</v>
      </c>
      <c r="X430" s="0" t="n">
        <v>15</v>
      </c>
      <c r="Y430" s="0" t="n">
        <v>13</v>
      </c>
      <c r="Z430" s="0" t="inlineStr">
        <is>
          <t>https://new.land.naver.com/complexes/15794?tab=detail&amp;rf=Y</t>
        </is>
      </c>
      <c r="AA430" s="0" t="inlineStr">
        <is>
          <t>경상남도 창원시 의창구 소답동 148-1</t>
        </is>
      </c>
      <c r="AB430" s="0" t="inlineStr">
        <is>
          <t>경상남도</t>
        </is>
      </c>
      <c r="AC430" s="0" t="inlineStr">
        <is>
          <t>창원시</t>
        </is>
      </c>
      <c r="AD430" s="0" t="inlineStr">
        <is>
          <t>의창구</t>
        </is>
      </c>
      <c r="AE430" s="0" t="inlineStr">
        <is>
          <t>소답동</t>
        </is>
      </c>
      <c r="AG430" s="0" t="inlineStr">
        <is>
          <t>경상남도 창원시 의창구 읍성로89번길 34</t>
        </is>
      </c>
      <c r="AH430" s="0" t="n">
        <v>0</v>
      </c>
      <c r="AI430" s="0" t="n">
        <v>362</v>
      </c>
    </row>
    <row r="431">
      <c r="A431" s="0" t="inlineStr">
        <is>
          <t>[소답동]</t>
        </is>
      </c>
      <c r="B431" s="0" t="n">
        <v>15794</v>
      </c>
      <c r="C431" s="0" t="n">
        <v>2</v>
      </c>
      <c r="D431" s="0" t="inlineStr">
        <is>
          <t>팔도맨션</t>
        </is>
      </c>
      <c r="E431" s="0" t="inlineStr">
        <is>
          <t>1994.02.</t>
        </is>
      </c>
      <c r="F431" s="0" t="n">
        <v>82</v>
      </c>
      <c r="G431" s="0" t="n">
        <v>17.56</v>
      </c>
      <c r="H431" s="0" t="n">
        <v>58.05</v>
      </c>
      <c r="I431" s="0" t="n">
        <v>14.53</v>
      </c>
      <c r="J431" s="0" t="n">
        <v>48.06</v>
      </c>
      <c r="K431" s="0" t="n">
        <v>4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58</v>
      </c>
      <c r="X431" s="0" t="n">
        <v>15</v>
      </c>
      <c r="Y431" s="0" t="n">
        <v>13</v>
      </c>
      <c r="Z431" s="0" t="inlineStr">
        <is>
          <t>https://new.land.naver.com/complexes/15794?tab=detail&amp;rf=Y</t>
        </is>
      </c>
      <c r="AA431" s="0" t="inlineStr">
        <is>
          <t>경상남도 창원시 의창구 소답동 148-1</t>
        </is>
      </c>
      <c r="AB431" s="0" t="inlineStr">
        <is>
          <t>경상남도</t>
        </is>
      </c>
      <c r="AC431" s="0" t="inlineStr">
        <is>
          <t>창원시</t>
        </is>
      </c>
      <c r="AD431" s="0" t="inlineStr">
        <is>
          <t>의창구</t>
        </is>
      </c>
      <c r="AE431" s="0" t="inlineStr">
        <is>
          <t>소답동</t>
        </is>
      </c>
      <c r="AG431" s="0" t="inlineStr">
        <is>
          <t>경상남도 창원시 의창구 읍성로89번길 34</t>
        </is>
      </c>
      <c r="AH431" s="0" t="n">
        <v>0</v>
      </c>
      <c r="AI431" s="0" t="n">
        <v>362</v>
      </c>
    </row>
    <row r="432">
      <c r="A432" s="0" t="inlineStr">
        <is>
          <t>[소답동]</t>
        </is>
      </c>
      <c r="B432" s="0" t="n">
        <v>15794</v>
      </c>
      <c r="C432" s="0" t="n">
        <v>3</v>
      </c>
      <c r="D432" s="0" t="inlineStr">
        <is>
          <t>팔도맨션</t>
        </is>
      </c>
      <c r="E432" s="0" t="inlineStr">
        <is>
          <t>1994.02.</t>
        </is>
      </c>
      <c r="F432" s="0" t="n">
        <v>82</v>
      </c>
      <c r="G432" s="0" t="n">
        <v>21.12</v>
      </c>
      <c r="H432" s="0" t="n">
        <v>69.84</v>
      </c>
      <c r="I432" s="0" t="n">
        <v>18.1</v>
      </c>
      <c r="J432" s="0" t="n">
        <v>59.85</v>
      </c>
      <c r="K432" s="0" t="n">
        <v>22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69</v>
      </c>
      <c r="X432" s="0" t="n">
        <v>15</v>
      </c>
      <c r="Y432" s="0" t="n">
        <v>13</v>
      </c>
      <c r="Z432" s="0" t="inlineStr">
        <is>
          <t>https://new.land.naver.com/complexes/15794?tab=detail&amp;rf=Y</t>
        </is>
      </c>
      <c r="AA432" s="0" t="inlineStr">
        <is>
          <t>경상남도 창원시 의창구 소답동 148-1</t>
        </is>
      </c>
      <c r="AB432" s="0" t="inlineStr">
        <is>
          <t>경상남도</t>
        </is>
      </c>
      <c r="AC432" s="0" t="inlineStr">
        <is>
          <t>창원시</t>
        </is>
      </c>
      <c r="AD432" s="0" t="inlineStr">
        <is>
          <t>의창구</t>
        </is>
      </c>
      <c r="AE432" s="0" t="inlineStr">
        <is>
          <t>소답동</t>
        </is>
      </c>
      <c r="AG432" s="0" t="inlineStr">
        <is>
          <t>경상남도 창원시 의창구 읍성로89번길 34</t>
        </is>
      </c>
      <c r="AH432" s="0" t="n">
        <v>0</v>
      </c>
      <c r="AI432" s="0" t="n">
        <v>362</v>
      </c>
    </row>
    <row r="433">
      <c r="A433" s="0" t="inlineStr">
        <is>
          <t>[소답동]</t>
        </is>
      </c>
      <c r="B433" s="0" t="n">
        <v>15794</v>
      </c>
      <c r="C433" s="0" t="n">
        <v>4</v>
      </c>
      <c r="D433" s="0" t="inlineStr">
        <is>
          <t>팔도맨션</t>
        </is>
      </c>
      <c r="E433" s="0" t="inlineStr">
        <is>
          <t>1994.02.</t>
        </is>
      </c>
      <c r="F433" s="0" t="n">
        <v>82</v>
      </c>
      <c r="G433" s="0" t="n">
        <v>23.24</v>
      </c>
      <c r="H433" s="0" t="n">
        <v>76.84</v>
      </c>
      <c r="I433" s="0" t="n">
        <v>20.27</v>
      </c>
      <c r="J433" s="0" t="n">
        <v>67.02</v>
      </c>
      <c r="K433" s="0" t="n">
        <v>1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76</v>
      </c>
      <c r="X433" s="0" t="n">
        <v>15</v>
      </c>
      <c r="Y433" s="0" t="n">
        <v>13</v>
      </c>
      <c r="Z433" s="0" t="inlineStr">
        <is>
          <t>https://new.land.naver.com/complexes/15794?tab=detail&amp;rf=Y</t>
        </is>
      </c>
      <c r="AA433" s="0" t="inlineStr">
        <is>
          <t>경상남도 창원시 의창구 소답동 148-1</t>
        </is>
      </c>
      <c r="AB433" s="0" t="inlineStr">
        <is>
          <t>경상남도</t>
        </is>
      </c>
      <c r="AC433" s="0" t="inlineStr">
        <is>
          <t>창원시</t>
        </is>
      </c>
      <c r="AD433" s="0" t="inlineStr">
        <is>
          <t>의창구</t>
        </is>
      </c>
      <c r="AE433" s="0" t="inlineStr">
        <is>
          <t>소답동</t>
        </is>
      </c>
      <c r="AG433" s="0" t="inlineStr">
        <is>
          <t>경상남도 창원시 의창구 읍성로89번길 34</t>
        </is>
      </c>
      <c r="AH433" s="0" t="n">
        <v>0</v>
      </c>
      <c r="AI433" s="0" t="n">
        <v>362</v>
      </c>
    </row>
    <row r="434">
      <c r="A434" s="0" t="inlineStr">
        <is>
          <t>[소답동]</t>
        </is>
      </c>
      <c r="B434" s="0" t="n">
        <v>15794</v>
      </c>
      <c r="C434" s="0" t="n">
        <v>5</v>
      </c>
      <c r="D434" s="0" t="inlineStr">
        <is>
          <t>팔도맨션</t>
        </is>
      </c>
      <c r="E434" s="0" t="inlineStr">
        <is>
          <t>1994.02.</t>
        </is>
      </c>
      <c r="F434" s="0" t="n">
        <v>82</v>
      </c>
      <c r="G434" s="0" t="n">
        <v>23.73</v>
      </c>
      <c r="H434" s="0" t="n">
        <v>78.45</v>
      </c>
      <c r="I434" s="0" t="n">
        <v>20.99</v>
      </c>
      <c r="J434" s="0" t="n">
        <v>69.39</v>
      </c>
      <c r="K434" s="0" t="n">
        <v>11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78</v>
      </c>
      <c r="X434" s="0" t="n">
        <v>15</v>
      </c>
      <c r="Y434" s="0" t="n">
        <v>13</v>
      </c>
      <c r="Z434" s="0" t="inlineStr">
        <is>
          <t>https://new.land.naver.com/complexes/15794?tab=detail&amp;rf=Y</t>
        </is>
      </c>
      <c r="AA434" s="0" t="inlineStr">
        <is>
          <t>경상남도 창원시 의창구 소답동 148-1</t>
        </is>
      </c>
      <c r="AB434" s="0" t="inlineStr">
        <is>
          <t>경상남도</t>
        </is>
      </c>
      <c r="AC434" s="0" t="inlineStr">
        <is>
          <t>창원시</t>
        </is>
      </c>
      <c r="AD434" s="0" t="inlineStr">
        <is>
          <t>의창구</t>
        </is>
      </c>
      <c r="AE434" s="0" t="inlineStr">
        <is>
          <t>소답동</t>
        </is>
      </c>
      <c r="AG434" s="0" t="inlineStr">
        <is>
          <t>경상남도 창원시 의창구 읍성로89번길 34</t>
        </is>
      </c>
      <c r="AH434" s="0" t="n">
        <v>0</v>
      </c>
      <c r="AI434" s="0" t="n">
        <v>362</v>
      </c>
    </row>
    <row r="435">
      <c r="A435" s="0" t="inlineStr">
        <is>
          <t>[소답동]</t>
        </is>
      </c>
      <c r="B435" s="0" t="n">
        <v>15794</v>
      </c>
      <c r="C435" s="0" t="n">
        <v>6</v>
      </c>
      <c r="D435" s="0" t="inlineStr">
        <is>
          <t>팔도맨션</t>
        </is>
      </c>
      <c r="E435" s="0" t="inlineStr">
        <is>
          <t>1994.02.</t>
        </is>
      </c>
      <c r="F435" s="0" t="n">
        <v>82</v>
      </c>
      <c r="G435" s="0" t="n">
        <v>26.03</v>
      </c>
      <c r="H435" s="0" t="n">
        <v>86.08</v>
      </c>
      <c r="I435" s="0" t="n">
        <v>23.64</v>
      </c>
      <c r="J435" s="0" t="n">
        <v>78.15000000000001</v>
      </c>
      <c r="K435" s="0" t="n">
        <v>1</v>
      </c>
      <c r="T435" s="0" t="n">
        <v>3</v>
      </c>
      <c r="U435" s="0" t="n">
        <v>1</v>
      </c>
      <c r="V435" s="0" t="inlineStr">
        <is>
          <t>계단식</t>
        </is>
      </c>
      <c r="W435" s="0" t="n">
        <v>86</v>
      </c>
      <c r="X435" s="0" t="n">
        <v>15</v>
      </c>
      <c r="Y435" s="0" t="n">
        <v>13</v>
      </c>
      <c r="Z435" s="0" t="inlineStr">
        <is>
          <t>https://new.land.naver.com/complexes/15794?tab=detail&amp;rf=Y</t>
        </is>
      </c>
      <c r="AA435" s="0" t="inlineStr">
        <is>
          <t>경상남도 창원시 의창구 소답동 148-1</t>
        </is>
      </c>
      <c r="AB435" s="0" t="inlineStr">
        <is>
          <t>경상남도</t>
        </is>
      </c>
      <c r="AC435" s="0" t="inlineStr">
        <is>
          <t>창원시</t>
        </is>
      </c>
      <c r="AD435" s="0" t="inlineStr">
        <is>
          <t>의창구</t>
        </is>
      </c>
      <c r="AE435" s="0" t="inlineStr">
        <is>
          <t>소답동</t>
        </is>
      </c>
      <c r="AG435" s="0" t="inlineStr">
        <is>
          <t>경상남도 창원시 의창구 읍성로89번길 34</t>
        </is>
      </c>
      <c r="AH435" s="0" t="n">
        <v>0</v>
      </c>
      <c r="AI435" s="0" t="n">
        <v>362</v>
      </c>
    </row>
    <row r="436">
      <c r="A436" s="0" t="inlineStr">
        <is>
          <t>[소답동]</t>
        </is>
      </c>
      <c r="B436" s="0" t="n">
        <v>15794</v>
      </c>
      <c r="C436" s="0" t="n">
        <v>7</v>
      </c>
      <c r="D436" s="0" t="inlineStr">
        <is>
          <t>팔도맨션</t>
        </is>
      </c>
      <c r="E436" s="0" t="inlineStr">
        <is>
          <t>1994.02.</t>
        </is>
      </c>
      <c r="F436" s="0" t="n">
        <v>82</v>
      </c>
      <c r="G436" s="0" t="n">
        <v>27.78</v>
      </c>
      <c r="H436" s="0" t="n">
        <v>91.86</v>
      </c>
      <c r="I436" s="0" t="n">
        <v>25.29</v>
      </c>
      <c r="J436" s="0" t="n">
        <v>83.61</v>
      </c>
      <c r="K436" s="0" t="n">
        <v>24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91</v>
      </c>
      <c r="X436" s="0" t="n">
        <v>15</v>
      </c>
      <c r="Y436" s="0" t="n">
        <v>13</v>
      </c>
      <c r="Z436" s="0" t="inlineStr">
        <is>
          <t>https://new.land.naver.com/complexes/15794?tab=detail&amp;rf=Y</t>
        </is>
      </c>
      <c r="AA436" s="0" t="inlineStr">
        <is>
          <t>경상남도 창원시 의창구 소답동 148-1</t>
        </is>
      </c>
      <c r="AB436" s="0" t="inlineStr">
        <is>
          <t>경상남도</t>
        </is>
      </c>
      <c r="AC436" s="0" t="inlineStr">
        <is>
          <t>창원시</t>
        </is>
      </c>
      <c r="AD436" s="0" t="inlineStr">
        <is>
          <t>의창구</t>
        </is>
      </c>
      <c r="AE436" s="0" t="inlineStr">
        <is>
          <t>소답동</t>
        </is>
      </c>
      <c r="AG436" s="0" t="inlineStr">
        <is>
          <t>경상남도 창원시 의창구 읍성로89번길 34</t>
        </is>
      </c>
      <c r="AH436" s="0" t="n">
        <v>0</v>
      </c>
      <c r="AI436" s="0" t="n">
        <v>362</v>
      </c>
    </row>
    <row r="437">
      <c r="A437" s="0" t="inlineStr">
        <is>
          <t>[소답동]</t>
        </is>
      </c>
      <c r="B437" s="0" t="n">
        <v>15794</v>
      </c>
      <c r="C437" s="0" t="n">
        <v>8</v>
      </c>
      <c r="D437" s="0" t="inlineStr">
        <is>
          <t>팔도맨션</t>
        </is>
      </c>
      <c r="E437" s="0" t="inlineStr">
        <is>
          <t>1994.02.</t>
        </is>
      </c>
      <c r="F437" s="0" t="n">
        <v>82</v>
      </c>
      <c r="G437" s="0" t="n">
        <v>39.49</v>
      </c>
      <c r="H437" s="0" t="n">
        <v>130.56</v>
      </c>
      <c r="I437" s="0" t="n">
        <v>35.94</v>
      </c>
      <c r="J437" s="0" t="n">
        <v>118.83</v>
      </c>
      <c r="K437" s="0" t="n">
        <v>15</v>
      </c>
      <c r="T437" s="0" t="n">
        <v>4</v>
      </c>
      <c r="U437" s="0" t="n">
        <v>2</v>
      </c>
      <c r="V437" s="0" t="inlineStr">
        <is>
          <t>계단식</t>
        </is>
      </c>
      <c r="W437" s="0" t="n">
        <v>130</v>
      </c>
      <c r="X437" s="0" t="n">
        <v>15</v>
      </c>
      <c r="Y437" s="0" t="n">
        <v>13</v>
      </c>
      <c r="Z437" s="0" t="inlineStr">
        <is>
          <t>https://new.land.naver.com/complexes/15794?tab=detail&amp;rf=Y</t>
        </is>
      </c>
      <c r="AA437" s="0" t="inlineStr">
        <is>
          <t>경상남도 창원시 의창구 소답동 148-1</t>
        </is>
      </c>
      <c r="AB437" s="0" t="inlineStr">
        <is>
          <t>경상남도</t>
        </is>
      </c>
      <c r="AC437" s="0" t="inlineStr">
        <is>
          <t>창원시</t>
        </is>
      </c>
      <c r="AD437" s="0" t="inlineStr">
        <is>
          <t>의창구</t>
        </is>
      </c>
      <c r="AE437" s="0" t="inlineStr">
        <is>
          <t>소답동</t>
        </is>
      </c>
      <c r="AG437" s="0" t="inlineStr">
        <is>
          <t>경상남도 창원시 의창구 읍성로89번길 34</t>
        </is>
      </c>
      <c r="AH437" s="0" t="n">
        <v>0</v>
      </c>
      <c r="AI437" s="0" t="n">
        <v>362</v>
      </c>
    </row>
    <row r="438">
      <c r="A438" s="0" t="inlineStr">
        <is>
          <t>[소답동]</t>
        </is>
      </c>
      <c r="B438" s="0" t="n">
        <v>7831</v>
      </c>
      <c r="C438" s="0" t="n">
        <v>1</v>
      </c>
      <c r="D438" s="0" t="inlineStr">
        <is>
          <t>금강매화</t>
        </is>
      </c>
      <c r="E438" s="0" t="inlineStr">
        <is>
          <t>1998.09.</t>
        </is>
      </c>
      <c r="F438" s="0" t="n">
        <v>80</v>
      </c>
      <c r="G438" s="0" t="n">
        <v>19.41</v>
      </c>
      <c r="H438" s="0" t="n">
        <v>64.18000000000001</v>
      </c>
      <c r="I438" s="0" t="n">
        <v>14.24</v>
      </c>
      <c r="J438" s="0" t="n">
        <v>47.1</v>
      </c>
      <c r="K438" s="0" t="n">
        <v>21</v>
      </c>
      <c r="T438" s="0" t="n">
        <v>2</v>
      </c>
      <c r="U438" s="0" t="n">
        <v>1</v>
      </c>
      <c r="V438" s="0" t="inlineStr">
        <is>
          <t>복도식</t>
        </is>
      </c>
      <c r="W438" s="0" t="n">
        <v>64</v>
      </c>
      <c r="X438" s="0" t="n">
        <v>12</v>
      </c>
      <c r="Y438" s="0" t="n">
        <v>9</v>
      </c>
      <c r="Z438" s="0" t="inlineStr">
        <is>
          <t>https://new.land.naver.com/complexes/7831?tab=detail&amp;rf=Y</t>
        </is>
      </c>
      <c r="AA438" s="0" t="inlineStr">
        <is>
          <t>경상남도 창원시 의창구 소답동 129-5</t>
        </is>
      </c>
      <c r="AB438" s="0" t="inlineStr">
        <is>
          <t>경상남도</t>
        </is>
      </c>
      <c r="AC438" s="0" t="inlineStr">
        <is>
          <t>창원시</t>
        </is>
      </c>
      <c r="AD438" s="0" t="inlineStr">
        <is>
          <t>의창구</t>
        </is>
      </c>
      <c r="AE438" s="0" t="inlineStr">
        <is>
          <t>소답동</t>
        </is>
      </c>
      <c r="AG438" s="0" t="inlineStr">
        <is>
          <t>경상남도 창원시 의창구 의안로56번길 31</t>
        </is>
      </c>
      <c r="AH438" s="0" t="n">
        <v>0</v>
      </c>
      <c r="AI438" s="0" t="n">
        <v>0</v>
      </c>
    </row>
    <row r="439">
      <c r="A439" s="0" t="inlineStr">
        <is>
          <t>[소답동]</t>
        </is>
      </c>
      <c r="B439" s="0" t="n">
        <v>7831</v>
      </c>
      <c r="C439" s="0" t="n">
        <v>2</v>
      </c>
      <c r="D439" s="0" t="inlineStr">
        <is>
          <t>금강매화</t>
        </is>
      </c>
      <c r="E439" s="0" t="inlineStr">
        <is>
          <t>1998.09.</t>
        </is>
      </c>
      <c r="F439" s="0" t="n">
        <v>80</v>
      </c>
      <c r="G439" s="0" t="n">
        <v>24.67</v>
      </c>
      <c r="H439" s="0" t="n">
        <v>81.56</v>
      </c>
      <c r="I439" s="0" t="n">
        <v>18.1</v>
      </c>
      <c r="J439" s="0" t="n">
        <v>59.85</v>
      </c>
      <c r="K439" s="0" t="n">
        <v>35</v>
      </c>
      <c r="T439" s="0" t="n">
        <v>3</v>
      </c>
      <c r="U439" s="0" t="n">
        <v>1</v>
      </c>
      <c r="V439" s="0" t="inlineStr">
        <is>
          <t>복도식</t>
        </is>
      </c>
      <c r="W439" s="0" t="n">
        <v>81</v>
      </c>
      <c r="X439" s="0" t="n">
        <v>12</v>
      </c>
      <c r="Y439" s="0" t="n">
        <v>9</v>
      </c>
      <c r="Z439" s="0" t="inlineStr">
        <is>
          <t>https://new.land.naver.com/complexes/7831?tab=detail&amp;rf=Y</t>
        </is>
      </c>
      <c r="AA439" s="0" t="inlineStr">
        <is>
          <t>경상남도 창원시 의창구 소답동 129-5</t>
        </is>
      </c>
      <c r="AB439" s="0" t="inlineStr">
        <is>
          <t>경상남도</t>
        </is>
      </c>
      <c r="AC439" s="0" t="inlineStr">
        <is>
          <t>창원시</t>
        </is>
      </c>
      <c r="AD439" s="0" t="inlineStr">
        <is>
          <t>의창구</t>
        </is>
      </c>
      <c r="AE439" s="0" t="inlineStr">
        <is>
          <t>소답동</t>
        </is>
      </c>
      <c r="AG439" s="0" t="inlineStr">
        <is>
          <t>경상남도 창원시 의창구 의안로56번길 31</t>
        </is>
      </c>
      <c r="AH439" s="0" t="n">
        <v>0</v>
      </c>
      <c r="AI439" s="0" t="n">
        <v>0</v>
      </c>
    </row>
    <row r="440">
      <c r="A440" s="0" t="inlineStr">
        <is>
          <t>[소답동]</t>
        </is>
      </c>
      <c r="B440" s="0" t="n">
        <v>7831</v>
      </c>
      <c r="C440" s="0" t="n">
        <v>3</v>
      </c>
      <c r="D440" s="0" t="inlineStr">
        <is>
          <t>금강매화</t>
        </is>
      </c>
      <c r="E440" s="0" t="inlineStr">
        <is>
          <t>1998.09.</t>
        </is>
      </c>
      <c r="F440" s="0" t="n">
        <v>80</v>
      </c>
      <c r="G440" s="0" t="n">
        <v>27.7</v>
      </c>
      <c r="H440" s="0" t="n">
        <v>91.58</v>
      </c>
      <c r="I440" s="0" t="n">
        <v>22.44</v>
      </c>
      <c r="J440" s="0" t="n">
        <v>74.2</v>
      </c>
      <c r="K440" s="0" t="n">
        <v>24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91</v>
      </c>
      <c r="X440" s="0" t="n">
        <v>12</v>
      </c>
      <c r="Y440" s="0" t="n">
        <v>9</v>
      </c>
      <c r="Z440" s="0" t="inlineStr">
        <is>
          <t>https://new.land.naver.com/complexes/7831?tab=detail&amp;rf=Y</t>
        </is>
      </c>
      <c r="AA440" s="0" t="inlineStr">
        <is>
          <t>경상남도 창원시 의창구 소답동 129-5</t>
        </is>
      </c>
      <c r="AB440" s="0" t="inlineStr">
        <is>
          <t>경상남도</t>
        </is>
      </c>
      <c r="AC440" s="0" t="inlineStr">
        <is>
          <t>창원시</t>
        </is>
      </c>
      <c r="AD440" s="0" t="inlineStr">
        <is>
          <t>의창구</t>
        </is>
      </c>
      <c r="AE440" s="0" t="inlineStr">
        <is>
          <t>소답동</t>
        </is>
      </c>
      <c r="AG440" s="0" t="inlineStr">
        <is>
          <t>경상남도 창원시 의창구 의안로56번길 31</t>
        </is>
      </c>
      <c r="AH440" s="0" t="n">
        <v>0</v>
      </c>
      <c r="AI440" s="0" t="n">
        <v>0</v>
      </c>
    </row>
    <row r="441">
      <c r="A441" s="0" t="inlineStr">
        <is>
          <t>[소답동]</t>
        </is>
      </c>
      <c r="B441" s="0" t="n">
        <v>15787</v>
      </c>
      <c r="C441" s="0" t="n">
        <v>1</v>
      </c>
      <c r="D441" s="0" t="inlineStr">
        <is>
          <t>진보</t>
        </is>
      </c>
      <c r="E441" s="0" t="inlineStr">
        <is>
          <t>1995.01.</t>
        </is>
      </c>
      <c r="F441" s="0" t="n">
        <v>43</v>
      </c>
      <c r="G441" s="0" t="n">
        <v>23.49</v>
      </c>
      <c r="H441" s="0" t="n">
        <v>77.68000000000001</v>
      </c>
      <c r="I441" s="0" t="n">
        <v>17.86</v>
      </c>
      <c r="J441" s="0" t="n">
        <v>59.07</v>
      </c>
      <c r="K441" s="0" t="n">
        <v>3</v>
      </c>
      <c r="T441" s="0" t="n">
        <v>3</v>
      </c>
      <c r="U441" s="0" t="n">
        <v>1</v>
      </c>
      <c r="V441" s="0" t="inlineStr">
        <is>
          <t>복도식</t>
        </is>
      </c>
      <c r="W441" s="0" t="inlineStr">
        <is>
          <t>77A</t>
        </is>
      </c>
      <c r="X441" s="0" t="n">
        <v>9</v>
      </c>
      <c r="Y441" s="0" t="n">
        <v>8</v>
      </c>
      <c r="Z441" s="0" t="inlineStr">
        <is>
          <t>https://new.land.naver.com/complexes/15787?tab=detail&amp;rf=Y</t>
        </is>
      </c>
      <c r="AA441" s="0" t="inlineStr">
        <is>
          <t>경상남도 창원시 의창구 소답동 149-4</t>
        </is>
      </c>
      <c r="AB441" s="0" t="inlineStr">
        <is>
          <t>경상남도</t>
        </is>
      </c>
      <c r="AC441" s="0" t="inlineStr">
        <is>
          <t>창원시</t>
        </is>
      </c>
      <c r="AD441" s="0" t="inlineStr">
        <is>
          <t>의창구</t>
        </is>
      </c>
      <c r="AE441" s="0" t="inlineStr">
        <is>
          <t>소답동</t>
        </is>
      </c>
      <c r="AG441" s="0" t="inlineStr">
        <is>
          <t>경상남도 창원시 의창구 의안로44번길 49-20</t>
        </is>
      </c>
      <c r="AH441" s="0" t="n">
        <v>0</v>
      </c>
      <c r="AI441" s="0" t="n">
        <v>261</v>
      </c>
    </row>
    <row r="442">
      <c r="A442" s="0" t="inlineStr">
        <is>
          <t>[소답동]</t>
        </is>
      </c>
      <c r="B442" s="0" t="n">
        <v>15787</v>
      </c>
      <c r="C442" s="0" t="n">
        <v>2</v>
      </c>
      <c r="D442" s="0" t="inlineStr">
        <is>
          <t>진보</t>
        </is>
      </c>
      <c r="E442" s="0" t="inlineStr">
        <is>
          <t>1995.01.</t>
        </is>
      </c>
      <c r="F442" s="0" t="n">
        <v>43</v>
      </c>
      <c r="G442" s="0" t="n">
        <v>23.86</v>
      </c>
      <c r="H442" s="0" t="n">
        <v>78.89</v>
      </c>
      <c r="I442" s="0" t="n">
        <v>18.14</v>
      </c>
      <c r="J442" s="0" t="n">
        <v>59.99</v>
      </c>
      <c r="K442" s="0" t="n">
        <v>8</v>
      </c>
      <c r="T442" s="0" t="n">
        <v>3</v>
      </c>
      <c r="U442" s="0" t="n">
        <v>1</v>
      </c>
      <c r="V442" s="0" t="inlineStr">
        <is>
          <t>복도식</t>
        </is>
      </c>
      <c r="W442" s="0" t="inlineStr">
        <is>
          <t>78B</t>
        </is>
      </c>
      <c r="X442" s="0" t="n">
        <v>9</v>
      </c>
      <c r="Y442" s="0" t="n">
        <v>8</v>
      </c>
      <c r="Z442" s="0" t="inlineStr">
        <is>
          <t>https://new.land.naver.com/complexes/15787?tab=detail&amp;rf=Y</t>
        </is>
      </c>
      <c r="AA442" s="0" t="inlineStr">
        <is>
          <t>경상남도 창원시 의창구 소답동 149-4</t>
        </is>
      </c>
      <c r="AB442" s="0" t="inlineStr">
        <is>
          <t>경상남도</t>
        </is>
      </c>
      <c r="AC442" s="0" t="inlineStr">
        <is>
          <t>창원시</t>
        </is>
      </c>
      <c r="AD442" s="0" t="inlineStr">
        <is>
          <t>의창구</t>
        </is>
      </c>
      <c r="AE442" s="0" t="inlineStr">
        <is>
          <t>소답동</t>
        </is>
      </c>
      <c r="AG442" s="0" t="inlineStr">
        <is>
          <t>경상남도 창원시 의창구 의안로44번길 49-20</t>
        </is>
      </c>
      <c r="AH442" s="0" t="n">
        <v>0</v>
      </c>
      <c r="AI442" s="0" t="n">
        <v>261</v>
      </c>
    </row>
    <row r="443">
      <c r="A443" s="0" t="inlineStr">
        <is>
          <t>[소답동]</t>
        </is>
      </c>
      <c r="B443" s="0" t="n">
        <v>15787</v>
      </c>
      <c r="C443" s="0" t="n">
        <v>3</v>
      </c>
      <c r="D443" s="0" t="inlineStr">
        <is>
          <t>진보</t>
        </is>
      </c>
      <c r="E443" s="0" t="inlineStr">
        <is>
          <t>1995.01.</t>
        </is>
      </c>
      <c r="F443" s="0" t="n">
        <v>43</v>
      </c>
      <c r="G443" s="0" t="n">
        <v>23.87</v>
      </c>
      <c r="H443" s="0" t="n">
        <v>78.91</v>
      </c>
      <c r="I443" s="0" t="n">
        <v>18.15</v>
      </c>
      <c r="J443" s="0" t="n">
        <v>60</v>
      </c>
      <c r="K443" s="0" t="n">
        <v>8</v>
      </c>
      <c r="T443" s="0" t="n">
        <v>3</v>
      </c>
      <c r="U443" s="0" t="n">
        <v>1</v>
      </c>
      <c r="V443" s="0" t="inlineStr">
        <is>
          <t>복도식</t>
        </is>
      </c>
      <c r="W443" s="0" t="inlineStr">
        <is>
          <t>78C</t>
        </is>
      </c>
      <c r="X443" s="0" t="n">
        <v>9</v>
      </c>
      <c r="Y443" s="0" t="n">
        <v>8</v>
      </c>
      <c r="Z443" s="0" t="inlineStr">
        <is>
          <t>https://new.land.naver.com/complexes/15787?tab=detail&amp;rf=Y</t>
        </is>
      </c>
      <c r="AA443" s="0" t="inlineStr">
        <is>
          <t>경상남도 창원시 의창구 소답동 149-4</t>
        </is>
      </c>
      <c r="AB443" s="0" t="inlineStr">
        <is>
          <t>경상남도</t>
        </is>
      </c>
      <c r="AC443" s="0" t="inlineStr">
        <is>
          <t>창원시</t>
        </is>
      </c>
      <c r="AD443" s="0" t="inlineStr">
        <is>
          <t>의창구</t>
        </is>
      </c>
      <c r="AE443" s="0" t="inlineStr">
        <is>
          <t>소답동</t>
        </is>
      </c>
      <c r="AG443" s="0" t="inlineStr">
        <is>
          <t>경상남도 창원시 의창구 의안로44번길 49-20</t>
        </is>
      </c>
      <c r="AH443" s="0" t="n">
        <v>0</v>
      </c>
      <c r="AI443" s="0" t="n">
        <v>261</v>
      </c>
    </row>
    <row r="444">
      <c r="A444" s="0" t="inlineStr">
        <is>
          <t>[소답동]</t>
        </is>
      </c>
      <c r="B444" s="0" t="n">
        <v>15787</v>
      </c>
      <c r="C444" s="0" t="n">
        <v>4</v>
      </c>
      <c r="D444" s="0" t="inlineStr">
        <is>
          <t>진보</t>
        </is>
      </c>
      <c r="E444" s="0" t="inlineStr">
        <is>
          <t>1995.01.</t>
        </is>
      </c>
      <c r="F444" s="0" t="n">
        <v>43</v>
      </c>
      <c r="G444" s="0" t="n">
        <v>29.93</v>
      </c>
      <c r="H444" s="0" t="n">
        <v>98.95999999999999</v>
      </c>
      <c r="I444" s="0" t="n">
        <v>22.76</v>
      </c>
      <c r="J444" s="0" t="n">
        <v>75.25</v>
      </c>
      <c r="K444" s="0" t="n">
        <v>24</v>
      </c>
      <c r="T444" s="0" t="n">
        <v>3</v>
      </c>
      <c r="U444" s="0" t="n">
        <v>2</v>
      </c>
      <c r="V444" s="0" t="inlineStr">
        <is>
          <t>복도식</t>
        </is>
      </c>
      <c r="W444" s="0" t="n">
        <v>98</v>
      </c>
      <c r="X444" s="0" t="n">
        <v>9</v>
      </c>
      <c r="Y444" s="0" t="n">
        <v>8</v>
      </c>
      <c r="Z444" s="0" t="inlineStr">
        <is>
          <t>https://new.land.naver.com/complexes/15787?tab=detail&amp;rf=Y</t>
        </is>
      </c>
      <c r="AA444" s="0" t="inlineStr">
        <is>
          <t>경상남도 창원시 의창구 소답동 149-4</t>
        </is>
      </c>
      <c r="AB444" s="0" t="inlineStr">
        <is>
          <t>경상남도</t>
        </is>
      </c>
      <c r="AC444" s="0" t="inlineStr">
        <is>
          <t>창원시</t>
        </is>
      </c>
      <c r="AD444" s="0" t="inlineStr">
        <is>
          <t>의창구</t>
        </is>
      </c>
      <c r="AE444" s="0" t="inlineStr">
        <is>
          <t>소답동</t>
        </is>
      </c>
      <c r="AG444" s="0" t="inlineStr">
        <is>
          <t>경상남도 창원시 의창구 의안로44번길 49-20</t>
        </is>
      </c>
      <c r="AH444" s="0" t="n">
        <v>0</v>
      </c>
      <c r="AI444" s="0" t="n">
        <v>261</v>
      </c>
    </row>
    <row r="445">
      <c r="A445" s="0" t="inlineStr">
        <is>
          <t>[소답동]</t>
        </is>
      </c>
      <c r="B445" s="0" t="n">
        <v>121869</v>
      </c>
      <c r="C445" s="0" t="n">
        <v>1</v>
      </c>
      <c r="D445" s="0" t="inlineStr">
        <is>
          <t>강남케스빌</t>
        </is>
      </c>
      <c r="E445" s="0" t="inlineStr">
        <is>
          <t>2003.06.</t>
        </is>
      </c>
      <c r="F445" s="0" t="n">
        <v>19</v>
      </c>
      <c r="G445" s="0" t="n">
        <v>14.91</v>
      </c>
      <c r="H445" s="0" t="n">
        <v>49.32</v>
      </c>
      <c r="I445" s="0" t="n">
        <v>12.18</v>
      </c>
      <c r="J445" s="0" t="n">
        <v>40.27</v>
      </c>
      <c r="K445" s="0" t="n">
        <v>1</v>
      </c>
      <c r="T445" s="0" t="n">
        <v>1</v>
      </c>
      <c r="U445" s="0" t="n">
        <v>1</v>
      </c>
      <c r="V445" s="0" t="inlineStr">
        <is>
          <t>계단식</t>
        </is>
      </c>
      <c r="W445" s="0" t="n">
        <v>49</v>
      </c>
      <c r="X445" s="0" t="n">
        <v>8</v>
      </c>
      <c r="Y445" s="0" t="n">
        <v>8</v>
      </c>
      <c r="Z445" s="0" t="inlineStr">
        <is>
          <t>https://new.land.naver.com/complexes/121869?tab=detail&amp;rf=Y</t>
        </is>
      </c>
      <c r="AA445" s="0" t="inlineStr">
        <is>
          <t>경상남도 창원시 의창구 소답동 143-3</t>
        </is>
      </c>
      <c r="AB445" s="0" t="inlineStr">
        <is>
          <t>경상남도</t>
        </is>
      </c>
      <c r="AC445" s="0" t="inlineStr">
        <is>
          <t>창원시</t>
        </is>
      </c>
      <c r="AD445" s="0" t="inlineStr">
        <is>
          <t>의창구</t>
        </is>
      </c>
      <c r="AE445" s="0" t="inlineStr">
        <is>
          <t>소답동</t>
        </is>
      </c>
      <c r="AG445" s="0" t="inlineStr">
        <is>
          <t>경상남도 창원시 의창구 의안로44번길 42</t>
        </is>
      </c>
      <c r="AH445" s="0" t="n">
        <v>0</v>
      </c>
      <c r="AI445" s="0" t="n">
        <v>219</v>
      </c>
    </row>
    <row r="446">
      <c r="A446" s="0" t="inlineStr">
        <is>
          <t>[소답동]</t>
        </is>
      </c>
      <c r="B446" s="0" t="n">
        <v>121869</v>
      </c>
      <c r="C446" s="0" t="n">
        <v>2</v>
      </c>
      <c r="D446" s="0" t="inlineStr">
        <is>
          <t>강남케스빌</t>
        </is>
      </c>
      <c r="E446" s="0" t="inlineStr">
        <is>
          <t>2003.06.</t>
        </is>
      </c>
      <c r="F446" s="0" t="n">
        <v>19</v>
      </c>
      <c r="G446" s="0" t="n">
        <v>17.42</v>
      </c>
      <c r="H446" s="0" t="n">
        <v>57.61</v>
      </c>
      <c r="I446" s="0" t="n">
        <v>14.33</v>
      </c>
      <c r="J446" s="0" t="n">
        <v>47.39</v>
      </c>
      <c r="K446" s="0" t="n">
        <v>4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57</v>
      </c>
      <c r="X446" s="0" t="n">
        <v>8</v>
      </c>
      <c r="Y446" s="0" t="n">
        <v>8</v>
      </c>
      <c r="Z446" s="0" t="inlineStr">
        <is>
          <t>https://new.land.naver.com/complexes/121869?tab=detail&amp;rf=Y</t>
        </is>
      </c>
      <c r="AA446" s="0" t="inlineStr">
        <is>
          <t>경상남도 창원시 의창구 소답동 143-3</t>
        </is>
      </c>
      <c r="AB446" s="0" t="inlineStr">
        <is>
          <t>경상남도</t>
        </is>
      </c>
      <c r="AC446" s="0" t="inlineStr">
        <is>
          <t>창원시</t>
        </is>
      </c>
      <c r="AD446" s="0" t="inlineStr">
        <is>
          <t>의창구</t>
        </is>
      </c>
      <c r="AE446" s="0" t="inlineStr">
        <is>
          <t>소답동</t>
        </is>
      </c>
      <c r="AG446" s="0" t="inlineStr">
        <is>
          <t>경상남도 창원시 의창구 의안로44번길 42</t>
        </is>
      </c>
      <c r="AH446" s="0" t="n">
        <v>0</v>
      </c>
      <c r="AI446" s="0" t="n">
        <v>219</v>
      </c>
    </row>
    <row r="447">
      <c r="A447" s="0" t="inlineStr">
        <is>
          <t>[소답동]</t>
        </is>
      </c>
      <c r="B447" s="0" t="n">
        <v>121869</v>
      </c>
      <c r="C447" s="0" t="n">
        <v>3</v>
      </c>
      <c r="D447" s="0" t="inlineStr">
        <is>
          <t>강남케스빌</t>
        </is>
      </c>
      <c r="E447" s="0" t="inlineStr">
        <is>
          <t>2003.06.</t>
        </is>
      </c>
      <c r="F447" s="0" t="n">
        <v>19</v>
      </c>
      <c r="G447" s="0" t="n">
        <v>26.19</v>
      </c>
      <c r="H447" s="0" t="n">
        <v>86.58</v>
      </c>
      <c r="I447" s="0" t="n">
        <v>21.76</v>
      </c>
      <c r="J447" s="0" t="n">
        <v>71.94</v>
      </c>
      <c r="K447" s="0" t="n">
        <v>1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86</v>
      </c>
      <c r="X447" s="0" t="n">
        <v>8</v>
      </c>
      <c r="Y447" s="0" t="n">
        <v>8</v>
      </c>
      <c r="Z447" s="0" t="inlineStr">
        <is>
          <t>https://new.land.naver.com/complexes/121869?tab=detail&amp;rf=Y</t>
        </is>
      </c>
      <c r="AA447" s="0" t="inlineStr">
        <is>
          <t>경상남도 창원시 의창구 소답동 143-3</t>
        </is>
      </c>
      <c r="AB447" s="0" t="inlineStr">
        <is>
          <t>경상남도</t>
        </is>
      </c>
      <c r="AC447" s="0" t="inlineStr">
        <is>
          <t>창원시</t>
        </is>
      </c>
      <c r="AD447" s="0" t="inlineStr">
        <is>
          <t>의창구</t>
        </is>
      </c>
      <c r="AE447" s="0" t="inlineStr">
        <is>
          <t>소답동</t>
        </is>
      </c>
      <c r="AG447" s="0" t="inlineStr">
        <is>
          <t>경상남도 창원시 의창구 의안로44번길 42</t>
        </is>
      </c>
      <c r="AH447" s="0" t="n">
        <v>0</v>
      </c>
      <c r="AI447" s="0" t="n">
        <v>219</v>
      </c>
    </row>
    <row r="448">
      <c r="A448" s="0" t="inlineStr">
        <is>
          <t>[소답동]</t>
        </is>
      </c>
      <c r="B448" s="0" t="n">
        <v>121869</v>
      </c>
      <c r="C448" s="0" t="n">
        <v>4</v>
      </c>
      <c r="D448" s="0" t="inlineStr">
        <is>
          <t>강남케스빌</t>
        </is>
      </c>
      <c r="E448" s="0" t="inlineStr">
        <is>
          <t>2003.06.</t>
        </is>
      </c>
      <c r="F448" s="0" t="n">
        <v>19</v>
      </c>
      <c r="G448" s="0" t="n">
        <v>27.89</v>
      </c>
      <c r="H448" s="0" t="n">
        <v>92.20999999999999</v>
      </c>
      <c r="I448" s="0" t="n">
        <v>23.42</v>
      </c>
      <c r="J448" s="0" t="n">
        <v>77.44</v>
      </c>
      <c r="K448" s="0" t="n">
        <v>1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92B</t>
        </is>
      </c>
      <c r="X448" s="0" t="n">
        <v>8</v>
      </c>
      <c r="Y448" s="0" t="n">
        <v>8</v>
      </c>
      <c r="Z448" s="0" t="inlineStr">
        <is>
          <t>https://new.land.naver.com/complexes/121869?tab=detail&amp;rf=Y</t>
        </is>
      </c>
      <c r="AA448" s="0" t="inlineStr">
        <is>
          <t>경상남도 창원시 의창구 소답동 143-3</t>
        </is>
      </c>
      <c r="AB448" s="0" t="inlineStr">
        <is>
          <t>경상남도</t>
        </is>
      </c>
      <c r="AC448" s="0" t="inlineStr">
        <is>
          <t>창원시</t>
        </is>
      </c>
      <c r="AD448" s="0" t="inlineStr">
        <is>
          <t>의창구</t>
        </is>
      </c>
      <c r="AE448" s="0" t="inlineStr">
        <is>
          <t>소답동</t>
        </is>
      </c>
      <c r="AG448" s="0" t="inlineStr">
        <is>
          <t>경상남도 창원시 의창구 의안로44번길 42</t>
        </is>
      </c>
      <c r="AH448" s="0" t="n">
        <v>0</v>
      </c>
      <c r="AI448" s="0" t="n">
        <v>219</v>
      </c>
    </row>
    <row r="449">
      <c r="A449" s="0" t="inlineStr">
        <is>
          <t>[소답동]</t>
        </is>
      </c>
      <c r="B449" s="0" t="n">
        <v>121869</v>
      </c>
      <c r="C449" s="0" t="n">
        <v>5</v>
      </c>
      <c r="D449" s="0" t="inlineStr">
        <is>
          <t>강남케스빌</t>
        </is>
      </c>
      <c r="E449" s="0" t="inlineStr">
        <is>
          <t>2003.06.</t>
        </is>
      </c>
      <c r="F449" s="0" t="n">
        <v>19</v>
      </c>
      <c r="G449" s="0" t="n">
        <v>28.13</v>
      </c>
      <c r="H449" s="0" t="n">
        <v>93.01000000000001</v>
      </c>
      <c r="I449" s="0" t="n">
        <v>23.4</v>
      </c>
      <c r="J449" s="0" t="n">
        <v>77.37</v>
      </c>
      <c r="K449" s="0" t="n">
        <v>6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93A</t>
        </is>
      </c>
      <c r="X449" s="0" t="n">
        <v>8</v>
      </c>
      <c r="Y449" s="0" t="n">
        <v>8</v>
      </c>
      <c r="Z449" s="0" t="inlineStr">
        <is>
          <t>https://new.land.naver.com/complexes/121869?tab=detail&amp;rf=Y</t>
        </is>
      </c>
      <c r="AA449" s="0" t="inlineStr">
        <is>
          <t>경상남도 창원시 의창구 소답동 143-3</t>
        </is>
      </c>
      <c r="AB449" s="0" t="inlineStr">
        <is>
          <t>경상남도</t>
        </is>
      </c>
      <c r="AC449" s="0" t="inlineStr">
        <is>
          <t>창원시</t>
        </is>
      </c>
      <c r="AD449" s="0" t="inlineStr">
        <is>
          <t>의창구</t>
        </is>
      </c>
      <c r="AE449" s="0" t="inlineStr">
        <is>
          <t>소답동</t>
        </is>
      </c>
      <c r="AG449" s="0" t="inlineStr">
        <is>
          <t>경상남도 창원시 의창구 의안로44번길 42</t>
        </is>
      </c>
      <c r="AH449" s="0" t="n">
        <v>0</v>
      </c>
      <c r="AI449" s="0" t="n">
        <v>219</v>
      </c>
    </row>
    <row r="450">
      <c r="A450" s="0" t="inlineStr">
        <is>
          <t>[소답동]</t>
        </is>
      </c>
      <c r="B450" s="0" t="n">
        <v>121869</v>
      </c>
      <c r="C450" s="0" t="n">
        <v>6</v>
      </c>
      <c r="D450" s="0" t="inlineStr">
        <is>
          <t>강남케스빌</t>
        </is>
      </c>
      <c r="E450" s="0" t="inlineStr">
        <is>
          <t>2003.06.</t>
        </is>
      </c>
      <c r="F450" s="0" t="n">
        <v>19</v>
      </c>
      <c r="G450" s="0" t="n">
        <v>28.51</v>
      </c>
      <c r="H450" s="0" t="n">
        <v>94.27</v>
      </c>
      <c r="I450" s="0" t="n">
        <v>23.92</v>
      </c>
      <c r="J450" s="0" t="n">
        <v>79.09</v>
      </c>
      <c r="K450" s="0" t="n">
        <v>6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94</v>
      </c>
      <c r="X450" s="0" t="n">
        <v>8</v>
      </c>
      <c r="Y450" s="0" t="n">
        <v>8</v>
      </c>
      <c r="Z450" s="0" t="inlineStr">
        <is>
          <t>https://new.land.naver.com/complexes/121869?tab=detail&amp;rf=Y</t>
        </is>
      </c>
      <c r="AA450" s="0" t="inlineStr">
        <is>
          <t>경상남도 창원시 의창구 소답동 143-3</t>
        </is>
      </c>
      <c r="AB450" s="0" t="inlineStr">
        <is>
          <t>경상남도</t>
        </is>
      </c>
      <c r="AC450" s="0" t="inlineStr">
        <is>
          <t>창원시</t>
        </is>
      </c>
      <c r="AD450" s="0" t="inlineStr">
        <is>
          <t>의창구</t>
        </is>
      </c>
      <c r="AE450" s="0" t="inlineStr">
        <is>
          <t>소답동</t>
        </is>
      </c>
      <c r="AG450" s="0" t="inlineStr">
        <is>
          <t>경상남도 창원시 의창구 의안로44번길 42</t>
        </is>
      </c>
      <c r="AH450" s="0" t="n">
        <v>0</v>
      </c>
      <c r="AI450" s="0" t="n">
        <v>219</v>
      </c>
    </row>
    <row r="451">
      <c r="A451" s="0" t="inlineStr">
        <is>
          <t>[소답동]</t>
        </is>
      </c>
      <c r="B451" s="0" t="n">
        <v>115206</v>
      </c>
      <c r="C451" s="0" t="n">
        <v>1</v>
      </c>
      <c r="D451" s="0" t="inlineStr">
        <is>
          <t>영남보화맨션</t>
        </is>
      </c>
      <c r="E451" s="0" t="inlineStr">
        <is>
          <t>1993.10.</t>
        </is>
      </c>
      <c r="F451" s="0" t="n">
        <v>88</v>
      </c>
      <c r="G451" s="0" t="n">
        <v>21.2</v>
      </c>
      <c r="H451" s="0" t="n">
        <v>70.11</v>
      </c>
      <c r="I451" s="0" t="n">
        <v>15.86</v>
      </c>
      <c r="J451" s="0" t="n">
        <v>52.44</v>
      </c>
      <c r="K451" s="0" t="n">
        <v>2</v>
      </c>
      <c r="T451" s="0" t="n">
        <v>2</v>
      </c>
      <c r="U451" s="0" t="n">
        <v>1</v>
      </c>
      <c r="V451" s="0" t="inlineStr">
        <is>
          <t>복도식</t>
        </is>
      </c>
      <c r="W451" s="0" t="inlineStr">
        <is>
          <t>70B</t>
        </is>
      </c>
      <c r="X451" s="0" t="n">
        <v>14</v>
      </c>
      <c r="Y451" s="0" t="n">
        <v>8</v>
      </c>
      <c r="Z451" s="0" t="inlineStr">
        <is>
          <t>https://new.land.naver.com/complexes/115206?tab=detail&amp;rf=Y</t>
        </is>
      </c>
      <c r="AA451" s="0" t="inlineStr">
        <is>
          <t>경상남도 창원시 의창구 소답동 112-1</t>
        </is>
      </c>
      <c r="AB451" s="0" t="inlineStr">
        <is>
          <t>경상남도</t>
        </is>
      </c>
      <c r="AC451" s="0" t="inlineStr">
        <is>
          <t>창원시</t>
        </is>
      </c>
      <c r="AD451" s="0" t="inlineStr">
        <is>
          <t>의창구</t>
        </is>
      </c>
      <c r="AE451" s="0" t="inlineStr">
        <is>
          <t>소답동</t>
        </is>
      </c>
      <c r="AG451" s="0" t="inlineStr">
        <is>
          <t>경상남도 창원시 의창구 의안로8번길 3</t>
        </is>
      </c>
      <c r="AH451" s="0" t="n">
        <v>0</v>
      </c>
      <c r="AI451" s="0" t="n">
        <v>335</v>
      </c>
    </row>
    <row r="452">
      <c r="A452" s="0" t="inlineStr">
        <is>
          <t>[소답동]</t>
        </is>
      </c>
      <c r="B452" s="0" t="n">
        <v>115206</v>
      </c>
      <c r="C452" s="0" t="n">
        <v>2</v>
      </c>
      <c r="D452" s="0" t="inlineStr">
        <is>
          <t>영남보화맨션</t>
        </is>
      </c>
      <c r="E452" s="0" t="inlineStr">
        <is>
          <t>1993.10.</t>
        </is>
      </c>
      <c r="F452" s="0" t="n">
        <v>88</v>
      </c>
      <c r="G452" s="0" t="n">
        <v>21.18</v>
      </c>
      <c r="H452" s="0" t="n">
        <v>70.02</v>
      </c>
      <c r="I452" s="0" t="n">
        <v>15.84</v>
      </c>
      <c r="J452" s="0" t="n">
        <v>52.38</v>
      </c>
      <c r="K452" s="0" t="n">
        <v>1</v>
      </c>
      <c r="T452" s="0" t="n">
        <v>2</v>
      </c>
      <c r="U452" s="0" t="n">
        <v>1</v>
      </c>
      <c r="V452" s="0" t="inlineStr">
        <is>
          <t>복도식</t>
        </is>
      </c>
      <c r="W452" s="0" t="inlineStr">
        <is>
          <t>70A</t>
        </is>
      </c>
      <c r="X452" s="0" t="n">
        <v>14</v>
      </c>
      <c r="Y452" s="0" t="n">
        <v>8</v>
      </c>
      <c r="Z452" s="0" t="inlineStr">
        <is>
          <t>https://new.land.naver.com/complexes/115206?tab=detail&amp;rf=Y</t>
        </is>
      </c>
      <c r="AA452" s="0" t="inlineStr">
        <is>
          <t>경상남도 창원시 의창구 소답동 112-1</t>
        </is>
      </c>
      <c r="AB452" s="0" t="inlineStr">
        <is>
          <t>경상남도</t>
        </is>
      </c>
      <c r="AC452" s="0" t="inlineStr">
        <is>
          <t>창원시</t>
        </is>
      </c>
      <c r="AD452" s="0" t="inlineStr">
        <is>
          <t>의창구</t>
        </is>
      </c>
      <c r="AE452" s="0" t="inlineStr">
        <is>
          <t>소답동</t>
        </is>
      </c>
      <c r="AG452" s="0" t="inlineStr">
        <is>
          <t>경상남도 창원시 의창구 의안로8번길 3</t>
        </is>
      </c>
      <c r="AH452" s="0" t="n">
        <v>0</v>
      </c>
      <c r="AI452" s="0" t="n">
        <v>335</v>
      </c>
    </row>
    <row r="453">
      <c r="A453" s="0" t="inlineStr">
        <is>
          <t>[소답동]</t>
        </is>
      </c>
      <c r="B453" s="0" t="n">
        <v>115206</v>
      </c>
      <c r="C453" s="0" t="n">
        <v>3</v>
      </c>
      <c r="D453" s="0" t="inlineStr">
        <is>
          <t>영남보화맨션</t>
        </is>
      </c>
      <c r="E453" s="0" t="inlineStr">
        <is>
          <t>1993.10.</t>
        </is>
      </c>
      <c r="F453" s="0" t="n">
        <v>88</v>
      </c>
      <c r="G453" s="0" t="n">
        <v>21.25</v>
      </c>
      <c r="H453" s="0" t="n">
        <v>70.28</v>
      </c>
      <c r="I453" s="0" t="n">
        <v>16.41</v>
      </c>
      <c r="J453" s="0" t="n">
        <v>54.27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70C</t>
        </is>
      </c>
      <c r="X453" s="0" t="n">
        <v>14</v>
      </c>
      <c r="Y453" s="0" t="n">
        <v>8</v>
      </c>
      <c r="Z453" s="0" t="inlineStr">
        <is>
          <t>https://new.land.naver.com/complexes/115206?tab=detail&amp;rf=Y</t>
        </is>
      </c>
      <c r="AA453" s="0" t="inlineStr">
        <is>
          <t>경상남도 창원시 의창구 소답동 112-1</t>
        </is>
      </c>
      <c r="AB453" s="0" t="inlineStr">
        <is>
          <t>경상남도</t>
        </is>
      </c>
      <c r="AC453" s="0" t="inlineStr">
        <is>
          <t>창원시</t>
        </is>
      </c>
      <c r="AD453" s="0" t="inlineStr">
        <is>
          <t>의창구</t>
        </is>
      </c>
      <c r="AE453" s="0" t="inlineStr">
        <is>
          <t>소답동</t>
        </is>
      </c>
      <c r="AG453" s="0" t="inlineStr">
        <is>
          <t>경상남도 창원시 의창구 의안로8번길 3</t>
        </is>
      </c>
      <c r="AH453" s="0" t="n">
        <v>0</v>
      </c>
      <c r="AI453" s="0" t="n">
        <v>335</v>
      </c>
    </row>
    <row r="454">
      <c r="A454" s="0" t="inlineStr">
        <is>
          <t>[소답동]</t>
        </is>
      </c>
      <c r="B454" s="0" t="n">
        <v>115206</v>
      </c>
      <c r="C454" s="0" t="n">
        <v>4</v>
      </c>
      <c r="D454" s="0" t="inlineStr">
        <is>
          <t>영남보화맨션</t>
        </is>
      </c>
      <c r="E454" s="0" t="inlineStr">
        <is>
          <t>1993.10.</t>
        </is>
      </c>
      <c r="F454" s="0" t="n">
        <v>88</v>
      </c>
      <c r="G454" s="0" t="n">
        <v>21.64</v>
      </c>
      <c r="H454" s="0" t="n">
        <v>71.54000000000001</v>
      </c>
      <c r="I454" s="0" t="n">
        <v>16.18</v>
      </c>
      <c r="J454" s="0" t="n">
        <v>53.52</v>
      </c>
      <c r="K454" s="0" t="n">
        <v>14</v>
      </c>
      <c r="T454" s="0" t="n">
        <v>2</v>
      </c>
      <c r="U454" s="0" t="n">
        <v>1</v>
      </c>
      <c r="V454" s="0" t="inlineStr">
        <is>
          <t>복도식</t>
        </is>
      </c>
      <c r="W454" s="0" t="inlineStr">
        <is>
          <t>71B</t>
        </is>
      </c>
      <c r="X454" s="0" t="n">
        <v>14</v>
      </c>
      <c r="Y454" s="0" t="n">
        <v>8</v>
      </c>
      <c r="Z454" s="0" t="inlineStr">
        <is>
          <t>https://new.land.naver.com/complexes/115206?tab=detail&amp;rf=Y</t>
        </is>
      </c>
      <c r="AA454" s="0" t="inlineStr">
        <is>
          <t>경상남도 창원시 의창구 소답동 112-1</t>
        </is>
      </c>
      <c r="AB454" s="0" t="inlineStr">
        <is>
          <t>경상남도</t>
        </is>
      </c>
      <c r="AC454" s="0" t="inlineStr">
        <is>
          <t>창원시</t>
        </is>
      </c>
      <c r="AD454" s="0" t="inlineStr">
        <is>
          <t>의창구</t>
        </is>
      </c>
      <c r="AE454" s="0" t="inlineStr">
        <is>
          <t>소답동</t>
        </is>
      </c>
      <c r="AG454" s="0" t="inlineStr">
        <is>
          <t>경상남도 창원시 의창구 의안로8번길 3</t>
        </is>
      </c>
      <c r="AH454" s="0" t="n">
        <v>0</v>
      </c>
      <c r="AI454" s="0" t="n">
        <v>335</v>
      </c>
    </row>
    <row r="455">
      <c r="A455" s="0" t="inlineStr">
        <is>
          <t>[소답동]</t>
        </is>
      </c>
      <c r="B455" s="0" t="n">
        <v>115206</v>
      </c>
      <c r="C455" s="0" t="n">
        <v>5</v>
      </c>
      <c r="D455" s="0" t="inlineStr">
        <is>
          <t>영남보화맨션</t>
        </is>
      </c>
      <c r="E455" s="0" t="inlineStr">
        <is>
          <t>1993.10.</t>
        </is>
      </c>
      <c r="F455" s="0" t="n">
        <v>88</v>
      </c>
      <c r="G455" s="0" t="n">
        <v>21.61</v>
      </c>
      <c r="H455" s="0" t="n">
        <v>71.45</v>
      </c>
      <c r="I455" s="0" t="n">
        <v>16.17</v>
      </c>
      <c r="J455" s="0" t="n">
        <v>53.46</v>
      </c>
      <c r="K455" s="0" t="n">
        <v>7</v>
      </c>
      <c r="T455" s="0" t="n">
        <v>2</v>
      </c>
      <c r="U455" s="0" t="n">
        <v>1</v>
      </c>
      <c r="V455" s="0" t="inlineStr">
        <is>
          <t>복도식</t>
        </is>
      </c>
      <c r="W455" s="0" t="inlineStr">
        <is>
          <t>71A</t>
        </is>
      </c>
      <c r="X455" s="0" t="n">
        <v>14</v>
      </c>
      <c r="Y455" s="0" t="n">
        <v>8</v>
      </c>
      <c r="Z455" s="0" t="inlineStr">
        <is>
          <t>https://new.land.naver.com/complexes/115206?tab=detail&amp;rf=Y</t>
        </is>
      </c>
      <c r="AA455" s="0" t="inlineStr">
        <is>
          <t>경상남도 창원시 의창구 소답동 112-1</t>
        </is>
      </c>
      <c r="AB455" s="0" t="inlineStr">
        <is>
          <t>경상남도</t>
        </is>
      </c>
      <c r="AC455" s="0" t="inlineStr">
        <is>
          <t>창원시</t>
        </is>
      </c>
      <c r="AD455" s="0" t="inlineStr">
        <is>
          <t>의창구</t>
        </is>
      </c>
      <c r="AE455" s="0" t="inlineStr">
        <is>
          <t>소답동</t>
        </is>
      </c>
      <c r="AG455" s="0" t="inlineStr">
        <is>
          <t>경상남도 창원시 의창구 의안로8번길 3</t>
        </is>
      </c>
      <c r="AH455" s="0" t="n">
        <v>0</v>
      </c>
      <c r="AI455" s="0" t="n">
        <v>335</v>
      </c>
    </row>
    <row r="456">
      <c r="A456" s="0" t="inlineStr">
        <is>
          <t>[소답동]</t>
        </is>
      </c>
      <c r="B456" s="0" t="n">
        <v>115206</v>
      </c>
      <c r="C456" s="0" t="n">
        <v>6</v>
      </c>
      <c r="D456" s="0" t="inlineStr">
        <is>
          <t>영남보화맨션</t>
        </is>
      </c>
      <c r="E456" s="0" t="inlineStr">
        <is>
          <t>1993.10.</t>
        </is>
      </c>
      <c r="F456" s="0" t="n">
        <v>88</v>
      </c>
      <c r="G456" s="0" t="n">
        <v>21.94</v>
      </c>
      <c r="H456" s="0" t="n">
        <v>72.54000000000001</v>
      </c>
      <c r="I456" s="0" t="n">
        <v>16.93</v>
      </c>
      <c r="J456" s="0" t="n">
        <v>55.99</v>
      </c>
      <c r="K456" s="0" t="n">
        <v>1</v>
      </c>
      <c r="T456" s="0" t="n">
        <v>1</v>
      </c>
      <c r="U456" s="0" t="n">
        <v>1</v>
      </c>
      <c r="V456" s="0" t="inlineStr">
        <is>
          <t>계단식</t>
        </is>
      </c>
      <c r="W456" s="0" t="inlineStr">
        <is>
          <t>72C</t>
        </is>
      </c>
      <c r="X456" s="0" t="n">
        <v>14</v>
      </c>
      <c r="Y456" s="0" t="n">
        <v>8</v>
      </c>
      <c r="Z456" s="0" t="inlineStr">
        <is>
          <t>https://new.land.naver.com/complexes/115206?tab=detail&amp;rf=Y</t>
        </is>
      </c>
      <c r="AA456" s="0" t="inlineStr">
        <is>
          <t>경상남도 창원시 의창구 소답동 112-1</t>
        </is>
      </c>
      <c r="AB456" s="0" t="inlineStr">
        <is>
          <t>경상남도</t>
        </is>
      </c>
      <c r="AC456" s="0" t="inlineStr">
        <is>
          <t>창원시</t>
        </is>
      </c>
      <c r="AD456" s="0" t="inlineStr">
        <is>
          <t>의창구</t>
        </is>
      </c>
      <c r="AE456" s="0" t="inlineStr">
        <is>
          <t>소답동</t>
        </is>
      </c>
      <c r="AG456" s="0" t="inlineStr">
        <is>
          <t>경상남도 창원시 의창구 의안로8번길 3</t>
        </is>
      </c>
      <c r="AH456" s="0" t="n">
        <v>0</v>
      </c>
      <c r="AI456" s="0" t="n">
        <v>335</v>
      </c>
    </row>
    <row r="457">
      <c r="A457" s="0" t="inlineStr">
        <is>
          <t>[소답동]</t>
        </is>
      </c>
      <c r="B457" s="0" t="n">
        <v>115206</v>
      </c>
      <c r="C457" s="0" t="n">
        <v>7</v>
      </c>
      <c r="D457" s="0" t="inlineStr">
        <is>
          <t>영남보화맨션</t>
        </is>
      </c>
      <c r="E457" s="0" t="inlineStr">
        <is>
          <t>1993.10.</t>
        </is>
      </c>
      <c r="F457" s="0" t="n">
        <v>88</v>
      </c>
      <c r="G457" s="0" t="n">
        <v>22.64</v>
      </c>
      <c r="H457" s="0" t="n">
        <v>74.84999999999999</v>
      </c>
      <c r="I457" s="0" t="n">
        <v>17.47</v>
      </c>
      <c r="J457" s="0" t="n">
        <v>57.78</v>
      </c>
      <c r="K457" s="0" t="n">
        <v>14</v>
      </c>
      <c r="T457" s="0" t="n">
        <v>2</v>
      </c>
      <c r="U457" s="0" t="n">
        <v>1</v>
      </c>
      <c r="V457" s="0" t="inlineStr">
        <is>
          <t>계단식</t>
        </is>
      </c>
      <c r="W457" s="0" t="inlineStr">
        <is>
          <t>74A</t>
        </is>
      </c>
      <c r="X457" s="0" t="n">
        <v>14</v>
      </c>
      <c r="Y457" s="0" t="n">
        <v>8</v>
      </c>
      <c r="Z457" s="0" t="inlineStr">
        <is>
          <t>https://new.land.naver.com/complexes/115206?tab=detail&amp;rf=Y</t>
        </is>
      </c>
      <c r="AA457" s="0" t="inlineStr">
        <is>
          <t>경상남도 창원시 의창구 소답동 112-1</t>
        </is>
      </c>
      <c r="AB457" s="0" t="inlineStr">
        <is>
          <t>경상남도</t>
        </is>
      </c>
      <c r="AC457" s="0" t="inlineStr">
        <is>
          <t>창원시</t>
        </is>
      </c>
      <c r="AD457" s="0" t="inlineStr">
        <is>
          <t>의창구</t>
        </is>
      </c>
      <c r="AE457" s="0" t="inlineStr">
        <is>
          <t>소답동</t>
        </is>
      </c>
      <c r="AG457" s="0" t="inlineStr">
        <is>
          <t>경상남도 창원시 의창구 의안로8번길 3</t>
        </is>
      </c>
      <c r="AH457" s="0" t="n">
        <v>0</v>
      </c>
      <c r="AI457" s="0" t="n">
        <v>335</v>
      </c>
    </row>
    <row r="458">
      <c r="A458" s="0" t="inlineStr">
        <is>
          <t>[소답동]</t>
        </is>
      </c>
      <c r="B458" s="0" t="n">
        <v>115206</v>
      </c>
      <c r="C458" s="0" t="n">
        <v>8</v>
      </c>
      <c r="D458" s="0" t="inlineStr">
        <is>
          <t>영남보화맨션</t>
        </is>
      </c>
      <c r="E458" s="0" t="inlineStr">
        <is>
          <t>1993.10.</t>
        </is>
      </c>
      <c r="F458" s="0" t="n">
        <v>88</v>
      </c>
      <c r="G458" s="0" t="n">
        <v>22.58</v>
      </c>
      <c r="H458" s="0" t="n">
        <v>74.65000000000001</v>
      </c>
      <c r="I458" s="0" t="n">
        <v>17.83</v>
      </c>
      <c r="J458" s="0" t="n">
        <v>58.96</v>
      </c>
      <c r="K458" s="0" t="n">
        <v>2</v>
      </c>
      <c r="T458" s="0" t="n">
        <v>2</v>
      </c>
      <c r="U458" s="0" t="n">
        <v>1</v>
      </c>
      <c r="V458" s="0" t="inlineStr">
        <is>
          <t>계단식</t>
        </is>
      </c>
      <c r="W458" s="0" t="inlineStr">
        <is>
          <t>74B</t>
        </is>
      </c>
      <c r="X458" s="0" t="n">
        <v>14</v>
      </c>
      <c r="Y458" s="0" t="n">
        <v>8</v>
      </c>
      <c r="Z458" s="0" t="inlineStr">
        <is>
          <t>https://new.land.naver.com/complexes/115206?tab=detail&amp;rf=Y</t>
        </is>
      </c>
      <c r="AA458" s="0" t="inlineStr">
        <is>
          <t>경상남도 창원시 의창구 소답동 112-1</t>
        </is>
      </c>
      <c r="AB458" s="0" t="inlineStr">
        <is>
          <t>경상남도</t>
        </is>
      </c>
      <c r="AC458" s="0" t="inlineStr">
        <is>
          <t>창원시</t>
        </is>
      </c>
      <c r="AD458" s="0" t="inlineStr">
        <is>
          <t>의창구</t>
        </is>
      </c>
      <c r="AE458" s="0" t="inlineStr">
        <is>
          <t>소답동</t>
        </is>
      </c>
      <c r="AG458" s="0" t="inlineStr">
        <is>
          <t>경상남도 창원시 의창구 의안로8번길 3</t>
        </is>
      </c>
      <c r="AH458" s="0" t="n">
        <v>0</v>
      </c>
      <c r="AI458" s="0" t="n">
        <v>335</v>
      </c>
    </row>
    <row r="459">
      <c r="A459" s="0" t="inlineStr">
        <is>
          <t>[소답동]</t>
        </is>
      </c>
      <c r="B459" s="0" t="n">
        <v>115206</v>
      </c>
      <c r="C459" s="0" t="n">
        <v>9</v>
      </c>
      <c r="D459" s="0" t="inlineStr">
        <is>
          <t>영남보화맨션</t>
        </is>
      </c>
      <c r="E459" s="0" t="inlineStr">
        <is>
          <t>1993.10.</t>
        </is>
      </c>
      <c r="F459" s="0" t="n">
        <v>88</v>
      </c>
      <c r="G459" s="0" t="n">
        <v>24.46</v>
      </c>
      <c r="H459" s="0" t="n">
        <v>80.86</v>
      </c>
      <c r="I459" s="0" t="n">
        <v>19.32</v>
      </c>
      <c r="J459" s="0" t="n">
        <v>63.88</v>
      </c>
      <c r="K459" s="0" t="n">
        <v>26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80B</t>
        </is>
      </c>
      <c r="X459" s="0" t="n">
        <v>14</v>
      </c>
      <c r="Y459" s="0" t="n">
        <v>8</v>
      </c>
      <c r="Z459" s="0" t="inlineStr">
        <is>
          <t>https://new.land.naver.com/complexes/115206?tab=detail&amp;rf=Y</t>
        </is>
      </c>
      <c r="AA459" s="0" t="inlineStr">
        <is>
          <t>경상남도 창원시 의창구 소답동 112-1</t>
        </is>
      </c>
      <c r="AB459" s="0" t="inlineStr">
        <is>
          <t>경상남도</t>
        </is>
      </c>
      <c r="AC459" s="0" t="inlineStr">
        <is>
          <t>창원시</t>
        </is>
      </c>
      <c r="AD459" s="0" t="inlineStr">
        <is>
          <t>의창구</t>
        </is>
      </c>
      <c r="AE459" s="0" t="inlineStr">
        <is>
          <t>소답동</t>
        </is>
      </c>
      <c r="AG459" s="0" t="inlineStr">
        <is>
          <t>경상남도 창원시 의창구 의안로8번길 3</t>
        </is>
      </c>
      <c r="AH459" s="0" t="n">
        <v>0</v>
      </c>
      <c r="AI459" s="0" t="n">
        <v>335</v>
      </c>
    </row>
    <row r="460">
      <c r="A460" s="0" t="inlineStr">
        <is>
          <t>[소답동]</t>
        </is>
      </c>
      <c r="B460" s="0" t="n">
        <v>115206</v>
      </c>
      <c r="C460" s="0" t="n">
        <v>10</v>
      </c>
      <c r="D460" s="0" t="inlineStr">
        <is>
          <t>영남보화맨션</t>
        </is>
      </c>
      <c r="E460" s="0" t="inlineStr">
        <is>
          <t>1993.10.</t>
        </is>
      </c>
      <c r="F460" s="0" t="n">
        <v>88</v>
      </c>
      <c r="G460" s="0" t="n">
        <v>24.32</v>
      </c>
      <c r="H460" s="0" t="n">
        <v>80.42</v>
      </c>
      <c r="I460" s="0" t="n">
        <v>18.77</v>
      </c>
      <c r="J460" s="0" t="n">
        <v>62.08</v>
      </c>
      <c r="K460" s="0" t="n">
        <v>13</v>
      </c>
      <c r="T460" s="0" t="n">
        <v>3</v>
      </c>
      <c r="U460" s="0" t="n">
        <v>1</v>
      </c>
      <c r="V460" s="0" t="inlineStr">
        <is>
          <t>계단식</t>
        </is>
      </c>
      <c r="W460" s="0" t="inlineStr">
        <is>
          <t>80A</t>
        </is>
      </c>
      <c r="X460" s="0" t="n">
        <v>14</v>
      </c>
      <c r="Y460" s="0" t="n">
        <v>8</v>
      </c>
      <c r="Z460" s="0" t="inlineStr">
        <is>
          <t>https://new.land.naver.com/complexes/115206?tab=detail&amp;rf=Y</t>
        </is>
      </c>
      <c r="AA460" s="0" t="inlineStr">
        <is>
          <t>경상남도 창원시 의창구 소답동 112-1</t>
        </is>
      </c>
      <c r="AB460" s="0" t="inlineStr">
        <is>
          <t>경상남도</t>
        </is>
      </c>
      <c r="AC460" s="0" t="inlineStr">
        <is>
          <t>창원시</t>
        </is>
      </c>
      <c r="AD460" s="0" t="inlineStr">
        <is>
          <t>의창구</t>
        </is>
      </c>
      <c r="AE460" s="0" t="inlineStr">
        <is>
          <t>소답동</t>
        </is>
      </c>
      <c r="AG460" s="0" t="inlineStr">
        <is>
          <t>경상남도 창원시 의창구 의안로8번길 3</t>
        </is>
      </c>
      <c r="AH460" s="0" t="n">
        <v>0</v>
      </c>
      <c r="AI460" s="0" t="n">
        <v>335</v>
      </c>
    </row>
    <row r="461">
      <c r="A461" s="0" t="inlineStr">
        <is>
          <t>[소답동]</t>
        </is>
      </c>
      <c r="B461" s="0" t="n">
        <v>115206</v>
      </c>
      <c r="C461" s="0" t="n">
        <v>11</v>
      </c>
      <c r="D461" s="0" t="inlineStr">
        <is>
          <t>영남보화맨션</t>
        </is>
      </c>
      <c r="E461" s="0" t="inlineStr">
        <is>
          <t>1993.10.</t>
        </is>
      </c>
      <c r="F461" s="0" t="n">
        <v>88</v>
      </c>
      <c r="G461" s="0" t="n">
        <v>26.08</v>
      </c>
      <c r="H461" s="0" t="n">
        <v>86.22</v>
      </c>
      <c r="I461" s="0" t="n">
        <v>19.51</v>
      </c>
      <c r="J461" s="0" t="n">
        <v>64.5</v>
      </c>
      <c r="K461" s="0" t="n">
        <v>1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86</v>
      </c>
      <c r="X461" s="0" t="n">
        <v>14</v>
      </c>
      <c r="Y461" s="0" t="n">
        <v>8</v>
      </c>
      <c r="Z461" s="0" t="inlineStr">
        <is>
          <t>https://new.land.naver.com/complexes/115206?tab=detail&amp;rf=Y</t>
        </is>
      </c>
      <c r="AA461" s="0" t="inlineStr">
        <is>
          <t>경상남도 창원시 의창구 소답동 112-1</t>
        </is>
      </c>
      <c r="AB461" s="0" t="inlineStr">
        <is>
          <t>경상남도</t>
        </is>
      </c>
      <c r="AC461" s="0" t="inlineStr">
        <is>
          <t>창원시</t>
        </is>
      </c>
      <c r="AD461" s="0" t="inlineStr">
        <is>
          <t>의창구</t>
        </is>
      </c>
      <c r="AE461" s="0" t="inlineStr">
        <is>
          <t>소답동</t>
        </is>
      </c>
      <c r="AG461" s="0" t="inlineStr">
        <is>
          <t>경상남도 창원시 의창구 의안로8번길 3</t>
        </is>
      </c>
      <c r="AH461" s="0" t="n">
        <v>0</v>
      </c>
      <c r="AI461" s="0" t="n">
        <v>335</v>
      </c>
    </row>
    <row r="462">
      <c r="A462" s="0" t="inlineStr">
        <is>
          <t>[소답동]</t>
        </is>
      </c>
      <c r="B462" s="0" t="n">
        <v>115206</v>
      </c>
      <c r="C462" s="0" t="n">
        <v>12</v>
      </c>
      <c r="D462" s="0" t="inlineStr">
        <is>
          <t>영남보화맨션</t>
        </is>
      </c>
      <c r="E462" s="0" t="inlineStr">
        <is>
          <t>1993.10.</t>
        </is>
      </c>
      <c r="F462" s="0" t="n">
        <v>88</v>
      </c>
      <c r="G462" s="0" t="n">
        <v>28.61</v>
      </c>
      <c r="H462" s="0" t="n">
        <v>94.61</v>
      </c>
      <c r="I462" s="0" t="n">
        <v>21.4</v>
      </c>
      <c r="J462" s="0" t="n">
        <v>70.77</v>
      </c>
      <c r="K462" s="0" t="n">
        <v>6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94</v>
      </c>
      <c r="X462" s="0" t="n">
        <v>14</v>
      </c>
      <c r="Y462" s="0" t="n">
        <v>8</v>
      </c>
      <c r="Z462" s="0" t="inlineStr">
        <is>
          <t>https://new.land.naver.com/complexes/115206?tab=detail&amp;rf=Y</t>
        </is>
      </c>
      <c r="AA462" s="0" t="inlineStr">
        <is>
          <t>경상남도 창원시 의창구 소답동 112-1</t>
        </is>
      </c>
      <c r="AB462" s="0" t="inlineStr">
        <is>
          <t>경상남도</t>
        </is>
      </c>
      <c r="AC462" s="0" t="inlineStr">
        <is>
          <t>창원시</t>
        </is>
      </c>
      <c r="AD462" s="0" t="inlineStr">
        <is>
          <t>의창구</t>
        </is>
      </c>
      <c r="AE462" s="0" t="inlineStr">
        <is>
          <t>소답동</t>
        </is>
      </c>
      <c r="AG462" s="0" t="inlineStr">
        <is>
          <t>경상남도 창원시 의창구 의안로8번길 3</t>
        </is>
      </c>
      <c r="AH462" s="0" t="n">
        <v>0</v>
      </c>
      <c r="AI462" s="0" t="n">
        <v>335</v>
      </c>
    </row>
    <row r="463">
      <c r="A463" s="0" t="inlineStr">
        <is>
          <t>[소답동]</t>
        </is>
      </c>
      <c r="B463" s="0" t="n">
        <v>121870</v>
      </c>
      <c r="C463" s="0" t="n">
        <v>1</v>
      </c>
      <c r="D463" s="0" t="inlineStr">
        <is>
          <t>대한맨션</t>
        </is>
      </c>
      <c r="E463" s="0" t="inlineStr">
        <is>
          <t>1995.03.</t>
        </is>
      </c>
      <c r="F463" s="0" t="n">
        <v>31</v>
      </c>
      <c r="G463" s="0" t="n">
        <v>18.93</v>
      </c>
      <c r="H463" s="0" t="n">
        <v>62.6</v>
      </c>
      <c r="I463" s="0" t="n">
        <v>15.52</v>
      </c>
      <c r="J463" s="0" t="n">
        <v>51.32</v>
      </c>
      <c r="K463" s="0" t="n">
        <v>2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62A</t>
        </is>
      </c>
      <c r="X463" s="0" t="n">
        <v>8</v>
      </c>
      <c r="Y463" s="0" t="n">
        <v>8</v>
      </c>
      <c r="Z463" s="0" t="inlineStr">
        <is>
          <t>https://new.land.naver.com/complexes/121870?tab=detail&amp;rf=Y</t>
        </is>
      </c>
      <c r="AA463" s="0" t="inlineStr">
        <is>
          <t>경상남도 창원시 의창구 소답동 146-10</t>
        </is>
      </c>
      <c r="AB463" s="0" t="inlineStr">
        <is>
          <t>경상남도</t>
        </is>
      </c>
      <c r="AC463" s="0" t="inlineStr">
        <is>
          <t>창원시</t>
        </is>
      </c>
      <c r="AD463" s="0" t="inlineStr">
        <is>
          <t>의창구</t>
        </is>
      </c>
      <c r="AE463" s="0" t="inlineStr">
        <is>
          <t>소답동</t>
        </is>
      </c>
      <c r="AG463" s="0" t="inlineStr">
        <is>
          <t>경상남도 창원시 의창구 의안로56번길 39</t>
        </is>
      </c>
      <c r="AH463" s="0" t="n">
        <v>0</v>
      </c>
      <c r="AI463" s="0" t="n">
        <v>263</v>
      </c>
    </row>
    <row r="464">
      <c r="A464" s="0" t="inlineStr">
        <is>
          <t>[소답동]</t>
        </is>
      </c>
      <c r="B464" s="0" t="n">
        <v>121870</v>
      </c>
      <c r="C464" s="0" t="n">
        <v>2</v>
      </c>
      <c r="D464" s="0" t="inlineStr">
        <is>
          <t>대한맨션</t>
        </is>
      </c>
      <c r="E464" s="0" t="inlineStr">
        <is>
          <t>1995.03.</t>
        </is>
      </c>
      <c r="F464" s="0" t="n">
        <v>31</v>
      </c>
      <c r="G464" s="0" t="n">
        <v>19.05</v>
      </c>
      <c r="H464" s="0" t="n">
        <v>63</v>
      </c>
      <c r="I464" s="0" t="n">
        <v>15.62</v>
      </c>
      <c r="J464" s="0" t="n">
        <v>51.65</v>
      </c>
      <c r="K464" s="0" t="n">
        <v>2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63B</t>
        </is>
      </c>
      <c r="X464" s="0" t="n">
        <v>8</v>
      </c>
      <c r="Y464" s="0" t="n">
        <v>8</v>
      </c>
      <c r="Z464" s="0" t="inlineStr">
        <is>
          <t>https://new.land.naver.com/complexes/121870?tab=detail&amp;rf=Y</t>
        </is>
      </c>
      <c r="AA464" s="0" t="inlineStr">
        <is>
          <t>경상남도 창원시 의창구 소답동 146-10</t>
        </is>
      </c>
      <c r="AB464" s="0" t="inlineStr">
        <is>
          <t>경상남도</t>
        </is>
      </c>
      <c r="AC464" s="0" t="inlineStr">
        <is>
          <t>창원시</t>
        </is>
      </c>
      <c r="AD464" s="0" t="inlineStr">
        <is>
          <t>의창구</t>
        </is>
      </c>
      <c r="AE464" s="0" t="inlineStr">
        <is>
          <t>소답동</t>
        </is>
      </c>
      <c r="AG464" s="0" t="inlineStr">
        <is>
          <t>경상남도 창원시 의창구 의안로56번길 39</t>
        </is>
      </c>
      <c r="AH464" s="0" t="n">
        <v>0</v>
      </c>
      <c r="AI464" s="0" t="n">
        <v>263</v>
      </c>
    </row>
    <row r="465">
      <c r="A465" s="0" t="inlineStr">
        <is>
          <t>[소답동]</t>
        </is>
      </c>
      <c r="B465" s="0" t="n">
        <v>121870</v>
      </c>
      <c r="C465" s="0" t="n">
        <v>3</v>
      </c>
      <c r="D465" s="0" t="inlineStr">
        <is>
          <t>대한맨션</t>
        </is>
      </c>
      <c r="E465" s="0" t="inlineStr">
        <is>
          <t>1995.03.</t>
        </is>
      </c>
      <c r="F465" s="0" t="n">
        <v>31</v>
      </c>
      <c r="G465" s="0" t="n">
        <v>22.06</v>
      </c>
      <c r="H465" s="0" t="n">
        <v>72.93000000000001</v>
      </c>
      <c r="I465" s="0" t="n">
        <v>18.08</v>
      </c>
      <c r="J465" s="0" t="n">
        <v>59.78</v>
      </c>
      <c r="K465" s="0" t="n">
        <v>11</v>
      </c>
      <c r="T465" s="0" t="n">
        <v>3</v>
      </c>
      <c r="U465" s="0" t="n">
        <v>1</v>
      </c>
      <c r="V465" s="0" t="inlineStr">
        <is>
          <t>계단식</t>
        </is>
      </c>
      <c r="W465" s="0" t="inlineStr">
        <is>
          <t>72B</t>
        </is>
      </c>
      <c r="X465" s="0" t="n">
        <v>8</v>
      </c>
      <c r="Y465" s="0" t="n">
        <v>8</v>
      </c>
      <c r="Z465" s="0" t="inlineStr">
        <is>
          <t>https://new.land.naver.com/complexes/121870?tab=detail&amp;rf=Y</t>
        </is>
      </c>
      <c r="AA465" s="0" t="inlineStr">
        <is>
          <t>경상남도 창원시 의창구 소답동 146-10</t>
        </is>
      </c>
      <c r="AB465" s="0" t="inlineStr">
        <is>
          <t>경상남도</t>
        </is>
      </c>
      <c r="AC465" s="0" t="inlineStr">
        <is>
          <t>창원시</t>
        </is>
      </c>
      <c r="AD465" s="0" t="inlineStr">
        <is>
          <t>의창구</t>
        </is>
      </c>
      <c r="AE465" s="0" t="inlineStr">
        <is>
          <t>소답동</t>
        </is>
      </c>
      <c r="AG465" s="0" t="inlineStr">
        <is>
          <t>경상남도 창원시 의창구 의안로56번길 39</t>
        </is>
      </c>
      <c r="AH465" s="0" t="n">
        <v>0</v>
      </c>
      <c r="AI465" s="0" t="n">
        <v>263</v>
      </c>
    </row>
    <row r="466">
      <c r="A466" s="0" t="inlineStr">
        <is>
          <t>[소답동]</t>
        </is>
      </c>
      <c r="B466" s="0" t="n">
        <v>121870</v>
      </c>
      <c r="C466" s="0" t="n">
        <v>4</v>
      </c>
      <c r="D466" s="0" t="inlineStr">
        <is>
          <t>대한맨션</t>
        </is>
      </c>
      <c r="E466" s="0" t="inlineStr">
        <is>
          <t>1995.03.</t>
        </is>
      </c>
      <c r="F466" s="0" t="n">
        <v>31</v>
      </c>
      <c r="G466" s="0" t="n">
        <v>21.79</v>
      </c>
      <c r="H466" s="0" t="n">
        <v>72.05</v>
      </c>
      <c r="I466" s="0" t="n">
        <v>17.86</v>
      </c>
      <c r="J466" s="0" t="n">
        <v>59.06</v>
      </c>
      <c r="K466" s="0" t="n">
        <v>2</v>
      </c>
      <c r="T466" s="0" t="n">
        <v>3</v>
      </c>
      <c r="U466" s="0" t="n">
        <v>1</v>
      </c>
      <c r="V466" s="0" t="inlineStr">
        <is>
          <t>계단식</t>
        </is>
      </c>
      <c r="W466" s="0" t="inlineStr">
        <is>
          <t>72A</t>
        </is>
      </c>
      <c r="X466" s="0" t="n">
        <v>8</v>
      </c>
      <c r="Y466" s="0" t="n">
        <v>8</v>
      </c>
      <c r="Z466" s="0" t="inlineStr">
        <is>
          <t>https://new.land.naver.com/complexes/121870?tab=detail&amp;rf=Y</t>
        </is>
      </c>
      <c r="AA466" s="0" t="inlineStr">
        <is>
          <t>경상남도 창원시 의창구 소답동 146-10</t>
        </is>
      </c>
      <c r="AB466" s="0" t="inlineStr">
        <is>
          <t>경상남도</t>
        </is>
      </c>
      <c r="AC466" s="0" t="inlineStr">
        <is>
          <t>창원시</t>
        </is>
      </c>
      <c r="AD466" s="0" t="inlineStr">
        <is>
          <t>의창구</t>
        </is>
      </c>
      <c r="AE466" s="0" t="inlineStr">
        <is>
          <t>소답동</t>
        </is>
      </c>
      <c r="AG466" s="0" t="inlineStr">
        <is>
          <t>경상남도 창원시 의창구 의안로56번길 39</t>
        </is>
      </c>
      <c r="AH466" s="0" t="n">
        <v>0</v>
      </c>
      <c r="AI466" s="0" t="n">
        <v>263</v>
      </c>
    </row>
    <row r="467">
      <c r="A467" s="0" t="inlineStr">
        <is>
          <t>[소답동]</t>
        </is>
      </c>
      <c r="B467" s="0" t="n">
        <v>121870</v>
      </c>
      <c r="C467" s="0" t="n">
        <v>5</v>
      </c>
      <c r="D467" s="0" t="inlineStr">
        <is>
          <t>대한맨션</t>
        </is>
      </c>
      <c r="E467" s="0" t="inlineStr">
        <is>
          <t>1995.03.</t>
        </is>
      </c>
      <c r="F467" s="0" t="n">
        <v>31</v>
      </c>
      <c r="G467" s="0" t="n">
        <v>22.55</v>
      </c>
      <c r="H467" s="0" t="n">
        <v>74.55</v>
      </c>
      <c r="I467" s="0" t="n">
        <v>18.48</v>
      </c>
      <c r="J467" s="0" t="n">
        <v>61.11</v>
      </c>
      <c r="K467" s="0" t="n">
        <v>2</v>
      </c>
      <c r="T467" s="0" t="n">
        <v>3</v>
      </c>
      <c r="U467" s="0" t="n">
        <v>1</v>
      </c>
      <c r="V467" s="0" t="inlineStr">
        <is>
          <t>계단식</t>
        </is>
      </c>
      <c r="W467" s="0" t="n">
        <v>74</v>
      </c>
      <c r="X467" s="0" t="n">
        <v>8</v>
      </c>
      <c r="Y467" s="0" t="n">
        <v>8</v>
      </c>
      <c r="Z467" s="0" t="inlineStr">
        <is>
          <t>https://new.land.naver.com/complexes/121870?tab=detail&amp;rf=Y</t>
        </is>
      </c>
      <c r="AA467" s="0" t="inlineStr">
        <is>
          <t>경상남도 창원시 의창구 소답동 146-10</t>
        </is>
      </c>
      <c r="AB467" s="0" t="inlineStr">
        <is>
          <t>경상남도</t>
        </is>
      </c>
      <c r="AC467" s="0" t="inlineStr">
        <is>
          <t>창원시</t>
        </is>
      </c>
      <c r="AD467" s="0" t="inlineStr">
        <is>
          <t>의창구</t>
        </is>
      </c>
      <c r="AE467" s="0" t="inlineStr">
        <is>
          <t>소답동</t>
        </is>
      </c>
      <c r="AG467" s="0" t="inlineStr">
        <is>
          <t>경상남도 창원시 의창구 의안로56번길 39</t>
        </is>
      </c>
      <c r="AH467" s="0" t="n">
        <v>0</v>
      </c>
      <c r="AI467" s="0" t="n">
        <v>263</v>
      </c>
    </row>
    <row r="468">
      <c r="A468" s="0" t="inlineStr">
        <is>
          <t>[소답동]</t>
        </is>
      </c>
      <c r="B468" s="0" t="n">
        <v>121870</v>
      </c>
      <c r="C468" s="0" t="n">
        <v>6</v>
      </c>
      <c r="D468" s="0" t="inlineStr">
        <is>
          <t>대한맨션</t>
        </is>
      </c>
      <c r="E468" s="0" t="inlineStr">
        <is>
          <t>1995.03.</t>
        </is>
      </c>
      <c r="F468" s="0" t="n">
        <v>31</v>
      </c>
      <c r="G468" s="0" t="n">
        <v>24.15</v>
      </c>
      <c r="H468" s="0" t="n">
        <v>79.84</v>
      </c>
      <c r="I468" s="0" t="n">
        <v>19.79</v>
      </c>
      <c r="J468" s="0" t="n">
        <v>65.43000000000001</v>
      </c>
      <c r="K468" s="0" t="n">
        <v>12</v>
      </c>
      <c r="T468" s="0" t="n">
        <v>3</v>
      </c>
      <c r="U468" s="0" t="n">
        <v>1</v>
      </c>
      <c r="V468" s="0" t="inlineStr">
        <is>
          <t>계단식</t>
        </is>
      </c>
      <c r="W468" s="0" t="n">
        <v>79</v>
      </c>
      <c r="X468" s="0" t="n">
        <v>8</v>
      </c>
      <c r="Y468" s="0" t="n">
        <v>8</v>
      </c>
      <c r="Z468" s="0" t="inlineStr">
        <is>
          <t>https://new.land.naver.com/complexes/121870?tab=detail&amp;rf=Y</t>
        </is>
      </c>
      <c r="AA468" s="0" t="inlineStr">
        <is>
          <t>경상남도 창원시 의창구 소답동 146-10</t>
        </is>
      </c>
      <c r="AB468" s="0" t="inlineStr">
        <is>
          <t>경상남도</t>
        </is>
      </c>
      <c r="AC468" s="0" t="inlineStr">
        <is>
          <t>창원시</t>
        </is>
      </c>
      <c r="AD468" s="0" t="inlineStr">
        <is>
          <t>의창구</t>
        </is>
      </c>
      <c r="AE468" s="0" t="inlineStr">
        <is>
          <t>소답동</t>
        </is>
      </c>
      <c r="AG468" s="0" t="inlineStr">
        <is>
          <t>경상남도 창원시 의창구 의안로56번길 39</t>
        </is>
      </c>
      <c r="AH468" s="0" t="n">
        <v>0</v>
      </c>
      <c r="AI468" s="0" t="n">
        <v>263</v>
      </c>
    </row>
    <row r="469">
      <c r="A469" s="0" t="inlineStr">
        <is>
          <t>[소답동]</t>
        </is>
      </c>
      <c r="B469" s="0" t="n">
        <v>16820</v>
      </c>
      <c r="C469" s="0" t="n">
        <v>1</v>
      </c>
      <c r="D469" s="0" t="inlineStr">
        <is>
          <t>송림</t>
        </is>
      </c>
      <c r="E469" s="0" t="inlineStr">
        <is>
          <t>2000.08.</t>
        </is>
      </c>
      <c r="F469" s="0" t="n">
        <v>34</v>
      </c>
      <c r="G469" s="0" t="n">
        <v>14.2</v>
      </c>
      <c r="H469" s="0" t="n">
        <v>46.97</v>
      </c>
      <c r="I469" s="0" t="n">
        <v>12.62</v>
      </c>
      <c r="J469" s="0" t="n">
        <v>41.73</v>
      </c>
      <c r="K469" s="0" t="n">
        <v>1</v>
      </c>
      <c r="T469" s="0" t="n">
        <v>1</v>
      </c>
      <c r="U469" s="0" t="n">
        <v>1</v>
      </c>
      <c r="V469" s="0" t="inlineStr">
        <is>
          <t>계단식</t>
        </is>
      </c>
      <c r="W469" s="0" t="n">
        <v>46</v>
      </c>
      <c r="X469" s="0" t="n">
        <v>9</v>
      </c>
      <c r="Y469" s="0" t="n">
        <v>9</v>
      </c>
      <c r="Z469" s="0" t="inlineStr">
        <is>
          <t>https://new.land.naver.com/complexes/16820?tab=detail&amp;rf=Y</t>
        </is>
      </c>
      <c r="AA469" s="0" t="inlineStr">
        <is>
          <t>경상남도 창원시 의창구 소답동 116-2</t>
        </is>
      </c>
      <c r="AB469" s="0" t="inlineStr">
        <is>
          <t>경상남도</t>
        </is>
      </c>
      <c r="AC469" s="0" t="inlineStr">
        <is>
          <t>창원시</t>
        </is>
      </c>
      <c r="AD469" s="0" t="inlineStr">
        <is>
          <t>의창구</t>
        </is>
      </c>
      <c r="AE469" s="0" t="inlineStr">
        <is>
          <t>소답동</t>
        </is>
      </c>
      <c r="AG469" s="0" t="inlineStr">
        <is>
          <t>경상남도 창원시 의창구 의안로18번길 18</t>
        </is>
      </c>
      <c r="AH469" s="0" t="n">
        <v>0</v>
      </c>
      <c r="AI469" s="0" t="n">
        <v>285</v>
      </c>
    </row>
    <row r="470">
      <c r="A470" s="0" t="inlineStr">
        <is>
          <t>[소답동]</t>
        </is>
      </c>
      <c r="B470" s="0" t="n">
        <v>16820</v>
      </c>
      <c r="C470" s="0" t="n">
        <v>2</v>
      </c>
      <c r="D470" s="0" t="inlineStr">
        <is>
          <t>송림</t>
        </is>
      </c>
      <c r="E470" s="0" t="inlineStr">
        <is>
          <t>2000.08.</t>
        </is>
      </c>
      <c r="F470" s="0" t="n">
        <v>34</v>
      </c>
      <c r="G470" s="0" t="n">
        <v>17.42</v>
      </c>
      <c r="H470" s="0" t="n">
        <v>57.61</v>
      </c>
      <c r="I470" s="0" t="n">
        <v>15.48</v>
      </c>
      <c r="J470" s="0" t="n">
        <v>51.18</v>
      </c>
      <c r="K470" s="0" t="n">
        <v>1</v>
      </c>
      <c r="T470" s="0" t="n">
        <v>2</v>
      </c>
      <c r="U470" s="0" t="n">
        <v>1</v>
      </c>
      <c r="V470" s="0" t="inlineStr">
        <is>
          <t>계단식</t>
        </is>
      </c>
      <c r="W470" s="0" t="n">
        <v>57</v>
      </c>
      <c r="X470" s="0" t="n">
        <v>9</v>
      </c>
      <c r="Y470" s="0" t="n">
        <v>9</v>
      </c>
      <c r="Z470" s="0" t="inlineStr">
        <is>
          <t>https://new.land.naver.com/complexes/16820?tab=detail&amp;rf=Y</t>
        </is>
      </c>
      <c r="AA470" s="0" t="inlineStr">
        <is>
          <t>경상남도 창원시 의창구 소답동 116-2</t>
        </is>
      </c>
      <c r="AB470" s="0" t="inlineStr">
        <is>
          <t>경상남도</t>
        </is>
      </c>
      <c r="AC470" s="0" t="inlineStr">
        <is>
          <t>창원시</t>
        </is>
      </c>
      <c r="AD470" s="0" t="inlineStr">
        <is>
          <t>의창구</t>
        </is>
      </c>
      <c r="AE470" s="0" t="inlineStr">
        <is>
          <t>소답동</t>
        </is>
      </c>
      <c r="AG470" s="0" t="inlineStr">
        <is>
          <t>경상남도 창원시 의창구 의안로18번길 18</t>
        </is>
      </c>
      <c r="AH470" s="0" t="n">
        <v>0</v>
      </c>
      <c r="AI470" s="0" t="n">
        <v>285</v>
      </c>
    </row>
    <row r="471">
      <c r="A471" s="0" t="inlineStr">
        <is>
          <t>[소답동]</t>
        </is>
      </c>
      <c r="B471" s="0" t="n">
        <v>16820</v>
      </c>
      <c r="C471" s="0" t="n">
        <v>3</v>
      </c>
      <c r="D471" s="0" t="inlineStr">
        <is>
          <t>송림</t>
        </is>
      </c>
      <c r="E471" s="0" t="inlineStr">
        <is>
          <t>2000.08.</t>
        </is>
      </c>
      <c r="F471" s="0" t="n">
        <v>34</v>
      </c>
      <c r="G471" s="0" t="n">
        <v>22.21</v>
      </c>
      <c r="H471" s="0" t="n">
        <v>73.44</v>
      </c>
      <c r="I471" s="0" t="n">
        <v>18.1</v>
      </c>
      <c r="J471" s="0" t="n">
        <v>59.85</v>
      </c>
      <c r="K471" s="0" t="n">
        <v>8</v>
      </c>
      <c r="T471" s="0" t="n">
        <v>3</v>
      </c>
      <c r="U471" s="0" t="n">
        <v>1</v>
      </c>
      <c r="V471" s="0" t="inlineStr">
        <is>
          <t>계단식</t>
        </is>
      </c>
      <c r="W471" s="0" t="n">
        <v>73</v>
      </c>
      <c r="X471" s="0" t="n">
        <v>9</v>
      </c>
      <c r="Y471" s="0" t="n">
        <v>9</v>
      </c>
      <c r="Z471" s="0" t="inlineStr">
        <is>
          <t>https://new.land.naver.com/complexes/16820?tab=detail&amp;rf=Y</t>
        </is>
      </c>
      <c r="AA471" s="0" t="inlineStr">
        <is>
          <t>경상남도 창원시 의창구 소답동 116-2</t>
        </is>
      </c>
      <c r="AB471" s="0" t="inlineStr">
        <is>
          <t>경상남도</t>
        </is>
      </c>
      <c r="AC471" s="0" t="inlineStr">
        <is>
          <t>창원시</t>
        </is>
      </c>
      <c r="AD471" s="0" t="inlineStr">
        <is>
          <t>의창구</t>
        </is>
      </c>
      <c r="AE471" s="0" t="inlineStr">
        <is>
          <t>소답동</t>
        </is>
      </c>
      <c r="AG471" s="0" t="inlineStr">
        <is>
          <t>경상남도 창원시 의창구 의안로18번길 18</t>
        </is>
      </c>
      <c r="AH471" s="0" t="n">
        <v>0</v>
      </c>
      <c r="AI471" s="0" t="n">
        <v>285</v>
      </c>
    </row>
    <row r="472">
      <c r="A472" s="0" t="inlineStr">
        <is>
          <t>[소답동]</t>
        </is>
      </c>
      <c r="B472" s="0" t="n">
        <v>16820</v>
      </c>
      <c r="C472" s="0" t="n">
        <v>4</v>
      </c>
      <c r="D472" s="0" t="inlineStr">
        <is>
          <t>송림</t>
        </is>
      </c>
      <c r="E472" s="0" t="inlineStr">
        <is>
          <t>2000.08.</t>
        </is>
      </c>
      <c r="F472" s="0" t="n">
        <v>34</v>
      </c>
      <c r="G472" s="0" t="n">
        <v>25.28</v>
      </c>
      <c r="H472" s="0" t="n">
        <v>83.58</v>
      </c>
      <c r="I472" s="0" t="n">
        <v>22.46</v>
      </c>
      <c r="J472" s="0" t="n">
        <v>74.25</v>
      </c>
      <c r="K472" s="0" t="n">
        <v>1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83</v>
      </c>
      <c r="X472" s="0" t="n">
        <v>9</v>
      </c>
      <c r="Y472" s="0" t="n">
        <v>9</v>
      </c>
      <c r="Z472" s="0" t="inlineStr">
        <is>
          <t>https://new.land.naver.com/complexes/16820?tab=detail&amp;rf=Y</t>
        </is>
      </c>
      <c r="AA472" s="0" t="inlineStr">
        <is>
          <t>경상남도 창원시 의창구 소답동 116-2</t>
        </is>
      </c>
      <c r="AB472" s="0" t="inlineStr">
        <is>
          <t>경상남도</t>
        </is>
      </c>
      <c r="AC472" s="0" t="inlineStr">
        <is>
          <t>창원시</t>
        </is>
      </c>
      <c r="AD472" s="0" t="inlineStr">
        <is>
          <t>의창구</t>
        </is>
      </c>
      <c r="AE472" s="0" t="inlineStr">
        <is>
          <t>소답동</t>
        </is>
      </c>
      <c r="AG472" s="0" t="inlineStr">
        <is>
          <t>경상남도 창원시 의창구 의안로18번길 18</t>
        </is>
      </c>
      <c r="AH472" s="0" t="n">
        <v>0</v>
      </c>
      <c r="AI472" s="0" t="n">
        <v>285</v>
      </c>
    </row>
    <row r="473">
      <c r="A473" s="0" t="inlineStr">
        <is>
          <t>[소답동]</t>
        </is>
      </c>
      <c r="B473" s="0" t="n">
        <v>16820</v>
      </c>
      <c r="C473" s="0" t="n">
        <v>5</v>
      </c>
      <c r="D473" s="0" t="inlineStr">
        <is>
          <t>송림</t>
        </is>
      </c>
      <c r="E473" s="0" t="inlineStr">
        <is>
          <t>2000.08.</t>
        </is>
      </c>
      <c r="F473" s="0" t="n">
        <v>34</v>
      </c>
      <c r="G473" s="0" t="n">
        <v>26.2</v>
      </c>
      <c r="H473" s="0" t="n">
        <v>86.62</v>
      </c>
      <c r="I473" s="0" t="n">
        <v>23.27</v>
      </c>
      <c r="J473" s="0" t="n">
        <v>76.95</v>
      </c>
      <c r="K473" s="0" t="n">
        <v>1</v>
      </c>
      <c r="T473" s="0" t="n">
        <v>3</v>
      </c>
      <c r="U473" s="0" t="n">
        <v>1</v>
      </c>
      <c r="V473" s="0" t="inlineStr">
        <is>
          <t>계단식</t>
        </is>
      </c>
      <c r="W473" s="0" t="n">
        <v>86</v>
      </c>
      <c r="X473" s="0" t="n">
        <v>9</v>
      </c>
      <c r="Y473" s="0" t="n">
        <v>9</v>
      </c>
      <c r="Z473" s="0" t="inlineStr">
        <is>
          <t>https://new.land.naver.com/complexes/16820?tab=detail&amp;rf=Y</t>
        </is>
      </c>
      <c r="AA473" s="0" t="inlineStr">
        <is>
          <t>경상남도 창원시 의창구 소답동 116-2</t>
        </is>
      </c>
      <c r="AB473" s="0" t="inlineStr">
        <is>
          <t>경상남도</t>
        </is>
      </c>
      <c r="AC473" s="0" t="inlineStr">
        <is>
          <t>창원시</t>
        </is>
      </c>
      <c r="AD473" s="0" t="inlineStr">
        <is>
          <t>의창구</t>
        </is>
      </c>
      <c r="AE473" s="0" t="inlineStr">
        <is>
          <t>소답동</t>
        </is>
      </c>
      <c r="AG473" s="0" t="inlineStr">
        <is>
          <t>경상남도 창원시 의창구 의안로18번길 18</t>
        </is>
      </c>
      <c r="AH473" s="0" t="n">
        <v>0</v>
      </c>
      <c r="AI473" s="0" t="n">
        <v>285</v>
      </c>
    </row>
    <row r="474">
      <c r="A474" s="0" t="inlineStr">
        <is>
          <t>[소답동]</t>
        </is>
      </c>
      <c r="B474" s="0" t="n">
        <v>16820</v>
      </c>
      <c r="C474" s="0" t="n">
        <v>6</v>
      </c>
      <c r="D474" s="0" t="inlineStr">
        <is>
          <t>송림</t>
        </is>
      </c>
      <c r="E474" s="0" t="inlineStr">
        <is>
          <t>2000.08.</t>
        </is>
      </c>
      <c r="F474" s="0" t="n">
        <v>34</v>
      </c>
      <c r="G474" s="0" t="n">
        <v>28.41</v>
      </c>
      <c r="H474" s="0" t="n">
        <v>93.93000000000001</v>
      </c>
      <c r="I474" s="0" t="n">
        <v>25.24</v>
      </c>
      <c r="J474" s="0" t="n">
        <v>83.44</v>
      </c>
      <c r="K474" s="0" t="n">
        <v>1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93</v>
      </c>
      <c r="X474" s="0" t="n">
        <v>9</v>
      </c>
      <c r="Y474" s="0" t="n">
        <v>9</v>
      </c>
      <c r="Z474" s="0" t="inlineStr">
        <is>
          <t>https://new.land.naver.com/complexes/16820?tab=detail&amp;rf=Y</t>
        </is>
      </c>
      <c r="AA474" s="0" t="inlineStr">
        <is>
          <t>경상남도 창원시 의창구 소답동 116-2</t>
        </is>
      </c>
      <c r="AB474" s="0" t="inlineStr">
        <is>
          <t>경상남도</t>
        </is>
      </c>
      <c r="AC474" s="0" t="inlineStr">
        <is>
          <t>창원시</t>
        </is>
      </c>
      <c r="AD474" s="0" t="inlineStr">
        <is>
          <t>의창구</t>
        </is>
      </c>
      <c r="AE474" s="0" t="inlineStr">
        <is>
          <t>소답동</t>
        </is>
      </c>
      <c r="AG474" s="0" t="inlineStr">
        <is>
          <t>경상남도 창원시 의창구 의안로18번길 18</t>
        </is>
      </c>
      <c r="AH474" s="0" t="n">
        <v>0</v>
      </c>
      <c r="AI474" s="0" t="n">
        <v>285</v>
      </c>
    </row>
    <row r="475">
      <c r="A475" s="0" t="inlineStr">
        <is>
          <t>[소답동]</t>
        </is>
      </c>
      <c r="B475" s="0" t="n">
        <v>16820</v>
      </c>
      <c r="C475" s="0" t="n">
        <v>7</v>
      </c>
      <c r="D475" s="0" t="inlineStr">
        <is>
          <t>송림</t>
        </is>
      </c>
      <c r="E475" s="0" t="inlineStr">
        <is>
          <t>2000.08.</t>
        </is>
      </c>
      <c r="F475" s="0" t="n">
        <v>34</v>
      </c>
      <c r="G475" s="0" t="n">
        <v>28.92</v>
      </c>
      <c r="H475" s="0" t="n">
        <v>95.62</v>
      </c>
      <c r="I475" s="0" t="n">
        <v>25.69</v>
      </c>
      <c r="J475" s="0" t="n">
        <v>84.94</v>
      </c>
      <c r="K475" s="0" t="n">
        <v>6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95B</t>
        </is>
      </c>
      <c r="X475" s="0" t="n">
        <v>9</v>
      </c>
      <c r="Y475" s="0" t="n">
        <v>9</v>
      </c>
      <c r="Z475" s="0" t="inlineStr">
        <is>
          <t>https://new.land.naver.com/complexes/16820?tab=detail&amp;rf=Y</t>
        </is>
      </c>
      <c r="AA475" s="0" t="inlineStr">
        <is>
          <t>경상남도 창원시 의창구 소답동 116-2</t>
        </is>
      </c>
      <c r="AB475" s="0" t="inlineStr">
        <is>
          <t>경상남도</t>
        </is>
      </c>
      <c r="AC475" s="0" t="inlineStr">
        <is>
          <t>창원시</t>
        </is>
      </c>
      <c r="AD475" s="0" t="inlineStr">
        <is>
          <t>의창구</t>
        </is>
      </c>
      <c r="AE475" s="0" t="inlineStr">
        <is>
          <t>소답동</t>
        </is>
      </c>
      <c r="AG475" s="0" t="inlineStr">
        <is>
          <t>경상남도 창원시 의창구 의안로18번길 18</t>
        </is>
      </c>
      <c r="AH475" s="0" t="n">
        <v>0</v>
      </c>
      <c r="AI475" s="0" t="n">
        <v>285</v>
      </c>
    </row>
    <row r="476">
      <c r="A476" s="0" t="inlineStr">
        <is>
          <t>[소답동]</t>
        </is>
      </c>
      <c r="B476" s="0" t="n">
        <v>16820</v>
      </c>
      <c r="C476" s="0" t="n">
        <v>8</v>
      </c>
      <c r="D476" s="0" t="inlineStr">
        <is>
          <t>송림</t>
        </is>
      </c>
      <c r="E476" s="0" t="inlineStr">
        <is>
          <t>2000.08.</t>
        </is>
      </c>
      <c r="F476" s="0" t="n">
        <v>34</v>
      </c>
      <c r="G476" s="0" t="n">
        <v>29.44</v>
      </c>
      <c r="H476" s="0" t="n">
        <v>97.33</v>
      </c>
      <c r="I476" s="0" t="n">
        <v>23.99</v>
      </c>
      <c r="J476" s="0" t="n">
        <v>79.31999999999999</v>
      </c>
      <c r="K476" s="0" t="n">
        <v>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97A</t>
        </is>
      </c>
      <c r="X476" s="0" t="n">
        <v>9</v>
      </c>
      <c r="Y476" s="0" t="n">
        <v>9</v>
      </c>
      <c r="Z476" s="0" t="inlineStr">
        <is>
          <t>https://new.land.naver.com/complexes/16820?tab=detail&amp;rf=Y</t>
        </is>
      </c>
      <c r="AA476" s="0" t="inlineStr">
        <is>
          <t>경상남도 창원시 의창구 소답동 116-2</t>
        </is>
      </c>
      <c r="AB476" s="0" t="inlineStr">
        <is>
          <t>경상남도</t>
        </is>
      </c>
      <c r="AC476" s="0" t="inlineStr">
        <is>
          <t>창원시</t>
        </is>
      </c>
      <c r="AD476" s="0" t="inlineStr">
        <is>
          <t>의창구</t>
        </is>
      </c>
      <c r="AE476" s="0" t="inlineStr">
        <is>
          <t>소답동</t>
        </is>
      </c>
      <c r="AG476" s="0" t="inlineStr">
        <is>
          <t>경상남도 창원시 의창구 의안로18번길 18</t>
        </is>
      </c>
      <c r="AH476" s="0" t="n">
        <v>0</v>
      </c>
      <c r="AI476" s="0" t="n">
        <v>285</v>
      </c>
    </row>
    <row r="477">
      <c r="A477" s="0" t="inlineStr">
        <is>
          <t>[소답동]</t>
        </is>
      </c>
      <c r="B477" s="0" t="n">
        <v>16820</v>
      </c>
      <c r="C477" s="0" t="n">
        <v>9</v>
      </c>
      <c r="D477" s="0" t="inlineStr">
        <is>
          <t>송림</t>
        </is>
      </c>
      <c r="E477" s="0" t="inlineStr">
        <is>
          <t>2000.08.</t>
        </is>
      </c>
      <c r="F477" s="0" t="n">
        <v>34</v>
      </c>
      <c r="G477" s="0" t="n">
        <v>30.14</v>
      </c>
      <c r="H477" s="0" t="n">
        <v>99.66</v>
      </c>
      <c r="I477" s="0" t="n">
        <v>24.56</v>
      </c>
      <c r="J477" s="0" t="n">
        <v>81.22</v>
      </c>
      <c r="K477" s="0" t="n">
        <v>7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99</v>
      </c>
      <c r="X477" s="0" t="n">
        <v>9</v>
      </c>
      <c r="Y477" s="0" t="n">
        <v>9</v>
      </c>
      <c r="Z477" s="0" t="inlineStr">
        <is>
          <t>https://new.land.naver.com/complexes/16820?tab=detail&amp;rf=Y</t>
        </is>
      </c>
      <c r="AA477" s="0" t="inlineStr">
        <is>
          <t>경상남도 창원시 의창구 소답동 116-2</t>
        </is>
      </c>
      <c r="AB477" s="0" t="inlineStr">
        <is>
          <t>경상남도</t>
        </is>
      </c>
      <c r="AC477" s="0" t="inlineStr">
        <is>
          <t>창원시</t>
        </is>
      </c>
      <c r="AD477" s="0" t="inlineStr">
        <is>
          <t>의창구</t>
        </is>
      </c>
      <c r="AE477" s="0" t="inlineStr">
        <is>
          <t>소답동</t>
        </is>
      </c>
      <c r="AG477" s="0" t="inlineStr">
        <is>
          <t>경상남도 창원시 의창구 의안로18번길 18</t>
        </is>
      </c>
      <c r="AH477" s="0" t="n">
        <v>0</v>
      </c>
      <c r="AI477" s="0" t="n">
        <v>285</v>
      </c>
    </row>
    <row r="478">
      <c r="A478" s="0" t="inlineStr">
        <is>
          <t>[소답동]</t>
        </is>
      </c>
      <c r="B478" s="0" t="n">
        <v>16820</v>
      </c>
      <c r="C478" s="0" t="n">
        <v>10</v>
      </c>
      <c r="D478" s="0" t="inlineStr">
        <is>
          <t>송림</t>
        </is>
      </c>
      <c r="E478" s="0" t="inlineStr">
        <is>
          <t>2000.08.</t>
        </is>
      </c>
      <c r="F478" s="0" t="n">
        <v>34</v>
      </c>
      <c r="G478" s="0" t="n">
        <v>34.66</v>
      </c>
      <c r="H478" s="0" t="n">
        <v>114.6</v>
      </c>
      <c r="I478" s="0" t="n">
        <v>30.79</v>
      </c>
      <c r="J478" s="0" t="n">
        <v>101.8</v>
      </c>
      <c r="K478" s="0" t="n">
        <v>1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114</v>
      </c>
      <c r="X478" s="0" t="n">
        <v>9</v>
      </c>
      <c r="Y478" s="0" t="n">
        <v>9</v>
      </c>
      <c r="Z478" s="0" t="inlineStr">
        <is>
          <t>https://new.land.naver.com/complexes/16820?tab=detail&amp;rf=Y</t>
        </is>
      </c>
      <c r="AA478" s="0" t="inlineStr">
        <is>
          <t>경상남도 창원시 의창구 소답동 116-2</t>
        </is>
      </c>
      <c r="AB478" s="0" t="inlineStr">
        <is>
          <t>경상남도</t>
        </is>
      </c>
      <c r="AC478" s="0" t="inlineStr">
        <is>
          <t>창원시</t>
        </is>
      </c>
      <c r="AD478" s="0" t="inlineStr">
        <is>
          <t>의창구</t>
        </is>
      </c>
      <c r="AE478" s="0" t="inlineStr">
        <is>
          <t>소답동</t>
        </is>
      </c>
      <c r="AG478" s="0" t="inlineStr">
        <is>
          <t>경상남도 창원시 의창구 의안로18번길 18</t>
        </is>
      </c>
      <c r="AH478" s="0" t="n">
        <v>0</v>
      </c>
      <c r="AI478" s="0" t="n">
        <v>285</v>
      </c>
    </row>
    <row r="479">
      <c r="A479" s="0" t="inlineStr">
        <is>
          <t>[소답동]</t>
        </is>
      </c>
      <c r="B479" s="0" t="n">
        <v>16820</v>
      </c>
      <c r="C479" s="0" t="n">
        <v>11</v>
      </c>
      <c r="D479" s="0" t="inlineStr">
        <is>
          <t>송림</t>
        </is>
      </c>
      <c r="E479" s="0" t="inlineStr">
        <is>
          <t>2000.08.</t>
        </is>
      </c>
      <c r="F479" s="0" t="n">
        <v>34</v>
      </c>
      <c r="G479" s="0" t="n">
        <v>35.69</v>
      </c>
      <c r="H479" s="0" t="n">
        <v>118.01</v>
      </c>
      <c r="I479" s="0" t="n">
        <v>31.71</v>
      </c>
      <c r="J479" s="0" t="n">
        <v>104.83</v>
      </c>
      <c r="K479" s="0" t="n">
        <v>6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118</v>
      </c>
      <c r="X479" s="0" t="n">
        <v>9</v>
      </c>
      <c r="Y479" s="0" t="n">
        <v>9</v>
      </c>
      <c r="Z479" s="0" t="inlineStr">
        <is>
          <t>https://new.land.naver.com/complexes/16820?tab=detail&amp;rf=Y</t>
        </is>
      </c>
      <c r="AA479" s="0" t="inlineStr">
        <is>
          <t>경상남도 창원시 의창구 소답동 116-2</t>
        </is>
      </c>
      <c r="AB479" s="0" t="inlineStr">
        <is>
          <t>경상남도</t>
        </is>
      </c>
      <c r="AC479" s="0" t="inlineStr">
        <is>
          <t>창원시</t>
        </is>
      </c>
      <c r="AD479" s="0" t="inlineStr">
        <is>
          <t>의창구</t>
        </is>
      </c>
      <c r="AE479" s="0" t="inlineStr">
        <is>
          <t>소답동</t>
        </is>
      </c>
      <c r="AG479" s="0" t="inlineStr">
        <is>
          <t>경상남도 창원시 의창구 의안로18번길 18</t>
        </is>
      </c>
      <c r="AH479" s="0" t="n">
        <v>0</v>
      </c>
      <c r="AI479" s="0" t="n">
        <v>285</v>
      </c>
    </row>
    <row r="480">
      <c r="A480" s="0" t="inlineStr">
        <is>
          <t>[소답동]</t>
        </is>
      </c>
      <c r="B480" s="0" t="n">
        <v>16821</v>
      </c>
      <c r="C480" s="0" t="n">
        <v>1</v>
      </c>
      <c r="D480" s="0" t="inlineStr">
        <is>
          <t>중산그린</t>
        </is>
      </c>
      <c r="E480" s="0" t="inlineStr">
        <is>
          <t>1994.10.</t>
        </is>
      </c>
      <c r="F480" s="0" t="n">
        <v>30</v>
      </c>
      <c r="G480" s="0" t="n">
        <v>18.64</v>
      </c>
      <c r="H480" s="0" t="n">
        <v>61.62</v>
      </c>
      <c r="I480" s="0" t="n">
        <v>15.31</v>
      </c>
      <c r="J480" s="0" t="n">
        <v>50.62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61</v>
      </c>
      <c r="X480" s="0" t="n">
        <v>10</v>
      </c>
      <c r="Y480" s="0" t="n">
        <v>10</v>
      </c>
      <c r="Z480" s="0" t="inlineStr">
        <is>
          <t>https://new.land.naver.com/complexes/16821?tab=detail&amp;rf=Y</t>
        </is>
      </c>
      <c r="AA480" s="0" t="inlineStr">
        <is>
          <t>경상남도 창원시 의창구 소답동 419-2</t>
        </is>
      </c>
      <c r="AB480" s="0" t="inlineStr">
        <is>
          <t>경상남도</t>
        </is>
      </c>
      <c r="AC480" s="0" t="inlineStr">
        <is>
          <t>창원시</t>
        </is>
      </c>
      <c r="AD480" s="0" t="inlineStr">
        <is>
          <t>의창구</t>
        </is>
      </c>
      <c r="AE480" s="0" t="inlineStr">
        <is>
          <t>소답동</t>
        </is>
      </c>
      <c r="AG480" s="0" t="inlineStr">
        <is>
          <t>경상남도 창원시 의창구 의안로70번길 11</t>
        </is>
      </c>
      <c r="AH480" s="0" t="n">
        <v>0</v>
      </c>
      <c r="AI480" s="0" t="n">
        <v>346</v>
      </c>
    </row>
    <row r="481">
      <c r="A481" s="0" t="inlineStr">
        <is>
          <t>[소답동]</t>
        </is>
      </c>
      <c r="B481" s="0" t="n">
        <v>16821</v>
      </c>
      <c r="C481" s="0" t="n">
        <v>2</v>
      </c>
      <c r="D481" s="0" t="inlineStr">
        <is>
          <t>중산그린</t>
        </is>
      </c>
      <c r="E481" s="0" t="inlineStr">
        <is>
          <t>1994.10.</t>
        </is>
      </c>
      <c r="F481" s="0" t="n">
        <v>30</v>
      </c>
      <c r="G481" s="0" t="n">
        <v>21.32</v>
      </c>
      <c r="H481" s="0" t="n">
        <v>70.48999999999999</v>
      </c>
      <c r="I481" s="0" t="n">
        <v>17.51</v>
      </c>
      <c r="J481" s="0" t="n">
        <v>57.91</v>
      </c>
      <c r="K481" s="0" t="n">
        <v>1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70</v>
      </c>
      <c r="X481" s="0" t="n">
        <v>10</v>
      </c>
      <c r="Y481" s="0" t="n">
        <v>10</v>
      </c>
      <c r="Z481" s="0" t="inlineStr">
        <is>
          <t>https://new.land.naver.com/complexes/16821?tab=detail&amp;rf=Y</t>
        </is>
      </c>
      <c r="AA481" s="0" t="inlineStr">
        <is>
          <t>경상남도 창원시 의창구 소답동 419-2</t>
        </is>
      </c>
      <c r="AB481" s="0" t="inlineStr">
        <is>
          <t>경상남도</t>
        </is>
      </c>
      <c r="AC481" s="0" t="inlineStr">
        <is>
          <t>창원시</t>
        </is>
      </c>
      <c r="AD481" s="0" t="inlineStr">
        <is>
          <t>의창구</t>
        </is>
      </c>
      <c r="AE481" s="0" t="inlineStr">
        <is>
          <t>소답동</t>
        </is>
      </c>
      <c r="AG481" s="0" t="inlineStr">
        <is>
          <t>경상남도 창원시 의창구 의안로70번길 11</t>
        </is>
      </c>
      <c r="AH481" s="0" t="n">
        <v>0</v>
      </c>
      <c r="AI481" s="0" t="n">
        <v>346</v>
      </c>
    </row>
    <row r="482">
      <c r="A482" s="0" t="inlineStr">
        <is>
          <t>[소답동]</t>
        </is>
      </c>
      <c r="B482" s="0" t="n">
        <v>16821</v>
      </c>
      <c r="C482" s="0" t="n">
        <v>3</v>
      </c>
      <c r="D482" s="0" t="inlineStr">
        <is>
          <t>중산그린</t>
        </is>
      </c>
      <c r="E482" s="0" t="inlineStr">
        <is>
          <t>1994.10.</t>
        </is>
      </c>
      <c r="F482" s="0" t="n">
        <v>30</v>
      </c>
      <c r="G482" s="0" t="n">
        <v>21.55</v>
      </c>
      <c r="H482" s="0" t="n">
        <v>71.26000000000001</v>
      </c>
      <c r="I482" s="0" t="n">
        <v>17.7</v>
      </c>
      <c r="J482" s="0" t="n">
        <v>58.54</v>
      </c>
      <c r="K482" s="0" t="n">
        <v>9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71A</t>
        </is>
      </c>
      <c r="X482" s="0" t="n">
        <v>10</v>
      </c>
      <c r="Y482" s="0" t="n">
        <v>10</v>
      </c>
      <c r="Z482" s="0" t="inlineStr">
        <is>
          <t>https://new.land.naver.com/complexes/16821?tab=detail&amp;rf=Y</t>
        </is>
      </c>
      <c r="AA482" s="0" t="inlineStr">
        <is>
          <t>경상남도 창원시 의창구 소답동 419-2</t>
        </is>
      </c>
      <c r="AB482" s="0" t="inlineStr">
        <is>
          <t>경상남도</t>
        </is>
      </c>
      <c r="AC482" s="0" t="inlineStr">
        <is>
          <t>창원시</t>
        </is>
      </c>
      <c r="AD482" s="0" t="inlineStr">
        <is>
          <t>의창구</t>
        </is>
      </c>
      <c r="AE482" s="0" t="inlineStr">
        <is>
          <t>소답동</t>
        </is>
      </c>
      <c r="AG482" s="0" t="inlineStr">
        <is>
          <t>경상남도 창원시 의창구 의안로70번길 11</t>
        </is>
      </c>
      <c r="AH482" s="0" t="n">
        <v>0</v>
      </c>
      <c r="AI482" s="0" t="n">
        <v>346</v>
      </c>
    </row>
    <row r="483">
      <c r="A483" s="0" t="inlineStr">
        <is>
          <t>[소답동]</t>
        </is>
      </c>
      <c r="B483" s="0" t="n">
        <v>16821</v>
      </c>
      <c r="C483" s="0" t="n">
        <v>4</v>
      </c>
      <c r="D483" s="0" t="inlineStr">
        <is>
          <t>중산그린</t>
        </is>
      </c>
      <c r="E483" s="0" t="inlineStr">
        <is>
          <t>1994.10.</t>
        </is>
      </c>
      <c r="F483" s="0" t="n">
        <v>30</v>
      </c>
      <c r="G483" s="0" t="n">
        <v>21.62</v>
      </c>
      <c r="H483" s="0" t="n">
        <v>71.48</v>
      </c>
      <c r="I483" s="0" t="n">
        <v>17.76</v>
      </c>
      <c r="J483" s="0" t="n">
        <v>58.72</v>
      </c>
      <c r="K483" s="0" t="n">
        <v>1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71B</t>
        </is>
      </c>
      <c r="X483" s="0" t="n">
        <v>10</v>
      </c>
      <c r="Y483" s="0" t="n">
        <v>10</v>
      </c>
      <c r="Z483" s="0" t="inlineStr">
        <is>
          <t>https://new.land.naver.com/complexes/16821?tab=detail&amp;rf=Y</t>
        </is>
      </c>
      <c r="AA483" s="0" t="inlineStr">
        <is>
          <t>경상남도 창원시 의창구 소답동 419-2</t>
        </is>
      </c>
      <c r="AB483" s="0" t="inlineStr">
        <is>
          <t>경상남도</t>
        </is>
      </c>
      <c r="AC483" s="0" t="inlineStr">
        <is>
          <t>창원시</t>
        </is>
      </c>
      <c r="AD483" s="0" t="inlineStr">
        <is>
          <t>의창구</t>
        </is>
      </c>
      <c r="AE483" s="0" t="inlineStr">
        <is>
          <t>소답동</t>
        </is>
      </c>
      <c r="AG483" s="0" t="inlineStr">
        <is>
          <t>경상남도 창원시 의창구 의안로70번길 11</t>
        </is>
      </c>
      <c r="AH483" s="0" t="n">
        <v>0</v>
      </c>
      <c r="AI483" s="0" t="n">
        <v>346</v>
      </c>
    </row>
    <row r="484">
      <c r="A484" s="0" t="inlineStr">
        <is>
          <t>[소답동]</t>
        </is>
      </c>
      <c r="B484" s="0" t="n">
        <v>16821</v>
      </c>
      <c r="C484" s="0" t="n">
        <v>5</v>
      </c>
      <c r="D484" s="0" t="inlineStr">
        <is>
          <t>중산그린</t>
        </is>
      </c>
      <c r="E484" s="0" t="inlineStr">
        <is>
          <t>1994.10.</t>
        </is>
      </c>
      <c r="F484" s="0" t="n">
        <v>30</v>
      </c>
      <c r="G484" s="0" t="n">
        <v>21.68</v>
      </c>
      <c r="H484" s="0" t="n">
        <v>71.69</v>
      </c>
      <c r="I484" s="0" t="n">
        <v>17.81</v>
      </c>
      <c r="J484" s="0" t="n">
        <v>58.9</v>
      </c>
      <c r="K484" s="0" t="n">
        <v>1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71C</t>
        </is>
      </c>
      <c r="X484" s="0" t="n">
        <v>10</v>
      </c>
      <c r="Y484" s="0" t="n">
        <v>10</v>
      </c>
      <c r="Z484" s="0" t="inlineStr">
        <is>
          <t>https://new.land.naver.com/complexes/16821?tab=detail&amp;rf=Y</t>
        </is>
      </c>
      <c r="AA484" s="0" t="inlineStr">
        <is>
          <t>경상남도 창원시 의창구 소답동 419-2</t>
        </is>
      </c>
      <c r="AB484" s="0" t="inlineStr">
        <is>
          <t>경상남도</t>
        </is>
      </c>
      <c r="AC484" s="0" t="inlineStr">
        <is>
          <t>창원시</t>
        </is>
      </c>
      <c r="AD484" s="0" t="inlineStr">
        <is>
          <t>의창구</t>
        </is>
      </c>
      <c r="AE484" s="0" t="inlineStr">
        <is>
          <t>소답동</t>
        </is>
      </c>
      <c r="AG484" s="0" t="inlineStr">
        <is>
          <t>경상남도 창원시 의창구 의안로70번길 11</t>
        </is>
      </c>
      <c r="AH484" s="0" t="n">
        <v>0</v>
      </c>
      <c r="AI484" s="0" t="n">
        <v>346</v>
      </c>
    </row>
    <row r="485">
      <c r="A485" s="0" t="inlineStr">
        <is>
          <t>[소답동]</t>
        </is>
      </c>
      <c r="B485" s="0" t="n">
        <v>16821</v>
      </c>
      <c r="C485" s="0" t="n">
        <v>6</v>
      </c>
      <c r="D485" s="0" t="inlineStr">
        <is>
          <t>중산그린</t>
        </is>
      </c>
      <c r="E485" s="0" t="inlineStr">
        <is>
          <t>1994.10.</t>
        </is>
      </c>
      <c r="F485" s="0" t="n">
        <v>30</v>
      </c>
      <c r="G485" s="0" t="n">
        <v>24.8</v>
      </c>
      <c r="H485" s="0" t="n">
        <v>81.98999999999999</v>
      </c>
      <c r="I485" s="0" t="n">
        <v>20.37</v>
      </c>
      <c r="J485" s="0" t="n">
        <v>67.36</v>
      </c>
      <c r="K485" s="0" t="n">
        <v>9</v>
      </c>
      <c r="T485" s="0" t="n">
        <v>3</v>
      </c>
      <c r="U485" s="0" t="n">
        <v>1</v>
      </c>
      <c r="V485" s="0" t="inlineStr">
        <is>
          <t>계단식</t>
        </is>
      </c>
      <c r="W485" s="0" t="inlineStr">
        <is>
          <t>81B</t>
        </is>
      </c>
      <c r="X485" s="0" t="n">
        <v>10</v>
      </c>
      <c r="Y485" s="0" t="n">
        <v>10</v>
      </c>
      <c r="Z485" s="0" t="inlineStr">
        <is>
          <t>https://new.land.naver.com/complexes/16821?tab=detail&amp;rf=Y</t>
        </is>
      </c>
      <c r="AA485" s="0" t="inlineStr">
        <is>
          <t>경상남도 창원시 의창구 소답동 419-2</t>
        </is>
      </c>
      <c r="AB485" s="0" t="inlineStr">
        <is>
          <t>경상남도</t>
        </is>
      </c>
      <c r="AC485" s="0" t="inlineStr">
        <is>
          <t>창원시</t>
        </is>
      </c>
      <c r="AD485" s="0" t="inlineStr">
        <is>
          <t>의창구</t>
        </is>
      </c>
      <c r="AE485" s="0" t="inlineStr">
        <is>
          <t>소답동</t>
        </is>
      </c>
      <c r="AG485" s="0" t="inlineStr">
        <is>
          <t>경상남도 창원시 의창구 의안로70번길 11</t>
        </is>
      </c>
      <c r="AH485" s="0" t="n">
        <v>0</v>
      </c>
      <c r="AI485" s="0" t="n">
        <v>346</v>
      </c>
    </row>
    <row r="486">
      <c r="A486" s="0" t="inlineStr">
        <is>
          <t>[소답동]</t>
        </is>
      </c>
      <c r="B486" s="0" t="n">
        <v>16821</v>
      </c>
      <c r="C486" s="0" t="n">
        <v>7</v>
      </c>
      <c r="D486" s="0" t="inlineStr">
        <is>
          <t>중산그린</t>
        </is>
      </c>
      <c r="E486" s="0" t="inlineStr">
        <is>
          <t>1994.10.</t>
        </is>
      </c>
      <c r="F486" s="0" t="n">
        <v>30</v>
      </c>
      <c r="G486" s="0" t="n">
        <v>24.66</v>
      </c>
      <c r="H486" s="0" t="n">
        <v>81.55</v>
      </c>
      <c r="I486" s="0" t="n">
        <v>20.26</v>
      </c>
      <c r="J486" s="0" t="n">
        <v>67</v>
      </c>
      <c r="K486" s="0" t="n">
        <v>1</v>
      </c>
      <c r="T486" s="0" t="n">
        <v>3</v>
      </c>
      <c r="U486" s="0" t="n">
        <v>1</v>
      </c>
      <c r="V486" s="0" t="inlineStr">
        <is>
          <t>계단식</t>
        </is>
      </c>
      <c r="W486" s="0" t="inlineStr">
        <is>
          <t>81A</t>
        </is>
      </c>
      <c r="X486" s="0" t="n">
        <v>10</v>
      </c>
      <c r="Y486" s="0" t="n">
        <v>10</v>
      </c>
      <c r="Z486" s="0" t="inlineStr">
        <is>
          <t>https://new.land.naver.com/complexes/16821?tab=detail&amp;rf=Y</t>
        </is>
      </c>
      <c r="AA486" s="0" t="inlineStr">
        <is>
          <t>경상남도 창원시 의창구 소답동 419-2</t>
        </is>
      </c>
      <c r="AB486" s="0" t="inlineStr">
        <is>
          <t>경상남도</t>
        </is>
      </c>
      <c r="AC486" s="0" t="inlineStr">
        <is>
          <t>창원시</t>
        </is>
      </c>
      <c r="AD486" s="0" t="inlineStr">
        <is>
          <t>의창구</t>
        </is>
      </c>
      <c r="AE486" s="0" t="inlineStr">
        <is>
          <t>소답동</t>
        </is>
      </c>
      <c r="AG486" s="0" t="inlineStr">
        <is>
          <t>경상남도 창원시 의창구 의안로70번길 11</t>
        </is>
      </c>
      <c r="AH486" s="0" t="n">
        <v>0</v>
      </c>
      <c r="AI486" s="0" t="n">
        <v>346</v>
      </c>
    </row>
    <row r="487">
      <c r="A487" s="0" t="inlineStr">
        <is>
          <t>[소답동]</t>
        </is>
      </c>
      <c r="B487" s="0" t="n">
        <v>16821</v>
      </c>
      <c r="C487" s="0" t="n">
        <v>8</v>
      </c>
      <c r="D487" s="0" t="inlineStr">
        <is>
          <t>중산그린</t>
        </is>
      </c>
      <c r="E487" s="0" t="inlineStr">
        <is>
          <t>1994.10.</t>
        </is>
      </c>
      <c r="F487" s="0" t="n">
        <v>30</v>
      </c>
      <c r="G487" s="0" t="n">
        <v>25.56</v>
      </c>
      <c r="H487" s="0" t="n">
        <v>84.51000000000001</v>
      </c>
      <c r="I487" s="0" t="n">
        <v>21</v>
      </c>
      <c r="J487" s="0" t="n">
        <v>69.43000000000001</v>
      </c>
      <c r="K487" s="0" t="n">
        <v>7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84</v>
      </c>
      <c r="X487" s="0" t="n">
        <v>10</v>
      </c>
      <c r="Y487" s="0" t="n">
        <v>10</v>
      </c>
      <c r="Z487" s="0" t="inlineStr">
        <is>
          <t>https://new.land.naver.com/complexes/16821?tab=detail&amp;rf=Y</t>
        </is>
      </c>
      <c r="AA487" s="0" t="inlineStr">
        <is>
          <t>경상남도 창원시 의창구 소답동 419-2</t>
        </is>
      </c>
      <c r="AB487" s="0" t="inlineStr">
        <is>
          <t>경상남도</t>
        </is>
      </c>
      <c r="AC487" s="0" t="inlineStr">
        <is>
          <t>창원시</t>
        </is>
      </c>
      <c r="AD487" s="0" t="inlineStr">
        <is>
          <t>의창구</t>
        </is>
      </c>
      <c r="AE487" s="0" t="inlineStr">
        <is>
          <t>소답동</t>
        </is>
      </c>
      <c r="AG487" s="0" t="inlineStr">
        <is>
          <t>경상남도 창원시 의창구 의안로70번길 11</t>
        </is>
      </c>
      <c r="AH487" s="0" t="n">
        <v>0</v>
      </c>
      <c r="AI487" s="0" t="n">
        <v>346</v>
      </c>
    </row>
    <row r="488">
      <c r="A488" s="0" t="inlineStr">
        <is>
          <t>[소답동]</t>
        </is>
      </c>
      <c r="B488" s="0" t="n">
        <v>7837</v>
      </c>
      <c r="C488" s="0" t="n">
        <v>1</v>
      </c>
      <c r="D488" s="0" t="inlineStr">
        <is>
          <t>동일그린맨션</t>
        </is>
      </c>
      <c r="E488" s="0" t="inlineStr">
        <is>
          <t>1992.06.</t>
        </is>
      </c>
      <c r="F488" s="0" t="n">
        <v>48</v>
      </c>
      <c r="G488" s="0" t="n">
        <v>22</v>
      </c>
      <c r="H488" s="0" t="n">
        <v>72.75</v>
      </c>
      <c r="I488" s="0" t="n">
        <v>18.06</v>
      </c>
      <c r="J488" s="0" t="n">
        <v>59.73</v>
      </c>
      <c r="K488" s="0" t="n">
        <v>24</v>
      </c>
      <c r="T488" s="0" t="n">
        <v>3</v>
      </c>
      <c r="U488" s="0" t="n">
        <v>1</v>
      </c>
      <c r="V488" s="0" t="inlineStr">
        <is>
          <t>계단식</t>
        </is>
      </c>
      <c r="W488" s="0" t="n">
        <v>72</v>
      </c>
      <c r="X488" s="0" t="n">
        <v>13</v>
      </c>
      <c r="Y488" s="0" t="n">
        <v>13</v>
      </c>
      <c r="Z488" s="0" t="inlineStr">
        <is>
          <t>https://new.land.naver.com/complexes/7837?tab=detail&amp;rf=Y</t>
        </is>
      </c>
      <c r="AA488" s="0" t="inlineStr">
        <is>
          <t>경상남도 창원시 의창구 소답동 133-15</t>
        </is>
      </c>
      <c r="AB488" s="0" t="inlineStr">
        <is>
          <t>경상남도</t>
        </is>
      </c>
      <c r="AC488" s="0" t="inlineStr">
        <is>
          <t>창원시</t>
        </is>
      </c>
      <c r="AD488" s="0" t="inlineStr">
        <is>
          <t>의창구</t>
        </is>
      </c>
      <c r="AE488" s="0" t="inlineStr">
        <is>
          <t>소답동</t>
        </is>
      </c>
      <c r="AG488" s="0" t="inlineStr">
        <is>
          <t>경상남도 창원시 의창구 읍성로 90</t>
        </is>
      </c>
      <c r="AH488" s="0" t="n">
        <v>0</v>
      </c>
      <c r="AI488" s="0" t="n">
        <v>0</v>
      </c>
    </row>
    <row r="489">
      <c r="A489" s="0" t="inlineStr">
        <is>
          <t>[소답동]</t>
        </is>
      </c>
      <c r="B489" s="0" t="n">
        <v>7837</v>
      </c>
      <c r="C489" s="0" t="n">
        <v>2</v>
      </c>
      <c r="D489" s="0" t="inlineStr">
        <is>
          <t>동일그린맨션</t>
        </is>
      </c>
      <c r="E489" s="0" t="inlineStr">
        <is>
          <t>1992.06.</t>
        </is>
      </c>
      <c r="F489" s="0" t="n">
        <v>48</v>
      </c>
      <c r="G489" s="0" t="n">
        <v>29.21</v>
      </c>
      <c r="H489" s="0" t="n">
        <v>96.56999999999999</v>
      </c>
      <c r="I489" s="0" t="n">
        <v>25.68</v>
      </c>
      <c r="J489" s="0" t="n">
        <v>84.90000000000001</v>
      </c>
      <c r="K489" s="0" t="n">
        <v>12</v>
      </c>
      <c r="T489" s="0" t="n">
        <v>3</v>
      </c>
      <c r="U489" s="0" t="n">
        <v>1</v>
      </c>
      <c r="V489" s="0" t="inlineStr">
        <is>
          <t>계단식</t>
        </is>
      </c>
      <c r="W489" s="0" t="n">
        <v>96</v>
      </c>
      <c r="X489" s="0" t="n">
        <v>13</v>
      </c>
      <c r="Y489" s="0" t="n">
        <v>13</v>
      </c>
      <c r="Z489" s="0" t="inlineStr">
        <is>
          <t>https://new.land.naver.com/complexes/7837?tab=detail&amp;rf=Y</t>
        </is>
      </c>
      <c r="AA489" s="0" t="inlineStr">
        <is>
          <t>경상남도 창원시 의창구 소답동 133-15</t>
        </is>
      </c>
      <c r="AB489" s="0" t="inlineStr">
        <is>
          <t>경상남도</t>
        </is>
      </c>
      <c r="AC489" s="0" t="inlineStr">
        <is>
          <t>창원시</t>
        </is>
      </c>
      <c r="AD489" s="0" t="inlineStr">
        <is>
          <t>의창구</t>
        </is>
      </c>
      <c r="AE489" s="0" t="inlineStr">
        <is>
          <t>소답동</t>
        </is>
      </c>
      <c r="AG489" s="0" t="inlineStr">
        <is>
          <t>경상남도 창원시 의창구 읍성로 90</t>
        </is>
      </c>
      <c r="AH489" s="0" t="n">
        <v>0</v>
      </c>
      <c r="AI489" s="0" t="n">
        <v>0</v>
      </c>
    </row>
    <row r="490">
      <c r="A490" s="0" t="inlineStr">
        <is>
          <t>[소답동]</t>
        </is>
      </c>
      <c r="B490" s="0" t="n">
        <v>7837</v>
      </c>
      <c r="C490" s="0" t="n">
        <v>3</v>
      </c>
      <c r="D490" s="0" t="inlineStr">
        <is>
          <t>동일그린맨션</t>
        </is>
      </c>
      <c r="E490" s="0" t="inlineStr">
        <is>
          <t>1992.06.</t>
        </is>
      </c>
      <c r="F490" s="0" t="n">
        <v>48</v>
      </c>
      <c r="G490" s="0" t="n">
        <v>43.9</v>
      </c>
      <c r="H490" s="0" t="n">
        <v>145.14</v>
      </c>
      <c r="I490" s="0" t="n">
        <v>40.37</v>
      </c>
      <c r="J490" s="0" t="n">
        <v>133.47</v>
      </c>
      <c r="K490" s="0" t="n">
        <v>12</v>
      </c>
      <c r="T490" s="0" t="n">
        <v>4</v>
      </c>
      <c r="U490" s="0" t="n">
        <v>2</v>
      </c>
      <c r="V490" s="0" t="inlineStr">
        <is>
          <t>계단식</t>
        </is>
      </c>
      <c r="W490" s="0" t="n">
        <v>145</v>
      </c>
      <c r="X490" s="0" t="n">
        <v>13</v>
      </c>
      <c r="Y490" s="0" t="n">
        <v>13</v>
      </c>
      <c r="Z490" s="0" t="inlineStr">
        <is>
          <t>https://new.land.naver.com/complexes/7837?tab=detail&amp;rf=Y</t>
        </is>
      </c>
      <c r="AA490" s="0" t="inlineStr">
        <is>
          <t>경상남도 창원시 의창구 소답동 133-15</t>
        </is>
      </c>
      <c r="AB490" s="0" t="inlineStr">
        <is>
          <t>경상남도</t>
        </is>
      </c>
      <c r="AC490" s="0" t="inlineStr">
        <is>
          <t>창원시</t>
        </is>
      </c>
      <c r="AD490" s="0" t="inlineStr">
        <is>
          <t>의창구</t>
        </is>
      </c>
      <c r="AE490" s="0" t="inlineStr">
        <is>
          <t>소답동</t>
        </is>
      </c>
      <c r="AG490" s="0" t="inlineStr">
        <is>
          <t>경상남도 창원시 의창구 읍성로 90</t>
        </is>
      </c>
      <c r="AH490" s="0" t="n">
        <v>0</v>
      </c>
      <c r="AI490" s="0" t="n">
        <v>0</v>
      </c>
    </row>
    <row r="491">
      <c r="A491" s="0" t="inlineStr">
        <is>
          <t>[소답동]</t>
        </is>
      </c>
      <c r="B491" s="0" t="n">
        <v>7840</v>
      </c>
      <c r="C491" s="0" t="n">
        <v>1</v>
      </c>
      <c r="D491" s="0" t="inlineStr">
        <is>
          <t>보람</t>
        </is>
      </c>
      <c r="E491" s="0" t="inlineStr">
        <is>
          <t>1996.03.</t>
        </is>
      </c>
      <c r="F491" s="0" t="n">
        <v>111</v>
      </c>
      <c r="G491" s="0" t="n">
        <v>22.94</v>
      </c>
      <c r="H491" s="0" t="n">
        <v>75.86</v>
      </c>
      <c r="I491" s="0" t="n">
        <v>17.07</v>
      </c>
      <c r="J491" s="0" t="n">
        <v>56.46</v>
      </c>
      <c r="K491" s="0" t="n">
        <v>49</v>
      </c>
      <c r="T491" s="0" t="n">
        <v>3</v>
      </c>
      <c r="U491" s="0" t="n">
        <v>1</v>
      </c>
      <c r="V491" s="0" t="inlineStr">
        <is>
          <t>복도식</t>
        </is>
      </c>
      <c r="W491" s="0" t="n">
        <v>75</v>
      </c>
      <c r="X491" s="0" t="n">
        <v>14</v>
      </c>
      <c r="Y491" s="0" t="n">
        <v>8</v>
      </c>
      <c r="Z491" s="0" t="inlineStr">
        <is>
          <t>https://new.land.naver.com/complexes/7840?tab=detail&amp;rf=Y</t>
        </is>
      </c>
      <c r="AA491" s="0" t="inlineStr">
        <is>
          <t>경상남도 창원시 의창구 소답동 144-2</t>
        </is>
      </c>
      <c r="AB491" s="0" t="inlineStr">
        <is>
          <t>경상남도</t>
        </is>
      </c>
      <c r="AC491" s="0" t="inlineStr">
        <is>
          <t>창원시</t>
        </is>
      </c>
      <c r="AD491" s="0" t="inlineStr">
        <is>
          <t>의창구</t>
        </is>
      </c>
      <c r="AE491" s="0" t="inlineStr">
        <is>
          <t>소답동</t>
        </is>
      </c>
      <c r="AG491" s="0" t="inlineStr">
        <is>
          <t>경상남도 창원시 의창구 읍성로89번길 8</t>
        </is>
      </c>
      <c r="AH491" s="0" t="n">
        <v>0</v>
      </c>
      <c r="AI491" s="0" t="n">
        <v>215</v>
      </c>
    </row>
    <row r="492">
      <c r="A492" s="0" t="inlineStr">
        <is>
          <t>[소답동]</t>
        </is>
      </c>
      <c r="B492" s="0" t="n">
        <v>7840</v>
      </c>
      <c r="C492" s="0" t="n">
        <v>2</v>
      </c>
      <c r="D492" s="0" t="inlineStr">
        <is>
          <t>보람</t>
        </is>
      </c>
      <c r="E492" s="0" t="inlineStr">
        <is>
          <t>1996.03.</t>
        </is>
      </c>
      <c r="F492" s="0" t="n">
        <v>111</v>
      </c>
      <c r="G492" s="0" t="n">
        <v>23.71</v>
      </c>
      <c r="H492" s="0" t="n">
        <v>78.41</v>
      </c>
      <c r="I492" s="0" t="n">
        <v>18.14</v>
      </c>
      <c r="J492" s="0" t="n">
        <v>59.98</v>
      </c>
      <c r="K492" s="0" t="n">
        <v>48</v>
      </c>
      <c r="T492" s="0" t="n">
        <v>3</v>
      </c>
      <c r="U492" s="0" t="n">
        <v>1</v>
      </c>
      <c r="V492" s="0" t="inlineStr">
        <is>
          <t>계단식</t>
        </is>
      </c>
      <c r="W492" s="0" t="inlineStr">
        <is>
          <t>78A</t>
        </is>
      </c>
      <c r="X492" s="0" t="n">
        <v>14</v>
      </c>
      <c r="Y492" s="0" t="n">
        <v>8</v>
      </c>
      <c r="Z492" s="0" t="inlineStr">
        <is>
          <t>https://new.land.naver.com/complexes/7840?tab=detail&amp;rf=Y</t>
        </is>
      </c>
      <c r="AA492" s="0" t="inlineStr">
        <is>
          <t>경상남도 창원시 의창구 소답동 144-2</t>
        </is>
      </c>
      <c r="AB492" s="0" t="inlineStr">
        <is>
          <t>경상남도</t>
        </is>
      </c>
      <c r="AC492" s="0" t="inlineStr">
        <is>
          <t>창원시</t>
        </is>
      </c>
      <c r="AD492" s="0" t="inlineStr">
        <is>
          <t>의창구</t>
        </is>
      </c>
      <c r="AE492" s="0" t="inlineStr">
        <is>
          <t>소답동</t>
        </is>
      </c>
      <c r="AG492" s="0" t="inlineStr">
        <is>
          <t>경상남도 창원시 의창구 읍성로89번길 8</t>
        </is>
      </c>
      <c r="AH492" s="0" t="n">
        <v>0</v>
      </c>
      <c r="AI492" s="0" t="n">
        <v>215</v>
      </c>
    </row>
    <row r="493">
      <c r="A493" s="0" t="inlineStr">
        <is>
          <t>[소답동]</t>
        </is>
      </c>
      <c r="B493" s="0" t="n">
        <v>7840</v>
      </c>
      <c r="C493" s="0" t="n">
        <v>3</v>
      </c>
      <c r="D493" s="0" t="inlineStr">
        <is>
          <t>보람</t>
        </is>
      </c>
      <c r="E493" s="0" t="inlineStr">
        <is>
          <t>1996.03.</t>
        </is>
      </c>
      <c r="F493" s="0" t="n">
        <v>111</v>
      </c>
      <c r="G493" s="0" t="n">
        <v>24.26</v>
      </c>
      <c r="H493" s="0" t="n">
        <v>80.20999999999999</v>
      </c>
      <c r="I493" s="0" t="n">
        <v>18.13</v>
      </c>
      <c r="J493" s="0" t="n">
        <v>59.94</v>
      </c>
      <c r="K493" s="0" t="n">
        <v>14</v>
      </c>
      <c r="T493" s="0" t="n">
        <v>3</v>
      </c>
      <c r="U493" s="0" t="n">
        <v>1</v>
      </c>
      <c r="V493" s="0" t="inlineStr">
        <is>
          <t>계단식</t>
        </is>
      </c>
      <c r="W493" s="0" t="inlineStr">
        <is>
          <t>80B</t>
        </is>
      </c>
      <c r="X493" s="0" t="n">
        <v>14</v>
      </c>
      <c r="Y493" s="0" t="n">
        <v>8</v>
      </c>
      <c r="Z493" s="0" t="inlineStr">
        <is>
          <t>https://new.land.naver.com/complexes/7840?tab=detail&amp;rf=Y</t>
        </is>
      </c>
      <c r="AA493" s="0" t="inlineStr">
        <is>
          <t>경상남도 창원시 의창구 소답동 144-2</t>
        </is>
      </c>
      <c r="AB493" s="0" t="inlineStr">
        <is>
          <t>경상남도</t>
        </is>
      </c>
      <c r="AC493" s="0" t="inlineStr">
        <is>
          <t>창원시</t>
        </is>
      </c>
      <c r="AD493" s="0" t="inlineStr">
        <is>
          <t>의창구</t>
        </is>
      </c>
      <c r="AE493" s="0" t="inlineStr">
        <is>
          <t>소답동</t>
        </is>
      </c>
      <c r="AG493" s="0" t="inlineStr">
        <is>
          <t>경상남도 창원시 의창구 읍성로89번길 8</t>
        </is>
      </c>
      <c r="AH493" s="0" t="n">
        <v>0</v>
      </c>
      <c r="AI493" s="0" t="n">
        <v>215</v>
      </c>
    </row>
    <row r="494">
      <c r="A494" s="0" t="inlineStr">
        <is>
          <t>[소답동]</t>
        </is>
      </c>
      <c r="B494" s="0" t="n">
        <v>121868</v>
      </c>
      <c r="C494" s="0" t="n">
        <v>1</v>
      </c>
      <c r="D494" s="0" t="inlineStr">
        <is>
          <t>국제소답</t>
        </is>
      </c>
      <c r="E494" s="0" t="inlineStr">
        <is>
          <t>1991.06.</t>
        </is>
      </c>
      <c r="F494" s="0" t="n">
        <v>65</v>
      </c>
      <c r="G494" s="0" t="n">
        <v>21.56</v>
      </c>
      <c r="H494" s="0" t="n">
        <v>71.3</v>
      </c>
      <c r="I494" s="0" t="n">
        <v>17.65</v>
      </c>
      <c r="J494" s="0" t="n">
        <v>58.38</v>
      </c>
      <c r="K494" s="0" t="n">
        <v>6</v>
      </c>
      <c r="T494" s="0" t="n">
        <v>3</v>
      </c>
      <c r="U494" s="0" t="n">
        <v>1</v>
      </c>
      <c r="V494" s="0" t="inlineStr">
        <is>
          <t>계단식</t>
        </is>
      </c>
      <c r="W494" s="0" t="inlineStr">
        <is>
          <t>71A</t>
        </is>
      </c>
      <c r="X494" s="0" t="n">
        <v>6</v>
      </c>
      <c r="Y494" s="0" t="n">
        <v>6</v>
      </c>
      <c r="Z494" s="0" t="inlineStr">
        <is>
          <t>https://new.land.naver.com/complexes/121868?tab=detail&amp;rf=Y</t>
        </is>
      </c>
      <c r="AA494" s="0" t="inlineStr">
        <is>
          <t>경상남도 창원시 의창구 소답동 148-3</t>
        </is>
      </c>
      <c r="AB494" s="0" t="inlineStr">
        <is>
          <t>경상남도</t>
        </is>
      </c>
      <c r="AC494" s="0" t="inlineStr">
        <is>
          <t>창원시</t>
        </is>
      </c>
      <c r="AD494" s="0" t="inlineStr">
        <is>
          <t>의창구</t>
        </is>
      </c>
      <c r="AE494" s="0" t="inlineStr">
        <is>
          <t>소답동</t>
        </is>
      </c>
      <c r="AG494" s="0" t="inlineStr">
        <is>
          <t>경상남도 창원시 의창구 의안로66번길 45</t>
        </is>
      </c>
      <c r="AH494" s="0" t="n">
        <v>0</v>
      </c>
      <c r="AI494" s="0" t="n">
        <v>0</v>
      </c>
    </row>
    <row r="495">
      <c r="A495" s="0" t="inlineStr">
        <is>
          <t>[소답동]</t>
        </is>
      </c>
      <c r="B495" s="0" t="n">
        <v>121868</v>
      </c>
      <c r="C495" s="0" t="n">
        <v>2</v>
      </c>
      <c r="D495" s="0" t="inlineStr">
        <is>
          <t>국제소답</t>
        </is>
      </c>
      <c r="E495" s="0" t="inlineStr">
        <is>
          <t>1991.06.</t>
        </is>
      </c>
      <c r="F495" s="0" t="n">
        <v>65</v>
      </c>
      <c r="G495" s="0" t="n">
        <v>21.88</v>
      </c>
      <c r="H495" s="0" t="n">
        <v>72.36</v>
      </c>
      <c r="I495" s="0" t="n">
        <v>17.95</v>
      </c>
      <c r="J495" s="0" t="n">
        <v>59.34</v>
      </c>
      <c r="K495" s="0" t="n">
        <v>11</v>
      </c>
      <c r="T495" s="0" t="n">
        <v>3</v>
      </c>
      <c r="U495" s="0" t="n">
        <v>1</v>
      </c>
      <c r="V495" s="0" t="inlineStr">
        <is>
          <t>계단식</t>
        </is>
      </c>
      <c r="W495" s="0" t="inlineStr">
        <is>
          <t>72C</t>
        </is>
      </c>
      <c r="X495" s="0" t="n">
        <v>6</v>
      </c>
      <c r="Y495" s="0" t="n">
        <v>6</v>
      </c>
      <c r="Z495" s="0" t="inlineStr">
        <is>
          <t>https://new.land.naver.com/complexes/121868?tab=detail&amp;rf=Y</t>
        </is>
      </c>
      <c r="AA495" s="0" t="inlineStr">
        <is>
          <t>경상남도 창원시 의창구 소답동 148-3</t>
        </is>
      </c>
      <c r="AB495" s="0" t="inlineStr">
        <is>
          <t>경상남도</t>
        </is>
      </c>
      <c r="AC495" s="0" t="inlineStr">
        <is>
          <t>창원시</t>
        </is>
      </c>
      <c r="AD495" s="0" t="inlineStr">
        <is>
          <t>의창구</t>
        </is>
      </c>
      <c r="AE495" s="0" t="inlineStr">
        <is>
          <t>소답동</t>
        </is>
      </c>
      <c r="AG495" s="0" t="inlineStr">
        <is>
          <t>경상남도 창원시 의창구 의안로66번길 45</t>
        </is>
      </c>
      <c r="AH495" s="0" t="n">
        <v>0</v>
      </c>
      <c r="AI495" s="0" t="n">
        <v>0</v>
      </c>
    </row>
    <row r="496">
      <c r="A496" s="0" t="inlineStr">
        <is>
          <t>[소답동]</t>
        </is>
      </c>
      <c r="B496" s="0" t="n">
        <v>121868</v>
      </c>
      <c r="C496" s="0" t="n">
        <v>3</v>
      </c>
      <c r="D496" s="0" t="inlineStr">
        <is>
          <t>국제소답</t>
        </is>
      </c>
      <c r="E496" s="0" t="inlineStr">
        <is>
          <t>1991.06.</t>
        </is>
      </c>
      <c r="F496" s="0" t="n">
        <v>65</v>
      </c>
      <c r="G496" s="0" t="n">
        <v>21.86</v>
      </c>
      <c r="H496" s="0" t="n">
        <v>72.27</v>
      </c>
      <c r="I496" s="0" t="n">
        <v>17.92</v>
      </c>
      <c r="J496" s="0" t="n">
        <v>59.26</v>
      </c>
      <c r="K496" s="0" t="n">
        <v>6</v>
      </c>
      <c r="T496" s="0" t="n">
        <v>3</v>
      </c>
      <c r="U496" s="0" t="n">
        <v>1</v>
      </c>
      <c r="V496" s="0" t="inlineStr">
        <is>
          <t>계단식</t>
        </is>
      </c>
      <c r="W496" s="0" t="inlineStr">
        <is>
          <t>72B</t>
        </is>
      </c>
      <c r="X496" s="0" t="n">
        <v>6</v>
      </c>
      <c r="Y496" s="0" t="n">
        <v>6</v>
      </c>
      <c r="Z496" s="0" t="inlineStr">
        <is>
          <t>https://new.land.naver.com/complexes/121868?tab=detail&amp;rf=Y</t>
        </is>
      </c>
      <c r="AA496" s="0" t="inlineStr">
        <is>
          <t>경상남도 창원시 의창구 소답동 148-3</t>
        </is>
      </c>
      <c r="AB496" s="0" t="inlineStr">
        <is>
          <t>경상남도</t>
        </is>
      </c>
      <c r="AC496" s="0" t="inlineStr">
        <is>
          <t>창원시</t>
        </is>
      </c>
      <c r="AD496" s="0" t="inlineStr">
        <is>
          <t>의창구</t>
        </is>
      </c>
      <c r="AE496" s="0" t="inlineStr">
        <is>
          <t>소답동</t>
        </is>
      </c>
      <c r="AG496" s="0" t="inlineStr">
        <is>
          <t>경상남도 창원시 의창구 의안로66번길 45</t>
        </is>
      </c>
      <c r="AH496" s="0" t="n">
        <v>0</v>
      </c>
      <c r="AI496" s="0" t="n">
        <v>0</v>
      </c>
    </row>
    <row r="497">
      <c r="A497" s="0" t="inlineStr">
        <is>
          <t>[소답동]</t>
        </is>
      </c>
      <c r="B497" s="0" t="n">
        <v>121868</v>
      </c>
      <c r="C497" s="0" t="n">
        <v>4</v>
      </c>
      <c r="D497" s="0" t="inlineStr">
        <is>
          <t>국제소답</t>
        </is>
      </c>
      <c r="E497" s="0" t="inlineStr">
        <is>
          <t>1991.06.</t>
        </is>
      </c>
      <c r="F497" s="0" t="n">
        <v>65</v>
      </c>
      <c r="G497" s="0" t="n">
        <v>22.04</v>
      </c>
      <c r="H497" s="0" t="n">
        <v>72.87</v>
      </c>
      <c r="I497" s="0" t="n">
        <v>18.07</v>
      </c>
      <c r="J497" s="0" t="n">
        <v>59.74</v>
      </c>
      <c r="K497" s="0" t="n">
        <v>6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72D</t>
        </is>
      </c>
      <c r="X497" s="0" t="n">
        <v>6</v>
      </c>
      <c r="Y497" s="0" t="n">
        <v>6</v>
      </c>
      <c r="Z497" s="0" t="inlineStr">
        <is>
          <t>https://new.land.naver.com/complexes/121868?tab=detail&amp;rf=Y</t>
        </is>
      </c>
      <c r="AA497" s="0" t="inlineStr">
        <is>
          <t>경상남도 창원시 의창구 소답동 148-3</t>
        </is>
      </c>
      <c r="AB497" s="0" t="inlineStr">
        <is>
          <t>경상남도</t>
        </is>
      </c>
      <c r="AC497" s="0" t="inlineStr">
        <is>
          <t>창원시</t>
        </is>
      </c>
      <c r="AD497" s="0" t="inlineStr">
        <is>
          <t>의창구</t>
        </is>
      </c>
      <c r="AE497" s="0" t="inlineStr">
        <is>
          <t>소답동</t>
        </is>
      </c>
      <c r="AG497" s="0" t="inlineStr">
        <is>
          <t>경상남도 창원시 의창구 의안로66번길 45</t>
        </is>
      </c>
      <c r="AH497" s="0" t="n">
        <v>0</v>
      </c>
      <c r="AI497" s="0" t="n">
        <v>0</v>
      </c>
    </row>
    <row r="498">
      <c r="A498" s="0" t="inlineStr">
        <is>
          <t>[소답동]</t>
        </is>
      </c>
      <c r="B498" s="0" t="n">
        <v>121868</v>
      </c>
      <c r="C498" s="0" t="n">
        <v>5</v>
      </c>
      <c r="D498" s="0" t="inlineStr">
        <is>
          <t>국제소답</t>
        </is>
      </c>
      <c r="E498" s="0" t="inlineStr">
        <is>
          <t>1991.06.</t>
        </is>
      </c>
      <c r="F498" s="0" t="n">
        <v>65</v>
      </c>
      <c r="G498" s="0" t="n">
        <v>22.07</v>
      </c>
      <c r="H498" s="0" t="n">
        <v>72.95999999999999</v>
      </c>
      <c r="I498" s="0" t="n">
        <v>18.11</v>
      </c>
      <c r="J498" s="0" t="n">
        <v>59.88</v>
      </c>
      <c r="K498" s="0" t="n">
        <v>6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72E</t>
        </is>
      </c>
      <c r="X498" s="0" t="n">
        <v>6</v>
      </c>
      <c r="Y498" s="0" t="n">
        <v>6</v>
      </c>
      <c r="Z498" s="0" t="inlineStr">
        <is>
          <t>https://new.land.naver.com/complexes/121868?tab=detail&amp;rf=Y</t>
        </is>
      </c>
      <c r="AA498" s="0" t="inlineStr">
        <is>
          <t>경상남도 창원시 의창구 소답동 148-3</t>
        </is>
      </c>
      <c r="AB498" s="0" t="inlineStr">
        <is>
          <t>경상남도</t>
        </is>
      </c>
      <c r="AC498" s="0" t="inlineStr">
        <is>
          <t>창원시</t>
        </is>
      </c>
      <c r="AD498" s="0" t="inlineStr">
        <is>
          <t>의창구</t>
        </is>
      </c>
      <c r="AE498" s="0" t="inlineStr">
        <is>
          <t>소답동</t>
        </is>
      </c>
      <c r="AG498" s="0" t="inlineStr">
        <is>
          <t>경상남도 창원시 의창구 의안로66번길 45</t>
        </is>
      </c>
      <c r="AH498" s="0" t="n">
        <v>0</v>
      </c>
      <c r="AI498" s="0" t="n">
        <v>0</v>
      </c>
    </row>
    <row r="499">
      <c r="A499" s="0" t="inlineStr">
        <is>
          <t>[소답동]</t>
        </is>
      </c>
      <c r="B499" s="0" t="n">
        <v>121868</v>
      </c>
      <c r="C499" s="0" t="n">
        <v>6</v>
      </c>
      <c r="D499" s="0" t="inlineStr">
        <is>
          <t>국제소답</t>
        </is>
      </c>
      <c r="E499" s="0" t="inlineStr">
        <is>
          <t>1991.06.</t>
        </is>
      </c>
      <c r="F499" s="0" t="n">
        <v>65</v>
      </c>
      <c r="G499" s="0" t="n">
        <v>22.09</v>
      </c>
      <c r="H499" s="0" t="n">
        <v>73.03</v>
      </c>
      <c r="I499" s="0" t="n">
        <v>18.13</v>
      </c>
      <c r="J499" s="0" t="n">
        <v>59.94</v>
      </c>
      <c r="K499" s="0" t="n">
        <v>6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73F</t>
        </is>
      </c>
      <c r="X499" s="0" t="n">
        <v>6</v>
      </c>
      <c r="Y499" s="0" t="n">
        <v>6</v>
      </c>
      <c r="Z499" s="0" t="inlineStr">
        <is>
          <t>https://new.land.naver.com/complexes/121868?tab=detail&amp;rf=Y</t>
        </is>
      </c>
      <c r="AA499" s="0" t="inlineStr">
        <is>
          <t>경상남도 창원시 의창구 소답동 148-3</t>
        </is>
      </c>
      <c r="AB499" s="0" t="inlineStr">
        <is>
          <t>경상남도</t>
        </is>
      </c>
      <c r="AC499" s="0" t="inlineStr">
        <is>
          <t>창원시</t>
        </is>
      </c>
      <c r="AD499" s="0" t="inlineStr">
        <is>
          <t>의창구</t>
        </is>
      </c>
      <c r="AE499" s="0" t="inlineStr">
        <is>
          <t>소답동</t>
        </is>
      </c>
      <c r="AG499" s="0" t="inlineStr">
        <is>
          <t>경상남도 창원시 의창구 의안로66번길 45</t>
        </is>
      </c>
      <c r="AH499" s="0" t="n">
        <v>0</v>
      </c>
      <c r="AI499" s="0" t="n">
        <v>0</v>
      </c>
    </row>
    <row r="500">
      <c r="A500" s="0" t="inlineStr">
        <is>
          <t>[소답동]</t>
        </is>
      </c>
      <c r="B500" s="0" t="n">
        <v>121868</v>
      </c>
      <c r="C500" s="0" t="n">
        <v>7</v>
      </c>
      <c r="D500" s="0" t="inlineStr">
        <is>
          <t>국제소답</t>
        </is>
      </c>
      <c r="E500" s="0" t="inlineStr">
        <is>
          <t>1991.06.</t>
        </is>
      </c>
      <c r="F500" s="0" t="n">
        <v>65</v>
      </c>
      <c r="G500" s="0" t="n">
        <v>22.11</v>
      </c>
      <c r="H500" s="0" t="n">
        <v>73.09999999999999</v>
      </c>
      <c r="I500" s="0" t="n">
        <v>18.13</v>
      </c>
      <c r="J500" s="0" t="n">
        <v>59.95</v>
      </c>
      <c r="K500" s="0" t="n">
        <v>6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73G</t>
        </is>
      </c>
      <c r="X500" s="0" t="n">
        <v>6</v>
      </c>
      <c r="Y500" s="0" t="n">
        <v>6</v>
      </c>
      <c r="Z500" s="0" t="inlineStr">
        <is>
          <t>https://new.land.naver.com/complexes/121868?tab=detail&amp;rf=Y</t>
        </is>
      </c>
      <c r="AA500" s="0" t="inlineStr">
        <is>
          <t>경상남도 창원시 의창구 소답동 148-3</t>
        </is>
      </c>
      <c r="AB500" s="0" t="inlineStr">
        <is>
          <t>경상남도</t>
        </is>
      </c>
      <c r="AC500" s="0" t="inlineStr">
        <is>
          <t>창원시</t>
        </is>
      </c>
      <c r="AD500" s="0" t="inlineStr">
        <is>
          <t>의창구</t>
        </is>
      </c>
      <c r="AE500" s="0" t="inlineStr">
        <is>
          <t>소답동</t>
        </is>
      </c>
      <c r="AG500" s="0" t="inlineStr">
        <is>
          <t>경상남도 창원시 의창구 의안로66번길 45</t>
        </is>
      </c>
      <c r="AH500" s="0" t="n">
        <v>0</v>
      </c>
      <c r="AI500" s="0" t="n">
        <v>0</v>
      </c>
    </row>
    <row r="501">
      <c r="A501" s="0" t="inlineStr">
        <is>
          <t>[소답동]</t>
        </is>
      </c>
      <c r="B501" s="0" t="n">
        <v>121868</v>
      </c>
      <c r="C501" s="0" t="n">
        <v>8</v>
      </c>
      <c r="D501" s="0" t="inlineStr">
        <is>
          <t>국제소답</t>
        </is>
      </c>
      <c r="E501" s="0" t="inlineStr">
        <is>
          <t>1991.06.</t>
        </is>
      </c>
      <c r="F501" s="0" t="n">
        <v>65</v>
      </c>
      <c r="G501" s="0" t="n">
        <v>22.1</v>
      </c>
      <c r="H501" s="0" t="n">
        <v>73.06</v>
      </c>
      <c r="I501" s="0" t="n">
        <v>18.14</v>
      </c>
      <c r="J501" s="0" t="n">
        <v>59.97</v>
      </c>
      <c r="K501" s="0" t="n">
        <v>6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73H</t>
        </is>
      </c>
      <c r="X501" s="0" t="n">
        <v>6</v>
      </c>
      <c r="Y501" s="0" t="n">
        <v>6</v>
      </c>
      <c r="Z501" s="0" t="inlineStr">
        <is>
          <t>https://new.land.naver.com/complexes/121868?tab=detail&amp;rf=Y</t>
        </is>
      </c>
      <c r="AA501" s="0" t="inlineStr">
        <is>
          <t>경상남도 창원시 의창구 소답동 148-3</t>
        </is>
      </c>
      <c r="AB501" s="0" t="inlineStr">
        <is>
          <t>경상남도</t>
        </is>
      </c>
      <c r="AC501" s="0" t="inlineStr">
        <is>
          <t>창원시</t>
        </is>
      </c>
      <c r="AD501" s="0" t="inlineStr">
        <is>
          <t>의창구</t>
        </is>
      </c>
      <c r="AE501" s="0" t="inlineStr">
        <is>
          <t>소답동</t>
        </is>
      </c>
      <c r="AG501" s="0" t="inlineStr">
        <is>
          <t>경상남도 창원시 의창구 의안로66번길 45</t>
        </is>
      </c>
      <c r="AH501" s="0" t="n">
        <v>0</v>
      </c>
      <c r="AI501" s="0" t="n">
        <v>0</v>
      </c>
    </row>
    <row r="502">
      <c r="A502" s="0" t="inlineStr">
        <is>
          <t>[소답동]</t>
        </is>
      </c>
      <c r="B502" s="0" t="n">
        <v>121868</v>
      </c>
      <c r="C502" s="0" t="n">
        <v>9</v>
      </c>
      <c r="D502" s="0" t="inlineStr">
        <is>
          <t>국제소답</t>
        </is>
      </c>
      <c r="E502" s="0" t="inlineStr">
        <is>
          <t>1991.06.</t>
        </is>
      </c>
      <c r="F502" s="0" t="n">
        <v>65</v>
      </c>
      <c r="G502" s="0" t="n">
        <v>29.51</v>
      </c>
      <c r="H502" s="0" t="n">
        <v>97.56</v>
      </c>
      <c r="I502" s="0" t="n">
        <v>24.79</v>
      </c>
      <c r="J502" s="0" t="n">
        <v>81.95999999999999</v>
      </c>
      <c r="K502" s="0" t="n">
        <v>12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97</v>
      </c>
      <c r="X502" s="0" t="n">
        <v>6</v>
      </c>
      <c r="Y502" s="0" t="n">
        <v>6</v>
      </c>
      <c r="Z502" s="0" t="inlineStr">
        <is>
          <t>https://new.land.naver.com/complexes/121868?tab=detail&amp;rf=Y</t>
        </is>
      </c>
      <c r="AA502" s="0" t="inlineStr">
        <is>
          <t>경상남도 창원시 의창구 소답동 148-3</t>
        </is>
      </c>
      <c r="AB502" s="0" t="inlineStr">
        <is>
          <t>경상남도</t>
        </is>
      </c>
      <c r="AC502" s="0" t="inlineStr">
        <is>
          <t>창원시</t>
        </is>
      </c>
      <c r="AD502" s="0" t="inlineStr">
        <is>
          <t>의창구</t>
        </is>
      </c>
      <c r="AE502" s="0" t="inlineStr">
        <is>
          <t>소답동</t>
        </is>
      </c>
      <c r="AG502" s="0" t="inlineStr">
        <is>
          <t>경상남도 창원시 의창구 의안로66번길 45</t>
        </is>
      </c>
      <c r="AH502" s="0" t="n">
        <v>0</v>
      </c>
      <c r="AI502" s="0" t="n">
        <v>0</v>
      </c>
    </row>
    <row r="503">
      <c r="A503" s="0" t="inlineStr">
        <is>
          <t>[소답동]</t>
        </is>
      </c>
      <c r="B503" s="0" t="n">
        <v>7834</v>
      </c>
      <c r="C503" s="0" t="n">
        <v>1</v>
      </c>
      <c r="D503" s="0" t="inlineStr">
        <is>
          <t>금강목화</t>
        </is>
      </c>
      <c r="E503" s="0" t="inlineStr">
        <is>
          <t>1997.05.</t>
        </is>
      </c>
      <c r="F503" s="0" t="n">
        <v>28</v>
      </c>
      <c r="G503" s="0" t="n">
        <v>24.95</v>
      </c>
      <c r="H503" s="0" t="n">
        <v>82.5</v>
      </c>
      <c r="I503" s="0" t="n">
        <v>15.44</v>
      </c>
      <c r="J503" s="0" t="n">
        <v>51.06</v>
      </c>
      <c r="K503" s="0" t="n">
        <v>1</v>
      </c>
      <c r="T503" s="0" t="n">
        <v>2</v>
      </c>
      <c r="U503" s="0" t="n">
        <v>1</v>
      </c>
      <c r="V503" s="0" t="inlineStr">
        <is>
          <t>복도식</t>
        </is>
      </c>
      <c r="W503" s="0" t="n">
        <v>82</v>
      </c>
      <c r="X503" s="0" t="n">
        <v>8</v>
      </c>
      <c r="Y503" s="0" t="n">
        <v>7</v>
      </c>
      <c r="Z503" s="0" t="inlineStr">
        <is>
          <t>https://new.land.naver.com/complexes/7834?tab=detail&amp;rf=Y</t>
        </is>
      </c>
      <c r="AA503" s="0" t="inlineStr">
        <is>
          <t>경상남도 창원시 의창구 소답동 129-13</t>
        </is>
      </c>
      <c r="AB503" s="0" t="inlineStr">
        <is>
          <t>경상남도</t>
        </is>
      </c>
      <c r="AC503" s="0" t="inlineStr">
        <is>
          <t>창원시</t>
        </is>
      </c>
      <c r="AD503" s="0" t="inlineStr">
        <is>
          <t>의창구</t>
        </is>
      </c>
      <c r="AE503" s="0" t="inlineStr">
        <is>
          <t>소답동</t>
        </is>
      </c>
      <c r="AG503" s="0" t="inlineStr">
        <is>
          <t>경상남도 창원시 의창구 읍성로89번길 19</t>
        </is>
      </c>
      <c r="AH503" s="0" t="n">
        <v>0</v>
      </c>
      <c r="AI503" s="0" t="n">
        <v>260</v>
      </c>
    </row>
    <row r="504">
      <c r="A504" s="0" t="inlineStr">
        <is>
          <t>[소답동]</t>
        </is>
      </c>
      <c r="B504" s="0" t="n">
        <v>7834</v>
      </c>
      <c r="C504" s="0" t="n">
        <v>2</v>
      </c>
      <c r="D504" s="0" t="inlineStr">
        <is>
          <t>금강목화</t>
        </is>
      </c>
      <c r="E504" s="0" t="inlineStr">
        <is>
          <t>1997.05.</t>
        </is>
      </c>
      <c r="F504" s="0" t="n">
        <v>28</v>
      </c>
      <c r="G504" s="0" t="n">
        <v>28.98</v>
      </c>
      <c r="H504" s="0" t="n">
        <v>95.81999999999999</v>
      </c>
      <c r="I504" s="0" t="n">
        <v>17.94</v>
      </c>
      <c r="J504" s="0" t="n">
        <v>59.31</v>
      </c>
      <c r="K504" s="0" t="n">
        <v>7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95A</t>
        </is>
      </c>
      <c r="X504" s="0" t="n">
        <v>8</v>
      </c>
      <c r="Y504" s="0" t="n">
        <v>7</v>
      </c>
      <c r="Z504" s="0" t="inlineStr">
        <is>
          <t>https://new.land.naver.com/complexes/7834?tab=detail&amp;rf=Y</t>
        </is>
      </c>
      <c r="AA504" s="0" t="inlineStr">
        <is>
          <t>경상남도 창원시 의창구 소답동 129-13</t>
        </is>
      </c>
      <c r="AB504" s="0" t="inlineStr">
        <is>
          <t>경상남도</t>
        </is>
      </c>
      <c r="AC504" s="0" t="inlineStr">
        <is>
          <t>창원시</t>
        </is>
      </c>
      <c r="AD504" s="0" t="inlineStr">
        <is>
          <t>의창구</t>
        </is>
      </c>
      <c r="AE504" s="0" t="inlineStr">
        <is>
          <t>소답동</t>
        </is>
      </c>
      <c r="AG504" s="0" t="inlineStr">
        <is>
          <t>경상남도 창원시 의창구 읍성로89번길 19</t>
        </is>
      </c>
      <c r="AH504" s="0" t="n">
        <v>0</v>
      </c>
      <c r="AI504" s="0" t="n">
        <v>260</v>
      </c>
    </row>
    <row r="505">
      <c r="A505" s="0" t="inlineStr">
        <is>
          <t>[소답동]</t>
        </is>
      </c>
      <c r="B505" s="0" t="n">
        <v>7834</v>
      </c>
      <c r="C505" s="0" t="n">
        <v>3</v>
      </c>
      <c r="D505" s="0" t="inlineStr">
        <is>
          <t>금강목화</t>
        </is>
      </c>
      <c r="E505" s="0" t="inlineStr">
        <is>
          <t>1997.05.</t>
        </is>
      </c>
      <c r="F505" s="0" t="n">
        <v>28</v>
      </c>
      <c r="G505" s="0" t="n">
        <v>29.27</v>
      </c>
      <c r="H505" s="0" t="n">
        <v>96.79000000000001</v>
      </c>
      <c r="I505" s="0" t="n">
        <v>18.12</v>
      </c>
      <c r="J505" s="0" t="n">
        <v>59.91</v>
      </c>
      <c r="K505" s="0" t="n">
        <v>7</v>
      </c>
      <c r="T505" s="0" t="n">
        <v>2</v>
      </c>
      <c r="U505" s="0" t="n">
        <v>1</v>
      </c>
      <c r="V505" s="0" t="inlineStr">
        <is>
          <t>복도식</t>
        </is>
      </c>
      <c r="W505" s="0" t="inlineStr">
        <is>
          <t>96B</t>
        </is>
      </c>
      <c r="X505" s="0" t="n">
        <v>8</v>
      </c>
      <c r="Y505" s="0" t="n">
        <v>7</v>
      </c>
      <c r="Z505" s="0" t="inlineStr">
        <is>
          <t>https://new.land.naver.com/complexes/7834?tab=detail&amp;rf=Y</t>
        </is>
      </c>
      <c r="AA505" s="0" t="inlineStr">
        <is>
          <t>경상남도 창원시 의창구 소답동 129-13</t>
        </is>
      </c>
      <c r="AB505" s="0" t="inlineStr">
        <is>
          <t>경상남도</t>
        </is>
      </c>
      <c r="AC505" s="0" t="inlineStr">
        <is>
          <t>창원시</t>
        </is>
      </c>
      <c r="AD505" s="0" t="inlineStr">
        <is>
          <t>의창구</t>
        </is>
      </c>
      <c r="AE505" s="0" t="inlineStr">
        <is>
          <t>소답동</t>
        </is>
      </c>
      <c r="AG505" s="0" t="inlineStr">
        <is>
          <t>경상남도 창원시 의창구 읍성로89번길 19</t>
        </is>
      </c>
      <c r="AH505" s="0" t="n">
        <v>0</v>
      </c>
      <c r="AI505" s="0" t="n">
        <v>260</v>
      </c>
    </row>
    <row r="506">
      <c r="A506" s="0" t="inlineStr">
        <is>
          <t>[소답동]</t>
        </is>
      </c>
      <c r="B506" s="0" t="n">
        <v>7834</v>
      </c>
      <c r="C506" s="0" t="n">
        <v>4</v>
      </c>
      <c r="D506" s="0" t="inlineStr">
        <is>
          <t>금강목화</t>
        </is>
      </c>
      <c r="E506" s="0" t="inlineStr">
        <is>
          <t>1997.05.</t>
        </is>
      </c>
      <c r="F506" s="0" t="n">
        <v>28</v>
      </c>
      <c r="G506" s="0" t="n">
        <v>41.28</v>
      </c>
      <c r="H506" s="0" t="n">
        <v>136.49</v>
      </c>
      <c r="I506" s="0" t="n">
        <v>25.55</v>
      </c>
      <c r="J506" s="0" t="n">
        <v>84.48</v>
      </c>
      <c r="K506" s="0" t="n">
        <v>13</v>
      </c>
      <c r="T506" s="0" t="n">
        <v>3</v>
      </c>
      <c r="U506" s="0" t="n">
        <v>1</v>
      </c>
      <c r="V506" s="0" t="inlineStr">
        <is>
          <t>복도식</t>
        </is>
      </c>
      <c r="W506" s="0" t="n">
        <v>136</v>
      </c>
      <c r="X506" s="0" t="n">
        <v>8</v>
      </c>
      <c r="Y506" s="0" t="n">
        <v>7</v>
      </c>
      <c r="Z506" s="0" t="inlineStr">
        <is>
          <t>https://new.land.naver.com/complexes/7834?tab=detail&amp;rf=Y</t>
        </is>
      </c>
      <c r="AA506" s="0" t="inlineStr">
        <is>
          <t>경상남도 창원시 의창구 소답동 129-13</t>
        </is>
      </c>
      <c r="AB506" s="0" t="inlineStr">
        <is>
          <t>경상남도</t>
        </is>
      </c>
      <c r="AC506" s="0" t="inlineStr">
        <is>
          <t>창원시</t>
        </is>
      </c>
      <c r="AD506" s="0" t="inlineStr">
        <is>
          <t>의창구</t>
        </is>
      </c>
      <c r="AE506" s="0" t="inlineStr">
        <is>
          <t>소답동</t>
        </is>
      </c>
      <c r="AG506" s="0" t="inlineStr">
        <is>
          <t>경상남도 창원시 의창구 읍성로89번길 19</t>
        </is>
      </c>
      <c r="AH506" s="0" t="n">
        <v>0</v>
      </c>
      <c r="AI506" s="0" t="n">
        <v>260</v>
      </c>
    </row>
    <row r="507">
      <c r="A507" s="0" t="inlineStr">
        <is>
          <t>[소답동]</t>
        </is>
      </c>
      <c r="B507" s="0" t="n">
        <v>100909</v>
      </c>
      <c r="C507" s="0" t="n">
        <v>1</v>
      </c>
      <c r="D507" s="0" t="inlineStr">
        <is>
          <t>국도그랜드맨션</t>
        </is>
      </c>
      <c r="E507" s="0" t="inlineStr">
        <is>
          <t>1997.01.</t>
        </is>
      </c>
      <c r="F507" s="0" t="n">
        <v>97</v>
      </c>
      <c r="G507" s="0" t="n">
        <v>24.74</v>
      </c>
      <c r="H507" s="0" t="n">
        <v>81.81</v>
      </c>
      <c r="I507" s="0" t="n">
        <v>18.15</v>
      </c>
      <c r="J507" s="0" t="n">
        <v>60</v>
      </c>
      <c r="K507" s="0" t="n">
        <v>28</v>
      </c>
      <c r="T507" s="0" t="n">
        <v>3</v>
      </c>
      <c r="U507" s="0" t="n">
        <v>1</v>
      </c>
      <c r="V507" s="0" t="inlineStr">
        <is>
          <t>계단식</t>
        </is>
      </c>
      <c r="W507" s="0" t="inlineStr">
        <is>
          <t>81B</t>
        </is>
      </c>
      <c r="X507" s="0" t="n">
        <v>14</v>
      </c>
      <c r="Y507" s="0" t="n">
        <v>8</v>
      </c>
      <c r="Z507" s="0" t="inlineStr">
        <is>
          <t>https://new.land.naver.com/complexes/100909?tab=detail&amp;rf=Y</t>
        </is>
      </c>
      <c r="AA507" s="0" t="inlineStr">
        <is>
          <t>경상남도 창원시 의창구 소답동 110-1</t>
        </is>
      </c>
      <c r="AB507" s="0" t="inlineStr">
        <is>
          <t>경상남도</t>
        </is>
      </c>
      <c r="AC507" s="0" t="inlineStr">
        <is>
          <t>창원시</t>
        </is>
      </c>
      <c r="AD507" s="0" t="inlineStr">
        <is>
          <t>의창구</t>
        </is>
      </c>
      <c r="AE507" s="0" t="inlineStr">
        <is>
          <t>소답동</t>
        </is>
      </c>
      <c r="AG507" s="0" t="inlineStr">
        <is>
          <t>경상남도 창원시 의창구 의안로22번길 2</t>
        </is>
      </c>
      <c r="AH507" s="0" t="n">
        <v>0</v>
      </c>
      <c r="AI507" s="0" t="n">
        <v>317</v>
      </c>
    </row>
    <row r="508">
      <c r="A508" s="0" t="inlineStr">
        <is>
          <t>[소답동]</t>
        </is>
      </c>
      <c r="B508" s="0" t="n">
        <v>100909</v>
      </c>
      <c r="C508" s="0" t="n">
        <v>2</v>
      </c>
      <c r="D508" s="0" t="inlineStr">
        <is>
          <t>국도그랜드맨션</t>
        </is>
      </c>
      <c r="E508" s="0" t="inlineStr">
        <is>
          <t>1997.01.</t>
        </is>
      </c>
      <c r="F508" s="0" t="n">
        <v>97</v>
      </c>
      <c r="G508" s="0" t="n">
        <v>24.98</v>
      </c>
      <c r="H508" s="0" t="n">
        <v>82.61</v>
      </c>
      <c r="I508" s="0" t="n">
        <v>18.09</v>
      </c>
      <c r="J508" s="0" t="n">
        <v>59.81</v>
      </c>
      <c r="K508" s="0" t="n">
        <v>42</v>
      </c>
      <c r="T508" s="0" t="n">
        <v>3</v>
      </c>
      <c r="U508" s="0" t="n">
        <v>1</v>
      </c>
      <c r="V508" s="0" t="inlineStr">
        <is>
          <t>복도식</t>
        </is>
      </c>
      <c r="W508" s="0" t="inlineStr">
        <is>
          <t>82A</t>
        </is>
      </c>
      <c r="X508" s="0" t="n">
        <v>14</v>
      </c>
      <c r="Y508" s="0" t="n">
        <v>8</v>
      </c>
      <c r="Z508" s="0" t="inlineStr">
        <is>
          <t>https://new.land.naver.com/complexes/100909?tab=detail&amp;rf=Y</t>
        </is>
      </c>
      <c r="AA508" s="0" t="inlineStr">
        <is>
          <t>경상남도 창원시 의창구 소답동 110-1</t>
        </is>
      </c>
      <c r="AB508" s="0" t="inlineStr">
        <is>
          <t>경상남도</t>
        </is>
      </c>
      <c r="AC508" s="0" t="inlineStr">
        <is>
          <t>창원시</t>
        </is>
      </c>
      <c r="AD508" s="0" t="inlineStr">
        <is>
          <t>의창구</t>
        </is>
      </c>
      <c r="AE508" s="0" t="inlineStr">
        <is>
          <t>소답동</t>
        </is>
      </c>
      <c r="AG508" s="0" t="inlineStr">
        <is>
          <t>경상남도 창원시 의창구 의안로22번길 2</t>
        </is>
      </c>
      <c r="AH508" s="0" t="n">
        <v>0</v>
      </c>
      <c r="AI508" s="0" t="n">
        <v>317</v>
      </c>
    </row>
    <row r="509">
      <c r="A509" s="0" t="inlineStr">
        <is>
          <t>[소답동]</t>
        </is>
      </c>
      <c r="B509" s="0" t="n">
        <v>100909</v>
      </c>
      <c r="C509" s="0" t="n">
        <v>3</v>
      </c>
      <c r="D509" s="0" t="inlineStr">
        <is>
          <t>국도그랜드맨션</t>
        </is>
      </c>
      <c r="E509" s="0" t="inlineStr">
        <is>
          <t>1997.01.</t>
        </is>
      </c>
      <c r="F509" s="0" t="n">
        <v>97</v>
      </c>
      <c r="G509" s="0" t="n">
        <v>31.22</v>
      </c>
      <c r="H509" s="0" t="n">
        <v>103.22</v>
      </c>
      <c r="I509" s="0" t="n">
        <v>25.61</v>
      </c>
      <c r="J509" s="0" t="n">
        <v>84.69</v>
      </c>
      <c r="K509" s="0" t="n">
        <v>27</v>
      </c>
      <c r="T509" s="0" t="n">
        <v>3</v>
      </c>
      <c r="U509" s="0" t="n">
        <v>1</v>
      </c>
      <c r="V509" s="0" t="inlineStr">
        <is>
          <t>계단식</t>
        </is>
      </c>
      <c r="W509" s="0" t="n">
        <v>103</v>
      </c>
      <c r="X509" s="0" t="n">
        <v>14</v>
      </c>
      <c r="Y509" s="0" t="n">
        <v>8</v>
      </c>
      <c r="Z509" s="0" t="inlineStr">
        <is>
          <t>https://new.land.naver.com/complexes/100909?tab=detail&amp;rf=Y</t>
        </is>
      </c>
      <c r="AA509" s="0" t="inlineStr">
        <is>
          <t>경상남도 창원시 의창구 소답동 110-1</t>
        </is>
      </c>
      <c r="AB509" s="0" t="inlineStr">
        <is>
          <t>경상남도</t>
        </is>
      </c>
      <c r="AC509" s="0" t="inlineStr">
        <is>
          <t>창원시</t>
        </is>
      </c>
      <c r="AD509" s="0" t="inlineStr">
        <is>
          <t>의창구</t>
        </is>
      </c>
      <c r="AE509" s="0" t="inlineStr">
        <is>
          <t>소답동</t>
        </is>
      </c>
      <c r="AG509" s="0" t="inlineStr">
        <is>
          <t>경상남도 창원시 의창구 의안로22번길 2</t>
        </is>
      </c>
      <c r="AH509" s="0" t="n">
        <v>0</v>
      </c>
      <c r="AI509" s="0" t="n">
        <v>317</v>
      </c>
    </row>
    <row r="510">
      <c r="A510" s="0" t="inlineStr">
        <is>
          <t>[소답동]</t>
        </is>
      </c>
      <c r="B510" s="0" t="n">
        <v>7841</v>
      </c>
      <c r="C510" s="0" t="n">
        <v>1</v>
      </c>
      <c r="D510" s="0" t="inlineStr">
        <is>
          <t>세원</t>
        </is>
      </c>
      <c r="E510" s="0" t="inlineStr">
        <is>
          <t>1995.05.</t>
        </is>
      </c>
      <c r="F510" s="0" t="n">
        <v>75</v>
      </c>
      <c r="G510" s="0" t="n">
        <v>19.98</v>
      </c>
      <c r="H510" s="0" t="n">
        <v>66.06999999999999</v>
      </c>
      <c r="I510" s="0" t="n">
        <v>16.2</v>
      </c>
      <c r="J510" s="0" t="n">
        <v>53.56</v>
      </c>
      <c r="K510" s="0" t="n">
        <v>1</v>
      </c>
      <c r="T510" s="0" t="n">
        <v>3</v>
      </c>
      <c r="U510" s="0" t="n">
        <v>1</v>
      </c>
      <c r="V510" s="0" t="inlineStr">
        <is>
          <t>계단식</t>
        </is>
      </c>
      <c r="W510" s="0" t="n">
        <v>66</v>
      </c>
      <c r="X510" s="0" t="n">
        <v>15</v>
      </c>
      <c r="Y510" s="0" t="n">
        <v>6</v>
      </c>
      <c r="Z510" s="0" t="inlineStr">
        <is>
          <t>https://new.land.naver.com/complexes/7841?tab=detail&amp;rf=Y</t>
        </is>
      </c>
      <c r="AA510" s="0" t="inlineStr">
        <is>
          <t>경상남도 창원시 의창구 소답동 505-4</t>
        </is>
      </c>
      <c r="AB510" s="0" t="inlineStr">
        <is>
          <t>경상남도</t>
        </is>
      </c>
      <c r="AC510" s="0" t="inlineStr">
        <is>
          <t>창원시</t>
        </is>
      </c>
      <c r="AD510" s="0" t="inlineStr">
        <is>
          <t>의창구</t>
        </is>
      </c>
      <c r="AE510" s="0" t="inlineStr">
        <is>
          <t>소답동</t>
        </is>
      </c>
      <c r="AG510" s="0" t="inlineStr">
        <is>
          <t>경상남도 창원시 의창구 의안로70번길 25</t>
        </is>
      </c>
      <c r="AH510" s="0" t="n">
        <v>0</v>
      </c>
      <c r="AI510" s="0" t="n">
        <v>304</v>
      </c>
    </row>
    <row r="511">
      <c r="A511" s="0" t="inlineStr">
        <is>
          <t>[소답동]</t>
        </is>
      </c>
      <c r="B511" s="0" t="n">
        <v>7841</v>
      </c>
      <c r="C511" s="0" t="n">
        <v>2</v>
      </c>
      <c r="D511" s="0" t="inlineStr">
        <is>
          <t>세원</t>
        </is>
      </c>
      <c r="E511" s="0" t="inlineStr">
        <is>
          <t>1995.05.</t>
        </is>
      </c>
      <c r="F511" s="0" t="n">
        <v>75</v>
      </c>
      <c r="G511" s="0" t="n">
        <v>22.13</v>
      </c>
      <c r="H511" s="0" t="n">
        <v>73.18000000000001</v>
      </c>
      <c r="I511" s="0" t="n">
        <v>17.94</v>
      </c>
      <c r="J511" s="0" t="n">
        <v>59.32</v>
      </c>
      <c r="K511" s="0" t="n">
        <v>44</v>
      </c>
      <c r="T511" s="0" t="n">
        <v>3</v>
      </c>
      <c r="U511" s="0" t="n">
        <v>1</v>
      </c>
      <c r="V511" s="0" t="inlineStr">
        <is>
          <t>계단식</t>
        </is>
      </c>
      <c r="W511" s="0" t="n">
        <v>73</v>
      </c>
      <c r="X511" s="0" t="n">
        <v>15</v>
      </c>
      <c r="Y511" s="0" t="n">
        <v>6</v>
      </c>
      <c r="Z511" s="0" t="inlineStr">
        <is>
          <t>https://new.land.naver.com/complexes/7841?tab=detail&amp;rf=Y</t>
        </is>
      </c>
      <c r="AA511" s="0" t="inlineStr">
        <is>
          <t>경상남도 창원시 의창구 소답동 505-4</t>
        </is>
      </c>
      <c r="AB511" s="0" t="inlineStr">
        <is>
          <t>경상남도</t>
        </is>
      </c>
      <c r="AC511" s="0" t="inlineStr">
        <is>
          <t>창원시</t>
        </is>
      </c>
      <c r="AD511" s="0" t="inlineStr">
        <is>
          <t>의창구</t>
        </is>
      </c>
      <c r="AE511" s="0" t="inlineStr">
        <is>
          <t>소답동</t>
        </is>
      </c>
      <c r="AG511" s="0" t="inlineStr">
        <is>
          <t>경상남도 창원시 의창구 의안로70번길 25</t>
        </is>
      </c>
      <c r="AH511" s="0" t="n">
        <v>0</v>
      </c>
      <c r="AI511" s="0" t="n">
        <v>304</v>
      </c>
    </row>
    <row r="512">
      <c r="A512" s="0" t="inlineStr">
        <is>
          <t>[소답동]</t>
        </is>
      </c>
      <c r="B512" s="0" t="n">
        <v>7841</v>
      </c>
      <c r="C512" s="0" t="n">
        <v>3</v>
      </c>
      <c r="D512" s="0" t="inlineStr">
        <is>
          <t>세원</t>
        </is>
      </c>
      <c r="E512" s="0" t="inlineStr">
        <is>
          <t>1995.05.</t>
        </is>
      </c>
      <c r="F512" s="0" t="n">
        <v>75</v>
      </c>
      <c r="G512" s="0" t="n">
        <v>29.1</v>
      </c>
      <c r="H512" s="0" t="n">
        <v>96.2</v>
      </c>
      <c r="I512" s="0" t="n">
        <v>23.58</v>
      </c>
      <c r="J512" s="0" t="n">
        <v>77.98</v>
      </c>
      <c r="K512" s="0" t="n">
        <v>2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96</v>
      </c>
      <c r="X512" s="0" t="n">
        <v>15</v>
      </c>
      <c r="Y512" s="0" t="n">
        <v>6</v>
      </c>
      <c r="Z512" s="0" t="inlineStr">
        <is>
          <t>https://new.land.naver.com/complexes/7841?tab=detail&amp;rf=Y</t>
        </is>
      </c>
      <c r="AA512" s="0" t="inlineStr">
        <is>
          <t>경상남도 창원시 의창구 소답동 505-4</t>
        </is>
      </c>
      <c r="AB512" s="0" t="inlineStr">
        <is>
          <t>경상남도</t>
        </is>
      </c>
      <c r="AC512" s="0" t="inlineStr">
        <is>
          <t>창원시</t>
        </is>
      </c>
      <c r="AD512" s="0" t="inlineStr">
        <is>
          <t>의창구</t>
        </is>
      </c>
      <c r="AE512" s="0" t="inlineStr">
        <is>
          <t>소답동</t>
        </is>
      </c>
      <c r="AG512" s="0" t="inlineStr">
        <is>
          <t>경상남도 창원시 의창구 의안로70번길 25</t>
        </is>
      </c>
      <c r="AH512" s="0" t="n">
        <v>0</v>
      </c>
      <c r="AI512" s="0" t="n">
        <v>304</v>
      </c>
    </row>
    <row r="513">
      <c r="A513" s="0" t="inlineStr">
        <is>
          <t>[소답동]</t>
        </is>
      </c>
      <c r="B513" s="0" t="n">
        <v>7841</v>
      </c>
      <c r="C513" s="0" t="n">
        <v>4</v>
      </c>
      <c r="D513" s="0" t="inlineStr">
        <is>
          <t>세원</t>
        </is>
      </c>
      <c r="E513" s="0" t="inlineStr">
        <is>
          <t>1995.05.</t>
        </is>
      </c>
      <c r="F513" s="0" t="n">
        <v>75</v>
      </c>
      <c r="G513" s="0" t="n">
        <v>31.6</v>
      </c>
      <c r="H513" s="0" t="n">
        <v>104.49</v>
      </c>
      <c r="I513" s="0" t="n">
        <v>25.62</v>
      </c>
      <c r="J513" s="0" t="n">
        <v>84.7</v>
      </c>
      <c r="K513" s="0" t="n">
        <v>28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104</v>
      </c>
      <c r="X513" s="0" t="n">
        <v>15</v>
      </c>
      <c r="Y513" s="0" t="n">
        <v>6</v>
      </c>
      <c r="Z513" s="0" t="inlineStr">
        <is>
          <t>https://new.land.naver.com/complexes/7841?tab=detail&amp;rf=Y</t>
        </is>
      </c>
      <c r="AA513" s="0" t="inlineStr">
        <is>
          <t>경상남도 창원시 의창구 소답동 505-4</t>
        </is>
      </c>
      <c r="AB513" s="0" t="inlineStr">
        <is>
          <t>경상남도</t>
        </is>
      </c>
      <c r="AC513" s="0" t="inlineStr">
        <is>
          <t>창원시</t>
        </is>
      </c>
      <c r="AD513" s="0" t="inlineStr">
        <is>
          <t>의창구</t>
        </is>
      </c>
      <c r="AE513" s="0" t="inlineStr">
        <is>
          <t>소답동</t>
        </is>
      </c>
      <c r="AG513" s="0" t="inlineStr">
        <is>
          <t>경상남도 창원시 의창구 의안로70번길 25</t>
        </is>
      </c>
      <c r="AH513" s="0" t="n">
        <v>0</v>
      </c>
      <c r="AI513" s="0" t="n">
        <v>304</v>
      </c>
    </row>
    <row r="514">
      <c r="A514" s="0" t="inlineStr">
        <is>
          <t>[소답동]</t>
        </is>
      </c>
      <c r="B514" s="0" t="n">
        <v>15790</v>
      </c>
      <c r="C514" s="0" t="n">
        <v>1</v>
      </c>
      <c r="D514" s="0" t="inlineStr">
        <is>
          <t>성진초원</t>
        </is>
      </c>
      <c r="E514" s="0" t="inlineStr">
        <is>
          <t>1991.06.</t>
        </is>
      </c>
      <c r="F514" s="0" t="n">
        <v>70</v>
      </c>
      <c r="G514" s="0" t="n">
        <v>25.64</v>
      </c>
      <c r="H514" s="0" t="n">
        <v>84.79000000000001</v>
      </c>
      <c r="I514" s="0" t="n">
        <v>21.6</v>
      </c>
      <c r="J514" s="0" t="n">
        <v>71.43000000000001</v>
      </c>
      <c r="K514" s="0" t="n">
        <v>30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84</v>
      </c>
      <c r="X514" s="0" t="n">
        <v>5</v>
      </c>
      <c r="Y514" s="0" t="n">
        <v>5</v>
      </c>
      <c r="Z514" s="0" t="inlineStr">
        <is>
          <t>https://new.land.naver.com/complexes/15790?tab=detail&amp;rf=Y</t>
        </is>
      </c>
      <c r="AA514" s="0" t="inlineStr">
        <is>
          <t>경상남도 창원시 의창구 소답동 145-3</t>
        </is>
      </c>
      <c r="AB514" s="0" t="inlineStr">
        <is>
          <t>경상남도</t>
        </is>
      </c>
      <c r="AC514" s="0" t="inlineStr">
        <is>
          <t>창원시</t>
        </is>
      </c>
      <c r="AD514" s="0" t="inlineStr">
        <is>
          <t>의창구</t>
        </is>
      </c>
      <c r="AE514" s="0" t="inlineStr">
        <is>
          <t>소답동</t>
        </is>
      </c>
      <c r="AG514" s="0" t="inlineStr">
        <is>
          <t>경상남도 창원시 의창구 의안로56번길 46</t>
        </is>
      </c>
      <c r="AH514" s="0" t="n">
        <v>0</v>
      </c>
      <c r="AI514" s="0" t="n">
        <v>0</v>
      </c>
    </row>
    <row r="515">
      <c r="A515" s="0" t="inlineStr">
        <is>
          <t>[소답동]</t>
        </is>
      </c>
      <c r="B515" s="0" t="n">
        <v>15790</v>
      </c>
      <c r="C515" s="0" t="n">
        <v>2</v>
      </c>
      <c r="D515" s="0" t="inlineStr">
        <is>
          <t>성진초원</t>
        </is>
      </c>
      <c r="E515" s="0" t="inlineStr">
        <is>
          <t>1991.06.</t>
        </is>
      </c>
      <c r="F515" s="0" t="n">
        <v>70</v>
      </c>
      <c r="G515" s="0" t="n">
        <v>26.87</v>
      </c>
      <c r="H515" s="0" t="n">
        <v>88.84999999999999</v>
      </c>
      <c r="I515" s="0" t="n">
        <v>22.64</v>
      </c>
      <c r="J515" s="0" t="n">
        <v>74.84999999999999</v>
      </c>
      <c r="K515" s="0" t="n">
        <v>30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88</v>
      </c>
      <c r="X515" s="0" t="n">
        <v>5</v>
      </c>
      <c r="Y515" s="0" t="n">
        <v>5</v>
      </c>
      <c r="Z515" s="0" t="inlineStr">
        <is>
          <t>https://new.land.naver.com/complexes/15790?tab=detail&amp;rf=Y</t>
        </is>
      </c>
      <c r="AA515" s="0" t="inlineStr">
        <is>
          <t>경상남도 창원시 의창구 소답동 145-3</t>
        </is>
      </c>
      <c r="AB515" s="0" t="inlineStr">
        <is>
          <t>경상남도</t>
        </is>
      </c>
      <c r="AC515" s="0" t="inlineStr">
        <is>
          <t>창원시</t>
        </is>
      </c>
      <c r="AD515" s="0" t="inlineStr">
        <is>
          <t>의창구</t>
        </is>
      </c>
      <c r="AE515" s="0" t="inlineStr">
        <is>
          <t>소답동</t>
        </is>
      </c>
      <c r="AG515" s="0" t="inlineStr">
        <is>
          <t>경상남도 창원시 의창구 의안로56번길 46</t>
        </is>
      </c>
      <c r="AH515" s="0" t="n">
        <v>0</v>
      </c>
      <c r="AI515" s="0" t="n">
        <v>0</v>
      </c>
    </row>
    <row r="516">
      <c r="A516" s="0" t="inlineStr">
        <is>
          <t>[소답동]</t>
        </is>
      </c>
      <c r="B516" s="0" t="n">
        <v>15790</v>
      </c>
      <c r="C516" s="0" t="n">
        <v>3</v>
      </c>
      <c r="D516" s="0" t="inlineStr">
        <is>
          <t>성진초원</t>
        </is>
      </c>
      <c r="E516" s="0" t="inlineStr">
        <is>
          <t>1991.06.</t>
        </is>
      </c>
      <c r="F516" s="0" t="n">
        <v>70</v>
      </c>
      <c r="G516" s="0" t="n">
        <v>30.08</v>
      </c>
      <c r="H516" s="0" t="n">
        <v>99.45</v>
      </c>
      <c r="I516" s="0" t="n">
        <v>25.34</v>
      </c>
      <c r="J516" s="0" t="n">
        <v>83.78</v>
      </c>
      <c r="K516" s="0" t="n">
        <v>10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99</v>
      </c>
      <c r="X516" s="0" t="n">
        <v>5</v>
      </c>
      <c r="Y516" s="0" t="n">
        <v>5</v>
      </c>
      <c r="Z516" s="0" t="inlineStr">
        <is>
          <t>https://new.land.naver.com/complexes/15790?tab=detail&amp;rf=Y</t>
        </is>
      </c>
      <c r="AA516" s="0" t="inlineStr">
        <is>
          <t>경상남도 창원시 의창구 소답동 145-3</t>
        </is>
      </c>
      <c r="AB516" s="0" t="inlineStr">
        <is>
          <t>경상남도</t>
        </is>
      </c>
      <c r="AC516" s="0" t="inlineStr">
        <is>
          <t>창원시</t>
        </is>
      </c>
      <c r="AD516" s="0" t="inlineStr">
        <is>
          <t>의창구</t>
        </is>
      </c>
      <c r="AE516" s="0" t="inlineStr">
        <is>
          <t>소답동</t>
        </is>
      </c>
      <c r="AG516" s="0" t="inlineStr">
        <is>
          <t>경상남도 창원시 의창구 의안로56번길 46</t>
        </is>
      </c>
      <c r="AH516" s="0" t="n">
        <v>0</v>
      </c>
      <c r="AI516" s="0" t="n">
        <v>0</v>
      </c>
    </row>
    <row r="517">
      <c r="A517" s="0" t="inlineStr">
        <is>
          <t>[소답동]</t>
        </is>
      </c>
      <c r="B517" s="0" t="n">
        <v>16818</v>
      </c>
      <c r="C517" s="0" t="n">
        <v>1</v>
      </c>
      <c r="D517" s="0" t="inlineStr">
        <is>
          <t>대력그린빌</t>
        </is>
      </c>
      <c r="E517" s="0" t="inlineStr">
        <is>
          <t>2001.02.</t>
        </is>
      </c>
      <c r="F517" s="0" t="n">
        <v>15</v>
      </c>
      <c r="G517" s="0" t="n">
        <v>32.98</v>
      </c>
      <c r="H517" s="0" t="n">
        <v>109.05</v>
      </c>
      <c r="I517" s="0" t="n">
        <v>25.68</v>
      </c>
      <c r="J517" s="0" t="n">
        <v>84.90000000000001</v>
      </c>
      <c r="K517" s="0" t="n">
        <v>15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109</v>
      </c>
      <c r="X517" s="0" t="n">
        <v>8</v>
      </c>
      <c r="Y517" s="0" t="n">
        <v>8</v>
      </c>
      <c r="Z517" s="0" t="inlineStr">
        <is>
          <t>https://new.land.naver.com/complexes/16818?tab=detail&amp;rf=Y</t>
        </is>
      </c>
      <c r="AA517" s="0" t="inlineStr">
        <is>
          <t>경상남도 창원시 의창구 소답동 143-24</t>
        </is>
      </c>
      <c r="AB517" s="0" t="inlineStr">
        <is>
          <t>경상남도</t>
        </is>
      </c>
      <c r="AC517" s="0" t="inlineStr">
        <is>
          <t>창원시</t>
        </is>
      </c>
      <c r="AD517" s="0" t="inlineStr">
        <is>
          <t>의창구</t>
        </is>
      </c>
      <c r="AE517" s="0" t="inlineStr">
        <is>
          <t>소답동</t>
        </is>
      </c>
      <c r="AG517" s="0" t="inlineStr">
        <is>
          <t>경상남도 창원시 의창구</t>
        </is>
      </c>
      <c r="AH517" s="0" t="n">
        <v>0</v>
      </c>
      <c r="AI517" s="0" t="n">
        <v>219</v>
      </c>
    </row>
    <row r="518">
      <c r="A518" s="0" t="inlineStr">
        <is>
          <t>[소답동]</t>
        </is>
      </c>
      <c r="B518" s="0" t="n">
        <v>16817</v>
      </c>
      <c r="C518" s="0" t="n">
        <v>1</v>
      </c>
      <c r="D518" s="0" t="inlineStr">
        <is>
          <t>국도아트</t>
        </is>
      </c>
      <c r="E518" s="0" t="inlineStr">
        <is>
          <t>1994.05.</t>
        </is>
      </c>
      <c r="F518" s="0" t="n">
        <v>8</v>
      </c>
      <c r="G518" s="0" t="n">
        <v>19.72</v>
      </c>
      <c r="H518" s="0" t="n">
        <v>65.22</v>
      </c>
      <c r="I518" s="0" t="n">
        <v>18.14</v>
      </c>
      <c r="J518" s="0" t="n">
        <v>59.97</v>
      </c>
      <c r="K518" s="0" t="n">
        <v>2</v>
      </c>
      <c r="T518" s="0" t="n">
        <v>3</v>
      </c>
      <c r="U518" s="0" t="n">
        <v>1</v>
      </c>
      <c r="V518" s="0" t="inlineStr">
        <is>
          <t>복도식</t>
        </is>
      </c>
      <c r="W518" s="0" t="n">
        <v>65</v>
      </c>
      <c r="X518" s="0" t="n">
        <v>5</v>
      </c>
      <c r="Y518" s="0" t="n">
        <v>5</v>
      </c>
      <c r="Z518" s="0" t="inlineStr">
        <is>
          <t>https://new.land.naver.com/complexes/16817?tab=detail&amp;rf=Y</t>
        </is>
      </c>
      <c r="AA518" s="0" t="inlineStr">
        <is>
          <t>경상남도 창원시 의창구 소답동 123-12</t>
        </is>
      </c>
      <c r="AB518" s="0" t="inlineStr">
        <is>
          <t>경상남도</t>
        </is>
      </c>
      <c r="AC518" s="0" t="inlineStr">
        <is>
          <t>창원시</t>
        </is>
      </c>
      <c r="AD518" s="0" t="inlineStr">
        <is>
          <t>의창구</t>
        </is>
      </c>
      <c r="AE518" s="0" t="inlineStr">
        <is>
          <t>소답동</t>
        </is>
      </c>
      <c r="AG518" s="0" t="inlineStr">
        <is>
          <t>경상남도 창원시 의창구 의안로56번길 20</t>
        </is>
      </c>
      <c r="AH518" s="0" t="n">
        <v>0</v>
      </c>
      <c r="AI518" s="0" t="n">
        <v>230</v>
      </c>
    </row>
    <row r="519">
      <c r="A519" s="0" t="inlineStr">
        <is>
          <t>[소답동]</t>
        </is>
      </c>
      <c r="B519" s="0" t="n">
        <v>16817</v>
      </c>
      <c r="C519" s="0" t="n">
        <v>2</v>
      </c>
      <c r="D519" s="0" t="inlineStr">
        <is>
          <t>국도아트</t>
        </is>
      </c>
      <c r="E519" s="0" t="inlineStr">
        <is>
          <t>1994.05.</t>
        </is>
      </c>
      <c r="F519" s="0" t="n">
        <v>8</v>
      </c>
      <c r="G519" s="0" t="n">
        <v>23.38</v>
      </c>
      <c r="H519" s="0" t="n">
        <v>77.31</v>
      </c>
      <c r="I519" s="0" t="n">
        <v>21.49</v>
      </c>
      <c r="J519" s="0" t="n">
        <v>71.06999999999999</v>
      </c>
      <c r="K519" s="0" t="n">
        <v>6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77</v>
      </c>
      <c r="X519" s="0" t="n">
        <v>5</v>
      </c>
      <c r="Y519" s="0" t="n">
        <v>5</v>
      </c>
      <c r="Z519" s="0" t="inlineStr">
        <is>
          <t>https://new.land.naver.com/complexes/16817?tab=detail&amp;rf=Y</t>
        </is>
      </c>
      <c r="AA519" s="0" t="inlineStr">
        <is>
          <t>경상남도 창원시 의창구 소답동 123-12</t>
        </is>
      </c>
      <c r="AB519" s="0" t="inlineStr">
        <is>
          <t>경상남도</t>
        </is>
      </c>
      <c r="AC519" s="0" t="inlineStr">
        <is>
          <t>창원시</t>
        </is>
      </c>
      <c r="AD519" s="0" t="inlineStr">
        <is>
          <t>의창구</t>
        </is>
      </c>
      <c r="AE519" s="0" t="inlineStr">
        <is>
          <t>소답동</t>
        </is>
      </c>
      <c r="AG519" s="0" t="inlineStr">
        <is>
          <t>경상남도 창원시 의창구 의안로56번길 20</t>
        </is>
      </c>
      <c r="AH519" s="0" t="n">
        <v>0</v>
      </c>
      <c r="AI519" s="0" t="n">
        <v>230</v>
      </c>
    </row>
    <row r="520">
      <c r="A520" s="0" t="inlineStr">
        <is>
          <t>[소답동]</t>
        </is>
      </c>
      <c r="B520" s="0" t="n">
        <v>15789</v>
      </c>
      <c r="C520" s="0" t="n">
        <v>1</v>
      </c>
      <c r="D520" s="0" t="inlineStr">
        <is>
          <t>소답청학</t>
        </is>
      </c>
      <c r="E520" s="0" t="inlineStr">
        <is>
          <t>1994.09.</t>
        </is>
      </c>
      <c r="F520" s="0" t="n">
        <v>60</v>
      </c>
      <c r="G520" s="0" t="n">
        <v>19.94</v>
      </c>
      <c r="H520" s="0" t="n">
        <v>65.92</v>
      </c>
      <c r="I520" s="0" t="n">
        <v>17.7</v>
      </c>
      <c r="J520" s="0" t="n">
        <v>58.52</v>
      </c>
      <c r="K520" s="0" t="n">
        <v>12</v>
      </c>
      <c r="T520" s="0" t="n">
        <v>3</v>
      </c>
      <c r="U520" s="0" t="n">
        <v>1</v>
      </c>
      <c r="V520" s="0" t="inlineStr">
        <is>
          <t>복도식</t>
        </is>
      </c>
      <c r="W520" s="0" t="inlineStr">
        <is>
          <t>65A</t>
        </is>
      </c>
      <c r="X520" s="0" t="n">
        <v>12</v>
      </c>
      <c r="Y520" s="0" t="n">
        <v>12</v>
      </c>
      <c r="Z520" s="0" t="inlineStr">
        <is>
          <t>https://new.land.naver.com/complexes/15789?tab=detail&amp;rf=Y</t>
        </is>
      </c>
      <c r="AA520" s="0" t="inlineStr">
        <is>
          <t>경상남도 창원시 의창구 소답동 408-6</t>
        </is>
      </c>
      <c r="AB520" s="0" t="inlineStr">
        <is>
          <t>경상남도</t>
        </is>
      </c>
      <c r="AC520" s="0" t="inlineStr">
        <is>
          <t>창원시</t>
        </is>
      </c>
      <c r="AD520" s="0" t="inlineStr">
        <is>
          <t>의창구</t>
        </is>
      </c>
      <c r="AE520" s="0" t="inlineStr">
        <is>
          <t>소답동</t>
        </is>
      </c>
      <c r="AG520" s="0" t="inlineStr">
        <is>
          <t>경상남도 창원시 의창구 의안로70번길 21</t>
        </is>
      </c>
      <c r="AH520" s="0" t="n">
        <v>0</v>
      </c>
      <c r="AI520" s="0" t="n">
        <v>335</v>
      </c>
    </row>
    <row r="521">
      <c r="A521" s="0" t="inlineStr">
        <is>
          <t>[소답동]</t>
        </is>
      </c>
      <c r="B521" s="0" t="n">
        <v>15789</v>
      </c>
      <c r="C521" s="0" t="n">
        <v>2</v>
      </c>
      <c r="D521" s="0" t="inlineStr">
        <is>
          <t>소답청학</t>
        </is>
      </c>
      <c r="E521" s="0" t="inlineStr">
        <is>
          <t>1994.09.</t>
        </is>
      </c>
      <c r="F521" s="0" t="n">
        <v>60</v>
      </c>
      <c r="G521" s="0" t="n">
        <v>20.4</v>
      </c>
      <c r="H521" s="0" t="n">
        <v>67.44</v>
      </c>
      <c r="I521" s="0" t="n">
        <v>18.11</v>
      </c>
      <c r="J521" s="0" t="n">
        <v>59.87</v>
      </c>
      <c r="K521" s="0" t="n">
        <v>48</v>
      </c>
      <c r="T521" s="0" t="n">
        <v>3</v>
      </c>
      <c r="U521" s="0" t="n">
        <v>1</v>
      </c>
      <c r="V521" s="0" t="inlineStr">
        <is>
          <t>복도식</t>
        </is>
      </c>
      <c r="W521" s="0" t="inlineStr">
        <is>
          <t>67B</t>
        </is>
      </c>
      <c r="X521" s="0" t="n">
        <v>12</v>
      </c>
      <c r="Y521" s="0" t="n">
        <v>12</v>
      </c>
      <c r="Z521" s="0" t="inlineStr">
        <is>
          <t>https://new.land.naver.com/complexes/15789?tab=detail&amp;rf=Y</t>
        </is>
      </c>
      <c r="AA521" s="0" t="inlineStr">
        <is>
          <t>경상남도 창원시 의창구 소답동 408-6</t>
        </is>
      </c>
      <c r="AB521" s="0" t="inlineStr">
        <is>
          <t>경상남도</t>
        </is>
      </c>
      <c r="AC521" s="0" t="inlineStr">
        <is>
          <t>창원시</t>
        </is>
      </c>
      <c r="AD521" s="0" t="inlineStr">
        <is>
          <t>의창구</t>
        </is>
      </c>
      <c r="AE521" s="0" t="inlineStr">
        <is>
          <t>소답동</t>
        </is>
      </c>
      <c r="AG521" s="0" t="inlineStr">
        <is>
          <t>경상남도 창원시 의창구 의안로70번길 21</t>
        </is>
      </c>
      <c r="AH521" s="0" t="n">
        <v>0</v>
      </c>
      <c r="AI521" s="0" t="n">
        <v>335</v>
      </c>
    </row>
    <row r="522">
      <c r="A522" s="0" t="inlineStr">
        <is>
          <t>[중동]</t>
        </is>
      </c>
      <c r="B522" s="0" t="n">
        <v>115396</v>
      </c>
      <c r="C522" s="0" t="n">
        <v>1</v>
      </c>
      <c r="D522" s="0" t="inlineStr">
        <is>
          <t>창원중동유니시티1단지</t>
        </is>
      </c>
      <c r="E522" s="0" t="inlineStr">
        <is>
          <t>2019.06.</t>
        </is>
      </c>
      <c r="F522" s="0" t="n">
        <v>1803</v>
      </c>
      <c r="G522" s="0" t="n">
        <v>25.34</v>
      </c>
      <c r="H522" s="0" t="n">
        <v>83.8</v>
      </c>
      <c r="I522" s="0" t="n">
        <v>18.14</v>
      </c>
      <c r="J522" s="0" t="n">
        <v>59.98</v>
      </c>
      <c r="K522" s="0" t="n">
        <v>162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83</v>
      </c>
      <c r="X522" s="0" t="n">
        <v>42</v>
      </c>
      <c r="Y522" s="0" t="n">
        <v>26</v>
      </c>
      <c r="Z522" s="0" t="inlineStr">
        <is>
          <t>https://new.land.naver.com/complexes/115396?tab=detail&amp;rf=Y</t>
        </is>
      </c>
      <c r="AA522" s="0" t="inlineStr">
        <is>
          <t>경상남도 창원시 의창구 중동 790</t>
        </is>
      </c>
      <c r="AB522" s="0" t="inlineStr">
        <is>
          <t>경상남도</t>
        </is>
      </c>
      <c r="AC522" s="0" t="inlineStr">
        <is>
          <t>창원시</t>
        </is>
      </c>
      <c r="AD522" s="0" t="inlineStr">
        <is>
          <t>의창구</t>
        </is>
      </c>
      <c r="AE522" s="0" t="inlineStr">
        <is>
          <t>중동</t>
        </is>
      </c>
      <c r="AG522" s="0" t="inlineStr">
        <is>
          <t>경상남도 창원시 의창구 중동로 34</t>
        </is>
      </c>
      <c r="AH522" s="0" t="n">
        <v>0</v>
      </c>
      <c r="AI522" s="0" t="n">
        <v>247</v>
      </c>
    </row>
    <row r="523">
      <c r="A523" s="0" t="inlineStr">
        <is>
          <t>[중동]</t>
        </is>
      </c>
      <c r="B523" s="0" t="n">
        <v>115396</v>
      </c>
      <c r="C523" s="0" t="n">
        <v>2</v>
      </c>
      <c r="D523" s="0" t="inlineStr">
        <is>
          <t>창원중동유니시티1단지</t>
        </is>
      </c>
      <c r="E523" s="0" t="inlineStr">
        <is>
          <t>2019.06.</t>
        </is>
      </c>
      <c r="F523" s="0" t="n">
        <v>1803</v>
      </c>
      <c r="G523" s="0" t="n">
        <v>30.47</v>
      </c>
      <c r="H523" s="0" t="n">
        <v>100.76</v>
      </c>
      <c r="I523" s="0" t="n">
        <v>22.04</v>
      </c>
      <c r="J523" s="0" t="n">
        <v>72.88</v>
      </c>
      <c r="K523" s="0" t="n">
        <v>182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100</v>
      </c>
      <c r="X523" s="0" t="n">
        <v>42</v>
      </c>
      <c r="Y523" s="0" t="n">
        <v>26</v>
      </c>
      <c r="Z523" s="0" t="inlineStr">
        <is>
          <t>https://new.land.naver.com/complexes/115396?tab=detail&amp;rf=Y</t>
        </is>
      </c>
      <c r="AA523" s="0" t="inlineStr">
        <is>
          <t>경상남도 창원시 의창구 중동 790</t>
        </is>
      </c>
      <c r="AB523" s="0" t="inlineStr">
        <is>
          <t>경상남도</t>
        </is>
      </c>
      <c r="AC523" s="0" t="inlineStr">
        <is>
          <t>창원시</t>
        </is>
      </c>
      <c r="AD523" s="0" t="inlineStr">
        <is>
          <t>의창구</t>
        </is>
      </c>
      <c r="AE523" s="0" t="inlineStr">
        <is>
          <t>중동</t>
        </is>
      </c>
      <c r="AG523" s="0" t="inlineStr">
        <is>
          <t>경상남도 창원시 의창구 중동로 34</t>
        </is>
      </c>
      <c r="AH523" s="0" t="n">
        <v>0</v>
      </c>
      <c r="AI523" s="0" t="n">
        <v>247</v>
      </c>
    </row>
    <row r="524">
      <c r="A524" s="0" t="inlineStr">
        <is>
          <t>[중동]</t>
        </is>
      </c>
      <c r="B524" s="0" t="n">
        <v>115396</v>
      </c>
      <c r="C524" s="0" t="n">
        <v>3</v>
      </c>
      <c r="D524" s="0" t="inlineStr">
        <is>
          <t>창원중동유니시티1단지</t>
        </is>
      </c>
      <c r="E524" s="0" t="inlineStr">
        <is>
          <t>2019.06.</t>
        </is>
      </c>
      <c r="F524" s="0" t="n">
        <v>1803</v>
      </c>
      <c r="G524" s="0" t="n">
        <v>35.34</v>
      </c>
      <c r="H524" s="0" t="n">
        <v>116.84</v>
      </c>
      <c r="I524" s="0" t="n">
        <v>25.44</v>
      </c>
      <c r="J524" s="0" t="n">
        <v>84.09999999999999</v>
      </c>
      <c r="K524" s="0" t="n">
        <v>269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116B</t>
        </is>
      </c>
      <c r="X524" s="0" t="n">
        <v>42</v>
      </c>
      <c r="Y524" s="0" t="n">
        <v>26</v>
      </c>
      <c r="Z524" s="0" t="inlineStr">
        <is>
          <t>https://new.land.naver.com/complexes/115396?tab=detail&amp;rf=Y</t>
        </is>
      </c>
      <c r="AA524" s="0" t="inlineStr">
        <is>
          <t>경상남도 창원시 의창구 중동 790</t>
        </is>
      </c>
      <c r="AB524" s="0" t="inlineStr">
        <is>
          <t>경상남도</t>
        </is>
      </c>
      <c r="AC524" s="0" t="inlineStr">
        <is>
          <t>창원시</t>
        </is>
      </c>
      <c r="AD524" s="0" t="inlineStr">
        <is>
          <t>의창구</t>
        </is>
      </c>
      <c r="AE524" s="0" t="inlineStr">
        <is>
          <t>중동</t>
        </is>
      </c>
      <c r="AG524" s="0" t="inlineStr">
        <is>
          <t>경상남도 창원시 의창구 중동로 34</t>
        </is>
      </c>
      <c r="AH524" s="0" t="n">
        <v>0</v>
      </c>
      <c r="AI524" s="0" t="n">
        <v>247</v>
      </c>
    </row>
    <row r="525">
      <c r="A525" s="0" t="inlineStr">
        <is>
          <t>[중동]</t>
        </is>
      </c>
      <c r="B525" s="0" t="n">
        <v>115396</v>
      </c>
      <c r="C525" s="0" t="n">
        <v>4</v>
      </c>
      <c r="D525" s="0" t="inlineStr">
        <is>
          <t>창원중동유니시티1단지</t>
        </is>
      </c>
      <c r="E525" s="0" t="inlineStr">
        <is>
          <t>2019.06.</t>
        </is>
      </c>
      <c r="F525" s="0" t="n">
        <v>1803</v>
      </c>
      <c r="G525" s="0" t="n">
        <v>35.43</v>
      </c>
      <c r="H525" s="0" t="n">
        <v>117.13</v>
      </c>
      <c r="I525" s="0" t="n">
        <v>25.52</v>
      </c>
      <c r="J525" s="0" t="n">
        <v>84.38</v>
      </c>
      <c r="K525" s="0" t="n">
        <v>506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117A</t>
        </is>
      </c>
      <c r="X525" s="0" t="n">
        <v>42</v>
      </c>
      <c r="Y525" s="0" t="n">
        <v>26</v>
      </c>
      <c r="Z525" s="0" t="inlineStr">
        <is>
          <t>https://new.land.naver.com/complexes/115396?tab=detail&amp;rf=Y</t>
        </is>
      </c>
      <c r="AA525" s="0" t="inlineStr">
        <is>
          <t>경상남도 창원시 의창구 중동 790</t>
        </is>
      </c>
      <c r="AB525" s="0" t="inlineStr">
        <is>
          <t>경상남도</t>
        </is>
      </c>
      <c r="AC525" s="0" t="inlineStr">
        <is>
          <t>창원시</t>
        </is>
      </c>
      <c r="AD525" s="0" t="inlineStr">
        <is>
          <t>의창구</t>
        </is>
      </c>
      <c r="AE525" s="0" t="inlineStr">
        <is>
          <t>중동</t>
        </is>
      </c>
      <c r="AG525" s="0" t="inlineStr">
        <is>
          <t>경상남도 창원시 의창구 중동로 34</t>
        </is>
      </c>
      <c r="AH525" s="0" t="n">
        <v>0</v>
      </c>
      <c r="AI525" s="0" t="n">
        <v>247</v>
      </c>
    </row>
    <row r="526">
      <c r="A526" s="0" t="inlineStr">
        <is>
          <t>[중동]</t>
        </is>
      </c>
      <c r="B526" s="0" t="n">
        <v>115396</v>
      </c>
      <c r="C526" s="0" t="n">
        <v>5</v>
      </c>
      <c r="D526" s="0" t="inlineStr">
        <is>
          <t>창원중동유니시티1단지</t>
        </is>
      </c>
      <c r="E526" s="0" t="inlineStr">
        <is>
          <t>2019.06.</t>
        </is>
      </c>
      <c r="F526" s="0" t="n">
        <v>1803</v>
      </c>
      <c r="G526" s="0" t="n">
        <v>41.28</v>
      </c>
      <c r="H526" s="0" t="n">
        <v>136.48</v>
      </c>
      <c r="I526" s="0" t="n">
        <v>29.99</v>
      </c>
      <c r="J526" s="0" t="n">
        <v>99.17</v>
      </c>
      <c r="K526" s="0" t="n">
        <v>474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136</v>
      </c>
      <c r="X526" s="0" t="n">
        <v>42</v>
      </c>
      <c r="Y526" s="0" t="n">
        <v>26</v>
      </c>
      <c r="Z526" s="0" t="inlineStr">
        <is>
          <t>https://new.land.naver.com/complexes/115396?tab=detail&amp;rf=Y</t>
        </is>
      </c>
      <c r="AA526" s="0" t="inlineStr">
        <is>
          <t>경상남도 창원시 의창구 중동 790</t>
        </is>
      </c>
      <c r="AB526" s="0" t="inlineStr">
        <is>
          <t>경상남도</t>
        </is>
      </c>
      <c r="AC526" s="0" t="inlineStr">
        <is>
          <t>창원시</t>
        </is>
      </c>
      <c r="AD526" s="0" t="inlineStr">
        <is>
          <t>의창구</t>
        </is>
      </c>
      <c r="AE526" s="0" t="inlineStr">
        <is>
          <t>중동</t>
        </is>
      </c>
      <c r="AG526" s="0" t="inlineStr">
        <is>
          <t>경상남도 창원시 의창구 중동로 34</t>
        </is>
      </c>
      <c r="AH526" s="0" t="n">
        <v>0</v>
      </c>
      <c r="AI526" s="0" t="n">
        <v>247</v>
      </c>
    </row>
    <row r="527">
      <c r="A527" s="0" t="inlineStr">
        <is>
          <t>[중동]</t>
        </is>
      </c>
      <c r="B527" s="0" t="n">
        <v>115396</v>
      </c>
      <c r="C527" s="0" t="n">
        <v>6</v>
      </c>
      <c r="D527" s="0" t="inlineStr">
        <is>
          <t>창원중동유니시티1단지</t>
        </is>
      </c>
      <c r="E527" s="0" t="inlineStr">
        <is>
          <t>2019.06.</t>
        </is>
      </c>
      <c r="F527" s="0" t="n">
        <v>1803</v>
      </c>
      <c r="G527" s="0" t="n">
        <v>47.96</v>
      </c>
      <c r="H527" s="0" t="n">
        <v>158.56</v>
      </c>
      <c r="I527" s="0" t="n">
        <v>35</v>
      </c>
      <c r="J527" s="0" t="n">
        <v>115.72</v>
      </c>
      <c r="K527" s="0" t="n">
        <v>128</v>
      </c>
      <c r="T527" s="0" t="n">
        <v>4</v>
      </c>
      <c r="U527" s="0" t="n">
        <v>2</v>
      </c>
      <c r="V527" s="0" t="inlineStr">
        <is>
          <t>계단식</t>
        </is>
      </c>
      <c r="W527" s="0" t="n">
        <v>158</v>
      </c>
      <c r="X527" s="0" t="n">
        <v>42</v>
      </c>
      <c r="Y527" s="0" t="n">
        <v>26</v>
      </c>
      <c r="Z527" s="0" t="inlineStr">
        <is>
          <t>https://new.land.naver.com/complexes/115396?tab=detail&amp;rf=Y</t>
        </is>
      </c>
      <c r="AA527" s="0" t="inlineStr">
        <is>
          <t>경상남도 창원시 의창구 중동 790</t>
        </is>
      </c>
      <c r="AB527" s="0" t="inlineStr">
        <is>
          <t>경상남도</t>
        </is>
      </c>
      <c r="AC527" s="0" t="inlineStr">
        <is>
          <t>창원시</t>
        </is>
      </c>
      <c r="AD527" s="0" t="inlineStr">
        <is>
          <t>의창구</t>
        </is>
      </c>
      <c r="AE527" s="0" t="inlineStr">
        <is>
          <t>중동</t>
        </is>
      </c>
      <c r="AG527" s="0" t="inlineStr">
        <is>
          <t>경상남도 창원시 의창구 중동로 34</t>
        </is>
      </c>
      <c r="AH527" s="0" t="n">
        <v>0</v>
      </c>
      <c r="AI527" s="0" t="n">
        <v>247</v>
      </c>
    </row>
    <row r="528">
      <c r="A528" s="0" t="inlineStr">
        <is>
          <t>[중동]</t>
        </is>
      </c>
      <c r="B528" s="0" t="n">
        <v>115396</v>
      </c>
      <c r="C528" s="0" t="n">
        <v>7</v>
      </c>
      <c r="D528" s="0" t="inlineStr">
        <is>
          <t>창원중동유니시티1단지</t>
        </is>
      </c>
      <c r="E528" s="0" t="inlineStr">
        <is>
          <t>2019.06.</t>
        </is>
      </c>
      <c r="F528" s="0" t="n">
        <v>1803</v>
      </c>
      <c r="G528" s="0" t="n">
        <v>56.21</v>
      </c>
      <c r="H528" s="0" t="n">
        <v>185.84</v>
      </c>
      <c r="I528" s="0" t="n">
        <v>41.1</v>
      </c>
      <c r="J528" s="0" t="n">
        <v>135.9</v>
      </c>
      <c r="K528" s="0" t="n">
        <v>41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185A</t>
        </is>
      </c>
      <c r="X528" s="0" t="n">
        <v>42</v>
      </c>
      <c r="Y528" s="0" t="n">
        <v>26</v>
      </c>
      <c r="Z528" s="0" t="inlineStr">
        <is>
          <t>https://new.land.naver.com/complexes/115396?tab=detail&amp;rf=Y</t>
        </is>
      </c>
      <c r="AA528" s="0" t="inlineStr">
        <is>
          <t>경상남도 창원시 의창구 중동 790</t>
        </is>
      </c>
      <c r="AB528" s="0" t="inlineStr">
        <is>
          <t>경상남도</t>
        </is>
      </c>
      <c r="AC528" s="0" t="inlineStr">
        <is>
          <t>창원시</t>
        </is>
      </c>
      <c r="AD528" s="0" t="inlineStr">
        <is>
          <t>의창구</t>
        </is>
      </c>
      <c r="AE528" s="0" t="inlineStr">
        <is>
          <t>중동</t>
        </is>
      </c>
      <c r="AG528" s="0" t="inlineStr">
        <is>
          <t>경상남도 창원시 의창구 중동로 34</t>
        </is>
      </c>
      <c r="AH528" s="0" t="n">
        <v>0</v>
      </c>
      <c r="AI528" s="0" t="n">
        <v>247</v>
      </c>
    </row>
    <row r="529">
      <c r="A529" s="0" t="inlineStr">
        <is>
          <t>[중동]</t>
        </is>
      </c>
      <c r="B529" s="0" t="n">
        <v>115396</v>
      </c>
      <c r="C529" s="0" t="n">
        <v>8</v>
      </c>
      <c r="D529" s="0" t="inlineStr">
        <is>
          <t>창원중동유니시티1단지</t>
        </is>
      </c>
      <c r="E529" s="0" t="inlineStr">
        <is>
          <t>2019.06.</t>
        </is>
      </c>
      <c r="F529" s="0" t="n">
        <v>1803</v>
      </c>
      <c r="G529" s="0" t="n">
        <v>56.52</v>
      </c>
      <c r="H529" s="0" t="n">
        <v>186.85</v>
      </c>
      <c r="I529" s="0" t="n">
        <v>41.06</v>
      </c>
      <c r="J529" s="0" t="n">
        <v>135.76</v>
      </c>
      <c r="K529" s="0" t="n">
        <v>41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186B</t>
        </is>
      </c>
      <c r="X529" s="0" t="n">
        <v>42</v>
      </c>
      <c r="Y529" s="0" t="n">
        <v>26</v>
      </c>
      <c r="Z529" s="0" t="inlineStr">
        <is>
          <t>https://new.land.naver.com/complexes/115396?tab=detail&amp;rf=Y</t>
        </is>
      </c>
      <c r="AA529" s="0" t="inlineStr">
        <is>
          <t>경상남도 창원시 의창구 중동 790</t>
        </is>
      </c>
      <c r="AB529" s="0" t="inlineStr">
        <is>
          <t>경상남도</t>
        </is>
      </c>
      <c r="AC529" s="0" t="inlineStr">
        <is>
          <t>창원시</t>
        </is>
      </c>
      <c r="AD529" s="0" t="inlineStr">
        <is>
          <t>의창구</t>
        </is>
      </c>
      <c r="AE529" s="0" t="inlineStr">
        <is>
          <t>중동</t>
        </is>
      </c>
      <c r="AG529" s="0" t="inlineStr">
        <is>
          <t>경상남도 창원시 의창구 중동로 34</t>
        </is>
      </c>
      <c r="AH529" s="0" t="n">
        <v>0</v>
      </c>
      <c r="AI529" s="0" t="n">
        <v>247</v>
      </c>
    </row>
    <row r="530">
      <c r="A530" s="0" t="inlineStr">
        <is>
          <t>[중동]</t>
        </is>
      </c>
      <c r="B530" s="0" t="n">
        <v>115529</v>
      </c>
      <c r="C530" s="0" t="n">
        <v>1</v>
      </c>
      <c r="D530" s="0" t="inlineStr">
        <is>
          <t>창원중동유니시티4단지</t>
        </is>
      </c>
      <c r="E530" s="0" t="inlineStr">
        <is>
          <t>2019.12.</t>
        </is>
      </c>
      <c r="F530" s="0" t="n">
        <v>1768</v>
      </c>
      <c r="G530" s="0" t="n">
        <v>25</v>
      </c>
      <c r="H530" s="0" t="n">
        <v>82.66</v>
      </c>
      <c r="I530" s="0" t="n">
        <v>18.13</v>
      </c>
      <c r="J530" s="0" t="n">
        <v>59.96</v>
      </c>
      <c r="K530" s="0" t="n">
        <v>104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82</v>
      </c>
      <c r="X530" s="0" t="n">
        <v>42</v>
      </c>
      <c r="Y530" s="0" t="n">
        <v>26</v>
      </c>
      <c r="Z530" s="0" t="inlineStr">
        <is>
          <t>https://new.land.naver.com/complexes/115529?tab=detail&amp;rf=Y</t>
        </is>
      </c>
      <c r="AA530" s="0" t="inlineStr">
        <is>
          <t>경상남도 창원시 의창구 중동 788</t>
        </is>
      </c>
      <c r="AB530" s="0" t="inlineStr">
        <is>
          <t>경상남도</t>
        </is>
      </c>
      <c r="AC530" s="0" t="inlineStr">
        <is>
          <t>창원시</t>
        </is>
      </c>
      <c r="AD530" s="0" t="inlineStr">
        <is>
          <t>의창구</t>
        </is>
      </c>
      <c r="AE530" s="0" t="inlineStr">
        <is>
          <t>중동</t>
        </is>
      </c>
      <c r="AG530" s="0" t="inlineStr">
        <is>
          <t>경상남도 창원시 의창구 중동로 78</t>
        </is>
      </c>
      <c r="AH530" s="0" t="n">
        <v>0</v>
      </c>
      <c r="AI530" s="0" t="n">
        <v>0</v>
      </c>
    </row>
    <row r="531">
      <c r="A531" s="0" t="inlineStr">
        <is>
          <t>[중동]</t>
        </is>
      </c>
      <c r="B531" s="0" t="n">
        <v>115529</v>
      </c>
      <c r="C531" s="0" t="n">
        <v>2</v>
      </c>
      <c r="D531" s="0" t="inlineStr">
        <is>
          <t>창원중동유니시티4단지</t>
        </is>
      </c>
      <c r="E531" s="0" t="inlineStr">
        <is>
          <t>2019.12.</t>
        </is>
      </c>
      <c r="F531" s="0" t="n">
        <v>1768</v>
      </c>
      <c r="G531" s="0" t="n">
        <v>30.01</v>
      </c>
      <c r="H531" s="0" t="n">
        <v>99.23</v>
      </c>
      <c r="I531" s="0" t="n">
        <v>22.05</v>
      </c>
      <c r="J531" s="0" t="n">
        <v>72.92</v>
      </c>
      <c r="K531" s="0" t="n">
        <v>104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99</v>
      </c>
      <c r="X531" s="0" t="n">
        <v>42</v>
      </c>
      <c r="Y531" s="0" t="n">
        <v>26</v>
      </c>
      <c r="Z531" s="0" t="inlineStr">
        <is>
          <t>https://new.land.naver.com/complexes/115529?tab=detail&amp;rf=Y</t>
        </is>
      </c>
      <c r="AA531" s="0" t="inlineStr">
        <is>
          <t>경상남도 창원시 의창구 중동 788</t>
        </is>
      </c>
      <c r="AB531" s="0" t="inlineStr">
        <is>
          <t>경상남도</t>
        </is>
      </c>
      <c r="AC531" s="0" t="inlineStr">
        <is>
          <t>창원시</t>
        </is>
      </c>
      <c r="AD531" s="0" t="inlineStr">
        <is>
          <t>의창구</t>
        </is>
      </c>
      <c r="AE531" s="0" t="inlineStr">
        <is>
          <t>중동</t>
        </is>
      </c>
      <c r="AG531" s="0" t="inlineStr">
        <is>
          <t>경상남도 창원시 의창구 중동로 78</t>
        </is>
      </c>
      <c r="AH531" s="0" t="n">
        <v>0</v>
      </c>
      <c r="AI531" s="0" t="n">
        <v>0</v>
      </c>
    </row>
    <row r="532">
      <c r="A532" s="0" t="inlineStr">
        <is>
          <t>[중동]</t>
        </is>
      </c>
      <c r="B532" s="0" t="n">
        <v>115529</v>
      </c>
      <c r="C532" s="0" t="n">
        <v>3</v>
      </c>
      <c r="D532" s="0" t="inlineStr">
        <is>
          <t>창원중동유니시티4단지</t>
        </is>
      </c>
      <c r="E532" s="0" t="inlineStr">
        <is>
          <t>2019.12.</t>
        </is>
      </c>
      <c r="F532" s="0" t="n">
        <v>1768</v>
      </c>
      <c r="G532" s="0" t="n">
        <v>34.99</v>
      </c>
      <c r="H532" s="0" t="n">
        <v>115.7</v>
      </c>
      <c r="I532" s="0" t="n">
        <v>25.62</v>
      </c>
      <c r="J532" s="0" t="n">
        <v>84.70999999999999</v>
      </c>
      <c r="K532" s="0" t="n">
        <v>686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42</v>
      </c>
      <c r="Y532" s="0" t="n">
        <v>26</v>
      </c>
      <c r="Z532" s="0" t="inlineStr">
        <is>
          <t>https://new.land.naver.com/complexes/115529?tab=detail&amp;rf=Y</t>
        </is>
      </c>
      <c r="AA532" s="0" t="inlineStr">
        <is>
          <t>경상남도 창원시 의창구 중동 788</t>
        </is>
      </c>
      <c r="AB532" s="0" t="inlineStr">
        <is>
          <t>경상남도</t>
        </is>
      </c>
      <c r="AC532" s="0" t="inlineStr">
        <is>
          <t>창원시</t>
        </is>
      </c>
      <c r="AD532" s="0" t="inlineStr">
        <is>
          <t>의창구</t>
        </is>
      </c>
      <c r="AE532" s="0" t="inlineStr">
        <is>
          <t>중동</t>
        </is>
      </c>
      <c r="AG532" s="0" t="inlineStr">
        <is>
          <t>경상남도 창원시 의창구 중동로 78</t>
        </is>
      </c>
      <c r="AH532" s="0" t="n">
        <v>0</v>
      </c>
      <c r="AI532" s="0" t="n">
        <v>0</v>
      </c>
    </row>
    <row r="533">
      <c r="A533" s="0" t="inlineStr">
        <is>
          <t>[중동]</t>
        </is>
      </c>
      <c r="B533" s="0" t="n">
        <v>115529</v>
      </c>
      <c r="C533" s="0" t="n">
        <v>4</v>
      </c>
      <c r="D533" s="0" t="inlineStr">
        <is>
          <t>창원중동유니시티4단지</t>
        </is>
      </c>
      <c r="E533" s="0" t="inlineStr">
        <is>
          <t>2019.12.</t>
        </is>
      </c>
      <c r="F533" s="0" t="n">
        <v>1768</v>
      </c>
      <c r="G533" s="0" t="n">
        <v>35.06</v>
      </c>
      <c r="H533" s="0" t="n">
        <v>115.93</v>
      </c>
      <c r="I533" s="0" t="n">
        <v>25.64</v>
      </c>
      <c r="J533" s="0" t="n">
        <v>84.78</v>
      </c>
      <c r="K533" s="0" t="n">
        <v>308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115B</t>
        </is>
      </c>
      <c r="X533" s="0" t="n">
        <v>42</v>
      </c>
      <c r="Y533" s="0" t="n">
        <v>26</v>
      </c>
      <c r="Z533" s="0" t="inlineStr">
        <is>
          <t>https://new.land.naver.com/complexes/115529?tab=detail&amp;rf=Y</t>
        </is>
      </c>
      <c r="AA533" s="0" t="inlineStr">
        <is>
          <t>경상남도 창원시 의창구 중동 788</t>
        </is>
      </c>
      <c r="AB533" s="0" t="inlineStr">
        <is>
          <t>경상남도</t>
        </is>
      </c>
      <c r="AC533" s="0" t="inlineStr">
        <is>
          <t>창원시</t>
        </is>
      </c>
      <c r="AD533" s="0" t="inlineStr">
        <is>
          <t>의창구</t>
        </is>
      </c>
      <c r="AE533" s="0" t="inlineStr">
        <is>
          <t>중동</t>
        </is>
      </c>
      <c r="AG533" s="0" t="inlineStr">
        <is>
          <t>경상남도 창원시 의창구 중동로 78</t>
        </is>
      </c>
      <c r="AH533" s="0" t="n">
        <v>0</v>
      </c>
      <c r="AI533" s="0" t="n">
        <v>0</v>
      </c>
    </row>
    <row r="534">
      <c r="A534" s="0" t="inlineStr">
        <is>
          <t>[중동]</t>
        </is>
      </c>
      <c r="B534" s="0" t="n">
        <v>115529</v>
      </c>
      <c r="C534" s="0" t="n">
        <v>5</v>
      </c>
      <c r="D534" s="0" t="inlineStr">
        <is>
          <t>창원중동유니시티4단지</t>
        </is>
      </c>
      <c r="E534" s="0" t="inlineStr">
        <is>
          <t>2019.12.</t>
        </is>
      </c>
      <c r="F534" s="0" t="n">
        <v>1768</v>
      </c>
      <c r="G534" s="0" t="n">
        <v>41.02</v>
      </c>
      <c r="H534" s="0" t="n">
        <v>135.62</v>
      </c>
      <c r="I534" s="0" t="n">
        <v>30.34</v>
      </c>
      <c r="J534" s="0" t="n">
        <v>100.3</v>
      </c>
      <c r="K534" s="0" t="n">
        <v>372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135</v>
      </c>
      <c r="X534" s="0" t="n">
        <v>42</v>
      </c>
      <c r="Y534" s="0" t="n">
        <v>26</v>
      </c>
      <c r="Z534" s="0" t="inlineStr">
        <is>
          <t>https://new.land.naver.com/complexes/115529?tab=detail&amp;rf=Y</t>
        </is>
      </c>
      <c r="AA534" s="0" t="inlineStr">
        <is>
          <t>경상남도 창원시 의창구 중동 788</t>
        </is>
      </c>
      <c r="AB534" s="0" t="inlineStr">
        <is>
          <t>경상남도</t>
        </is>
      </c>
      <c r="AC534" s="0" t="inlineStr">
        <is>
          <t>창원시</t>
        </is>
      </c>
      <c r="AD534" s="0" t="inlineStr">
        <is>
          <t>의창구</t>
        </is>
      </c>
      <c r="AE534" s="0" t="inlineStr">
        <is>
          <t>중동</t>
        </is>
      </c>
      <c r="AG534" s="0" t="inlineStr">
        <is>
          <t>경상남도 창원시 의창구 중동로 78</t>
        </is>
      </c>
      <c r="AH534" s="0" t="n">
        <v>0</v>
      </c>
      <c r="AI534" s="0" t="n">
        <v>0</v>
      </c>
    </row>
    <row r="535">
      <c r="A535" s="0" t="inlineStr">
        <is>
          <t>[중동]</t>
        </is>
      </c>
      <c r="B535" s="0" t="n">
        <v>115529</v>
      </c>
      <c r="C535" s="0" t="n">
        <v>6</v>
      </c>
      <c r="D535" s="0" t="inlineStr">
        <is>
          <t>창원중동유니시티4단지</t>
        </is>
      </c>
      <c r="E535" s="0" t="inlineStr">
        <is>
          <t>2019.12.</t>
        </is>
      </c>
      <c r="F535" s="0" t="n">
        <v>1768</v>
      </c>
      <c r="G535" s="0" t="n">
        <v>48.02</v>
      </c>
      <c r="H535" s="0" t="n">
        <v>158.75</v>
      </c>
      <c r="I535" s="0" t="n">
        <v>35.67</v>
      </c>
      <c r="J535" s="0" t="n">
        <v>117.92</v>
      </c>
      <c r="K535" s="0" t="n">
        <v>112</v>
      </c>
      <c r="T535" s="0" t="n">
        <v>4</v>
      </c>
      <c r="U535" s="0" t="n">
        <v>2</v>
      </c>
      <c r="V535" s="0" t="inlineStr">
        <is>
          <t>계단식</t>
        </is>
      </c>
      <c r="W535" s="0" t="n">
        <v>158</v>
      </c>
      <c r="X535" s="0" t="n">
        <v>42</v>
      </c>
      <c r="Y535" s="0" t="n">
        <v>26</v>
      </c>
      <c r="Z535" s="0" t="inlineStr">
        <is>
          <t>https://new.land.naver.com/complexes/115529?tab=detail&amp;rf=Y</t>
        </is>
      </c>
      <c r="AA535" s="0" t="inlineStr">
        <is>
          <t>경상남도 창원시 의창구 중동 788</t>
        </is>
      </c>
      <c r="AB535" s="0" t="inlineStr">
        <is>
          <t>경상남도</t>
        </is>
      </c>
      <c r="AC535" s="0" t="inlineStr">
        <is>
          <t>창원시</t>
        </is>
      </c>
      <c r="AD535" s="0" t="inlineStr">
        <is>
          <t>의창구</t>
        </is>
      </c>
      <c r="AE535" s="0" t="inlineStr">
        <is>
          <t>중동</t>
        </is>
      </c>
      <c r="AG535" s="0" t="inlineStr">
        <is>
          <t>경상남도 창원시 의창구 중동로 78</t>
        </is>
      </c>
      <c r="AH535" s="0" t="n">
        <v>0</v>
      </c>
      <c r="AI535" s="0" t="n">
        <v>0</v>
      </c>
    </row>
    <row r="536">
      <c r="A536" s="0" t="inlineStr">
        <is>
          <t>[중동]</t>
        </is>
      </c>
      <c r="B536" s="0" t="n">
        <v>115529</v>
      </c>
      <c r="C536" s="0" t="n">
        <v>7</v>
      </c>
      <c r="D536" s="0" t="inlineStr">
        <is>
          <t>창원중동유니시티4단지</t>
        </is>
      </c>
      <c r="E536" s="0" t="inlineStr">
        <is>
          <t>2019.12.</t>
        </is>
      </c>
      <c r="F536" s="0" t="n">
        <v>1768</v>
      </c>
      <c r="G536" s="0" t="n">
        <v>56.05</v>
      </c>
      <c r="H536" s="0" t="n">
        <v>185.29</v>
      </c>
      <c r="I536" s="0" t="n">
        <v>41.72</v>
      </c>
      <c r="J536" s="0" t="n">
        <v>137.93</v>
      </c>
      <c r="K536" s="0" t="n">
        <v>41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185A</t>
        </is>
      </c>
      <c r="X536" s="0" t="n">
        <v>42</v>
      </c>
      <c r="Y536" s="0" t="n">
        <v>26</v>
      </c>
      <c r="Z536" s="0" t="inlineStr">
        <is>
          <t>https://new.land.naver.com/complexes/115529?tab=detail&amp;rf=Y</t>
        </is>
      </c>
      <c r="AA536" s="0" t="inlineStr">
        <is>
          <t>경상남도 창원시 의창구 중동 788</t>
        </is>
      </c>
      <c r="AB536" s="0" t="inlineStr">
        <is>
          <t>경상남도</t>
        </is>
      </c>
      <c r="AC536" s="0" t="inlineStr">
        <is>
          <t>창원시</t>
        </is>
      </c>
      <c r="AD536" s="0" t="inlineStr">
        <is>
          <t>의창구</t>
        </is>
      </c>
      <c r="AE536" s="0" t="inlineStr">
        <is>
          <t>중동</t>
        </is>
      </c>
      <c r="AG536" s="0" t="inlineStr">
        <is>
          <t>경상남도 창원시 의창구 중동로 78</t>
        </is>
      </c>
      <c r="AH536" s="0" t="n">
        <v>0</v>
      </c>
      <c r="AI536" s="0" t="n">
        <v>0</v>
      </c>
    </row>
    <row r="537">
      <c r="A537" s="0" t="inlineStr">
        <is>
          <t>[중동]</t>
        </is>
      </c>
      <c r="B537" s="0" t="n">
        <v>115529</v>
      </c>
      <c r="C537" s="0" t="n">
        <v>8</v>
      </c>
      <c r="D537" s="0" t="inlineStr">
        <is>
          <t>창원중동유니시티4단지</t>
        </is>
      </c>
      <c r="E537" s="0" t="inlineStr">
        <is>
          <t>2019.12.</t>
        </is>
      </c>
      <c r="F537" s="0" t="n">
        <v>1768</v>
      </c>
      <c r="G537" s="0" t="n">
        <v>56.14</v>
      </c>
      <c r="H537" s="0" t="n">
        <v>185.59</v>
      </c>
      <c r="I537" s="0" t="n">
        <v>41.49</v>
      </c>
      <c r="J537" s="0" t="n">
        <v>137.18</v>
      </c>
      <c r="K537" s="0" t="n">
        <v>41</v>
      </c>
      <c r="T537" s="0" t="n">
        <v>4</v>
      </c>
      <c r="U537" s="0" t="n">
        <v>2</v>
      </c>
      <c r="V537" s="0" t="inlineStr">
        <is>
          <t>계단식</t>
        </is>
      </c>
      <c r="W537" s="0" t="inlineStr">
        <is>
          <t>185B</t>
        </is>
      </c>
      <c r="X537" s="0" t="n">
        <v>42</v>
      </c>
      <c r="Y537" s="0" t="n">
        <v>26</v>
      </c>
      <c r="Z537" s="0" t="inlineStr">
        <is>
          <t>https://new.land.naver.com/complexes/115529?tab=detail&amp;rf=Y</t>
        </is>
      </c>
      <c r="AA537" s="0" t="inlineStr">
        <is>
          <t>경상남도 창원시 의창구 중동 788</t>
        </is>
      </c>
      <c r="AB537" s="0" t="inlineStr">
        <is>
          <t>경상남도</t>
        </is>
      </c>
      <c r="AC537" s="0" t="inlineStr">
        <is>
          <t>창원시</t>
        </is>
      </c>
      <c r="AD537" s="0" t="inlineStr">
        <is>
          <t>의창구</t>
        </is>
      </c>
      <c r="AE537" s="0" t="inlineStr">
        <is>
          <t>중동</t>
        </is>
      </c>
      <c r="AG537" s="0" t="inlineStr">
        <is>
          <t>경상남도 창원시 의창구 중동로 78</t>
        </is>
      </c>
      <c r="AH537" s="0" t="n">
        <v>0</v>
      </c>
      <c r="AI537" s="0" t="n">
        <v>0</v>
      </c>
    </row>
    <row r="538">
      <c r="A538" s="0" t="inlineStr">
        <is>
          <t>[중동]</t>
        </is>
      </c>
      <c r="B538" s="0" t="n">
        <v>115528</v>
      </c>
      <c r="C538" s="0" t="n">
        <v>1</v>
      </c>
      <c r="D538" s="0" t="inlineStr">
        <is>
          <t>창원중동유니시티3단지</t>
        </is>
      </c>
      <c r="E538" s="0" t="inlineStr">
        <is>
          <t>2019.12.</t>
        </is>
      </c>
      <c r="F538" s="0" t="n">
        <v>1465</v>
      </c>
      <c r="G538" s="0" t="n">
        <v>25.41</v>
      </c>
      <c r="H538" s="0" t="n">
        <v>84.02</v>
      </c>
      <c r="I538" s="0" t="n">
        <v>18.13</v>
      </c>
      <c r="J538" s="0" t="n">
        <v>59.96</v>
      </c>
      <c r="K538" s="0" t="n">
        <v>160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84</v>
      </c>
      <c r="X538" s="0" t="n">
        <v>42</v>
      </c>
      <c r="Y538" s="0" t="n">
        <v>25</v>
      </c>
      <c r="Z538" s="0" t="inlineStr">
        <is>
          <t>https://new.land.naver.com/complexes/115528?tab=detail&amp;rf=Y</t>
        </is>
      </c>
      <c r="AA538" s="0" t="inlineStr">
        <is>
          <t>경상남도 창원시 의창구 중동 786</t>
        </is>
      </c>
      <c r="AB538" s="0" t="inlineStr">
        <is>
          <t>경상남도</t>
        </is>
      </c>
      <c r="AC538" s="0" t="inlineStr">
        <is>
          <t>창원시</t>
        </is>
      </c>
      <c r="AD538" s="0" t="inlineStr">
        <is>
          <t>의창구</t>
        </is>
      </c>
      <c r="AE538" s="0" t="inlineStr">
        <is>
          <t>중동</t>
        </is>
      </c>
      <c r="AG538" s="0" t="inlineStr">
        <is>
          <t>경상남도 창원시 의창구 중동로 77</t>
        </is>
      </c>
      <c r="AH538" s="0" t="n">
        <v>0</v>
      </c>
      <c r="AI538" s="0" t="n">
        <v>0</v>
      </c>
    </row>
    <row r="539">
      <c r="A539" s="0" t="inlineStr">
        <is>
          <t>[중동]</t>
        </is>
      </c>
      <c r="B539" s="0" t="n">
        <v>115528</v>
      </c>
      <c r="C539" s="0" t="n">
        <v>2</v>
      </c>
      <c r="D539" s="0" t="inlineStr">
        <is>
          <t>창원중동유니시티3단지</t>
        </is>
      </c>
      <c r="E539" s="0" t="inlineStr">
        <is>
          <t>2019.12.</t>
        </is>
      </c>
      <c r="F539" s="0" t="n">
        <v>1465</v>
      </c>
      <c r="G539" s="0" t="n">
        <v>30.51</v>
      </c>
      <c r="H539" s="0" t="n">
        <v>100.89</v>
      </c>
      <c r="I539" s="0" t="n">
        <v>22.05</v>
      </c>
      <c r="J539" s="0" t="n">
        <v>72.92</v>
      </c>
      <c r="K539" s="0" t="n">
        <v>50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100</v>
      </c>
      <c r="X539" s="0" t="n">
        <v>42</v>
      </c>
      <c r="Y539" s="0" t="n">
        <v>25</v>
      </c>
      <c r="Z539" s="0" t="inlineStr">
        <is>
          <t>https://new.land.naver.com/complexes/115528?tab=detail&amp;rf=Y</t>
        </is>
      </c>
      <c r="AA539" s="0" t="inlineStr">
        <is>
          <t>경상남도 창원시 의창구 중동 786</t>
        </is>
      </c>
      <c r="AB539" s="0" t="inlineStr">
        <is>
          <t>경상남도</t>
        </is>
      </c>
      <c r="AC539" s="0" t="inlineStr">
        <is>
          <t>창원시</t>
        </is>
      </c>
      <c r="AD539" s="0" t="inlineStr">
        <is>
          <t>의창구</t>
        </is>
      </c>
      <c r="AE539" s="0" t="inlineStr">
        <is>
          <t>중동</t>
        </is>
      </c>
      <c r="AG539" s="0" t="inlineStr">
        <is>
          <t>경상남도 창원시 의창구 중동로 77</t>
        </is>
      </c>
      <c r="AH539" s="0" t="n">
        <v>0</v>
      </c>
      <c r="AI539" s="0" t="n">
        <v>0</v>
      </c>
    </row>
    <row r="540">
      <c r="A540" s="0" t="inlineStr">
        <is>
          <t>[중동]</t>
        </is>
      </c>
      <c r="B540" s="0" t="n">
        <v>115528</v>
      </c>
      <c r="C540" s="0" t="n">
        <v>3</v>
      </c>
      <c r="D540" s="0" t="inlineStr">
        <is>
          <t>창원중동유니시티3단지</t>
        </is>
      </c>
      <c r="E540" s="0" t="inlineStr">
        <is>
          <t>2019.12.</t>
        </is>
      </c>
      <c r="F540" s="0" t="n">
        <v>1465</v>
      </c>
      <c r="G540" s="0" t="n">
        <v>35.58</v>
      </c>
      <c r="H540" s="0" t="n">
        <v>117.63</v>
      </c>
      <c r="I540" s="0" t="n">
        <v>25.62</v>
      </c>
      <c r="J540" s="0" t="n">
        <v>84.70999999999999</v>
      </c>
      <c r="K540" s="0" t="n">
        <v>658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117A</t>
        </is>
      </c>
      <c r="X540" s="0" t="n">
        <v>42</v>
      </c>
      <c r="Y540" s="0" t="n">
        <v>25</v>
      </c>
      <c r="Z540" s="0" t="inlineStr">
        <is>
          <t>https://new.land.naver.com/complexes/115528?tab=detail&amp;rf=Y</t>
        </is>
      </c>
      <c r="AA540" s="0" t="inlineStr">
        <is>
          <t>경상남도 창원시 의창구 중동 786</t>
        </is>
      </c>
      <c r="AB540" s="0" t="inlineStr">
        <is>
          <t>경상남도</t>
        </is>
      </c>
      <c r="AC540" s="0" t="inlineStr">
        <is>
          <t>창원시</t>
        </is>
      </c>
      <c r="AD540" s="0" t="inlineStr">
        <is>
          <t>의창구</t>
        </is>
      </c>
      <c r="AE540" s="0" t="inlineStr">
        <is>
          <t>중동</t>
        </is>
      </c>
      <c r="AG540" s="0" t="inlineStr">
        <is>
          <t>경상남도 창원시 의창구 중동로 77</t>
        </is>
      </c>
      <c r="AH540" s="0" t="n">
        <v>0</v>
      </c>
      <c r="AI540" s="0" t="n">
        <v>0</v>
      </c>
    </row>
    <row r="541">
      <c r="A541" s="0" t="inlineStr">
        <is>
          <t>[중동]</t>
        </is>
      </c>
      <c r="B541" s="0" t="n">
        <v>115528</v>
      </c>
      <c r="C541" s="0" t="n">
        <v>4</v>
      </c>
      <c r="D541" s="0" t="inlineStr">
        <is>
          <t>창원중동유니시티3단지</t>
        </is>
      </c>
      <c r="E541" s="0" t="inlineStr">
        <is>
          <t>2019.12.</t>
        </is>
      </c>
      <c r="F541" s="0" t="n">
        <v>1465</v>
      </c>
      <c r="G541" s="0" t="n">
        <v>35.65</v>
      </c>
      <c r="H541" s="0" t="n">
        <v>117.86</v>
      </c>
      <c r="I541" s="0" t="n">
        <v>25.64</v>
      </c>
      <c r="J541" s="0" t="n">
        <v>84.78</v>
      </c>
      <c r="K541" s="0" t="n">
        <v>273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117B</t>
        </is>
      </c>
      <c r="X541" s="0" t="n">
        <v>42</v>
      </c>
      <c r="Y541" s="0" t="n">
        <v>25</v>
      </c>
      <c r="Z541" s="0" t="inlineStr">
        <is>
          <t>https://new.land.naver.com/complexes/115528?tab=detail&amp;rf=Y</t>
        </is>
      </c>
      <c r="AA541" s="0" t="inlineStr">
        <is>
          <t>경상남도 창원시 의창구 중동 786</t>
        </is>
      </c>
      <c r="AB541" s="0" t="inlineStr">
        <is>
          <t>경상남도</t>
        </is>
      </c>
      <c r="AC541" s="0" t="inlineStr">
        <is>
          <t>창원시</t>
        </is>
      </c>
      <c r="AD541" s="0" t="inlineStr">
        <is>
          <t>의창구</t>
        </is>
      </c>
      <c r="AE541" s="0" t="inlineStr">
        <is>
          <t>중동</t>
        </is>
      </c>
      <c r="AG541" s="0" t="inlineStr">
        <is>
          <t>경상남도 창원시 의창구 중동로 77</t>
        </is>
      </c>
      <c r="AH541" s="0" t="n">
        <v>0</v>
      </c>
      <c r="AI541" s="0" t="n">
        <v>0</v>
      </c>
    </row>
    <row r="542">
      <c r="A542" s="0" t="inlineStr">
        <is>
          <t>[중동]</t>
        </is>
      </c>
      <c r="B542" s="0" t="n">
        <v>115528</v>
      </c>
      <c r="C542" s="0" t="n">
        <v>5</v>
      </c>
      <c r="D542" s="0" t="inlineStr">
        <is>
          <t>창원중동유니시티3단지</t>
        </is>
      </c>
      <c r="E542" s="0" t="inlineStr">
        <is>
          <t>2019.12.</t>
        </is>
      </c>
      <c r="F542" s="0" t="n">
        <v>1465</v>
      </c>
      <c r="G542" s="0" t="n">
        <v>41.71</v>
      </c>
      <c r="H542" s="0" t="n">
        <v>137.9</v>
      </c>
      <c r="I542" s="0" t="n">
        <v>30.34</v>
      </c>
      <c r="J542" s="0" t="n">
        <v>100.3</v>
      </c>
      <c r="K542" s="0" t="n">
        <v>324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137</v>
      </c>
      <c r="X542" s="0" t="n">
        <v>42</v>
      </c>
      <c r="Y542" s="0" t="n">
        <v>25</v>
      </c>
      <c r="Z542" s="0" t="inlineStr">
        <is>
          <t>https://new.land.naver.com/complexes/115528?tab=detail&amp;rf=Y</t>
        </is>
      </c>
      <c r="AA542" s="0" t="inlineStr">
        <is>
          <t>경상남도 창원시 의창구 중동 786</t>
        </is>
      </c>
      <c r="AB542" s="0" t="inlineStr">
        <is>
          <t>경상남도</t>
        </is>
      </c>
      <c r="AC542" s="0" t="inlineStr">
        <is>
          <t>창원시</t>
        </is>
      </c>
      <c r="AD542" s="0" t="inlineStr">
        <is>
          <t>의창구</t>
        </is>
      </c>
      <c r="AE542" s="0" t="inlineStr">
        <is>
          <t>중동</t>
        </is>
      </c>
      <c r="AG542" s="0" t="inlineStr">
        <is>
          <t>경상남도 창원시 의창구 중동로 77</t>
        </is>
      </c>
      <c r="AH542" s="0" t="n">
        <v>0</v>
      </c>
      <c r="AI542" s="0" t="n">
        <v>0</v>
      </c>
    </row>
    <row r="543">
      <c r="A543" s="0" t="inlineStr">
        <is>
          <t>[중동]</t>
        </is>
      </c>
      <c r="B543" s="0" t="n">
        <v>115143</v>
      </c>
      <c r="C543" s="0" t="n">
        <v>1</v>
      </c>
      <c r="D543" s="0" t="inlineStr">
        <is>
          <t>성동</t>
        </is>
      </c>
      <c r="E543" s="0" t="inlineStr">
        <is>
          <t>1995.08.</t>
        </is>
      </c>
      <c r="F543" s="0" t="n">
        <v>44</v>
      </c>
      <c r="G543" s="0" t="n">
        <v>23.58</v>
      </c>
      <c r="H543" s="0" t="n">
        <v>77.95999999999999</v>
      </c>
      <c r="I543" s="0" t="n">
        <v>15.04</v>
      </c>
      <c r="J543" s="0" t="n">
        <v>49.73</v>
      </c>
      <c r="K543" s="0" t="n">
        <v>4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77A</t>
        </is>
      </c>
      <c r="X543" s="0" t="n">
        <v>9</v>
      </c>
      <c r="Y543" s="0" t="n">
        <v>6</v>
      </c>
      <c r="Z543" s="0" t="inlineStr">
        <is>
          <t>https://new.land.naver.com/complexes/115143?tab=detail&amp;rf=Y</t>
        </is>
      </c>
      <c r="AA543" s="0" t="inlineStr">
        <is>
          <t>경상남도 창원시 의창구 중동 407-2</t>
        </is>
      </c>
      <c r="AB543" s="0" t="inlineStr">
        <is>
          <t>경상남도</t>
        </is>
      </c>
      <c r="AC543" s="0" t="inlineStr">
        <is>
          <t>창원시</t>
        </is>
      </c>
      <c r="AD543" s="0" t="inlineStr">
        <is>
          <t>의창구</t>
        </is>
      </c>
      <c r="AE543" s="0" t="inlineStr">
        <is>
          <t>중동</t>
        </is>
      </c>
      <c r="AG543" s="0" t="inlineStr">
        <is>
          <t>경상남도 창원시 의창구 의안로 15</t>
        </is>
      </c>
      <c r="AH543" s="0" t="n">
        <v>0</v>
      </c>
      <c r="AI543" s="0" t="n">
        <v>288</v>
      </c>
    </row>
    <row r="544">
      <c r="A544" s="0" t="inlineStr">
        <is>
          <t>[중동]</t>
        </is>
      </c>
      <c r="B544" s="0" t="n">
        <v>115143</v>
      </c>
      <c r="C544" s="0" t="n">
        <v>2</v>
      </c>
      <c r="D544" s="0" t="inlineStr">
        <is>
          <t>성동</t>
        </is>
      </c>
      <c r="E544" s="0" t="inlineStr">
        <is>
          <t>1995.08.</t>
        </is>
      </c>
      <c r="F544" s="0" t="n">
        <v>44</v>
      </c>
      <c r="G544" s="0" t="n">
        <v>24.02</v>
      </c>
      <c r="H544" s="0" t="n">
        <v>79.43000000000001</v>
      </c>
      <c r="I544" s="0" t="n">
        <v>15.9</v>
      </c>
      <c r="J544" s="0" t="n">
        <v>52.58</v>
      </c>
      <c r="K544" s="0" t="n">
        <v>8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79B</t>
        </is>
      </c>
      <c r="X544" s="0" t="n">
        <v>9</v>
      </c>
      <c r="Y544" s="0" t="n">
        <v>6</v>
      </c>
      <c r="Z544" s="0" t="inlineStr">
        <is>
          <t>https://new.land.naver.com/complexes/115143?tab=detail&amp;rf=Y</t>
        </is>
      </c>
      <c r="AA544" s="0" t="inlineStr">
        <is>
          <t>경상남도 창원시 의창구 중동 407-2</t>
        </is>
      </c>
      <c r="AB544" s="0" t="inlineStr">
        <is>
          <t>경상남도</t>
        </is>
      </c>
      <c r="AC544" s="0" t="inlineStr">
        <is>
          <t>창원시</t>
        </is>
      </c>
      <c r="AD544" s="0" t="inlineStr">
        <is>
          <t>의창구</t>
        </is>
      </c>
      <c r="AE544" s="0" t="inlineStr">
        <is>
          <t>중동</t>
        </is>
      </c>
      <c r="AG544" s="0" t="inlineStr">
        <is>
          <t>경상남도 창원시 의창구 의안로 15</t>
        </is>
      </c>
      <c r="AH544" s="0" t="n">
        <v>0</v>
      </c>
      <c r="AI544" s="0" t="n">
        <v>288</v>
      </c>
    </row>
    <row r="545">
      <c r="A545" s="0" t="inlineStr">
        <is>
          <t>[중동]</t>
        </is>
      </c>
      <c r="B545" s="0" t="n">
        <v>115143</v>
      </c>
      <c r="C545" s="0" t="n">
        <v>3</v>
      </c>
      <c r="D545" s="0" t="inlineStr">
        <is>
          <t>성동</t>
        </is>
      </c>
      <c r="E545" s="0" t="inlineStr">
        <is>
          <t>1995.08.</t>
        </is>
      </c>
      <c r="F545" s="0" t="n">
        <v>44</v>
      </c>
      <c r="G545" s="0" t="n">
        <v>28.29</v>
      </c>
      <c r="H545" s="0" t="n">
        <v>93.53</v>
      </c>
      <c r="I545" s="0" t="n">
        <v>18.04</v>
      </c>
      <c r="J545" s="0" t="n">
        <v>59.66</v>
      </c>
      <c r="K545" s="0" t="n">
        <v>6</v>
      </c>
      <c r="T545" s="0" t="n">
        <v>2</v>
      </c>
      <c r="U545" s="0" t="n">
        <v>1</v>
      </c>
      <c r="V545" s="0" t="inlineStr">
        <is>
          <t>계단식</t>
        </is>
      </c>
      <c r="W545" s="0" t="n">
        <v>93</v>
      </c>
      <c r="X545" s="0" t="n">
        <v>9</v>
      </c>
      <c r="Y545" s="0" t="n">
        <v>6</v>
      </c>
      <c r="Z545" s="0" t="inlineStr">
        <is>
          <t>https://new.land.naver.com/complexes/115143?tab=detail&amp;rf=Y</t>
        </is>
      </c>
      <c r="AA545" s="0" t="inlineStr">
        <is>
          <t>경상남도 창원시 의창구 중동 407-2</t>
        </is>
      </c>
      <c r="AB545" s="0" t="inlineStr">
        <is>
          <t>경상남도</t>
        </is>
      </c>
      <c r="AC545" s="0" t="inlineStr">
        <is>
          <t>창원시</t>
        </is>
      </c>
      <c r="AD545" s="0" t="inlineStr">
        <is>
          <t>의창구</t>
        </is>
      </c>
      <c r="AE545" s="0" t="inlineStr">
        <is>
          <t>중동</t>
        </is>
      </c>
      <c r="AG545" s="0" t="inlineStr">
        <is>
          <t>경상남도 창원시 의창구 의안로 15</t>
        </is>
      </c>
      <c r="AH545" s="0" t="n">
        <v>0</v>
      </c>
      <c r="AI545" s="0" t="n">
        <v>288</v>
      </c>
    </row>
    <row r="546">
      <c r="A546" s="0" t="inlineStr">
        <is>
          <t>[중동]</t>
        </is>
      </c>
      <c r="B546" s="0" t="n">
        <v>115143</v>
      </c>
      <c r="C546" s="0" t="n">
        <v>4</v>
      </c>
      <c r="D546" s="0" t="inlineStr">
        <is>
          <t>성동</t>
        </is>
      </c>
      <c r="E546" s="0" t="inlineStr">
        <is>
          <t>1995.08.</t>
        </is>
      </c>
      <c r="F546" s="0" t="n">
        <v>44</v>
      </c>
      <c r="G546" s="0" t="n">
        <v>30.42</v>
      </c>
      <c r="H546" s="0" t="n">
        <v>100.59</v>
      </c>
      <c r="I546" s="0" t="n">
        <v>19.4</v>
      </c>
      <c r="J546" s="0" t="n">
        <v>64.16</v>
      </c>
      <c r="K546" s="0" t="n">
        <v>26</v>
      </c>
      <c r="T546" s="0" t="n">
        <v>2</v>
      </c>
      <c r="U546" s="0" t="n">
        <v>1</v>
      </c>
      <c r="V546" s="0" t="inlineStr">
        <is>
          <t>계단식</t>
        </is>
      </c>
      <c r="W546" s="0" t="n">
        <v>100</v>
      </c>
      <c r="X546" s="0" t="n">
        <v>9</v>
      </c>
      <c r="Y546" s="0" t="n">
        <v>6</v>
      </c>
      <c r="Z546" s="0" t="inlineStr">
        <is>
          <t>https://new.land.naver.com/complexes/115143?tab=detail&amp;rf=Y</t>
        </is>
      </c>
      <c r="AA546" s="0" t="inlineStr">
        <is>
          <t>경상남도 창원시 의창구 중동 407-2</t>
        </is>
      </c>
      <c r="AB546" s="0" t="inlineStr">
        <is>
          <t>경상남도</t>
        </is>
      </c>
      <c r="AC546" s="0" t="inlineStr">
        <is>
          <t>창원시</t>
        </is>
      </c>
      <c r="AD546" s="0" t="inlineStr">
        <is>
          <t>의창구</t>
        </is>
      </c>
      <c r="AE546" s="0" t="inlineStr">
        <is>
          <t>중동</t>
        </is>
      </c>
      <c r="AG546" s="0" t="inlineStr">
        <is>
          <t>경상남도 창원시 의창구 의안로 15</t>
        </is>
      </c>
      <c r="AH546" s="0" t="n">
        <v>0</v>
      </c>
      <c r="AI546" s="0" t="n">
        <v>288</v>
      </c>
    </row>
    <row r="547">
      <c r="A547" s="0" t="inlineStr">
        <is>
          <t>[중동]</t>
        </is>
      </c>
      <c r="B547" s="0" t="n">
        <v>115397</v>
      </c>
      <c r="C547" s="0" t="n">
        <v>1</v>
      </c>
      <c r="D547" s="0" t="inlineStr">
        <is>
          <t>창원중동유니시티2단지</t>
        </is>
      </c>
      <c r="E547" s="0" t="inlineStr">
        <is>
          <t>2019.06.</t>
        </is>
      </c>
      <c r="F547" s="0" t="n">
        <v>1064</v>
      </c>
      <c r="G547" s="0" t="n">
        <v>25.73</v>
      </c>
      <c r="H547" s="0" t="n">
        <v>85.06999999999999</v>
      </c>
      <c r="I547" s="0" t="n">
        <v>18.14</v>
      </c>
      <c r="J547" s="0" t="n">
        <v>59.98</v>
      </c>
      <c r="K547" s="0" t="n">
        <v>60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85</v>
      </c>
      <c r="X547" s="0" t="n">
        <v>42</v>
      </c>
      <c r="Y547" s="0" t="n">
        <v>31</v>
      </c>
      <c r="Z547" s="0" t="inlineStr">
        <is>
          <t>https://new.land.naver.com/complexes/115397?tab=detail&amp;rf=Y</t>
        </is>
      </c>
      <c r="AA547" s="0" t="inlineStr">
        <is>
          <t>경상남도 창원시 의창구 중동 785</t>
        </is>
      </c>
      <c r="AB547" s="0" t="inlineStr">
        <is>
          <t>경상남도</t>
        </is>
      </c>
      <c r="AC547" s="0" t="inlineStr">
        <is>
          <t>창원시</t>
        </is>
      </c>
      <c r="AD547" s="0" t="inlineStr">
        <is>
          <t>의창구</t>
        </is>
      </c>
      <c r="AE547" s="0" t="inlineStr">
        <is>
          <t>중동</t>
        </is>
      </c>
      <c r="AG547" s="0" t="inlineStr">
        <is>
          <t>경상남도 창원시 의창구 중동로 33</t>
        </is>
      </c>
      <c r="AH547" s="0" t="n">
        <v>0</v>
      </c>
      <c r="AI547" s="0" t="n">
        <v>247</v>
      </c>
    </row>
    <row r="548">
      <c r="A548" s="0" t="inlineStr">
        <is>
          <t>[중동]</t>
        </is>
      </c>
      <c r="B548" s="0" t="n">
        <v>115397</v>
      </c>
      <c r="C548" s="0" t="n">
        <v>2</v>
      </c>
      <c r="D548" s="0" t="inlineStr">
        <is>
          <t>창원중동유니시티2단지</t>
        </is>
      </c>
      <c r="E548" s="0" t="inlineStr">
        <is>
          <t>2019.06.</t>
        </is>
      </c>
      <c r="F548" s="0" t="n">
        <v>1064</v>
      </c>
      <c r="G548" s="0" t="n">
        <v>30.94</v>
      </c>
      <c r="H548" s="0" t="n">
        <v>102.3</v>
      </c>
      <c r="I548" s="0" t="n">
        <v>22.04</v>
      </c>
      <c r="J548" s="0" t="n">
        <v>72.88</v>
      </c>
      <c r="K548" s="0" t="n">
        <v>124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102</v>
      </c>
      <c r="X548" s="0" t="n">
        <v>42</v>
      </c>
      <c r="Y548" s="0" t="n">
        <v>31</v>
      </c>
      <c r="Z548" s="0" t="inlineStr">
        <is>
          <t>https://new.land.naver.com/complexes/115397?tab=detail&amp;rf=Y</t>
        </is>
      </c>
      <c r="AA548" s="0" t="inlineStr">
        <is>
          <t>경상남도 창원시 의창구 중동 785</t>
        </is>
      </c>
      <c r="AB548" s="0" t="inlineStr">
        <is>
          <t>경상남도</t>
        </is>
      </c>
      <c r="AC548" s="0" t="inlineStr">
        <is>
          <t>창원시</t>
        </is>
      </c>
      <c r="AD548" s="0" t="inlineStr">
        <is>
          <t>의창구</t>
        </is>
      </c>
      <c r="AE548" s="0" t="inlineStr">
        <is>
          <t>중동</t>
        </is>
      </c>
      <c r="AG548" s="0" t="inlineStr">
        <is>
          <t>경상남도 창원시 의창구 중동로 33</t>
        </is>
      </c>
      <c r="AH548" s="0" t="n">
        <v>0</v>
      </c>
      <c r="AI548" s="0" t="n">
        <v>247</v>
      </c>
    </row>
    <row r="549">
      <c r="A549" s="0" t="inlineStr">
        <is>
          <t>[중동]</t>
        </is>
      </c>
      <c r="B549" s="0" t="n">
        <v>115397</v>
      </c>
      <c r="C549" s="0" t="n">
        <v>3</v>
      </c>
      <c r="D549" s="0" t="inlineStr">
        <is>
          <t>창원중동유니시티2단지</t>
        </is>
      </c>
      <c r="E549" s="0" t="inlineStr">
        <is>
          <t>2019.06.</t>
        </is>
      </c>
      <c r="F549" s="0" t="n">
        <v>1064</v>
      </c>
      <c r="G549" s="0" t="n">
        <v>35.97</v>
      </c>
      <c r="H549" s="0" t="n">
        <v>118.92</v>
      </c>
      <c r="I549" s="0" t="n">
        <v>25.52</v>
      </c>
      <c r="J549" s="0" t="n">
        <v>84.38</v>
      </c>
      <c r="K549" s="0" t="n">
        <v>411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118A</t>
        </is>
      </c>
      <c r="X549" s="0" t="n">
        <v>42</v>
      </c>
      <c r="Y549" s="0" t="n">
        <v>31</v>
      </c>
      <c r="Z549" s="0" t="inlineStr">
        <is>
          <t>https://new.land.naver.com/complexes/115397?tab=detail&amp;rf=Y</t>
        </is>
      </c>
      <c r="AA549" s="0" t="inlineStr">
        <is>
          <t>경상남도 창원시 의창구 중동 785</t>
        </is>
      </c>
      <c r="AB549" s="0" t="inlineStr">
        <is>
          <t>경상남도</t>
        </is>
      </c>
      <c r="AC549" s="0" t="inlineStr">
        <is>
          <t>창원시</t>
        </is>
      </c>
      <c r="AD549" s="0" t="inlineStr">
        <is>
          <t>의창구</t>
        </is>
      </c>
      <c r="AE549" s="0" t="inlineStr">
        <is>
          <t>중동</t>
        </is>
      </c>
      <c r="AG549" s="0" t="inlineStr">
        <is>
          <t>경상남도 창원시 의창구 중동로 33</t>
        </is>
      </c>
      <c r="AH549" s="0" t="n">
        <v>0</v>
      </c>
      <c r="AI549" s="0" t="n">
        <v>247</v>
      </c>
    </row>
    <row r="550">
      <c r="A550" s="0" t="inlineStr">
        <is>
          <t>[중동]</t>
        </is>
      </c>
      <c r="B550" s="0" t="n">
        <v>115397</v>
      </c>
      <c r="C550" s="0" t="n">
        <v>4</v>
      </c>
      <c r="D550" s="0" t="inlineStr">
        <is>
          <t>창원중동유니시티2단지</t>
        </is>
      </c>
      <c r="E550" s="0" t="inlineStr">
        <is>
          <t>2019.06.</t>
        </is>
      </c>
      <c r="F550" s="0" t="n">
        <v>1064</v>
      </c>
      <c r="G550" s="0" t="n">
        <v>35.88</v>
      </c>
      <c r="H550" s="0" t="n">
        <v>118.62</v>
      </c>
      <c r="I550" s="0" t="n">
        <v>25.44</v>
      </c>
      <c r="J550" s="0" t="n">
        <v>84.09999999999999</v>
      </c>
      <c r="K550" s="0" t="n">
        <v>223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118B</t>
        </is>
      </c>
      <c r="X550" s="0" t="n">
        <v>42</v>
      </c>
      <c r="Y550" s="0" t="n">
        <v>31</v>
      </c>
      <c r="Z550" s="0" t="inlineStr">
        <is>
          <t>https://new.land.naver.com/complexes/115397?tab=detail&amp;rf=Y</t>
        </is>
      </c>
      <c r="AA550" s="0" t="inlineStr">
        <is>
          <t>경상남도 창원시 의창구 중동 785</t>
        </is>
      </c>
      <c r="AB550" s="0" t="inlineStr">
        <is>
          <t>경상남도</t>
        </is>
      </c>
      <c r="AC550" s="0" t="inlineStr">
        <is>
          <t>창원시</t>
        </is>
      </c>
      <c r="AD550" s="0" t="inlineStr">
        <is>
          <t>의창구</t>
        </is>
      </c>
      <c r="AE550" s="0" t="inlineStr">
        <is>
          <t>중동</t>
        </is>
      </c>
      <c r="AG550" s="0" t="inlineStr">
        <is>
          <t>경상남도 창원시 의창구 중동로 33</t>
        </is>
      </c>
      <c r="AH550" s="0" t="n">
        <v>0</v>
      </c>
      <c r="AI550" s="0" t="n">
        <v>247</v>
      </c>
    </row>
    <row r="551">
      <c r="A551" s="0" t="inlineStr">
        <is>
          <t>[중동]</t>
        </is>
      </c>
      <c r="B551" s="0" t="n">
        <v>115397</v>
      </c>
      <c r="C551" s="0" t="n">
        <v>5</v>
      </c>
      <c r="D551" s="0" t="inlineStr">
        <is>
          <t>창원중동유니시티2단지</t>
        </is>
      </c>
      <c r="E551" s="0" t="inlineStr">
        <is>
          <t>2019.06.</t>
        </is>
      </c>
      <c r="F551" s="0" t="n">
        <v>1064</v>
      </c>
      <c r="G551" s="0" t="n">
        <v>41.92</v>
      </c>
      <c r="H551" s="0" t="n">
        <v>138.58</v>
      </c>
      <c r="I551" s="0" t="n">
        <v>29.99</v>
      </c>
      <c r="J551" s="0" t="n">
        <v>99.17</v>
      </c>
      <c r="K551" s="0" t="n">
        <v>246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138</v>
      </c>
      <c r="X551" s="0" t="n">
        <v>42</v>
      </c>
      <c r="Y551" s="0" t="n">
        <v>31</v>
      </c>
      <c r="Z551" s="0" t="inlineStr">
        <is>
          <t>https://new.land.naver.com/complexes/115397?tab=detail&amp;rf=Y</t>
        </is>
      </c>
      <c r="AA551" s="0" t="inlineStr">
        <is>
          <t>경상남도 창원시 의창구 중동 785</t>
        </is>
      </c>
      <c r="AB551" s="0" t="inlineStr">
        <is>
          <t>경상남도</t>
        </is>
      </c>
      <c r="AC551" s="0" t="inlineStr">
        <is>
          <t>창원시</t>
        </is>
      </c>
      <c r="AD551" s="0" t="inlineStr">
        <is>
          <t>의창구</t>
        </is>
      </c>
      <c r="AE551" s="0" t="inlineStr">
        <is>
          <t>중동</t>
        </is>
      </c>
      <c r="AG551" s="0" t="inlineStr">
        <is>
          <t>경상남도 창원시 의창구 중동로 33</t>
        </is>
      </c>
      <c r="AH551" s="0" t="n">
        <v>0</v>
      </c>
      <c r="AI551" s="0" t="n">
        <v>247</v>
      </c>
    </row>
    <row r="552">
      <c r="A552" s="0" t="inlineStr">
        <is>
          <t>[팔용동]</t>
        </is>
      </c>
      <c r="B552" s="0" t="n">
        <v>16847</v>
      </c>
      <c r="C552" s="0" t="n">
        <v>1</v>
      </c>
      <c r="D552" s="0" t="inlineStr">
        <is>
          <t>대동차룡</t>
        </is>
      </c>
      <c r="E552" s="0" t="inlineStr">
        <is>
          <t>1994.09.</t>
        </is>
      </c>
      <c r="F552" s="0" t="n">
        <v>192</v>
      </c>
      <c r="G552" s="0" t="n">
        <v>20.88</v>
      </c>
      <c r="H552" s="0" t="n">
        <v>69.05</v>
      </c>
      <c r="I552" s="0" t="n">
        <v>15.11</v>
      </c>
      <c r="J552" s="0" t="n">
        <v>49.98</v>
      </c>
      <c r="K552" s="0" t="n">
        <v>192</v>
      </c>
      <c r="T552" s="0" t="n">
        <v>2</v>
      </c>
      <c r="U552" s="0" t="n">
        <v>1</v>
      </c>
      <c r="V552" s="0" t="inlineStr">
        <is>
          <t>복도식</t>
        </is>
      </c>
      <c r="W552" s="0" t="n">
        <v>69</v>
      </c>
      <c r="X552" s="0" t="n">
        <v>12</v>
      </c>
      <c r="Y552" s="0" t="n">
        <v>12</v>
      </c>
      <c r="Z552" s="0" t="inlineStr">
        <is>
          <t>https://new.land.naver.com/complexes/16847?tab=detail&amp;rf=Y</t>
        </is>
      </c>
      <c r="AA552" s="0" t="inlineStr">
        <is>
          <t>경상남도 창원시 의창구 팔용동 124-3</t>
        </is>
      </c>
      <c r="AB552" s="0" t="inlineStr">
        <is>
          <t>경상남도</t>
        </is>
      </c>
      <c r="AC552" s="0" t="inlineStr">
        <is>
          <t>창원시</t>
        </is>
      </c>
      <c r="AD552" s="0" t="inlineStr">
        <is>
          <t>의창구</t>
        </is>
      </c>
      <c r="AE552" s="0" t="inlineStr">
        <is>
          <t>팔용동</t>
        </is>
      </c>
      <c r="AG552" s="0" t="inlineStr">
        <is>
          <t>경상남도 창원시 의창구 반계로 95</t>
        </is>
      </c>
      <c r="AH552" s="0" t="n">
        <v>0</v>
      </c>
      <c r="AI552" s="0" t="n">
        <v>248</v>
      </c>
    </row>
    <row r="553">
      <c r="A553" s="0" t="inlineStr">
        <is>
          <t>[팔용동]</t>
        </is>
      </c>
      <c r="B553" s="0" t="n">
        <v>7821</v>
      </c>
      <c r="C553" s="0" t="n">
        <v>1</v>
      </c>
      <c r="D553" s="0" t="inlineStr">
        <is>
          <t>팔용벽산블루밍A단지</t>
        </is>
      </c>
      <c r="E553" s="0" t="inlineStr">
        <is>
          <t>2000.01.</t>
        </is>
      </c>
      <c r="F553" s="0" t="n">
        <v>672</v>
      </c>
      <c r="G553" s="0" t="n">
        <v>24.17</v>
      </c>
      <c r="H553" s="0" t="n">
        <v>79.93000000000001</v>
      </c>
      <c r="I553" s="0" t="n">
        <v>18.14</v>
      </c>
      <c r="J553" s="0" t="n">
        <v>59.97</v>
      </c>
      <c r="K553" s="0" t="n">
        <v>592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79</v>
      </c>
      <c r="X553" s="0" t="n">
        <v>20</v>
      </c>
      <c r="Y553" s="0" t="n">
        <v>18</v>
      </c>
      <c r="Z553" s="0" t="inlineStr">
        <is>
          <t>https://new.land.naver.com/complexes/7821?tab=detail&amp;rf=Y</t>
        </is>
      </c>
      <c r="AA553" s="0" t="inlineStr">
        <is>
          <t>경상남도 창원시 의창구 팔용동 123-1</t>
        </is>
      </c>
      <c r="AB553" s="0" t="inlineStr">
        <is>
          <t>경상남도</t>
        </is>
      </c>
      <c r="AC553" s="0" t="inlineStr">
        <is>
          <t>창원시</t>
        </is>
      </c>
      <c r="AD553" s="0" t="inlineStr">
        <is>
          <t>의창구</t>
        </is>
      </c>
      <c r="AE553" s="0" t="inlineStr">
        <is>
          <t>팔용동</t>
        </is>
      </c>
      <c r="AG553" s="0" t="inlineStr">
        <is>
          <t>경상남도 창원시 의창구 반계로 104-9</t>
        </is>
      </c>
      <c r="AH553" s="0" t="n">
        <v>0</v>
      </c>
      <c r="AI553" s="0" t="n">
        <v>275</v>
      </c>
    </row>
    <row r="554">
      <c r="A554" s="0" t="inlineStr">
        <is>
          <t>[팔용동]</t>
        </is>
      </c>
      <c r="B554" s="0" t="n">
        <v>7821</v>
      </c>
      <c r="C554" s="0" t="n">
        <v>2</v>
      </c>
      <c r="D554" s="0" t="inlineStr">
        <is>
          <t>팔용벽산블루밍A단지</t>
        </is>
      </c>
      <c r="E554" s="0" t="inlineStr">
        <is>
          <t>2000.01.</t>
        </is>
      </c>
      <c r="F554" s="0" t="n">
        <v>672</v>
      </c>
      <c r="G554" s="0" t="n">
        <v>32.34</v>
      </c>
      <c r="H554" s="0" t="n">
        <v>106.93</v>
      </c>
      <c r="I554" s="0" t="n">
        <v>25.68</v>
      </c>
      <c r="J554" s="0" t="n">
        <v>84.90000000000001</v>
      </c>
      <c r="K554" s="0" t="n">
        <v>80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106</v>
      </c>
      <c r="X554" s="0" t="n">
        <v>20</v>
      </c>
      <c r="Y554" s="0" t="n">
        <v>18</v>
      </c>
      <c r="Z554" s="0" t="inlineStr">
        <is>
          <t>https://new.land.naver.com/complexes/7821?tab=detail&amp;rf=Y</t>
        </is>
      </c>
      <c r="AA554" s="0" t="inlineStr">
        <is>
          <t>경상남도 창원시 의창구 팔용동 123-1</t>
        </is>
      </c>
      <c r="AB554" s="0" t="inlineStr">
        <is>
          <t>경상남도</t>
        </is>
      </c>
      <c r="AC554" s="0" t="inlineStr">
        <is>
          <t>창원시</t>
        </is>
      </c>
      <c r="AD554" s="0" t="inlineStr">
        <is>
          <t>의창구</t>
        </is>
      </c>
      <c r="AE554" s="0" t="inlineStr">
        <is>
          <t>팔용동</t>
        </is>
      </c>
      <c r="AG554" s="0" t="inlineStr">
        <is>
          <t>경상남도 창원시 의창구 반계로 104-9</t>
        </is>
      </c>
      <c r="AH554" s="0" t="n">
        <v>0</v>
      </c>
      <c r="AI554" s="0" t="n">
        <v>275</v>
      </c>
    </row>
    <row r="555">
      <c r="A555" s="0" t="inlineStr">
        <is>
          <t>[팔용동]</t>
        </is>
      </c>
      <c r="B555" s="0" t="n">
        <v>7822</v>
      </c>
      <c r="C555" s="0" t="n">
        <v>1</v>
      </c>
      <c r="D555" s="0" t="inlineStr">
        <is>
          <t>벽산블루밍B단지</t>
        </is>
      </c>
      <c r="E555" s="0" t="inlineStr">
        <is>
          <t>1999.06.</t>
        </is>
      </c>
      <c r="F555" s="0" t="n">
        <v>1650</v>
      </c>
      <c r="G555" s="0" t="n">
        <v>24.14</v>
      </c>
      <c r="H555" s="0" t="n">
        <v>79.81</v>
      </c>
      <c r="I555" s="0" t="n">
        <v>18.14</v>
      </c>
      <c r="J555" s="0" t="n">
        <v>59.97</v>
      </c>
      <c r="K555" s="0" t="n">
        <v>360</v>
      </c>
      <c r="T555" s="0" t="n">
        <v>3</v>
      </c>
      <c r="U555" s="0" t="n">
        <v>1</v>
      </c>
      <c r="V555" s="0" t="inlineStr">
        <is>
          <t>계단식</t>
        </is>
      </c>
      <c r="W555" s="0" t="n">
        <v>79</v>
      </c>
      <c r="X555" s="0" t="n">
        <v>20</v>
      </c>
      <c r="Y555" s="0" t="n">
        <v>16</v>
      </c>
      <c r="Z555" s="0" t="inlineStr">
        <is>
          <t>https://new.land.naver.com/complexes/7822?tab=detail&amp;rf=Y</t>
        </is>
      </c>
      <c r="AA555" s="0" t="inlineStr">
        <is>
          <t>경상남도 창원시 의창구 팔용동 122</t>
        </is>
      </c>
      <c r="AB555" s="0" t="inlineStr">
        <is>
          <t>경상남도</t>
        </is>
      </c>
      <c r="AC555" s="0" t="inlineStr">
        <is>
          <t>창원시</t>
        </is>
      </c>
      <c r="AD555" s="0" t="inlineStr">
        <is>
          <t>의창구</t>
        </is>
      </c>
      <c r="AE555" s="0" t="inlineStr">
        <is>
          <t>팔용동</t>
        </is>
      </c>
      <c r="AG555" s="0" t="inlineStr">
        <is>
          <t>경상남도 창원시 의창구 반계로 104-8</t>
        </is>
      </c>
      <c r="AH555" s="0" t="n">
        <v>0</v>
      </c>
      <c r="AI555" s="0" t="n">
        <v>290</v>
      </c>
    </row>
    <row r="556">
      <c r="A556" s="0" t="inlineStr">
        <is>
          <t>[팔용동]</t>
        </is>
      </c>
      <c r="B556" s="0" t="n">
        <v>7822</v>
      </c>
      <c r="C556" s="0" t="n">
        <v>2</v>
      </c>
      <c r="D556" s="0" t="inlineStr">
        <is>
          <t>벽산블루밍B단지</t>
        </is>
      </c>
      <c r="E556" s="0" t="inlineStr">
        <is>
          <t>1999.06.</t>
        </is>
      </c>
      <c r="F556" s="0" t="n">
        <v>1650</v>
      </c>
      <c r="G556" s="0" t="n">
        <v>28.75</v>
      </c>
      <c r="H556" s="0" t="n">
        <v>95.05</v>
      </c>
      <c r="I556" s="0" t="n">
        <v>22.38</v>
      </c>
      <c r="J556" s="0" t="n">
        <v>74.01000000000001</v>
      </c>
      <c r="K556" s="0" t="n">
        <v>570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95</v>
      </c>
      <c r="X556" s="0" t="n">
        <v>20</v>
      </c>
      <c r="Y556" s="0" t="n">
        <v>16</v>
      </c>
      <c r="Z556" s="0" t="inlineStr">
        <is>
          <t>https://new.land.naver.com/complexes/7822?tab=detail&amp;rf=Y</t>
        </is>
      </c>
      <c r="AA556" s="0" t="inlineStr">
        <is>
          <t>경상남도 창원시 의창구 팔용동 122</t>
        </is>
      </c>
      <c r="AB556" s="0" t="inlineStr">
        <is>
          <t>경상남도</t>
        </is>
      </c>
      <c r="AC556" s="0" t="inlineStr">
        <is>
          <t>창원시</t>
        </is>
      </c>
      <c r="AD556" s="0" t="inlineStr">
        <is>
          <t>의창구</t>
        </is>
      </c>
      <c r="AE556" s="0" t="inlineStr">
        <is>
          <t>팔용동</t>
        </is>
      </c>
      <c r="AG556" s="0" t="inlineStr">
        <is>
          <t>경상남도 창원시 의창구 반계로 104-8</t>
        </is>
      </c>
      <c r="AH556" s="0" t="n">
        <v>0</v>
      </c>
      <c r="AI556" s="0" t="n">
        <v>290</v>
      </c>
    </row>
    <row r="557">
      <c r="A557" s="0" t="inlineStr">
        <is>
          <t>[팔용동]</t>
        </is>
      </c>
      <c r="B557" s="0" t="n">
        <v>7822</v>
      </c>
      <c r="C557" s="0" t="n">
        <v>3</v>
      </c>
      <c r="D557" s="0" t="inlineStr">
        <is>
          <t>벽산블루밍B단지</t>
        </is>
      </c>
      <c r="E557" s="0" t="inlineStr">
        <is>
          <t>1999.06.</t>
        </is>
      </c>
      <c r="F557" s="0" t="n">
        <v>1650</v>
      </c>
      <c r="G557" s="0" t="n">
        <v>32.7</v>
      </c>
      <c r="H557" s="0" t="n">
        <v>108.1</v>
      </c>
      <c r="I557" s="0" t="n">
        <v>25.68</v>
      </c>
      <c r="J557" s="0" t="n">
        <v>84.90000000000001</v>
      </c>
      <c r="K557" s="0" t="n">
        <v>720</v>
      </c>
      <c r="T557" s="0" t="n">
        <v>3</v>
      </c>
      <c r="U557" s="0" t="n">
        <v>2</v>
      </c>
      <c r="V557" s="0" t="inlineStr">
        <is>
          <t>계단식</t>
        </is>
      </c>
      <c r="W557" s="0" t="n">
        <v>108</v>
      </c>
      <c r="X557" s="0" t="n">
        <v>20</v>
      </c>
      <c r="Y557" s="0" t="n">
        <v>16</v>
      </c>
      <c r="Z557" s="0" t="inlineStr">
        <is>
          <t>https://new.land.naver.com/complexes/7822?tab=detail&amp;rf=Y</t>
        </is>
      </c>
      <c r="AA557" s="0" t="inlineStr">
        <is>
          <t>경상남도 창원시 의창구 팔용동 122</t>
        </is>
      </c>
      <c r="AB557" s="0" t="inlineStr">
        <is>
          <t>경상남도</t>
        </is>
      </c>
      <c r="AC557" s="0" t="inlineStr">
        <is>
          <t>창원시</t>
        </is>
      </c>
      <c r="AD557" s="0" t="inlineStr">
        <is>
          <t>의창구</t>
        </is>
      </c>
      <c r="AE557" s="0" t="inlineStr">
        <is>
          <t>팔용동</t>
        </is>
      </c>
      <c r="AG557" s="0" t="inlineStr">
        <is>
          <t>경상남도 창원시 의창구 반계로 104-8</t>
        </is>
      </c>
      <c r="AH557" s="0" t="n">
        <v>0</v>
      </c>
      <c r="AI557" s="0" t="n">
        <v>290</v>
      </c>
    </row>
    <row r="558">
      <c r="A558" s="0" t="inlineStr">
        <is>
          <t>[팔용동]</t>
        </is>
      </c>
      <c r="B558" s="0" t="n">
        <v>16851</v>
      </c>
      <c r="C558" s="0" t="n">
        <v>1</v>
      </c>
      <c r="D558" s="0" t="inlineStr">
        <is>
          <t>벽산블루밍C단지</t>
        </is>
      </c>
      <c r="E558" s="0" t="inlineStr">
        <is>
          <t>1999.08.</t>
        </is>
      </c>
      <c r="F558" s="0" t="n">
        <v>594</v>
      </c>
      <c r="G558" s="0" t="n">
        <v>24.08</v>
      </c>
      <c r="H558" s="0" t="n">
        <v>79.61</v>
      </c>
      <c r="I558" s="0" t="n">
        <v>18.14</v>
      </c>
      <c r="J558" s="0" t="n">
        <v>59.97</v>
      </c>
      <c r="K558" s="0" t="n">
        <v>231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79</v>
      </c>
      <c r="X558" s="0" t="n">
        <v>18</v>
      </c>
      <c r="Y558" s="0" t="n">
        <v>16</v>
      </c>
      <c r="Z558" s="0" t="inlineStr">
        <is>
          <t>https://new.land.naver.com/complexes/16851?tab=detail&amp;rf=Y</t>
        </is>
      </c>
      <c r="AA558" s="0" t="inlineStr">
        <is>
          <t>경상남도 창원시 의창구 팔용동 125</t>
        </is>
      </c>
      <c r="AB558" s="0" t="inlineStr">
        <is>
          <t>경상남도</t>
        </is>
      </c>
      <c r="AC558" s="0" t="inlineStr">
        <is>
          <t>창원시</t>
        </is>
      </c>
      <c r="AD558" s="0" t="inlineStr">
        <is>
          <t>의창구</t>
        </is>
      </c>
      <c r="AE558" s="0" t="inlineStr">
        <is>
          <t>팔용동</t>
        </is>
      </c>
      <c r="AG558" s="0" t="inlineStr">
        <is>
          <t>경상남도 창원시 의창구 남산로 20</t>
        </is>
      </c>
      <c r="AH558" s="0" t="n">
        <v>0</v>
      </c>
      <c r="AI558" s="0" t="n">
        <v>283</v>
      </c>
    </row>
    <row r="559">
      <c r="A559" s="0" t="inlineStr">
        <is>
          <t>[팔용동]</t>
        </is>
      </c>
      <c r="B559" s="0" t="n">
        <v>16851</v>
      </c>
      <c r="C559" s="0" t="n">
        <v>2</v>
      </c>
      <c r="D559" s="0" t="inlineStr">
        <is>
          <t>벽산블루밍C단지</t>
        </is>
      </c>
      <c r="E559" s="0" t="inlineStr">
        <is>
          <t>1999.08.</t>
        </is>
      </c>
      <c r="F559" s="0" t="n">
        <v>594</v>
      </c>
      <c r="G559" s="0" t="n">
        <v>28.65</v>
      </c>
      <c r="H559" s="0" t="n">
        <v>94.73999999999999</v>
      </c>
      <c r="I559" s="0" t="n">
        <v>22.38</v>
      </c>
      <c r="J559" s="0" t="n">
        <v>74.01000000000001</v>
      </c>
      <c r="K559" s="0" t="n">
        <v>87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94</v>
      </c>
      <c r="X559" s="0" t="n">
        <v>18</v>
      </c>
      <c r="Y559" s="0" t="n">
        <v>16</v>
      </c>
      <c r="Z559" s="0" t="inlineStr">
        <is>
          <t>https://new.land.naver.com/complexes/16851?tab=detail&amp;rf=Y</t>
        </is>
      </c>
      <c r="AA559" s="0" t="inlineStr">
        <is>
          <t>경상남도 창원시 의창구 팔용동 125</t>
        </is>
      </c>
      <c r="AB559" s="0" t="inlineStr">
        <is>
          <t>경상남도</t>
        </is>
      </c>
      <c r="AC559" s="0" t="inlineStr">
        <is>
          <t>창원시</t>
        </is>
      </c>
      <c r="AD559" s="0" t="inlineStr">
        <is>
          <t>의창구</t>
        </is>
      </c>
      <c r="AE559" s="0" t="inlineStr">
        <is>
          <t>팔용동</t>
        </is>
      </c>
      <c r="AG559" s="0" t="inlineStr">
        <is>
          <t>경상남도 창원시 의창구 남산로 20</t>
        </is>
      </c>
      <c r="AH559" s="0" t="n">
        <v>0</v>
      </c>
      <c r="AI559" s="0" t="n">
        <v>283</v>
      </c>
    </row>
    <row r="560">
      <c r="A560" s="0" t="inlineStr">
        <is>
          <t>[팔용동]</t>
        </is>
      </c>
      <c r="B560" s="0" t="n">
        <v>16851</v>
      </c>
      <c r="C560" s="0" t="n">
        <v>3</v>
      </c>
      <c r="D560" s="0" t="inlineStr">
        <is>
          <t>벽산블루밍C단지</t>
        </is>
      </c>
      <c r="E560" s="0" t="inlineStr">
        <is>
          <t>1999.08.</t>
        </is>
      </c>
      <c r="F560" s="0" t="n">
        <v>594</v>
      </c>
      <c r="G560" s="0" t="n">
        <v>32.21</v>
      </c>
      <c r="H560" s="0" t="n">
        <v>106.48</v>
      </c>
      <c r="I560" s="0" t="n">
        <v>25.68</v>
      </c>
      <c r="J560" s="0" t="n">
        <v>84.90000000000001</v>
      </c>
      <c r="K560" s="0" t="n">
        <v>276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106</v>
      </c>
      <c r="X560" s="0" t="n">
        <v>18</v>
      </c>
      <c r="Y560" s="0" t="n">
        <v>16</v>
      </c>
      <c r="Z560" s="0" t="inlineStr">
        <is>
          <t>https://new.land.naver.com/complexes/16851?tab=detail&amp;rf=Y</t>
        </is>
      </c>
      <c r="AA560" s="0" t="inlineStr">
        <is>
          <t>경상남도 창원시 의창구 팔용동 125</t>
        </is>
      </c>
      <c r="AB560" s="0" t="inlineStr">
        <is>
          <t>경상남도</t>
        </is>
      </c>
      <c r="AC560" s="0" t="inlineStr">
        <is>
          <t>창원시</t>
        </is>
      </c>
      <c r="AD560" s="0" t="inlineStr">
        <is>
          <t>의창구</t>
        </is>
      </c>
      <c r="AE560" s="0" t="inlineStr">
        <is>
          <t>팔용동</t>
        </is>
      </c>
      <c r="AG560" s="0" t="inlineStr">
        <is>
          <t>경상남도 창원시 의창구 남산로 20</t>
        </is>
      </c>
      <c r="AH560" s="0" t="n">
        <v>0</v>
      </c>
      <c r="AI560" s="0" t="n">
        <v>283</v>
      </c>
    </row>
    <row r="561">
      <c r="A561" s="0" t="inlineStr">
        <is>
          <t>[팔용동]</t>
        </is>
      </c>
      <c r="B561" s="0" t="n">
        <v>16849</v>
      </c>
      <c r="C561" s="0" t="n">
        <v>1</v>
      </c>
      <c r="D561" s="0" t="inlineStr">
        <is>
          <t>원풍</t>
        </is>
      </c>
      <c r="E561" s="0" t="inlineStr">
        <is>
          <t>2000.09.</t>
        </is>
      </c>
      <c r="F561" s="0" t="n">
        <v>143</v>
      </c>
      <c r="G561" s="0" t="n">
        <v>34.57</v>
      </c>
      <c r="H561" s="0" t="n">
        <v>114.29</v>
      </c>
      <c r="I561" s="0" t="n">
        <v>25.56</v>
      </c>
      <c r="J561" s="0" t="n">
        <v>84.52</v>
      </c>
      <c r="K561" s="0" t="n">
        <v>143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114</v>
      </c>
      <c r="X561" s="0" t="n">
        <v>12</v>
      </c>
      <c r="Y561" s="0" t="n">
        <v>12</v>
      </c>
      <c r="Z561" s="0" t="inlineStr">
        <is>
          <t>https://new.land.naver.com/complexes/16849?tab=detail&amp;rf=Y</t>
        </is>
      </c>
      <c r="AA561" s="0" t="inlineStr">
        <is>
          <t>경상남도 창원시 의창구 팔용동 76</t>
        </is>
      </c>
      <c r="AB561" s="0" t="inlineStr">
        <is>
          <t>경상남도</t>
        </is>
      </c>
      <c r="AC561" s="0" t="inlineStr">
        <is>
          <t>창원시</t>
        </is>
      </c>
      <c r="AD561" s="0" t="inlineStr">
        <is>
          <t>의창구</t>
        </is>
      </c>
      <c r="AE561" s="0" t="inlineStr">
        <is>
          <t>팔용동</t>
        </is>
      </c>
      <c r="AG561" s="0" t="inlineStr">
        <is>
          <t>경상남도 창원시 의창구 사화로90번길 6</t>
        </is>
      </c>
      <c r="AH561" s="0" t="n">
        <v>0</v>
      </c>
      <c r="AI561" s="0" t="n">
        <v>219</v>
      </c>
    </row>
    <row r="562">
      <c r="A562" s="0" t="inlineStr">
        <is>
          <t>[팔용동]</t>
        </is>
      </c>
      <c r="B562" s="0" t="n">
        <v>115640</v>
      </c>
      <c r="C562" s="0" t="n">
        <v>1</v>
      </c>
      <c r="D562" s="0" t="inlineStr">
        <is>
          <t>힐스테이트아티움시티</t>
        </is>
      </c>
      <c r="E562" s="0" t="inlineStr">
        <is>
          <t>2020.05.</t>
        </is>
      </c>
      <c r="F562" s="0" t="n">
        <v>1132</v>
      </c>
      <c r="G562" s="0" t="n">
        <v>34.14</v>
      </c>
      <c r="H562" s="0" t="n">
        <v>112.86</v>
      </c>
      <c r="I562" s="0" t="n">
        <v>25.67</v>
      </c>
      <c r="J562" s="0" t="n">
        <v>84.86</v>
      </c>
      <c r="K562" s="0" t="n">
        <v>378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112A</t>
        </is>
      </c>
      <c r="X562" s="0" t="n">
        <v>49</v>
      </c>
      <c r="Y562" s="0" t="n">
        <v>49</v>
      </c>
      <c r="Z562" s="0" t="inlineStr">
        <is>
          <t>https://new.land.naver.com/complexes/115640?tab=detail&amp;rf=Y</t>
        </is>
      </c>
      <c r="AA562" s="0" t="inlineStr">
        <is>
          <t>경상남도 창원시 의창구 팔용동 35-1</t>
        </is>
      </c>
      <c r="AB562" s="0" t="inlineStr">
        <is>
          <t>경상남도</t>
        </is>
      </c>
      <c r="AC562" s="0" t="inlineStr">
        <is>
          <t>창원시</t>
        </is>
      </c>
      <c r="AD562" s="0" t="inlineStr">
        <is>
          <t>의창구</t>
        </is>
      </c>
      <c r="AE562" s="0" t="inlineStr">
        <is>
          <t>팔용동</t>
        </is>
      </c>
      <c r="AG562" s="0" t="inlineStr">
        <is>
          <t>경상남도 창원시 의창구 창원대로397번길 11</t>
        </is>
      </c>
      <c r="AH562" s="0" t="n">
        <v>0</v>
      </c>
      <c r="AI562" s="0" t="n">
        <v>687</v>
      </c>
    </row>
    <row r="563">
      <c r="A563" s="0" t="inlineStr">
        <is>
          <t>[팔용동]</t>
        </is>
      </c>
      <c r="B563" s="0" t="n">
        <v>115640</v>
      </c>
      <c r="C563" s="0" t="n">
        <v>2</v>
      </c>
      <c r="D563" s="0" t="inlineStr">
        <is>
          <t>힐스테이트아티움시티</t>
        </is>
      </c>
      <c r="E563" s="0" t="inlineStr">
        <is>
          <t>2020.05.</t>
        </is>
      </c>
      <c r="F563" s="0" t="n">
        <v>1132</v>
      </c>
      <c r="G563" s="0" t="n">
        <v>34.58</v>
      </c>
      <c r="H563" s="0" t="n">
        <v>114.33</v>
      </c>
      <c r="I563" s="0" t="n">
        <v>25.59</v>
      </c>
      <c r="J563" s="0" t="n">
        <v>84.62</v>
      </c>
      <c r="K563" s="0" t="n">
        <v>378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114C</t>
        </is>
      </c>
      <c r="X563" s="0" t="n">
        <v>49</v>
      </c>
      <c r="Y563" s="0" t="n">
        <v>49</v>
      </c>
      <c r="Z563" s="0" t="inlineStr">
        <is>
          <t>https://new.land.naver.com/complexes/115640?tab=detail&amp;rf=Y</t>
        </is>
      </c>
      <c r="AA563" s="0" t="inlineStr">
        <is>
          <t>경상남도 창원시 의창구 팔용동 35-1</t>
        </is>
      </c>
      <c r="AB563" s="0" t="inlineStr">
        <is>
          <t>경상남도</t>
        </is>
      </c>
      <c r="AC563" s="0" t="inlineStr">
        <is>
          <t>창원시</t>
        </is>
      </c>
      <c r="AD563" s="0" t="inlineStr">
        <is>
          <t>의창구</t>
        </is>
      </c>
      <c r="AE563" s="0" t="inlineStr">
        <is>
          <t>팔용동</t>
        </is>
      </c>
      <c r="AG563" s="0" t="inlineStr">
        <is>
          <t>경상남도 창원시 의창구 창원대로397번길 11</t>
        </is>
      </c>
      <c r="AH563" s="0" t="n">
        <v>0</v>
      </c>
      <c r="AI563" s="0" t="n">
        <v>687</v>
      </c>
    </row>
    <row r="564">
      <c r="A564" s="0" t="inlineStr">
        <is>
          <t>[팔용동]</t>
        </is>
      </c>
      <c r="B564" s="0" t="n">
        <v>115640</v>
      </c>
      <c r="C564" s="0" t="n">
        <v>3</v>
      </c>
      <c r="D564" s="0" t="inlineStr">
        <is>
          <t>힐스테이트아티움시티</t>
        </is>
      </c>
      <c r="E564" s="0" t="inlineStr">
        <is>
          <t>2020.05.</t>
        </is>
      </c>
      <c r="F564" s="0" t="n">
        <v>1132</v>
      </c>
      <c r="G564" s="0" t="n">
        <v>34.74</v>
      </c>
      <c r="H564" s="0" t="n">
        <v>114.85</v>
      </c>
      <c r="I564" s="0" t="n">
        <v>25.67</v>
      </c>
      <c r="J564" s="0" t="n">
        <v>84.86</v>
      </c>
      <c r="K564" s="0" t="n">
        <v>376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114B</t>
        </is>
      </c>
      <c r="X564" s="0" t="n">
        <v>49</v>
      </c>
      <c r="Y564" s="0" t="n">
        <v>49</v>
      </c>
      <c r="Z564" s="0" t="inlineStr">
        <is>
          <t>https://new.land.naver.com/complexes/115640?tab=detail&amp;rf=Y</t>
        </is>
      </c>
      <c r="AA564" s="0" t="inlineStr">
        <is>
          <t>경상남도 창원시 의창구 팔용동 35-1</t>
        </is>
      </c>
      <c r="AB564" s="0" t="inlineStr">
        <is>
          <t>경상남도</t>
        </is>
      </c>
      <c r="AC564" s="0" t="inlineStr">
        <is>
          <t>창원시</t>
        </is>
      </c>
      <c r="AD564" s="0" t="inlineStr">
        <is>
          <t>의창구</t>
        </is>
      </c>
      <c r="AE564" s="0" t="inlineStr">
        <is>
          <t>팔용동</t>
        </is>
      </c>
      <c r="AG564" s="0" t="inlineStr">
        <is>
          <t>경상남도 창원시 의창구 창원대로397번길 11</t>
        </is>
      </c>
      <c r="AH564" s="0" t="n">
        <v>0</v>
      </c>
      <c r="AI564" s="0" t="n">
        <v>687</v>
      </c>
    </row>
    <row r="565">
      <c r="A565" s="0" t="inlineStr">
        <is>
          <t>[팔용동]</t>
        </is>
      </c>
      <c r="B565" s="0" t="n">
        <v>7816</v>
      </c>
      <c r="C565" s="0" t="n">
        <v>1</v>
      </c>
      <c r="D565" s="0" t="inlineStr">
        <is>
          <t>극동</t>
        </is>
      </c>
      <c r="E565" s="0" t="inlineStr">
        <is>
          <t>1994.12.</t>
        </is>
      </c>
      <c r="F565" s="0" t="n">
        <v>1059</v>
      </c>
      <c r="G565" s="0" t="n">
        <v>22.05</v>
      </c>
      <c r="H565" s="0" t="n">
        <v>72.92</v>
      </c>
      <c r="I565" s="0" t="n">
        <v>15.09</v>
      </c>
      <c r="J565" s="0" t="n">
        <v>49.9</v>
      </c>
      <c r="K565" s="0" t="n">
        <v>108</v>
      </c>
      <c r="T565" s="0" t="n">
        <v>2</v>
      </c>
      <c r="U565" s="0" t="n">
        <v>1</v>
      </c>
      <c r="V565" s="0" t="inlineStr">
        <is>
          <t>복도식</t>
        </is>
      </c>
      <c r="W565" s="0" t="n">
        <v>72</v>
      </c>
      <c r="X565" s="0" t="n">
        <v>20</v>
      </c>
      <c r="Y565" s="0" t="n">
        <v>16</v>
      </c>
      <c r="Z565" s="0" t="inlineStr">
        <is>
          <t>https://new.land.naver.com/complexes/7816?tab=detail&amp;rf=Y</t>
        </is>
      </c>
      <c r="AA565" s="0" t="inlineStr">
        <is>
          <t>경상남도 창원시 의창구 팔용동 124-1</t>
        </is>
      </c>
      <c r="AB565" s="0" t="inlineStr">
        <is>
          <t>경상남도</t>
        </is>
      </c>
      <c r="AC565" s="0" t="inlineStr">
        <is>
          <t>창원시</t>
        </is>
      </c>
      <c r="AD565" s="0" t="inlineStr">
        <is>
          <t>의창구</t>
        </is>
      </c>
      <c r="AE565" s="0" t="inlineStr">
        <is>
          <t>팔용동</t>
        </is>
      </c>
      <c r="AG565" s="0" t="inlineStr">
        <is>
          <t>경상남도 창원시 의창구 팔용로 446</t>
        </is>
      </c>
      <c r="AH565" s="0" t="n">
        <v>0</v>
      </c>
      <c r="AI565" s="0" t="n">
        <v>321</v>
      </c>
    </row>
    <row r="566">
      <c r="A566" s="0" t="inlineStr">
        <is>
          <t>[팔용동]</t>
        </is>
      </c>
      <c r="B566" s="0" t="n">
        <v>7816</v>
      </c>
      <c r="C566" s="0" t="n">
        <v>2</v>
      </c>
      <c r="D566" s="0" t="inlineStr">
        <is>
          <t>극동</t>
        </is>
      </c>
      <c r="E566" s="0" t="inlineStr">
        <is>
          <t>1994.12.</t>
        </is>
      </c>
      <c r="F566" s="0" t="n">
        <v>1059</v>
      </c>
      <c r="G566" s="0" t="n">
        <v>26.22</v>
      </c>
      <c r="H566" s="0" t="n">
        <v>86.70999999999999</v>
      </c>
      <c r="I566" s="0" t="n">
        <v>17.95</v>
      </c>
      <c r="J566" s="0" t="n">
        <v>59.34</v>
      </c>
      <c r="K566" s="0" t="n">
        <v>299</v>
      </c>
      <c r="T566" s="0" t="n">
        <v>3</v>
      </c>
      <c r="U566" s="0" t="n">
        <v>1</v>
      </c>
      <c r="V566" s="0" t="inlineStr">
        <is>
          <t>복도식</t>
        </is>
      </c>
      <c r="W566" s="0" t="n">
        <v>86</v>
      </c>
      <c r="X566" s="0" t="n">
        <v>20</v>
      </c>
      <c r="Y566" s="0" t="n">
        <v>16</v>
      </c>
      <c r="Z566" s="0" t="inlineStr">
        <is>
          <t>https://new.land.naver.com/complexes/7816?tab=detail&amp;rf=Y</t>
        </is>
      </c>
      <c r="AA566" s="0" t="inlineStr">
        <is>
          <t>경상남도 창원시 의창구 팔용동 124-1</t>
        </is>
      </c>
      <c r="AB566" s="0" t="inlineStr">
        <is>
          <t>경상남도</t>
        </is>
      </c>
      <c r="AC566" s="0" t="inlineStr">
        <is>
          <t>창원시</t>
        </is>
      </c>
      <c r="AD566" s="0" t="inlineStr">
        <is>
          <t>의창구</t>
        </is>
      </c>
      <c r="AE566" s="0" t="inlineStr">
        <is>
          <t>팔용동</t>
        </is>
      </c>
      <c r="AG566" s="0" t="inlineStr">
        <is>
          <t>경상남도 창원시 의창구 팔용로 446</t>
        </is>
      </c>
      <c r="AH566" s="0" t="n">
        <v>0</v>
      </c>
      <c r="AI566" s="0" t="n">
        <v>321</v>
      </c>
    </row>
    <row r="567">
      <c r="A567" s="0" t="inlineStr">
        <is>
          <t>[팔용동]</t>
        </is>
      </c>
      <c r="B567" s="0" t="n">
        <v>7816</v>
      </c>
      <c r="C567" s="0" t="n">
        <v>3</v>
      </c>
      <c r="D567" s="0" t="inlineStr">
        <is>
          <t>극동</t>
        </is>
      </c>
      <c r="E567" s="0" t="inlineStr">
        <is>
          <t>1994.12.</t>
        </is>
      </c>
      <c r="F567" s="0" t="n">
        <v>1059</v>
      </c>
      <c r="G567" s="0" t="n">
        <v>31.91</v>
      </c>
      <c r="H567" s="0" t="n">
        <v>105.49</v>
      </c>
      <c r="I567" s="0" t="n">
        <v>25.67</v>
      </c>
      <c r="J567" s="0" t="n">
        <v>84.88</v>
      </c>
      <c r="K567" s="0" t="n">
        <v>360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105</v>
      </c>
      <c r="X567" s="0" t="n">
        <v>20</v>
      </c>
      <c r="Y567" s="0" t="n">
        <v>16</v>
      </c>
      <c r="Z567" s="0" t="inlineStr">
        <is>
          <t>https://new.land.naver.com/complexes/7816?tab=detail&amp;rf=Y</t>
        </is>
      </c>
      <c r="AA567" s="0" t="inlineStr">
        <is>
          <t>경상남도 창원시 의창구 팔용동 124-1</t>
        </is>
      </c>
      <c r="AB567" s="0" t="inlineStr">
        <is>
          <t>경상남도</t>
        </is>
      </c>
      <c r="AC567" s="0" t="inlineStr">
        <is>
          <t>창원시</t>
        </is>
      </c>
      <c r="AD567" s="0" t="inlineStr">
        <is>
          <t>의창구</t>
        </is>
      </c>
      <c r="AE567" s="0" t="inlineStr">
        <is>
          <t>팔용동</t>
        </is>
      </c>
      <c r="AG567" s="0" t="inlineStr">
        <is>
          <t>경상남도 창원시 의창구 팔용로 446</t>
        </is>
      </c>
      <c r="AH567" s="0" t="n">
        <v>0</v>
      </c>
      <c r="AI567" s="0" t="n">
        <v>321</v>
      </c>
    </row>
    <row r="568">
      <c r="A568" s="0" t="inlineStr">
        <is>
          <t>[팔용동]</t>
        </is>
      </c>
      <c r="B568" s="0" t="n">
        <v>7816</v>
      </c>
      <c r="C568" s="0" t="n">
        <v>4</v>
      </c>
      <c r="D568" s="0" t="inlineStr">
        <is>
          <t>극동</t>
        </is>
      </c>
      <c r="E568" s="0" t="inlineStr">
        <is>
          <t>1994.12.</t>
        </is>
      </c>
      <c r="F568" s="0" t="n">
        <v>1059</v>
      </c>
      <c r="G568" s="0" t="n">
        <v>40.87</v>
      </c>
      <c r="H568" s="0" t="n">
        <v>135.12</v>
      </c>
      <c r="I568" s="0" t="n">
        <v>32.88</v>
      </c>
      <c r="J568" s="0" t="n">
        <v>108.72</v>
      </c>
      <c r="K568" s="0" t="n">
        <v>292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135</v>
      </c>
      <c r="X568" s="0" t="n">
        <v>20</v>
      </c>
      <c r="Y568" s="0" t="n">
        <v>16</v>
      </c>
      <c r="Z568" s="0" t="inlineStr">
        <is>
          <t>https://new.land.naver.com/complexes/7816?tab=detail&amp;rf=Y</t>
        </is>
      </c>
      <c r="AA568" s="0" t="inlineStr">
        <is>
          <t>경상남도 창원시 의창구 팔용동 124-1</t>
        </is>
      </c>
      <c r="AB568" s="0" t="inlineStr">
        <is>
          <t>경상남도</t>
        </is>
      </c>
      <c r="AC568" s="0" t="inlineStr">
        <is>
          <t>창원시</t>
        </is>
      </c>
      <c r="AD568" s="0" t="inlineStr">
        <is>
          <t>의창구</t>
        </is>
      </c>
      <c r="AE568" s="0" t="inlineStr">
        <is>
          <t>팔용동</t>
        </is>
      </c>
      <c r="AG568" s="0" t="inlineStr">
        <is>
          <t>경상남도 창원시 의창구 팔용로 446</t>
        </is>
      </c>
      <c r="AH568" s="0" t="n">
        <v>0</v>
      </c>
      <c r="AI568" s="0" t="n">
        <v>321</v>
      </c>
    </row>
    <row r="569">
      <c r="A569" s="0" t="inlineStr">
        <is>
          <t>[팔용동]</t>
        </is>
      </c>
      <c r="B569" s="0" t="n">
        <v>124719</v>
      </c>
      <c r="C569" s="0" t="n">
        <v>1</v>
      </c>
      <c r="D569" s="0" t="inlineStr">
        <is>
          <t>상아데파트</t>
        </is>
      </c>
      <c r="E569" s="0" t="inlineStr">
        <is>
          <t>1991.05.</t>
        </is>
      </c>
      <c r="F569" s="0" t="n">
        <v>15</v>
      </c>
      <c r="G569" s="0" t="n">
        <v>34.07</v>
      </c>
      <c r="H569" s="0" t="n">
        <v>112.63</v>
      </c>
      <c r="I569" s="0" t="n">
        <v>25.66</v>
      </c>
      <c r="J569" s="0" t="n">
        <v>84.84999999999999</v>
      </c>
      <c r="K569" s="0" t="n">
        <v>15</v>
      </c>
      <c r="T569" s="0" t="n">
        <v>3</v>
      </c>
      <c r="U569" s="0" t="n">
        <v>1</v>
      </c>
      <c r="V569" s="0" t="inlineStr">
        <is>
          <t>계단식</t>
        </is>
      </c>
      <c r="W569" s="0" t="n">
        <v>112</v>
      </c>
      <c r="X569" s="0" t="n">
        <v>9</v>
      </c>
      <c r="Y569" s="0" t="n">
        <v>9</v>
      </c>
      <c r="Z569" s="0" t="inlineStr">
        <is>
          <t>https://new.land.naver.com/complexes/124719?tab=detail&amp;rf=Y</t>
        </is>
      </c>
      <c r="AA569" s="0" t="inlineStr">
        <is>
          <t>경상남도 창원시 의창구 팔용동 165-7</t>
        </is>
      </c>
      <c r="AB569" s="0" t="inlineStr">
        <is>
          <t>경상남도</t>
        </is>
      </c>
      <c r="AC569" s="0" t="inlineStr">
        <is>
          <t>창원시</t>
        </is>
      </c>
      <c r="AD569" s="0" t="inlineStr">
        <is>
          <t>의창구</t>
        </is>
      </c>
      <c r="AE569" s="0" t="inlineStr">
        <is>
          <t>팔용동</t>
        </is>
      </c>
      <c r="AG569" s="0" t="inlineStr">
        <is>
          <t>경상남도 창원시 의창구 사화로9번길 26</t>
        </is>
      </c>
      <c r="AH569" s="0" t="n">
        <v>0</v>
      </c>
      <c r="AI569" s="0" t="n">
        <v>256</v>
      </c>
    </row>
    <row r="570">
      <c r="A570" s="0" t="inlineStr">
        <is>
          <t>[팔용동]</t>
        </is>
      </c>
      <c r="B570" s="0" t="n">
        <v>16845</v>
      </c>
      <c r="C570" s="0" t="n">
        <v>1</v>
      </c>
      <c r="D570" s="0" t="inlineStr">
        <is>
          <t>국제</t>
        </is>
      </c>
      <c r="E570" s="0" t="inlineStr">
        <is>
          <t>1991.05.</t>
        </is>
      </c>
      <c r="F570" s="0" t="n">
        <v>60</v>
      </c>
      <c r="G570" s="0" t="n">
        <v>18.54</v>
      </c>
      <c r="H570" s="0" t="n">
        <v>61.32</v>
      </c>
      <c r="I570" s="0" t="n">
        <v>16.17</v>
      </c>
      <c r="J570" s="0" t="n">
        <v>53.46</v>
      </c>
      <c r="K570" s="0" t="n">
        <v>4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61</v>
      </c>
      <c r="X570" s="0" t="n">
        <v>6</v>
      </c>
      <c r="Y570" s="0" t="n">
        <v>5</v>
      </c>
      <c r="Z570" s="0" t="inlineStr">
        <is>
          <t>https://new.land.naver.com/complexes/16845?tab=detail&amp;rf=Y</t>
        </is>
      </c>
      <c r="AA570" s="0" t="inlineStr">
        <is>
          <t>경상남도 창원시 의창구 팔용동 185-8</t>
        </is>
      </c>
      <c r="AB570" s="0" t="inlineStr">
        <is>
          <t>경상남도</t>
        </is>
      </c>
      <c r="AC570" s="0" t="inlineStr">
        <is>
          <t>창원시</t>
        </is>
      </c>
      <c r="AD570" s="0" t="inlineStr">
        <is>
          <t>의창구</t>
        </is>
      </c>
      <c r="AE570" s="0" t="inlineStr">
        <is>
          <t>팔용동</t>
        </is>
      </c>
      <c r="AG570" s="0" t="inlineStr">
        <is>
          <t>경상남도 창원시 의창구 의창대로156번길 15-14</t>
        </is>
      </c>
      <c r="AH570" s="0" t="n">
        <v>0</v>
      </c>
      <c r="AI570" s="0" t="n">
        <v>0</v>
      </c>
    </row>
    <row r="571">
      <c r="A571" s="0" t="inlineStr">
        <is>
          <t>[팔용동]</t>
        </is>
      </c>
      <c r="B571" s="0" t="n">
        <v>16845</v>
      </c>
      <c r="C571" s="0" t="n">
        <v>2</v>
      </c>
      <c r="D571" s="0" t="inlineStr">
        <is>
          <t>국제</t>
        </is>
      </c>
      <c r="E571" s="0" t="inlineStr">
        <is>
          <t>1991.05.</t>
        </is>
      </c>
      <c r="F571" s="0" t="n">
        <v>60</v>
      </c>
      <c r="G571" s="0" t="n">
        <v>23.52</v>
      </c>
      <c r="H571" s="0" t="n">
        <v>77.78</v>
      </c>
      <c r="I571" s="0" t="n">
        <v>20.51</v>
      </c>
      <c r="J571" s="0" t="n">
        <v>67.81</v>
      </c>
      <c r="K571" s="0" t="n">
        <v>4</v>
      </c>
      <c r="T571" s="0" t="n">
        <v>3</v>
      </c>
      <c r="U571" s="0" t="n">
        <v>1</v>
      </c>
      <c r="V571" s="0" t="inlineStr">
        <is>
          <t>계단식</t>
        </is>
      </c>
      <c r="W571" s="0" t="inlineStr">
        <is>
          <t>77A</t>
        </is>
      </c>
      <c r="X571" s="0" t="n">
        <v>6</v>
      </c>
      <c r="Y571" s="0" t="n">
        <v>5</v>
      </c>
      <c r="Z571" s="0" t="inlineStr">
        <is>
          <t>https://new.land.naver.com/complexes/16845?tab=detail&amp;rf=Y</t>
        </is>
      </c>
      <c r="AA571" s="0" t="inlineStr">
        <is>
          <t>경상남도 창원시 의창구 팔용동 185-8</t>
        </is>
      </c>
      <c r="AB571" s="0" t="inlineStr">
        <is>
          <t>경상남도</t>
        </is>
      </c>
      <c r="AC571" s="0" t="inlineStr">
        <is>
          <t>창원시</t>
        </is>
      </c>
      <c r="AD571" s="0" t="inlineStr">
        <is>
          <t>의창구</t>
        </is>
      </c>
      <c r="AE571" s="0" t="inlineStr">
        <is>
          <t>팔용동</t>
        </is>
      </c>
      <c r="AG571" s="0" t="inlineStr">
        <is>
          <t>경상남도 창원시 의창구 의창대로156번길 15-14</t>
        </is>
      </c>
      <c r="AH571" s="0" t="n">
        <v>0</v>
      </c>
      <c r="AI571" s="0" t="n">
        <v>0</v>
      </c>
    </row>
    <row r="572">
      <c r="A572" s="0" t="inlineStr">
        <is>
          <t>[팔용동]</t>
        </is>
      </c>
      <c r="B572" s="0" t="n">
        <v>16845</v>
      </c>
      <c r="C572" s="0" t="n">
        <v>3</v>
      </c>
      <c r="D572" s="0" t="inlineStr">
        <is>
          <t>국제</t>
        </is>
      </c>
      <c r="E572" s="0" t="inlineStr">
        <is>
          <t>1991.05.</t>
        </is>
      </c>
      <c r="F572" s="0" t="n">
        <v>60</v>
      </c>
      <c r="G572" s="0" t="n">
        <v>24.46</v>
      </c>
      <c r="H572" s="0" t="n">
        <v>80.87</v>
      </c>
      <c r="I572" s="0" t="n">
        <v>21.32</v>
      </c>
      <c r="J572" s="0" t="n">
        <v>70.5</v>
      </c>
      <c r="K572" s="0" t="n">
        <v>1</v>
      </c>
      <c r="T572" s="0" t="n">
        <v>3</v>
      </c>
      <c r="U572" s="0" t="n">
        <v>1</v>
      </c>
      <c r="V572" s="0" t="inlineStr">
        <is>
          <t>계단식</t>
        </is>
      </c>
      <c r="W572" s="0" t="inlineStr">
        <is>
          <t>80B</t>
        </is>
      </c>
      <c r="X572" s="0" t="n">
        <v>6</v>
      </c>
      <c r="Y572" s="0" t="n">
        <v>5</v>
      </c>
      <c r="Z572" s="0" t="inlineStr">
        <is>
          <t>https://new.land.naver.com/complexes/16845?tab=detail&amp;rf=Y</t>
        </is>
      </c>
      <c r="AA572" s="0" t="inlineStr">
        <is>
          <t>경상남도 창원시 의창구 팔용동 185-8</t>
        </is>
      </c>
      <c r="AB572" s="0" t="inlineStr">
        <is>
          <t>경상남도</t>
        </is>
      </c>
      <c r="AC572" s="0" t="inlineStr">
        <is>
          <t>창원시</t>
        </is>
      </c>
      <c r="AD572" s="0" t="inlineStr">
        <is>
          <t>의창구</t>
        </is>
      </c>
      <c r="AE572" s="0" t="inlineStr">
        <is>
          <t>팔용동</t>
        </is>
      </c>
      <c r="AG572" s="0" t="inlineStr">
        <is>
          <t>경상남도 창원시 의창구 의창대로156번길 15-14</t>
        </is>
      </c>
      <c r="AH572" s="0" t="n">
        <v>0</v>
      </c>
      <c r="AI572" s="0" t="n">
        <v>0</v>
      </c>
    </row>
    <row r="573">
      <c r="A573" s="0" t="inlineStr">
        <is>
          <t>[팔용동]</t>
        </is>
      </c>
      <c r="B573" s="0" t="n">
        <v>16845</v>
      </c>
      <c r="C573" s="0" t="n">
        <v>4</v>
      </c>
      <c r="D573" s="0" t="inlineStr">
        <is>
          <t>국제</t>
        </is>
      </c>
      <c r="E573" s="0" t="inlineStr">
        <is>
          <t>1991.05.</t>
        </is>
      </c>
      <c r="F573" s="0" t="n">
        <v>60</v>
      </c>
      <c r="G573" s="0" t="n">
        <v>26.36</v>
      </c>
      <c r="H573" s="0" t="n">
        <v>87.16</v>
      </c>
      <c r="I573" s="0" t="n">
        <v>22.98</v>
      </c>
      <c r="J573" s="0" t="n">
        <v>75.98999999999999</v>
      </c>
      <c r="K573" s="0" t="n">
        <v>32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87</v>
      </c>
      <c r="X573" s="0" t="n">
        <v>6</v>
      </c>
      <c r="Y573" s="0" t="n">
        <v>5</v>
      </c>
      <c r="Z573" s="0" t="inlineStr">
        <is>
          <t>https://new.land.naver.com/complexes/16845?tab=detail&amp;rf=Y</t>
        </is>
      </c>
      <c r="AA573" s="0" t="inlineStr">
        <is>
          <t>경상남도 창원시 의창구 팔용동 185-8</t>
        </is>
      </c>
      <c r="AB573" s="0" t="inlineStr">
        <is>
          <t>경상남도</t>
        </is>
      </c>
      <c r="AC573" s="0" t="inlineStr">
        <is>
          <t>창원시</t>
        </is>
      </c>
      <c r="AD573" s="0" t="inlineStr">
        <is>
          <t>의창구</t>
        </is>
      </c>
      <c r="AE573" s="0" t="inlineStr">
        <is>
          <t>팔용동</t>
        </is>
      </c>
      <c r="AG573" s="0" t="inlineStr">
        <is>
          <t>경상남도 창원시 의창구 의창대로156번길 15-14</t>
        </is>
      </c>
      <c r="AH573" s="0" t="n">
        <v>0</v>
      </c>
      <c r="AI573" s="0" t="n">
        <v>0</v>
      </c>
    </row>
    <row r="574">
      <c r="A574" s="0" t="inlineStr">
        <is>
          <t>[팔용동]</t>
        </is>
      </c>
      <c r="B574" s="0" t="n">
        <v>16845</v>
      </c>
      <c r="C574" s="0" t="n">
        <v>5</v>
      </c>
      <c r="D574" s="0" t="inlineStr">
        <is>
          <t>국제</t>
        </is>
      </c>
      <c r="E574" s="0" t="inlineStr">
        <is>
          <t>1991.05.</t>
        </is>
      </c>
      <c r="F574" s="0" t="n">
        <v>60</v>
      </c>
      <c r="G574" s="0" t="n">
        <v>26.51</v>
      </c>
      <c r="H574" s="0" t="n">
        <v>87.64</v>
      </c>
      <c r="I574" s="0" t="n">
        <v>23.11</v>
      </c>
      <c r="J574" s="0" t="n">
        <v>76.41</v>
      </c>
      <c r="K574" s="0" t="n">
        <v>3</v>
      </c>
      <c r="T574" s="0" t="n">
        <v>3</v>
      </c>
      <c r="U574" s="0" t="n">
        <v>1</v>
      </c>
      <c r="V574" s="0" t="inlineStr">
        <is>
          <t>계단식</t>
        </is>
      </c>
      <c r="W574" s="0" t="inlineStr">
        <is>
          <t>87A</t>
        </is>
      </c>
      <c r="X574" s="0" t="n">
        <v>6</v>
      </c>
      <c r="Y574" s="0" t="n">
        <v>5</v>
      </c>
      <c r="Z574" s="0" t="inlineStr">
        <is>
          <t>https://new.land.naver.com/complexes/16845?tab=detail&amp;rf=Y</t>
        </is>
      </c>
      <c r="AA574" s="0" t="inlineStr">
        <is>
          <t>경상남도 창원시 의창구 팔용동 185-8</t>
        </is>
      </c>
      <c r="AB574" s="0" t="inlineStr">
        <is>
          <t>경상남도</t>
        </is>
      </c>
      <c r="AC574" s="0" t="inlineStr">
        <is>
          <t>창원시</t>
        </is>
      </c>
      <c r="AD574" s="0" t="inlineStr">
        <is>
          <t>의창구</t>
        </is>
      </c>
      <c r="AE574" s="0" t="inlineStr">
        <is>
          <t>팔용동</t>
        </is>
      </c>
      <c r="AG574" s="0" t="inlineStr">
        <is>
          <t>경상남도 창원시 의창구 의창대로156번길 15-14</t>
        </is>
      </c>
      <c r="AH574" s="0" t="n">
        <v>0</v>
      </c>
      <c r="AI574" s="0" t="n">
        <v>0</v>
      </c>
    </row>
    <row r="575">
      <c r="A575" s="0" t="inlineStr">
        <is>
          <t>[팔용동]</t>
        </is>
      </c>
      <c r="B575" s="0" t="n">
        <v>16845</v>
      </c>
      <c r="C575" s="0" t="n">
        <v>6</v>
      </c>
      <c r="D575" s="0" t="inlineStr">
        <is>
          <t>국제</t>
        </is>
      </c>
      <c r="E575" s="0" t="inlineStr">
        <is>
          <t>1991.05.</t>
        </is>
      </c>
      <c r="F575" s="0" t="n">
        <v>60</v>
      </c>
      <c r="G575" s="0" t="n">
        <v>27.31</v>
      </c>
      <c r="H575" s="0" t="n">
        <v>90.29000000000001</v>
      </c>
      <c r="I575" s="0" t="n">
        <v>23.81</v>
      </c>
      <c r="J575" s="0" t="n">
        <v>78.72</v>
      </c>
      <c r="K575" s="0" t="n">
        <v>5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90B</t>
        </is>
      </c>
      <c r="X575" s="0" t="n">
        <v>6</v>
      </c>
      <c r="Y575" s="0" t="n">
        <v>5</v>
      </c>
      <c r="Z575" s="0" t="inlineStr">
        <is>
          <t>https://new.land.naver.com/complexes/16845?tab=detail&amp;rf=Y</t>
        </is>
      </c>
      <c r="AA575" s="0" t="inlineStr">
        <is>
          <t>경상남도 창원시 의창구 팔용동 185-8</t>
        </is>
      </c>
      <c r="AB575" s="0" t="inlineStr">
        <is>
          <t>경상남도</t>
        </is>
      </c>
      <c r="AC575" s="0" t="inlineStr">
        <is>
          <t>창원시</t>
        </is>
      </c>
      <c r="AD575" s="0" t="inlineStr">
        <is>
          <t>의창구</t>
        </is>
      </c>
      <c r="AE575" s="0" t="inlineStr">
        <is>
          <t>팔용동</t>
        </is>
      </c>
      <c r="AG575" s="0" t="inlineStr">
        <is>
          <t>경상남도 창원시 의창구 의창대로156번길 15-14</t>
        </is>
      </c>
      <c r="AH575" s="0" t="n">
        <v>0</v>
      </c>
      <c r="AI575" s="0" t="n">
        <v>0</v>
      </c>
    </row>
    <row r="576">
      <c r="A576" s="0" t="inlineStr">
        <is>
          <t>[팔용동]</t>
        </is>
      </c>
      <c r="B576" s="0" t="n">
        <v>16845</v>
      </c>
      <c r="C576" s="0" t="n">
        <v>7</v>
      </c>
      <c r="D576" s="0" t="inlineStr">
        <is>
          <t>국제</t>
        </is>
      </c>
      <c r="E576" s="0" t="inlineStr">
        <is>
          <t>1991.05.</t>
        </is>
      </c>
      <c r="F576" s="0" t="n">
        <v>60</v>
      </c>
      <c r="G576" s="0" t="n">
        <v>33.72</v>
      </c>
      <c r="H576" s="0" t="n">
        <v>111.49</v>
      </c>
      <c r="I576" s="0" t="n">
        <v>29.4</v>
      </c>
      <c r="J576" s="0" t="n">
        <v>97.2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111</v>
      </c>
      <c r="X576" s="0" t="n">
        <v>6</v>
      </c>
      <c r="Y576" s="0" t="n">
        <v>5</v>
      </c>
      <c r="Z576" s="0" t="inlineStr">
        <is>
          <t>https://new.land.naver.com/complexes/16845?tab=detail&amp;rf=Y</t>
        </is>
      </c>
      <c r="AA576" s="0" t="inlineStr">
        <is>
          <t>경상남도 창원시 의창구 팔용동 185-8</t>
        </is>
      </c>
      <c r="AB576" s="0" t="inlineStr">
        <is>
          <t>경상남도</t>
        </is>
      </c>
      <c r="AC576" s="0" t="inlineStr">
        <is>
          <t>창원시</t>
        </is>
      </c>
      <c r="AD576" s="0" t="inlineStr">
        <is>
          <t>의창구</t>
        </is>
      </c>
      <c r="AE576" s="0" t="inlineStr">
        <is>
          <t>팔용동</t>
        </is>
      </c>
      <c r="AG576" s="0" t="inlineStr">
        <is>
          <t>경상남도 창원시 의창구 의창대로156번길 15-14</t>
        </is>
      </c>
      <c r="AH576" s="0" t="n">
        <v>0</v>
      </c>
      <c r="AI576" s="0" t="n">
        <v>0</v>
      </c>
    </row>
    <row r="577">
      <c r="A577" s="0" t="inlineStr">
        <is>
          <t>[팔용동]</t>
        </is>
      </c>
      <c r="B577" s="0" t="n">
        <v>16845</v>
      </c>
      <c r="C577" s="0" t="n">
        <v>8</v>
      </c>
      <c r="D577" s="0" t="inlineStr">
        <is>
          <t>국제</t>
        </is>
      </c>
      <c r="E577" s="0" t="inlineStr">
        <is>
          <t>1991.05.</t>
        </is>
      </c>
      <c r="F577" s="0" t="n">
        <v>60</v>
      </c>
      <c r="G577" s="0" t="n">
        <v>37.23</v>
      </c>
      <c r="H577" s="0" t="n">
        <v>123.09</v>
      </c>
      <c r="I577" s="0" t="n">
        <v>32.46</v>
      </c>
      <c r="J577" s="0" t="n">
        <v>107.31</v>
      </c>
      <c r="K577" s="0" t="n">
        <v>8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123</v>
      </c>
      <c r="X577" s="0" t="n">
        <v>6</v>
      </c>
      <c r="Y577" s="0" t="n">
        <v>5</v>
      </c>
      <c r="Z577" s="0" t="inlineStr">
        <is>
          <t>https://new.land.naver.com/complexes/16845?tab=detail&amp;rf=Y</t>
        </is>
      </c>
      <c r="AA577" s="0" t="inlineStr">
        <is>
          <t>경상남도 창원시 의창구 팔용동 185-8</t>
        </is>
      </c>
      <c r="AB577" s="0" t="inlineStr">
        <is>
          <t>경상남도</t>
        </is>
      </c>
      <c r="AC577" s="0" t="inlineStr">
        <is>
          <t>창원시</t>
        </is>
      </c>
      <c r="AD577" s="0" t="inlineStr">
        <is>
          <t>의창구</t>
        </is>
      </c>
      <c r="AE577" s="0" t="inlineStr">
        <is>
          <t>팔용동</t>
        </is>
      </c>
      <c r="AG577" s="0" t="inlineStr">
        <is>
          <t>경상남도 창원시 의창구 의창대로156번길 15-14</t>
        </is>
      </c>
      <c r="AH577" s="0" t="n">
        <v>0</v>
      </c>
      <c r="AI577" s="0" t="n">
        <v>0</v>
      </c>
    </row>
    <row r="578">
      <c r="A578" s="0" t="inlineStr">
        <is>
          <t>[팔용동]</t>
        </is>
      </c>
      <c r="B578" s="0" t="n">
        <v>16845</v>
      </c>
      <c r="C578" s="0" t="n">
        <v>9</v>
      </c>
      <c r="D578" s="0" t="inlineStr">
        <is>
          <t>국제</t>
        </is>
      </c>
      <c r="E578" s="0" t="inlineStr">
        <is>
          <t>1991.05.</t>
        </is>
      </c>
      <c r="F578" s="0" t="n">
        <v>60</v>
      </c>
      <c r="G578" s="0" t="n">
        <v>40.36</v>
      </c>
      <c r="H578" s="0" t="n">
        <v>133.43</v>
      </c>
      <c r="I578" s="0" t="n">
        <v>35.18</v>
      </c>
      <c r="J578" s="0" t="n">
        <v>116.32</v>
      </c>
      <c r="K578" s="0" t="n">
        <v>1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133</v>
      </c>
      <c r="X578" s="0" t="n">
        <v>6</v>
      </c>
      <c r="Y578" s="0" t="n">
        <v>5</v>
      </c>
      <c r="Z578" s="0" t="inlineStr">
        <is>
          <t>https://new.land.naver.com/complexes/16845?tab=detail&amp;rf=Y</t>
        </is>
      </c>
      <c r="AA578" s="0" t="inlineStr">
        <is>
          <t>경상남도 창원시 의창구 팔용동 185-8</t>
        </is>
      </c>
      <c r="AB578" s="0" t="inlineStr">
        <is>
          <t>경상남도</t>
        </is>
      </c>
      <c r="AC578" s="0" t="inlineStr">
        <is>
          <t>창원시</t>
        </is>
      </c>
      <c r="AD578" s="0" t="inlineStr">
        <is>
          <t>의창구</t>
        </is>
      </c>
      <c r="AE578" s="0" t="inlineStr">
        <is>
          <t>팔용동</t>
        </is>
      </c>
      <c r="AG578" s="0" t="inlineStr">
        <is>
          <t>경상남도 창원시 의창구 의창대로156번길 15-14</t>
        </is>
      </c>
      <c r="AH578" s="0" t="n">
        <v>0</v>
      </c>
      <c r="AI578" s="0" t="n">
        <v>0</v>
      </c>
    </row>
    <row r="579">
      <c r="A579" s="0" t="inlineStr">
        <is>
          <t>[팔용동]</t>
        </is>
      </c>
      <c r="B579" s="0" t="n">
        <v>16845</v>
      </c>
      <c r="C579" s="0" t="n">
        <v>10</v>
      </c>
      <c r="D579" s="0" t="inlineStr">
        <is>
          <t>국제</t>
        </is>
      </c>
      <c r="E579" s="0" t="inlineStr">
        <is>
          <t>1991.05.</t>
        </is>
      </c>
      <c r="F579" s="0" t="n">
        <v>60</v>
      </c>
      <c r="G579" s="0" t="n">
        <v>44.44</v>
      </c>
      <c r="H579" s="0" t="n">
        <v>146.92</v>
      </c>
      <c r="I579" s="0" t="n">
        <v>41.38</v>
      </c>
      <c r="J579" s="0" t="n">
        <v>136.8</v>
      </c>
      <c r="K579" s="0" t="n">
        <v>1</v>
      </c>
      <c r="T579" s="0" t="n">
        <v>4</v>
      </c>
      <c r="U579" s="0" t="n">
        <v>2</v>
      </c>
      <c r="V579" s="0" t="inlineStr">
        <is>
          <t>계단식</t>
        </is>
      </c>
      <c r="W579" s="0" t="n">
        <v>146</v>
      </c>
      <c r="X579" s="0" t="n">
        <v>6</v>
      </c>
      <c r="Y579" s="0" t="n">
        <v>5</v>
      </c>
      <c r="Z579" s="0" t="inlineStr">
        <is>
          <t>https://new.land.naver.com/complexes/16845?tab=detail&amp;rf=Y</t>
        </is>
      </c>
      <c r="AA579" s="0" t="inlineStr">
        <is>
          <t>경상남도 창원시 의창구 팔용동 185-8</t>
        </is>
      </c>
      <c r="AB579" s="0" t="inlineStr">
        <is>
          <t>경상남도</t>
        </is>
      </c>
      <c r="AC579" s="0" t="inlineStr">
        <is>
          <t>창원시</t>
        </is>
      </c>
      <c r="AD579" s="0" t="inlineStr">
        <is>
          <t>의창구</t>
        </is>
      </c>
      <c r="AE579" s="0" t="inlineStr">
        <is>
          <t>팔용동</t>
        </is>
      </c>
      <c r="AG579" s="0" t="inlineStr">
        <is>
          <t>경상남도 창원시 의창구 의창대로156번길 15-14</t>
        </is>
      </c>
      <c r="AH579" s="0" t="n">
        <v>0</v>
      </c>
      <c r="AI579" s="0" t="n">
        <v>0</v>
      </c>
    </row>
    <row r="580">
      <c r="A580" s="0" t="inlineStr">
        <is>
          <t>[팔용동]</t>
        </is>
      </c>
      <c r="B580" s="0" t="n">
        <v>7819</v>
      </c>
      <c r="C580" s="0" t="n">
        <v>1</v>
      </c>
      <c r="D580" s="0" t="inlineStr">
        <is>
          <t>대동중앙</t>
        </is>
      </c>
      <c r="E580" s="0" t="inlineStr">
        <is>
          <t>1993.09.</t>
        </is>
      </c>
      <c r="F580" s="0" t="n">
        <v>1040</v>
      </c>
      <c r="G580" s="0" t="n">
        <v>21.07</v>
      </c>
      <c r="H580" s="0" t="n">
        <v>69.68000000000001</v>
      </c>
      <c r="I580" s="0" t="n">
        <v>18.11</v>
      </c>
      <c r="J580" s="0" t="n">
        <v>59.9</v>
      </c>
      <c r="K580" s="0" t="n">
        <v>830</v>
      </c>
      <c r="T580" s="0" t="n">
        <v>3</v>
      </c>
      <c r="U580" s="0" t="n">
        <v>1</v>
      </c>
      <c r="V580" s="0" t="inlineStr">
        <is>
          <t>계단식</t>
        </is>
      </c>
      <c r="W580" s="0" t="n">
        <v>69</v>
      </c>
      <c r="X580" s="0" t="n">
        <v>20</v>
      </c>
      <c r="Y580" s="0" t="n">
        <v>15</v>
      </c>
      <c r="Z580" s="0" t="inlineStr">
        <is>
          <t>https://new.land.naver.com/complexes/7819?tab=detail&amp;rf=Y</t>
        </is>
      </c>
      <c r="AA580" s="0" t="inlineStr">
        <is>
          <t>경상남도 창원시 의창구 팔용동 124-2</t>
        </is>
      </c>
      <c r="AB580" s="0" t="inlineStr">
        <is>
          <t>경상남도</t>
        </is>
      </c>
      <c r="AC580" s="0" t="inlineStr">
        <is>
          <t>창원시</t>
        </is>
      </c>
      <c r="AD580" s="0" t="inlineStr">
        <is>
          <t>의창구</t>
        </is>
      </c>
      <c r="AE580" s="0" t="inlineStr">
        <is>
          <t>팔용동</t>
        </is>
      </c>
      <c r="AG580" s="0" t="inlineStr">
        <is>
          <t>경상남도 창원시 의창구 반계로 101</t>
        </is>
      </c>
      <c r="AH580" s="0" t="n">
        <v>0</v>
      </c>
      <c r="AI580" s="0" t="n">
        <v>235</v>
      </c>
    </row>
    <row r="581">
      <c r="A581" s="0" t="inlineStr">
        <is>
          <t>[팔용동]</t>
        </is>
      </c>
      <c r="B581" s="0" t="n">
        <v>7819</v>
      </c>
      <c r="C581" s="0" t="n">
        <v>2</v>
      </c>
      <c r="D581" s="0" t="inlineStr">
        <is>
          <t>대동중앙</t>
        </is>
      </c>
      <c r="E581" s="0" t="inlineStr">
        <is>
          <t>1993.09.</t>
        </is>
      </c>
      <c r="F581" s="0" t="n">
        <v>1040</v>
      </c>
      <c r="G581" s="0" t="n">
        <v>21</v>
      </c>
      <c r="H581" s="0" t="n">
        <v>69.44</v>
      </c>
      <c r="I581" s="0" t="n">
        <v>18.04</v>
      </c>
      <c r="J581" s="0" t="n">
        <v>59.66</v>
      </c>
      <c r="K581" s="0" t="n">
        <v>120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69A</t>
        </is>
      </c>
      <c r="X581" s="0" t="n">
        <v>20</v>
      </c>
      <c r="Y581" s="0" t="n">
        <v>15</v>
      </c>
      <c r="Z581" s="0" t="inlineStr">
        <is>
          <t>https://new.land.naver.com/complexes/7819?tab=detail&amp;rf=Y</t>
        </is>
      </c>
      <c r="AA581" s="0" t="inlineStr">
        <is>
          <t>경상남도 창원시 의창구 팔용동 124-2</t>
        </is>
      </c>
      <c r="AB581" s="0" t="inlineStr">
        <is>
          <t>경상남도</t>
        </is>
      </c>
      <c r="AC581" s="0" t="inlineStr">
        <is>
          <t>창원시</t>
        </is>
      </c>
      <c r="AD581" s="0" t="inlineStr">
        <is>
          <t>의창구</t>
        </is>
      </c>
      <c r="AE581" s="0" t="inlineStr">
        <is>
          <t>팔용동</t>
        </is>
      </c>
      <c r="AG581" s="0" t="inlineStr">
        <is>
          <t>경상남도 창원시 의창구 반계로 101</t>
        </is>
      </c>
      <c r="AH581" s="0" t="n">
        <v>0</v>
      </c>
      <c r="AI581" s="0" t="n">
        <v>235</v>
      </c>
    </row>
    <row r="582">
      <c r="A582" s="0" t="inlineStr">
        <is>
          <t>[팔용동]</t>
        </is>
      </c>
      <c r="B582" s="0" t="n">
        <v>7819</v>
      </c>
      <c r="C582" s="0" t="n">
        <v>3</v>
      </c>
      <c r="D582" s="0" t="inlineStr">
        <is>
          <t>대동중앙</t>
        </is>
      </c>
      <c r="E582" s="0" t="inlineStr">
        <is>
          <t>1993.09.</t>
        </is>
      </c>
      <c r="F582" s="0" t="n">
        <v>1040</v>
      </c>
      <c r="G582" s="0" t="n">
        <v>21.09</v>
      </c>
      <c r="H582" s="0" t="n">
        <v>69.72</v>
      </c>
      <c r="I582" s="0" t="n">
        <v>18.12</v>
      </c>
      <c r="J582" s="0" t="n">
        <v>59.92</v>
      </c>
      <c r="K582" s="0" t="n">
        <v>90</v>
      </c>
      <c r="T582" s="0" t="n">
        <v>3</v>
      </c>
      <c r="U582" s="0" t="n">
        <v>1</v>
      </c>
      <c r="V582" s="0" t="inlineStr">
        <is>
          <t>계단식</t>
        </is>
      </c>
      <c r="W582" s="0" t="inlineStr">
        <is>
          <t>69B</t>
        </is>
      </c>
      <c r="X582" s="0" t="n">
        <v>20</v>
      </c>
      <c r="Y582" s="0" t="n">
        <v>15</v>
      </c>
      <c r="Z582" s="0" t="inlineStr">
        <is>
          <t>https://new.land.naver.com/complexes/7819?tab=detail&amp;rf=Y</t>
        </is>
      </c>
      <c r="AA582" s="0" t="inlineStr">
        <is>
          <t>경상남도 창원시 의창구 팔용동 124-2</t>
        </is>
      </c>
      <c r="AB582" s="0" t="inlineStr">
        <is>
          <t>경상남도</t>
        </is>
      </c>
      <c r="AC582" s="0" t="inlineStr">
        <is>
          <t>창원시</t>
        </is>
      </c>
      <c r="AD582" s="0" t="inlineStr">
        <is>
          <t>의창구</t>
        </is>
      </c>
      <c r="AE582" s="0" t="inlineStr">
        <is>
          <t>팔용동</t>
        </is>
      </c>
      <c r="AG582" s="0" t="inlineStr">
        <is>
          <t>경상남도 창원시 의창구 반계로 101</t>
        </is>
      </c>
      <c r="AH582" s="0" t="n">
        <v>0</v>
      </c>
      <c r="AI582" s="0" t="n">
        <v>235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한마음코아</t>
        </is>
      </c>
      <c r="B6" s="10" t="inlineStr">
        <is>
          <t>'92.08.</t>
        </is>
      </c>
      <c r="C6" s="133" t="n">
        <v>225</v>
      </c>
      <c r="D6" s="131" t="n">
        <v>64</v>
      </c>
      <c r="E6" s="132" t="n">
        <v>19</v>
      </c>
      <c r="F6" s="131" t="n">
        <v>49.4</v>
      </c>
      <c r="G6" s="17" t="n">
        <v>15</v>
      </c>
      <c r="H6" s="133" t="n">
        <v>225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63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창원한양립스더퍼스트</t>
        </is>
      </c>
      <c r="B6" s="10" t="inlineStr">
        <is>
          <t>'23.12.</t>
        </is>
      </c>
      <c r="C6" s="133" t="n">
        <v>515</v>
      </c>
      <c r="D6" s="131" t="n">
        <v>94.59999999999999</v>
      </c>
      <c r="E6" s="132" t="n">
        <v>29</v>
      </c>
      <c r="F6" s="131" t="n">
        <v>68.8</v>
      </c>
      <c r="G6" s="17" t="n">
        <v>21</v>
      </c>
      <c r="H6" s="133" t="n">
        <v>263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창원한양립스더퍼스트</t>
        </is>
      </c>
      <c r="B7" s="10" t="inlineStr">
        <is>
          <t>'23.12.</t>
        </is>
      </c>
      <c r="C7" s="133" t="n">
        <v>515</v>
      </c>
      <c r="D7" s="131" t="n">
        <v>99</v>
      </c>
      <c r="E7" s="132" t="n">
        <v>30</v>
      </c>
      <c r="F7" s="131" t="n">
        <v>70.90000000000001</v>
      </c>
      <c r="G7" s="17" t="n">
        <v>21</v>
      </c>
      <c r="H7" s="133" t="n">
        <v>146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98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창원한양립스더퍼스트</t>
        </is>
      </c>
      <c r="B8" s="10" t="inlineStr">
        <is>
          <t>'23.12.</t>
        </is>
      </c>
      <c r="C8" s="133" t="n">
        <v>515</v>
      </c>
      <c r="D8" s="131" t="n">
        <v>116.3</v>
      </c>
      <c r="E8" s="132" t="n">
        <v>35</v>
      </c>
      <c r="F8" s="131" t="n">
        <v>84.90000000000001</v>
      </c>
      <c r="G8" s="17" t="n">
        <v>26</v>
      </c>
      <c r="H8" s="133" t="n">
        <v>106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116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삼진</t>
        </is>
      </c>
      <c r="B10" s="10" t="inlineStr">
        <is>
          <t>'89.03.</t>
        </is>
      </c>
      <c r="C10" s="133" t="n">
        <v>325</v>
      </c>
      <c r="D10" s="131" t="n">
        <v>48.8</v>
      </c>
      <c r="E10" s="132" t="n">
        <v>15</v>
      </c>
      <c r="F10" s="131" t="n">
        <v>42.6</v>
      </c>
      <c r="G10" s="17" t="n">
        <v>13</v>
      </c>
      <c r="H10" s="133" t="n">
        <v>50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2</v>
      </c>
      <c r="R10" s="121" t="n">
        <v>1</v>
      </c>
      <c r="S10" s="121" t="inlineStr">
        <is>
          <t>계</t>
        </is>
      </c>
      <c r="T10" s="5" t="n">
        <v>48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삼진</t>
        </is>
      </c>
      <c r="B11" s="10" t="inlineStr">
        <is>
          <t>'89.03.</t>
        </is>
      </c>
      <c r="C11" s="133" t="n">
        <v>325</v>
      </c>
      <c r="D11" s="131" t="n">
        <v>55.7</v>
      </c>
      <c r="E11" s="132" t="n">
        <v>17</v>
      </c>
      <c r="F11" s="131" t="n">
        <v>49.6</v>
      </c>
      <c r="G11" s="17" t="n">
        <v>15</v>
      </c>
      <c r="H11" s="133" t="n">
        <v>70</v>
      </c>
      <c r="I11" s="134" t="n">
        <v>7500</v>
      </c>
      <c r="J11" s="134" t="inlineStr">
        <is>
          <t>5</t>
        </is>
      </c>
      <c r="K11" s="134" t="n">
        <v>3500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2</v>
      </c>
      <c r="R11" s="121" t="n">
        <v>1</v>
      </c>
      <c r="S11" s="121" t="inlineStr">
        <is>
          <t>계</t>
        </is>
      </c>
      <c r="T11" s="5" t="n">
        <v>55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삼진</t>
        </is>
      </c>
      <c r="B12" s="10" t="inlineStr">
        <is>
          <t>'89.03.</t>
        </is>
      </c>
      <c r="C12" s="133" t="n">
        <v>325</v>
      </c>
      <c r="D12" s="131" t="n">
        <v>58.7</v>
      </c>
      <c r="E12" s="132" t="n">
        <v>18</v>
      </c>
      <c r="F12" s="131" t="n">
        <v>52.2</v>
      </c>
      <c r="G12" s="17" t="n">
        <v>16</v>
      </c>
      <c r="H12" s="133" t="n">
        <v>200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2</v>
      </c>
      <c r="R12" s="121" t="n">
        <v>1</v>
      </c>
      <c r="S12" s="121" t="inlineStr">
        <is>
          <t>계</t>
        </is>
      </c>
      <c r="T12" s="5" t="n">
        <v>58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삼진</t>
        </is>
      </c>
      <c r="B13" s="10" t="inlineStr">
        <is>
          <t>'89.03.</t>
        </is>
      </c>
      <c r="C13" s="133" t="n">
        <v>325</v>
      </c>
      <c r="D13" s="131" t="n">
        <v>69.3</v>
      </c>
      <c r="E13" s="132" t="n">
        <v>21</v>
      </c>
      <c r="F13" s="131" t="n">
        <v>56.6</v>
      </c>
      <c r="G13" s="17" t="n">
        <v>17</v>
      </c>
      <c r="H13" s="133" t="n">
        <v>5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69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동읍대한</t>
        </is>
      </c>
      <c r="B15" s="10" t="inlineStr">
        <is>
          <t>'97.02.</t>
        </is>
      </c>
      <c r="C15" s="133" t="n">
        <v>275</v>
      </c>
      <c r="D15" s="131" t="n">
        <v>76.8</v>
      </c>
      <c r="E15" s="132" t="n">
        <v>23</v>
      </c>
      <c r="F15" s="131" t="n">
        <v>59.9</v>
      </c>
      <c r="G15" s="17" t="n">
        <v>18</v>
      </c>
      <c r="H15" s="133" t="n">
        <v>121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76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동읍대한</t>
        </is>
      </c>
      <c r="B16" s="10" t="inlineStr">
        <is>
          <t>'97.02.</t>
        </is>
      </c>
      <c r="C16" s="133" t="n">
        <v>275</v>
      </c>
      <c r="D16" s="131" t="n">
        <v>101.3</v>
      </c>
      <c r="E16" s="132" t="n">
        <v>31</v>
      </c>
      <c r="F16" s="131" t="n">
        <v>79</v>
      </c>
      <c r="G16" s="17" t="n">
        <v>24</v>
      </c>
      <c r="H16" s="133" t="n">
        <v>40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101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동읍대한</t>
        </is>
      </c>
      <c r="B17" s="10" t="inlineStr">
        <is>
          <t>'97.02.</t>
        </is>
      </c>
      <c r="C17" s="133" t="n">
        <v>275</v>
      </c>
      <c r="D17" s="131" t="n">
        <v>108.9</v>
      </c>
      <c r="E17" s="132" t="n">
        <v>33</v>
      </c>
      <c r="F17" s="131" t="n">
        <v>85</v>
      </c>
      <c r="G17" s="17" t="n">
        <v>26</v>
      </c>
      <c r="H17" s="133" t="n">
        <v>114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108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우성전원</t>
        </is>
      </c>
      <c r="B19" s="10" t="inlineStr">
        <is>
          <t>'91.12.</t>
        </is>
      </c>
      <c r="C19" s="133" t="n">
        <v>220</v>
      </c>
      <c r="D19" s="131" t="n">
        <v>65.59999999999999</v>
      </c>
      <c r="E19" s="132" t="n">
        <v>20</v>
      </c>
      <c r="F19" s="131" t="n">
        <v>59.4</v>
      </c>
      <c r="G19" s="17" t="n">
        <v>18</v>
      </c>
      <c r="H19" s="133" t="n">
        <v>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n">
        <v>65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우성전원</t>
        </is>
      </c>
      <c r="B20" s="10" t="inlineStr">
        <is>
          <t>'91.12.</t>
        </is>
      </c>
      <c r="C20" s="133" t="n">
        <v>220</v>
      </c>
      <c r="D20" s="131" t="n">
        <v>72.59999999999999</v>
      </c>
      <c r="E20" s="132" t="n">
        <v>22</v>
      </c>
      <c r="F20" s="131" t="n">
        <v>66.40000000000001</v>
      </c>
      <c r="G20" s="17" t="n">
        <v>20</v>
      </c>
      <c r="H20" s="133" t="n">
        <v>78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1</v>
      </c>
      <c r="S20" s="121" t="inlineStr">
        <is>
          <t>계</t>
        </is>
      </c>
      <c r="T20" s="5" t="n">
        <v>72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우성전원</t>
        </is>
      </c>
      <c r="B21" s="10" t="inlineStr">
        <is>
          <t>'91.12.</t>
        </is>
      </c>
      <c r="C21" s="133" t="n">
        <v>220</v>
      </c>
      <c r="D21" s="131" t="n">
        <v>75.8</v>
      </c>
      <c r="E21" s="132" t="n">
        <v>23</v>
      </c>
      <c r="F21" s="131" t="n">
        <v>69.59999999999999</v>
      </c>
      <c r="G21" s="17" t="n">
        <v>21</v>
      </c>
      <c r="H21" s="133" t="n">
        <v>72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1</v>
      </c>
      <c r="S21" s="121" t="inlineStr">
        <is>
          <t>계</t>
        </is>
      </c>
      <c r="T21" s="5" t="n">
        <v>75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우성전원</t>
        </is>
      </c>
      <c r="B22" s="10" t="inlineStr">
        <is>
          <t>'91.12.</t>
        </is>
      </c>
      <c r="C22" s="133" t="n">
        <v>220</v>
      </c>
      <c r="D22" s="131" t="n">
        <v>81.7</v>
      </c>
      <c r="E22" s="132" t="n">
        <v>25</v>
      </c>
      <c r="F22" s="131" t="n">
        <v>75.40000000000001</v>
      </c>
      <c r="G22" s="17" t="n">
        <v>23</v>
      </c>
      <c r="H22" s="133" t="n">
        <v>40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81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우성전원</t>
        </is>
      </c>
      <c r="B23" s="10" t="inlineStr">
        <is>
          <t>'91.12.</t>
        </is>
      </c>
      <c r="C23" s="133" t="n">
        <v>220</v>
      </c>
      <c r="D23" s="131" t="n">
        <v>85.59999999999999</v>
      </c>
      <c r="E23" s="132" t="n">
        <v>26</v>
      </c>
      <c r="F23" s="131" t="n">
        <v>79.3</v>
      </c>
      <c r="G23" s="17" t="n">
        <v>24</v>
      </c>
      <c r="H23" s="133" t="n">
        <v>6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inlineStr">
        <is>
          <t>85B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우성전원</t>
        </is>
      </c>
      <c r="B24" s="10" t="inlineStr">
        <is>
          <t>'91.12.</t>
        </is>
      </c>
      <c r="C24" s="133" t="n">
        <v>220</v>
      </c>
      <c r="D24" s="131" t="n">
        <v>86.59999999999999</v>
      </c>
      <c r="E24" s="132" t="n">
        <v>26</v>
      </c>
      <c r="F24" s="131" t="n">
        <v>80.40000000000001</v>
      </c>
      <c r="G24" s="17" t="n">
        <v>24</v>
      </c>
      <c r="H24" s="133" t="n">
        <v>6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1</v>
      </c>
      <c r="S24" s="121" t="inlineStr">
        <is>
          <t>계</t>
        </is>
      </c>
      <c r="T24" s="5" t="inlineStr">
        <is>
          <t>86C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우성전원</t>
        </is>
      </c>
      <c r="B25" s="10" t="inlineStr">
        <is>
          <t>'91.12.</t>
        </is>
      </c>
      <c r="C25" s="133" t="n">
        <v>220</v>
      </c>
      <c r="D25" s="131" t="n">
        <v>87.40000000000001</v>
      </c>
      <c r="E25" s="132" t="n">
        <v>26</v>
      </c>
      <c r="F25" s="131" t="n">
        <v>81.2</v>
      </c>
      <c r="G25" s="17" t="n">
        <v>25</v>
      </c>
      <c r="H25" s="133" t="n">
        <v>6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inlineStr">
        <is>
          <t>87A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우성전원</t>
        </is>
      </c>
      <c r="B26" s="10" t="inlineStr">
        <is>
          <t>'91.12.</t>
        </is>
      </c>
      <c r="C26" s="133" t="n">
        <v>220</v>
      </c>
      <c r="D26" s="131" t="n">
        <v>93.7</v>
      </c>
      <c r="E26" s="132" t="n">
        <v>28</v>
      </c>
      <c r="F26" s="131" t="n">
        <v>81.2</v>
      </c>
      <c r="G26" s="17" t="n">
        <v>25</v>
      </c>
      <c r="H26" s="133" t="n">
        <v>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계</t>
        </is>
      </c>
      <c r="T26" s="5" t="n">
        <v>93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58" dxfId="23">
      <formula>AV4="X"</formula>
    </cfRule>
    <cfRule type="expression" priority="359" dxfId="22">
      <formula>AV4="후보"</formula>
    </cfRule>
  </conditionalFormatting>
  <conditionalFormatting sqref="AC1:AC2 AC4:AC6 N4:N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:N2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6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6">
    <cfRule type="expression" priority="347" dxfId="3">
      <formula>AND(IF(OR($Q6=1,$Q6=2),1,0),IF($X6&lt;=20,1,0))</formula>
    </cfRule>
    <cfRule type="expression" priority="348" dxfId="2">
      <formula>AND(IF($Q6=2,1,0),IF($X6&lt;30,1,0))</formula>
    </cfRule>
    <cfRule type="expression" priority="349" dxfId="1">
      <formula>AND(IF($Q6=3,1,0),IF($X6&lt;30,1,0))</formula>
    </cfRule>
    <cfRule type="expression" priority="350" dxfId="0">
      <formula>AND(IF($Q6=3,1,IF($Q6=4,1,0)),IF($F6&lt;=85,1,0))</formula>
    </cfRule>
  </conditionalFormatting>
  <conditionalFormatting sqref="X6">
    <cfRule type="expression" priority="343" dxfId="3">
      <formula>AND(IF(OR($Q6=1,$Q6=2),1,0),IF($X6&lt;=20,1,0))</formula>
    </cfRule>
    <cfRule type="expression" priority="344" dxfId="2">
      <formula>AND(IF($Q6=2,1,0),IF($X6&lt;30,1,0))</formula>
    </cfRule>
    <cfRule type="expression" priority="345" dxfId="1">
      <formula>AND(IF($Q6=3,1,0),IF($X6&lt;30,1,0))</formula>
    </cfRule>
    <cfRule type="expression" priority="346" dxfId="0">
      <formula>AND(IF($Q6=3,1,IF($Q6=4,1,0)),IF($F6&lt;=85,1,0))</formula>
    </cfRule>
  </conditionalFormatting>
  <conditionalFormatting sqref="AI6">
    <cfRule type="expression" priority="339" dxfId="3">
      <formula>AND(IF(OR($Q6=1,$Q6=2),1,0),IF($X6&lt;=20,1,0))</formula>
    </cfRule>
    <cfRule type="expression" priority="340" dxfId="2">
      <formula>AND(IF($Q6=2,1,0),IF($X6&lt;30,1,0))</formula>
    </cfRule>
    <cfRule type="expression" priority="341" dxfId="1">
      <formula>AND(IF($Q6=3,1,0),IF($X6&lt;30,1,0))</formula>
    </cfRule>
    <cfRule type="expression" priority="342" dxfId="0">
      <formula>AND(IF($Q6=3,1,IF($Q6=4,1,0)),IF($F6&lt;=85,1,0))</formula>
    </cfRule>
  </conditionalFormatting>
  <conditionalFormatting sqref="AV7">
    <cfRule type="expression" priority="337" dxfId="23">
      <formula>AV7="X"</formula>
    </cfRule>
    <cfRule type="expression" priority="338" dxfId="22">
      <formula>AV7="후보"</formula>
    </cfRule>
  </conditionalFormatting>
  <conditionalFormatting sqref="AC7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7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7">
    <cfRule type="expression" priority="328" dxfId="3">
      <formula>AND(IF(OR($Q7=1,$Q7=2),1,0),IF($X7&lt;=20,1,0))</formula>
    </cfRule>
    <cfRule type="expression" priority="329" dxfId="2">
      <formula>AND(IF($Q7=2,1,0),IF($X7&lt;30,1,0))</formula>
    </cfRule>
    <cfRule type="expression" priority="330" dxfId="1">
      <formula>AND(IF($Q7=3,1,0),IF($X7&lt;30,1,0))</formula>
    </cfRule>
    <cfRule type="expression" priority="331" dxfId="0">
      <formula>AND(IF($Q7=3,1,IF($Q7=4,1,0)),IF($F7&lt;=85,1,0))</formula>
    </cfRule>
  </conditionalFormatting>
  <conditionalFormatting sqref="X7">
    <cfRule type="expression" priority="324" dxfId="3">
      <formula>AND(IF(OR($Q7=1,$Q7=2),1,0),IF($X7&lt;=20,1,0))</formula>
    </cfRule>
    <cfRule type="expression" priority="325" dxfId="2">
      <formula>AND(IF($Q7=2,1,0),IF($X7&lt;30,1,0))</formula>
    </cfRule>
    <cfRule type="expression" priority="326" dxfId="1">
      <formula>AND(IF($Q7=3,1,0),IF($X7&lt;30,1,0))</formula>
    </cfRule>
    <cfRule type="expression" priority="327" dxfId="0">
      <formula>AND(IF($Q7=3,1,IF($Q7=4,1,0)),IF($F7&lt;=85,1,0))</formula>
    </cfRule>
  </conditionalFormatting>
  <conditionalFormatting sqref="AI7">
    <cfRule type="expression" priority="320" dxfId="3">
      <formula>AND(IF(OR($Q7=1,$Q7=2),1,0),IF($X7&lt;=20,1,0))</formula>
    </cfRule>
    <cfRule type="expression" priority="321" dxfId="2">
      <formula>AND(IF($Q7=2,1,0),IF($X7&lt;30,1,0))</formula>
    </cfRule>
    <cfRule type="expression" priority="322" dxfId="1">
      <formula>AND(IF($Q7=3,1,0),IF($X7&lt;30,1,0))</formula>
    </cfRule>
    <cfRule type="expression" priority="323" dxfId="0">
      <formula>AND(IF($Q7=3,1,IF($Q7=4,1,0)),IF($F7&lt;=85,1,0))</formula>
    </cfRule>
  </conditionalFormatting>
  <conditionalFormatting sqref="AV8">
    <cfRule type="expression" priority="318" dxfId="23">
      <formula>AV8="X"</formula>
    </cfRule>
    <cfRule type="expression" priority="319" dxfId="22">
      <formula>AV8="후보"</formula>
    </cfRule>
  </conditionalFormatting>
  <conditionalFormatting sqref="AC8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8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8">
    <cfRule type="expression" priority="309" dxfId="3">
      <formula>AND(IF(OR($Q8=1,$Q8=2),1,0),IF($X8&lt;=20,1,0))</formula>
    </cfRule>
    <cfRule type="expression" priority="310" dxfId="2">
      <formula>AND(IF($Q8=2,1,0),IF($X8&lt;30,1,0))</formula>
    </cfRule>
    <cfRule type="expression" priority="311" dxfId="1">
      <formula>AND(IF($Q8=3,1,0),IF($X8&lt;30,1,0))</formula>
    </cfRule>
    <cfRule type="expression" priority="312" dxfId="0">
      <formula>AND(IF($Q8=3,1,IF($Q8=4,1,0)),IF($F8&lt;=85,1,0))</formula>
    </cfRule>
  </conditionalFormatting>
  <conditionalFormatting sqref="X8">
    <cfRule type="expression" priority="305" dxfId="3">
      <formula>AND(IF(OR($Q8=1,$Q8=2),1,0),IF($X8&lt;=20,1,0))</formula>
    </cfRule>
    <cfRule type="expression" priority="306" dxfId="2">
      <formula>AND(IF($Q8=2,1,0),IF($X8&lt;30,1,0))</formula>
    </cfRule>
    <cfRule type="expression" priority="307" dxfId="1">
      <formula>AND(IF($Q8=3,1,0),IF($X8&lt;30,1,0))</formula>
    </cfRule>
    <cfRule type="expression" priority="308" dxfId="0">
      <formula>AND(IF($Q8=3,1,IF($Q8=4,1,0)),IF($F8&lt;=85,1,0))</formula>
    </cfRule>
  </conditionalFormatting>
  <conditionalFormatting sqref="AI8">
    <cfRule type="expression" priority="301" dxfId="3">
      <formula>AND(IF(OR($Q8=1,$Q8=2),1,0),IF($X8&lt;=20,1,0))</formula>
    </cfRule>
    <cfRule type="expression" priority="302" dxfId="2">
      <formula>AND(IF($Q8=2,1,0),IF($X8&lt;30,1,0))</formula>
    </cfRule>
    <cfRule type="expression" priority="303" dxfId="1">
      <formula>AND(IF($Q8=3,1,0),IF($X8&lt;30,1,0))</formula>
    </cfRule>
    <cfRule type="expression" priority="304" dxfId="0">
      <formula>AND(IF($Q8=3,1,IF($Q8=4,1,0)),IF($F8&lt;=85,1,0))</formula>
    </cfRule>
  </conditionalFormatting>
  <conditionalFormatting sqref="AV9">
    <cfRule type="expression" priority="299" dxfId="23">
      <formula>AV9="X"</formula>
    </cfRule>
    <cfRule type="expression" priority="300" dxfId="22">
      <formula>AV9="후보"</formula>
    </cfRule>
  </conditionalFormatting>
  <conditionalFormatting sqref="AC9 N9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10">
    <cfRule type="expression" priority="294" dxfId="23">
      <formula>AV10="X"</formula>
    </cfRule>
    <cfRule type="expression" priority="295" dxfId="22">
      <formula>AV10="후보"</formula>
    </cfRule>
  </conditionalFormatting>
  <conditionalFormatting sqref="AC1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">
    <cfRule type="expression" priority="285" dxfId="3">
      <formula>AND(IF(OR($Q10=1,$Q10=2),1,0),IF($X10&lt;=20,1,0))</formula>
    </cfRule>
    <cfRule type="expression" priority="286" dxfId="2">
      <formula>AND(IF($Q10=2,1,0),IF($X10&lt;30,1,0))</formula>
    </cfRule>
    <cfRule type="expression" priority="287" dxfId="1">
      <formula>AND(IF($Q10=3,1,0),IF($X10&lt;30,1,0))</formula>
    </cfRule>
    <cfRule type="expression" priority="288" dxfId="0">
      <formula>AND(IF($Q10=3,1,IF($Q10=4,1,0)),IF($F10&lt;=85,1,0))</formula>
    </cfRule>
  </conditionalFormatting>
  <conditionalFormatting sqref="X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AI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V11">
    <cfRule type="expression" priority="275" dxfId="23">
      <formula>AV11="X"</formula>
    </cfRule>
    <cfRule type="expression" priority="276" dxfId="22">
      <formula>AV11="후보"</formula>
    </cfRule>
  </conditionalFormatting>
  <conditionalFormatting sqref="AC1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">
    <cfRule type="expression" priority="266" dxfId="3">
      <formula>AND(IF(OR($Q11=1,$Q11=2),1,0),IF($X11&lt;=20,1,0))</formula>
    </cfRule>
    <cfRule type="expression" priority="267" dxfId="2">
      <formula>AND(IF($Q11=2,1,0),IF($X11&lt;30,1,0))</formula>
    </cfRule>
    <cfRule type="expression" priority="268" dxfId="1">
      <formula>AND(IF($Q11=3,1,0),IF($X11&lt;30,1,0))</formula>
    </cfRule>
    <cfRule type="expression" priority="269" dxfId="0">
      <formula>AND(IF($Q11=3,1,IF($Q11=4,1,0)),IF($F11&lt;=85,1,0))</formula>
    </cfRule>
  </conditionalFormatting>
  <conditionalFormatting sqref="X11">
    <cfRule type="expression" priority="262" dxfId="3">
      <formula>AND(IF(OR($Q11=1,$Q11=2),1,0),IF($X11&lt;=20,1,0))</formula>
    </cfRule>
    <cfRule type="expression" priority="263" dxfId="2">
      <formula>AND(IF($Q11=2,1,0),IF($X11&lt;30,1,0))</formula>
    </cfRule>
    <cfRule type="expression" priority="264" dxfId="1">
      <formula>AND(IF($Q11=3,1,0),IF($X11&lt;30,1,0))</formula>
    </cfRule>
    <cfRule type="expression" priority="265" dxfId="0">
      <formula>AND(IF($Q11=3,1,IF($Q11=4,1,0)),IF($F11&lt;=85,1,0))</formula>
    </cfRule>
  </conditionalFormatting>
  <conditionalFormatting sqref="AI11">
    <cfRule type="expression" priority="258" dxfId="3">
      <formula>AND(IF(OR($Q11=1,$Q11=2),1,0),IF($X11&lt;=20,1,0))</formula>
    </cfRule>
    <cfRule type="expression" priority="259" dxfId="2">
      <formula>AND(IF($Q11=2,1,0),IF($X11&lt;30,1,0))</formula>
    </cfRule>
    <cfRule type="expression" priority="260" dxfId="1">
      <formula>AND(IF($Q11=3,1,0),IF($X11&lt;30,1,0))</formula>
    </cfRule>
    <cfRule type="expression" priority="261" dxfId="0">
      <formula>AND(IF($Q11=3,1,IF($Q11=4,1,0)),IF($F11&lt;=85,1,0))</formula>
    </cfRule>
  </conditionalFormatting>
  <conditionalFormatting sqref="AV12">
    <cfRule type="expression" priority="256" dxfId="23">
      <formula>AV12="X"</formula>
    </cfRule>
    <cfRule type="expression" priority="257" dxfId="22">
      <formula>AV12="후보"</formula>
    </cfRule>
  </conditionalFormatting>
  <conditionalFormatting sqref="AC1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2">
    <cfRule type="expression" priority="247" dxfId="3">
      <formula>AND(IF(OR($Q12=1,$Q12=2),1,0),IF($X12&lt;=20,1,0))</formula>
    </cfRule>
    <cfRule type="expression" priority="248" dxfId="2">
      <formula>AND(IF($Q12=2,1,0),IF($X12&lt;30,1,0))</formula>
    </cfRule>
    <cfRule type="expression" priority="249" dxfId="1">
      <formula>AND(IF($Q12=3,1,0),IF($X12&lt;30,1,0))</formula>
    </cfRule>
    <cfRule type="expression" priority="250" dxfId="0">
      <formula>AND(IF($Q12=3,1,IF($Q12=4,1,0)),IF($F12&lt;=85,1,0))</formula>
    </cfRule>
  </conditionalFormatting>
  <conditionalFormatting sqref="X12">
    <cfRule type="expression" priority="243" dxfId="3">
      <formula>AND(IF(OR($Q12=1,$Q12=2),1,0),IF($X12&lt;=20,1,0))</formula>
    </cfRule>
    <cfRule type="expression" priority="244" dxfId="2">
      <formula>AND(IF($Q12=2,1,0),IF($X12&lt;30,1,0))</formula>
    </cfRule>
    <cfRule type="expression" priority="245" dxfId="1">
      <formula>AND(IF($Q12=3,1,0),IF($X12&lt;30,1,0))</formula>
    </cfRule>
    <cfRule type="expression" priority="246" dxfId="0">
      <formula>AND(IF($Q12=3,1,IF($Q12=4,1,0)),IF($F12&lt;=85,1,0))</formula>
    </cfRule>
  </conditionalFormatting>
  <conditionalFormatting sqref="AI12">
    <cfRule type="expression" priority="239" dxfId="3">
      <formula>AND(IF(OR($Q12=1,$Q12=2),1,0),IF($X12&lt;=20,1,0))</formula>
    </cfRule>
    <cfRule type="expression" priority="240" dxfId="2">
      <formula>AND(IF($Q12=2,1,0),IF($X12&lt;30,1,0))</formula>
    </cfRule>
    <cfRule type="expression" priority="241" dxfId="1">
      <formula>AND(IF($Q12=3,1,0),IF($X12&lt;30,1,0))</formula>
    </cfRule>
    <cfRule type="expression" priority="242" dxfId="0">
      <formula>AND(IF($Q12=3,1,IF($Q12=4,1,0)),IF($F12&lt;=85,1,0))</formula>
    </cfRule>
  </conditionalFormatting>
  <conditionalFormatting sqref="AV13">
    <cfRule type="expression" priority="237" dxfId="23">
      <formula>AV13="X"</formula>
    </cfRule>
    <cfRule type="expression" priority="238" dxfId="22">
      <formula>AV13="후보"</formula>
    </cfRule>
  </conditionalFormatting>
  <conditionalFormatting sqref="AC1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">
    <cfRule type="expression" priority="228" dxfId="3">
      <formula>AND(IF(OR($Q13=1,$Q13=2),1,0),IF($X13&lt;=20,1,0))</formula>
    </cfRule>
    <cfRule type="expression" priority="229" dxfId="2">
      <formula>AND(IF($Q13=2,1,0),IF($X13&lt;30,1,0))</formula>
    </cfRule>
    <cfRule type="expression" priority="230" dxfId="1">
      <formula>AND(IF($Q13=3,1,0),IF($X13&lt;30,1,0))</formula>
    </cfRule>
    <cfRule type="expression" priority="231" dxfId="0">
      <formula>AND(IF($Q13=3,1,IF($Q13=4,1,0)),IF($F13&lt;=85,1,0))</formula>
    </cfRule>
  </conditionalFormatting>
  <conditionalFormatting sqref="X13">
    <cfRule type="expression" priority="224" dxfId="3">
      <formula>AND(IF(OR($Q13=1,$Q13=2),1,0),IF($X13&lt;=20,1,0))</formula>
    </cfRule>
    <cfRule type="expression" priority="225" dxfId="2">
      <formula>AND(IF($Q13=2,1,0),IF($X13&lt;30,1,0))</formula>
    </cfRule>
    <cfRule type="expression" priority="226" dxfId="1">
      <formula>AND(IF($Q13=3,1,0),IF($X13&lt;30,1,0))</formula>
    </cfRule>
    <cfRule type="expression" priority="227" dxfId="0">
      <formula>AND(IF($Q13=3,1,IF($Q13=4,1,0)),IF($F13&lt;=85,1,0))</formula>
    </cfRule>
  </conditionalFormatting>
  <conditionalFormatting sqref="AI13">
    <cfRule type="expression" priority="220" dxfId="3">
      <formula>AND(IF(OR($Q13=1,$Q13=2),1,0),IF($X13&lt;=20,1,0))</formula>
    </cfRule>
    <cfRule type="expression" priority="221" dxfId="2">
      <formula>AND(IF($Q13=2,1,0),IF($X13&lt;30,1,0))</formula>
    </cfRule>
    <cfRule type="expression" priority="222" dxfId="1">
      <formula>AND(IF($Q13=3,1,0),IF($X13&lt;30,1,0))</formula>
    </cfRule>
    <cfRule type="expression" priority="223" dxfId="0">
      <formula>AND(IF($Q13=3,1,IF($Q13=4,1,0)),IF($F13&lt;=85,1,0))</formula>
    </cfRule>
  </conditionalFormatting>
  <conditionalFormatting sqref="AV14">
    <cfRule type="expression" priority="218" dxfId="23">
      <formula>AV14="X"</formula>
    </cfRule>
    <cfRule type="expression" priority="219" dxfId="22">
      <formula>AV14="후보"</formula>
    </cfRule>
  </conditionalFormatting>
  <conditionalFormatting sqref="AC14 N1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5">
    <cfRule type="expression" priority="213" dxfId="23">
      <formula>AV15="X"</formula>
    </cfRule>
    <cfRule type="expression" priority="214" dxfId="22">
      <formula>AV15="후보"</formula>
    </cfRule>
  </conditionalFormatting>
  <conditionalFormatting sqref="AC1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23">
      <formula>AV16="X"</formula>
    </cfRule>
    <cfRule type="expression" priority="195" dxfId="22">
      <formula>AV16="후보"</formula>
    </cfRule>
  </conditionalFormatting>
  <conditionalFormatting sqref="AC1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6">
    <cfRule type="expression" priority="185" dxfId="3">
      <formula>AND(IF(OR($Q16=1,$Q16=2),1,0),IF($X16&lt;=20,1,0))</formula>
    </cfRule>
    <cfRule type="expression" priority="186" dxfId="2">
      <formula>AND(IF($Q16=2,1,0),IF($X16&lt;30,1,0))</formula>
    </cfRule>
    <cfRule type="expression" priority="187" dxfId="1">
      <formula>AND(IF($Q16=3,1,0),IF($X16&lt;30,1,0))</formula>
    </cfRule>
    <cfRule type="expression" priority="188" dxfId="0">
      <formula>AND(IF($Q16=3,1,IF($Q16=4,1,0)),IF($F16&lt;=85,1,0))</formula>
    </cfRule>
  </conditionalFormatting>
  <conditionalFormatting sqref="X16">
    <cfRule type="expression" priority="181" dxfId="3">
      <formula>AND(IF(OR($Q16=1,$Q16=2),1,0),IF($X16&lt;=20,1,0))</formula>
    </cfRule>
    <cfRule type="expression" priority="182" dxfId="2">
      <formula>AND(IF($Q16=2,1,0),IF($X16&lt;30,1,0))</formula>
    </cfRule>
    <cfRule type="expression" priority="183" dxfId="1">
      <formula>AND(IF($Q16=3,1,0),IF($X16&lt;30,1,0))</formula>
    </cfRule>
    <cfRule type="expression" priority="184" dxfId="0">
      <formula>AND(IF($Q16=3,1,IF($Q16=4,1,0)),IF($F16&lt;=85,1,0))</formula>
    </cfRule>
  </conditionalFormatting>
  <conditionalFormatting sqref="AI16">
    <cfRule type="expression" priority="177" dxfId="3">
      <formula>AND(IF(OR($Q16=1,$Q16=2),1,0),IF($X16&lt;=20,1,0))</formula>
    </cfRule>
    <cfRule type="expression" priority="178" dxfId="2">
      <formula>AND(IF($Q16=2,1,0),IF($X16&lt;30,1,0))</formula>
    </cfRule>
    <cfRule type="expression" priority="179" dxfId="1">
      <formula>AND(IF($Q16=3,1,0),IF($X16&lt;30,1,0))</formula>
    </cfRule>
    <cfRule type="expression" priority="180" dxfId="0">
      <formula>AND(IF($Q16=3,1,IF($Q16=4,1,0)),IF($F16&lt;=85,1,0))</formula>
    </cfRule>
  </conditionalFormatting>
  <conditionalFormatting sqref="AV17">
    <cfRule type="expression" priority="175" dxfId="23">
      <formula>AV17="X"</formula>
    </cfRule>
    <cfRule type="expression" priority="176" dxfId="22">
      <formula>AV17="후보"</formula>
    </cfRule>
  </conditionalFormatting>
  <conditionalFormatting sqref="AC1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7">
    <cfRule type="expression" priority="166" dxfId="3">
      <formula>AND(IF(OR($Q17=1,$Q17=2),1,0),IF($X17&lt;=20,1,0))</formula>
    </cfRule>
    <cfRule type="expression" priority="167" dxfId="2">
      <formula>AND(IF($Q17=2,1,0),IF($X17&lt;30,1,0))</formula>
    </cfRule>
    <cfRule type="expression" priority="168" dxfId="1">
      <formula>AND(IF($Q17=3,1,0),IF($X17&lt;30,1,0))</formula>
    </cfRule>
    <cfRule type="expression" priority="169" dxfId="0">
      <formula>AND(IF($Q17=3,1,IF($Q17=4,1,0)),IF($F17&lt;=85,1,0))</formula>
    </cfRule>
  </conditionalFormatting>
  <conditionalFormatting sqref="X17">
    <cfRule type="expression" priority="162" dxfId="3">
      <formula>AND(IF(OR($Q17=1,$Q17=2),1,0),IF($X17&lt;=20,1,0))</formula>
    </cfRule>
    <cfRule type="expression" priority="163" dxfId="2">
      <formula>AND(IF($Q17=2,1,0),IF($X17&lt;30,1,0))</formula>
    </cfRule>
    <cfRule type="expression" priority="164" dxfId="1">
      <formula>AND(IF($Q17=3,1,0),IF($X17&lt;30,1,0))</formula>
    </cfRule>
    <cfRule type="expression" priority="165" dxfId="0">
      <formula>AND(IF($Q17=3,1,IF($Q17=4,1,0)),IF($F17&lt;=85,1,0))</formula>
    </cfRule>
  </conditionalFormatting>
  <conditionalFormatting sqref="AI17">
    <cfRule type="expression" priority="158" dxfId="3">
      <formula>AND(IF(OR($Q17=1,$Q17=2),1,0),IF($X17&lt;=20,1,0))</formula>
    </cfRule>
    <cfRule type="expression" priority="159" dxfId="2">
      <formula>AND(IF($Q17=2,1,0),IF($X17&lt;30,1,0))</formula>
    </cfRule>
    <cfRule type="expression" priority="160" dxfId="1">
      <formula>AND(IF($Q17=3,1,0),IF($X17&lt;30,1,0))</formula>
    </cfRule>
    <cfRule type="expression" priority="161" dxfId="0">
      <formula>AND(IF($Q17=3,1,IF($Q17=4,1,0)),IF($F17&lt;=85,1,0))</formula>
    </cfRule>
  </conditionalFormatting>
  <conditionalFormatting sqref="AV18">
    <cfRule type="expression" priority="156" dxfId="23">
      <formula>AV18="X"</formula>
    </cfRule>
    <cfRule type="expression" priority="157" dxfId="22">
      <formula>AV18="후보"</formula>
    </cfRule>
  </conditionalFormatting>
  <conditionalFormatting sqref="AC18 N1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9">
    <cfRule type="expression" priority="151" dxfId="23">
      <formula>AV19="X"</formula>
    </cfRule>
    <cfRule type="expression" priority="152" dxfId="22">
      <formula>AV19="후보"</formula>
    </cfRule>
  </conditionalFormatting>
  <conditionalFormatting sqref="AC1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9">
    <cfRule type="expression" priority="142" dxfId="3">
      <formula>AND(IF(OR($Q19=1,$Q19=2),1,0),IF($X19&lt;=20,1,0))</formula>
    </cfRule>
    <cfRule type="expression" priority="143" dxfId="2">
      <formula>AND(IF($Q19=2,1,0),IF($X19&lt;30,1,0))</formula>
    </cfRule>
    <cfRule type="expression" priority="144" dxfId="1">
      <formula>AND(IF($Q19=3,1,0),IF($X19&lt;30,1,0))</formula>
    </cfRule>
    <cfRule type="expression" priority="145" dxfId="0">
      <formula>AND(IF($Q19=3,1,IF($Q19=4,1,0)),IF($F19&lt;=85,1,0))</formula>
    </cfRule>
  </conditionalFormatting>
  <conditionalFormatting sqref="X19">
    <cfRule type="expression" priority="138" dxfId="3">
      <formula>AND(IF(OR($Q19=1,$Q19=2),1,0),IF($X19&lt;=20,1,0))</formula>
    </cfRule>
    <cfRule type="expression" priority="139" dxfId="2">
      <formula>AND(IF($Q19=2,1,0),IF($X19&lt;30,1,0))</formula>
    </cfRule>
    <cfRule type="expression" priority="140" dxfId="1">
      <formula>AND(IF($Q19=3,1,0),IF($X19&lt;30,1,0))</formula>
    </cfRule>
    <cfRule type="expression" priority="141" dxfId="0">
      <formula>AND(IF($Q19=3,1,IF($Q19=4,1,0)),IF($F19&lt;=85,1,0))</formula>
    </cfRule>
  </conditionalFormatting>
  <conditionalFormatting sqref="AI19">
    <cfRule type="expression" priority="134" dxfId="3">
      <formula>AND(IF(OR($Q19=1,$Q19=2),1,0),IF($X19&lt;=20,1,0))</formula>
    </cfRule>
    <cfRule type="expression" priority="135" dxfId="2">
      <formula>AND(IF($Q19=2,1,0),IF($X19&lt;30,1,0))</formula>
    </cfRule>
    <cfRule type="expression" priority="136" dxfId="1">
      <formula>AND(IF($Q19=3,1,0),IF($X19&lt;30,1,0))</formula>
    </cfRule>
    <cfRule type="expression" priority="137" dxfId="0">
      <formula>AND(IF($Q19=3,1,IF($Q19=4,1,0)),IF($F19&lt;=85,1,0))</formula>
    </cfRule>
  </conditionalFormatting>
  <conditionalFormatting sqref="AV20">
    <cfRule type="expression" priority="132" dxfId="23">
      <formula>AV20="X"</formula>
    </cfRule>
    <cfRule type="expression" priority="133" dxfId="22">
      <formula>AV20="후보"</formula>
    </cfRule>
  </conditionalFormatting>
  <conditionalFormatting sqref="AC2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0">
    <cfRule type="expression" priority="123" dxfId="3">
      <formula>AND(IF(OR($Q20=1,$Q20=2),1,0),IF($X20&lt;=20,1,0))</formula>
    </cfRule>
    <cfRule type="expression" priority="124" dxfId="2">
      <formula>AND(IF($Q20=2,1,0),IF($X20&lt;30,1,0))</formula>
    </cfRule>
    <cfRule type="expression" priority="125" dxfId="1">
      <formula>AND(IF($Q20=3,1,0),IF($X20&lt;30,1,0))</formula>
    </cfRule>
    <cfRule type="expression" priority="126" dxfId="0">
      <formula>AND(IF($Q20=3,1,IF($Q20=4,1,0)),IF($F20&lt;=85,1,0))</formula>
    </cfRule>
  </conditionalFormatting>
  <conditionalFormatting sqref="X20">
    <cfRule type="expression" priority="119" dxfId="3">
      <formula>AND(IF(OR($Q20=1,$Q20=2),1,0),IF($X20&lt;=20,1,0))</formula>
    </cfRule>
    <cfRule type="expression" priority="120" dxfId="2">
      <formula>AND(IF($Q20=2,1,0),IF($X20&lt;30,1,0))</formula>
    </cfRule>
    <cfRule type="expression" priority="121" dxfId="1">
      <formula>AND(IF($Q20=3,1,0),IF($X20&lt;30,1,0))</formula>
    </cfRule>
    <cfRule type="expression" priority="122" dxfId="0">
      <formula>AND(IF($Q20=3,1,IF($Q20=4,1,0)),IF($F20&lt;=85,1,0))</formula>
    </cfRule>
  </conditionalFormatting>
  <conditionalFormatting sqref="AI20">
    <cfRule type="expression" priority="115" dxfId="3">
      <formula>AND(IF(OR($Q20=1,$Q20=2),1,0),IF($X20&lt;=20,1,0))</formula>
    </cfRule>
    <cfRule type="expression" priority="116" dxfId="2">
      <formula>AND(IF($Q20=2,1,0),IF($X20&lt;30,1,0))</formula>
    </cfRule>
    <cfRule type="expression" priority="117" dxfId="1">
      <formula>AND(IF($Q20=3,1,0),IF($X20&lt;30,1,0))</formula>
    </cfRule>
    <cfRule type="expression" priority="118" dxfId="0">
      <formula>AND(IF($Q20=3,1,IF($Q20=4,1,0)),IF($F20&lt;=85,1,0))</formula>
    </cfRule>
  </conditionalFormatting>
  <conditionalFormatting sqref="AV21">
    <cfRule type="expression" priority="113" dxfId="23">
      <formula>AV21="X"</formula>
    </cfRule>
    <cfRule type="expression" priority="114" dxfId="22">
      <formula>AV21="후보"</formula>
    </cfRule>
  </conditionalFormatting>
  <conditionalFormatting sqref="AC2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1">
    <cfRule type="expression" priority="104" dxfId="3">
      <formula>AND(IF(OR($Q21=1,$Q21=2),1,0),IF($X21&lt;=20,1,0))</formula>
    </cfRule>
    <cfRule type="expression" priority="105" dxfId="2">
      <formula>AND(IF($Q21=2,1,0),IF($X21&lt;30,1,0))</formula>
    </cfRule>
    <cfRule type="expression" priority="106" dxfId="1">
      <formula>AND(IF($Q21=3,1,0),IF($X21&lt;30,1,0))</formula>
    </cfRule>
    <cfRule type="expression" priority="107" dxfId="0">
      <formula>AND(IF($Q21=3,1,IF($Q21=4,1,0)),IF($F21&lt;=85,1,0))</formula>
    </cfRule>
  </conditionalFormatting>
  <conditionalFormatting sqref="X21">
    <cfRule type="expression" priority="100" dxfId="3">
      <formula>AND(IF(OR($Q21=1,$Q21=2),1,0),IF($X21&lt;=20,1,0))</formula>
    </cfRule>
    <cfRule type="expression" priority="101" dxfId="2">
      <formula>AND(IF($Q21=2,1,0),IF($X21&lt;30,1,0))</formula>
    </cfRule>
    <cfRule type="expression" priority="102" dxfId="1">
      <formula>AND(IF($Q21=3,1,0),IF($X21&lt;30,1,0))</formula>
    </cfRule>
    <cfRule type="expression" priority="103" dxfId="0">
      <formula>AND(IF($Q21=3,1,IF($Q21=4,1,0)),IF($F21&lt;=85,1,0))</formula>
    </cfRule>
  </conditionalFormatting>
  <conditionalFormatting sqref="AI21">
    <cfRule type="expression" priority="96" dxfId="3">
      <formula>AND(IF(OR($Q21=1,$Q21=2),1,0),IF($X21&lt;=20,1,0))</formula>
    </cfRule>
    <cfRule type="expression" priority="97" dxfId="2">
      <formula>AND(IF($Q21=2,1,0),IF($X21&lt;30,1,0))</formula>
    </cfRule>
    <cfRule type="expression" priority="98" dxfId="1">
      <formula>AND(IF($Q21=3,1,0),IF($X21&lt;30,1,0))</formula>
    </cfRule>
    <cfRule type="expression" priority="99" dxfId="0">
      <formula>AND(IF($Q21=3,1,IF($Q21=4,1,0)),IF($F21&lt;=85,1,0))</formula>
    </cfRule>
  </conditionalFormatting>
  <conditionalFormatting sqref="AV22">
    <cfRule type="expression" priority="94" dxfId="23">
      <formula>AV22="X"</formula>
    </cfRule>
    <cfRule type="expression" priority="95" dxfId="22">
      <formula>AV22="후보"</formula>
    </cfRule>
  </conditionalFormatting>
  <conditionalFormatting sqref="AC2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23">
      <formula>AV23="X"</formula>
    </cfRule>
    <cfRule type="expression" priority="76" dxfId="22">
      <formula>AV23="후보"</formula>
    </cfRule>
  </conditionalFormatting>
  <conditionalFormatting sqref="AC2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동정동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동정오성</t>
        </is>
      </c>
      <c r="B6" s="10" t="inlineStr">
        <is>
          <t>'96.03.</t>
        </is>
      </c>
      <c r="C6" s="133" t="n">
        <v>254</v>
      </c>
      <c r="D6" s="131" t="n">
        <v>56.2</v>
      </c>
      <c r="E6" s="132" t="n">
        <v>17</v>
      </c>
      <c r="F6" s="131" t="n">
        <v>41.8</v>
      </c>
      <c r="G6" s="17" t="n">
        <v>13</v>
      </c>
      <c r="H6" s="133" t="n">
        <v>32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동정오성</t>
        </is>
      </c>
      <c r="B7" s="10" t="inlineStr">
        <is>
          <t>'96.03.</t>
        </is>
      </c>
      <c r="C7" s="133" t="n">
        <v>254</v>
      </c>
      <c r="D7" s="131" t="n">
        <v>67</v>
      </c>
      <c r="E7" s="132" t="n">
        <v>20</v>
      </c>
      <c r="F7" s="131" t="n">
        <v>53.3</v>
      </c>
      <c r="G7" s="17" t="n">
        <v>16</v>
      </c>
      <c r="H7" s="133" t="n">
        <v>1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67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동정오성</t>
        </is>
      </c>
      <c r="B8" s="10" t="inlineStr">
        <is>
          <t>'96.03.</t>
        </is>
      </c>
      <c r="C8" s="133" t="n">
        <v>254</v>
      </c>
      <c r="D8" s="131" t="n">
        <v>73.7</v>
      </c>
      <c r="E8" s="132" t="n">
        <v>22</v>
      </c>
      <c r="F8" s="131" t="n">
        <v>60</v>
      </c>
      <c r="G8" s="17" t="n">
        <v>18</v>
      </c>
      <c r="H8" s="133" t="n">
        <v>109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n">
        <v>73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동정오성</t>
        </is>
      </c>
      <c r="B9" s="10" t="inlineStr">
        <is>
          <t>'96.03.</t>
        </is>
      </c>
      <c r="C9" s="133" t="n">
        <v>254</v>
      </c>
      <c r="D9" s="131" t="n">
        <v>96.59999999999999</v>
      </c>
      <c r="E9" s="132" t="n">
        <v>29</v>
      </c>
      <c r="F9" s="131" t="n">
        <v>84.7</v>
      </c>
      <c r="G9" s="17" t="n">
        <v>26</v>
      </c>
      <c r="H9" s="133" t="n">
        <v>112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96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동정흥한웰가</t>
        </is>
      </c>
      <c r="B11" s="10" t="inlineStr">
        <is>
          <t>'04.12.</t>
        </is>
      </c>
      <c r="C11" s="133" t="n">
        <v>418</v>
      </c>
      <c r="D11" s="131" t="n">
        <v>105</v>
      </c>
      <c r="E11" s="132" t="n">
        <v>32</v>
      </c>
      <c r="F11" s="131" t="n">
        <v>84.90000000000001</v>
      </c>
      <c r="G11" s="17" t="n">
        <v>26</v>
      </c>
      <c r="H11" s="133" t="n">
        <v>311</v>
      </c>
      <c r="I11" s="134" t="n">
        <v>34800</v>
      </c>
      <c r="J11" s="134" t="inlineStr">
        <is>
          <t>중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105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동정흥한웰가</t>
        </is>
      </c>
      <c r="B12" s="10" t="inlineStr">
        <is>
          <t>'04.12.</t>
        </is>
      </c>
      <c r="C12" s="133" t="n">
        <v>418</v>
      </c>
      <c r="D12" s="131" t="n">
        <v>144.7</v>
      </c>
      <c r="E12" s="132" t="n">
        <v>44</v>
      </c>
      <c r="F12" s="131" t="n">
        <v>117</v>
      </c>
      <c r="G12" s="17" t="n">
        <v>35</v>
      </c>
      <c r="H12" s="133" t="n">
        <v>107</v>
      </c>
      <c r="I12" s="134" t="n">
        <v>44000</v>
      </c>
      <c r="J12" s="134" t="inlineStr">
        <is>
          <t>고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144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23">
      <formula>AV4="X"</formula>
    </cfRule>
    <cfRule type="expression" priority="121" dxfId="22">
      <formula>AV4="후보"</formula>
    </cfRule>
  </conditionalFormatting>
  <conditionalFormatting sqref="AC1:AC2 AC4:AC6 N4:N5">
    <cfRule type="cellIs" priority="117" operator="greaterThan" dxfId="17">
      <formula>0.9</formula>
    </cfRule>
    <cfRule type="cellIs" priority="118" operator="greaterThan" dxfId="16">
      <formula>0.85</formula>
    </cfRule>
  </conditionalFormatting>
  <conditionalFormatting sqref="N1:N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23">
      <formula>AV7="X"</formula>
    </cfRule>
    <cfRule type="expression" priority="100" dxfId="22">
      <formula>AV7="후보"</formula>
    </cfRule>
  </conditionalFormatting>
  <conditionalFormatting sqref="AC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23">
      <formula>AV8="X"</formula>
    </cfRule>
    <cfRule type="expression" priority="81" dxfId="22">
      <formula>AV8="후보"</formula>
    </cfRule>
  </conditionalFormatting>
  <conditionalFormatting sqref="AC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23">
      <formula>AV9="X"</formula>
    </cfRule>
    <cfRule type="expression" priority="62" dxfId="22">
      <formula>AV9="후보"</formula>
    </cfRule>
  </conditionalFormatting>
  <conditionalFormatting sqref="AC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9">
    <cfRule type="expression" priority="52" dxfId="3">
      <formula>AND(IF(OR($Q9=1,$Q9=2),1,0),IF($X9&lt;=20,1,0))</formula>
    </cfRule>
    <cfRule type="expression" priority="53" dxfId="2">
      <formula>AND(IF($Q9=2,1,0),IF($X9&lt;30,1,0))</formula>
    </cfRule>
    <cfRule type="expression" priority="54" dxfId="1">
      <formula>AND(IF($Q9=3,1,0),IF($X9&lt;30,1,0))</formula>
    </cfRule>
    <cfRule type="expression" priority="55" dxfId="0">
      <formula>AND(IF($Q9=3,1,IF($Q9=4,1,0)),IF($F9&lt;=85,1,0))</formula>
    </cfRule>
  </conditionalFormatting>
  <conditionalFormatting sqref="X9">
    <cfRule type="expression" priority="48" dxfId="3">
      <formula>AND(IF(OR($Q9=1,$Q9=2),1,0),IF($X9&lt;=20,1,0))</formula>
    </cfRule>
    <cfRule type="expression" priority="49" dxfId="2">
      <formula>AND(IF($Q9=2,1,0),IF($X9&lt;30,1,0))</formula>
    </cfRule>
    <cfRule type="expression" priority="50" dxfId="1">
      <formula>AND(IF($Q9=3,1,0),IF($X9&lt;30,1,0))</formula>
    </cfRule>
    <cfRule type="expression" priority="51" dxfId="0">
      <formula>AND(IF($Q9=3,1,IF($Q9=4,1,0)),IF($F9&lt;=85,1,0))</formula>
    </cfRule>
  </conditionalFormatting>
  <conditionalFormatting sqref="AI9">
    <cfRule type="expression" priority="44" dxfId="3">
      <formula>AND(IF(OR($Q9=1,$Q9=2),1,0),IF($X9&lt;=20,1,0))</formula>
    </cfRule>
    <cfRule type="expression" priority="45" dxfId="2">
      <formula>AND(IF($Q9=2,1,0),IF($X9&lt;30,1,0))</formula>
    </cfRule>
    <cfRule type="expression" priority="46" dxfId="1">
      <formula>AND(IF($Q9=3,1,0),IF($X9&lt;30,1,0))</formula>
    </cfRule>
    <cfRule type="expression" priority="47" dxfId="0">
      <formula>AND(IF($Q9=3,1,IF($Q9=4,1,0)),IF($F9&lt;=85,1,0))</formula>
    </cfRule>
  </conditionalFormatting>
  <conditionalFormatting sqref="AV10">
    <cfRule type="expression" priority="42" dxfId="23">
      <formula>AV10="X"</formula>
    </cfRule>
    <cfRule type="expression" priority="43" dxfId="22">
      <formula>AV10="후보"</formula>
    </cfRule>
  </conditionalFormatting>
  <conditionalFormatting sqref="AC10 N1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창원명곡A-1블록신혼희망타운</t>
        </is>
      </c>
      <c r="B6" s="10" t="inlineStr">
        <is>
          <t>'24.10.</t>
        </is>
      </c>
      <c r="C6" s="133" t="n">
        <v>395</v>
      </c>
      <c r="D6" s="131" t="n">
        <v>78.90000000000001</v>
      </c>
      <c r="E6" s="132" t="n">
        <v>24</v>
      </c>
      <c r="F6" s="131" t="n">
        <v>55.9</v>
      </c>
      <c r="G6" s="17" t="n">
        <v>17</v>
      </c>
      <c r="H6" s="133" t="n">
        <v>172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2</v>
      </c>
      <c r="S6" s="121" t="inlineStr">
        <is>
          <t>계</t>
        </is>
      </c>
      <c r="T6" s="5" t="inlineStr">
        <is>
          <t>78A2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창원명곡A-1블록신혼희망타운</t>
        </is>
      </c>
      <c r="B7" s="10" t="inlineStr">
        <is>
          <t>'24.10.</t>
        </is>
      </c>
      <c r="C7" s="133" t="n">
        <v>395</v>
      </c>
      <c r="D7" s="131" t="n">
        <v>78.90000000000001</v>
      </c>
      <c r="E7" s="132" t="n">
        <v>24</v>
      </c>
      <c r="F7" s="131" t="n">
        <v>55.9</v>
      </c>
      <c r="G7" s="17" t="n">
        <v>17</v>
      </c>
      <c r="H7" s="133" t="n">
        <v>61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2</v>
      </c>
      <c r="S7" s="121" t="inlineStr">
        <is>
          <t>계</t>
        </is>
      </c>
      <c r="T7" s="5" t="inlineStr">
        <is>
          <t>78B2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창원명곡A-1블록신혼희망타운</t>
        </is>
      </c>
      <c r="B8" s="10" t="inlineStr">
        <is>
          <t>'24.10.</t>
        </is>
      </c>
      <c r="C8" s="133" t="n">
        <v>395</v>
      </c>
      <c r="D8" s="131" t="n">
        <v>78.59999999999999</v>
      </c>
      <c r="E8" s="132" t="n">
        <v>24</v>
      </c>
      <c r="F8" s="131" t="n">
        <v>55.7</v>
      </c>
      <c r="G8" s="17" t="n">
        <v>17</v>
      </c>
      <c r="H8" s="133" t="n">
        <v>20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2</v>
      </c>
      <c r="S8" s="121" t="inlineStr">
        <is>
          <t>계</t>
        </is>
      </c>
      <c r="T8" s="5" t="inlineStr">
        <is>
          <t>78A1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창원명곡A-1블록신혼희망타운</t>
        </is>
      </c>
      <c r="B9" s="10" t="inlineStr">
        <is>
          <t>'24.10.</t>
        </is>
      </c>
      <c r="C9" s="133" t="n">
        <v>395</v>
      </c>
      <c r="D9" s="131" t="n">
        <v>78.5</v>
      </c>
      <c r="E9" s="132" t="n">
        <v>24</v>
      </c>
      <c r="F9" s="131" t="n">
        <v>55.6</v>
      </c>
      <c r="G9" s="17" t="n">
        <v>17</v>
      </c>
      <c r="H9" s="133" t="n">
        <v>10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2</v>
      </c>
      <c r="S9" s="121" t="inlineStr">
        <is>
          <t>계</t>
        </is>
      </c>
      <c r="T9" s="5" t="inlineStr">
        <is>
          <t>78B1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두산위브</t>
        </is>
      </c>
      <c r="B6" s="10" t="inlineStr">
        <is>
          <t>'10.06.</t>
        </is>
      </c>
      <c r="C6" s="133" t="n">
        <v>1522</v>
      </c>
      <c r="D6" s="131" t="n">
        <v>113.1</v>
      </c>
      <c r="E6" s="132" t="n">
        <v>34</v>
      </c>
      <c r="F6" s="131" t="n">
        <v>85</v>
      </c>
      <c r="G6" s="17" t="n">
        <v>26</v>
      </c>
      <c r="H6" s="133" t="n">
        <v>294</v>
      </c>
      <c r="I6" s="134" t="n">
        <v>50500</v>
      </c>
      <c r="J6" s="134" t="inlineStr">
        <is>
          <t>중</t>
        </is>
      </c>
      <c r="K6" s="134" t="n">
        <v>42000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두산위브</t>
        </is>
      </c>
      <c r="B7" s="10" t="inlineStr">
        <is>
          <t>'10.06.</t>
        </is>
      </c>
      <c r="C7" s="133" t="n">
        <v>1522</v>
      </c>
      <c r="D7" s="131" t="n">
        <v>128.4</v>
      </c>
      <c r="E7" s="132" t="n">
        <v>39</v>
      </c>
      <c r="F7" s="131" t="n">
        <v>103.8</v>
      </c>
      <c r="G7" s="17" t="n">
        <v>31</v>
      </c>
      <c r="H7" s="133" t="n">
        <v>120</v>
      </c>
      <c r="I7" s="134" t="n">
        <v>63000</v>
      </c>
      <c r="J7" s="134" t="inlineStr">
        <is>
          <t>고</t>
        </is>
      </c>
      <c r="K7" s="134" t="n">
        <v>45000</v>
      </c>
      <c r="L7" s="134" t="inlineStr">
        <is>
          <t>고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복</t>
        </is>
      </c>
      <c r="T7" s="5" t="inlineStr">
        <is>
          <t>128C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두산위브</t>
        </is>
      </c>
      <c r="B8" s="10" t="inlineStr">
        <is>
          <t>'10.06.</t>
        </is>
      </c>
      <c r="C8" s="133" t="n">
        <v>1522</v>
      </c>
      <c r="D8" s="131" t="n">
        <v>128.2</v>
      </c>
      <c r="E8" s="132" t="n">
        <v>39</v>
      </c>
      <c r="F8" s="131" t="n">
        <v>103.6</v>
      </c>
      <c r="G8" s="17" t="n">
        <v>31</v>
      </c>
      <c r="H8" s="133" t="n">
        <v>112</v>
      </c>
      <c r="I8" s="134" t="n">
        <v>58000</v>
      </c>
      <c r="J8" s="134" t="inlineStr">
        <is>
          <t>중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128B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두산위브</t>
        </is>
      </c>
      <c r="B9" s="10" t="inlineStr">
        <is>
          <t>'10.06.</t>
        </is>
      </c>
      <c r="C9" s="133" t="n">
        <v>1522</v>
      </c>
      <c r="D9" s="131" t="n">
        <v>128.2</v>
      </c>
      <c r="E9" s="132" t="n">
        <v>39</v>
      </c>
      <c r="F9" s="131" t="n">
        <v>103.5</v>
      </c>
      <c r="G9" s="17" t="n">
        <v>31</v>
      </c>
      <c r="H9" s="133" t="n">
        <v>56</v>
      </c>
      <c r="I9" s="134" t="n">
        <v>51000</v>
      </c>
      <c r="J9" s="134" t="inlineStr">
        <is>
          <t>7</t>
        </is>
      </c>
      <c r="K9" s="134" t="n">
        <v>40000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복</t>
        </is>
      </c>
      <c r="T9" s="5" t="inlineStr">
        <is>
          <t>128A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두산위브</t>
        </is>
      </c>
      <c r="B10" s="10" t="inlineStr">
        <is>
          <t>'10.06.</t>
        </is>
      </c>
      <c r="C10" s="133" t="n">
        <v>1522</v>
      </c>
      <c r="D10" s="131" t="n">
        <v>145.4</v>
      </c>
      <c r="E10" s="132" t="n">
        <v>44</v>
      </c>
      <c r="F10" s="131" t="n">
        <v>118.2</v>
      </c>
      <c r="G10" s="17" t="n">
        <v>36</v>
      </c>
      <c r="H10" s="133" t="n">
        <v>30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inlineStr">
        <is>
          <t>145B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두산위브</t>
        </is>
      </c>
      <c r="B11" s="10" t="inlineStr">
        <is>
          <t>'10.06.</t>
        </is>
      </c>
      <c r="C11" s="133" t="n">
        <v>1522</v>
      </c>
      <c r="D11" s="131" t="n">
        <v>145</v>
      </c>
      <c r="E11" s="132" t="n">
        <v>44</v>
      </c>
      <c r="F11" s="131" t="n">
        <v>117.3</v>
      </c>
      <c r="G11" s="17" t="n">
        <v>35</v>
      </c>
      <c r="H11" s="133" t="n">
        <v>27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inlineStr">
        <is>
          <t>145A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두산위브</t>
        </is>
      </c>
      <c r="B12" s="10" t="inlineStr">
        <is>
          <t>'10.06.</t>
        </is>
      </c>
      <c r="C12" s="133" t="n">
        <v>1522</v>
      </c>
      <c r="D12" s="131" t="n">
        <v>151.9</v>
      </c>
      <c r="E12" s="132" t="n">
        <v>46</v>
      </c>
      <c r="F12" s="131" t="n">
        <v>126</v>
      </c>
      <c r="G12" s="17" t="n">
        <v>38</v>
      </c>
      <c r="H12" s="133" t="n">
        <v>58</v>
      </c>
      <c r="I12" s="134" t="n">
        <v>65000</v>
      </c>
      <c r="J12" s="134" t="inlineStr">
        <is>
          <t>중</t>
        </is>
      </c>
      <c r="K12" s="134" t="n">
        <v>44000</v>
      </c>
      <c r="L12" s="134" t="inlineStr">
        <is>
          <t>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복</t>
        </is>
      </c>
      <c r="T12" s="5" t="inlineStr">
        <is>
          <t>151A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두산위브</t>
        </is>
      </c>
      <c r="B13" s="10" t="inlineStr">
        <is>
          <t>'10.06.</t>
        </is>
      </c>
      <c r="C13" s="133" t="n">
        <v>1522</v>
      </c>
      <c r="D13" s="131" t="n">
        <v>151</v>
      </c>
      <c r="E13" s="132" t="n">
        <v>46</v>
      </c>
      <c r="F13" s="131" t="n">
        <v>126.1</v>
      </c>
      <c r="G13" s="17" t="n">
        <v>38</v>
      </c>
      <c r="H13" s="133" t="n">
        <v>56</v>
      </c>
      <c r="I13" s="134" t="n">
        <v>65000</v>
      </c>
      <c r="J13" s="134" t="inlineStr">
        <is>
          <t>중</t>
        </is>
      </c>
      <c r="K13" s="134" t="n">
        <v>45000</v>
      </c>
      <c r="L13" s="134" t="inlineStr">
        <is>
          <t>8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복</t>
        </is>
      </c>
      <c r="T13" s="5" t="inlineStr">
        <is>
          <t>151B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두산위브</t>
        </is>
      </c>
      <c r="B14" s="10" t="inlineStr">
        <is>
          <t>'10.06.</t>
        </is>
      </c>
      <c r="C14" s="133" t="n">
        <v>1522</v>
      </c>
      <c r="D14" s="131" t="n">
        <v>165.2</v>
      </c>
      <c r="E14" s="132" t="n">
        <v>50</v>
      </c>
      <c r="F14" s="131" t="n">
        <v>137.9</v>
      </c>
      <c r="G14" s="17" t="n">
        <v>42</v>
      </c>
      <c r="H14" s="133" t="n">
        <v>203</v>
      </c>
      <c r="I14" s="134" t="n">
        <v>60000</v>
      </c>
      <c r="J14" s="134" t="inlineStr">
        <is>
          <t>고</t>
        </is>
      </c>
      <c r="K14" s="134" t="n">
        <v>50000</v>
      </c>
      <c r="L14" s="134" t="inlineStr">
        <is>
          <t>고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165A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두산위브</t>
        </is>
      </c>
      <c r="B15" s="10" t="inlineStr">
        <is>
          <t>'10.06.</t>
        </is>
      </c>
      <c r="C15" s="133" t="n">
        <v>1522</v>
      </c>
      <c r="D15" s="131" t="n">
        <v>165.2</v>
      </c>
      <c r="E15" s="132" t="n">
        <v>50</v>
      </c>
      <c r="F15" s="131" t="n">
        <v>138</v>
      </c>
      <c r="G15" s="17" t="n">
        <v>42</v>
      </c>
      <c r="H15" s="133" t="n">
        <v>196</v>
      </c>
      <c r="I15" s="134" t="n">
        <v>66000</v>
      </c>
      <c r="J15" s="134" t="inlineStr">
        <is>
          <t>중</t>
        </is>
      </c>
      <c r="K15" s="134" t="n">
        <v>49000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inlineStr">
        <is>
          <t>165B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두산위브</t>
        </is>
      </c>
      <c r="B16" s="10" t="inlineStr">
        <is>
          <t>'10.06.</t>
        </is>
      </c>
      <c r="C16" s="133" t="n">
        <v>1522</v>
      </c>
      <c r="D16" s="131" t="n">
        <v>195.7</v>
      </c>
      <c r="E16" s="132" t="n">
        <v>59</v>
      </c>
      <c r="F16" s="131" t="n">
        <v>167.5</v>
      </c>
      <c r="G16" s="17" t="n">
        <v>51</v>
      </c>
      <c r="H16" s="133" t="n">
        <v>118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inlineStr">
        <is>
          <t>195A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두산위브</t>
        </is>
      </c>
      <c r="B17" s="10" t="inlineStr">
        <is>
          <t>'10.06.</t>
        </is>
      </c>
      <c r="C17" s="133" t="n">
        <v>1522</v>
      </c>
      <c r="D17" s="131" t="n">
        <v>198.2</v>
      </c>
      <c r="E17" s="132" t="n">
        <v>60</v>
      </c>
      <c r="F17" s="131" t="n">
        <v>168.2</v>
      </c>
      <c r="G17" s="17" t="n">
        <v>51</v>
      </c>
      <c r="H17" s="133" t="n">
        <v>110</v>
      </c>
      <c r="I17" s="134" t="n">
        <v>75000</v>
      </c>
      <c r="J17" s="134" t="inlineStr">
        <is>
          <t>9</t>
        </is>
      </c>
      <c r="K17" s="134" t="n">
        <v>70000</v>
      </c>
      <c r="L17" s="134" t="inlineStr">
        <is>
          <t>고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inlineStr">
        <is>
          <t>198B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두산위브</t>
        </is>
      </c>
      <c r="B18" s="10" t="inlineStr">
        <is>
          <t>'10.06.</t>
        </is>
      </c>
      <c r="C18" s="133" t="n">
        <v>1522</v>
      </c>
      <c r="D18" s="131" t="n">
        <v>225.4</v>
      </c>
      <c r="E18" s="132" t="n">
        <v>68</v>
      </c>
      <c r="F18" s="131" t="n">
        <v>189.4</v>
      </c>
      <c r="G18" s="17" t="n">
        <v>57</v>
      </c>
      <c r="H18" s="133" t="n">
        <v>142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3</v>
      </c>
      <c r="S18" s="121" t="inlineStr">
        <is>
          <t>계</t>
        </is>
      </c>
      <c r="T18" s="5" t="n">
        <v>225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48" dxfId="23">
      <formula>AV4="X"</formula>
    </cfRule>
    <cfRule type="expression" priority="249" dxfId="22">
      <formula>AV4="후보"</formula>
    </cfRule>
  </conditionalFormatting>
  <conditionalFormatting sqref="AC1:AC2 AC4:AC6 N4:N5">
    <cfRule type="cellIs" priority="245" operator="greaterThan" dxfId="17">
      <formula>0.9</formula>
    </cfRule>
    <cfRule type="cellIs" priority="246" operator="greaterThan" dxfId="16">
      <formula>0.85</formula>
    </cfRule>
  </conditionalFormatting>
  <conditionalFormatting sqref="N1:N2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6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6">
    <cfRule type="expression" priority="237" dxfId="3">
      <formula>AND(IF(OR($Q6=1,$Q6=2),1,0),IF($X6&lt;=20,1,0))</formula>
    </cfRule>
    <cfRule type="expression" priority="238" dxfId="2">
      <formula>AND(IF($Q6=2,1,0),IF($X6&lt;30,1,0))</formula>
    </cfRule>
    <cfRule type="expression" priority="239" dxfId="1">
      <formula>AND(IF($Q6=3,1,0),IF($X6&lt;30,1,0))</formula>
    </cfRule>
    <cfRule type="expression" priority="240" dxfId="0">
      <formula>AND(IF($Q6=3,1,IF($Q6=4,1,0)),IF($F6&lt;=85,1,0))</formula>
    </cfRule>
  </conditionalFormatting>
  <conditionalFormatting sqref="X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AI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V7">
    <cfRule type="expression" priority="227" dxfId="23">
      <formula>AV7="X"</formula>
    </cfRule>
    <cfRule type="expression" priority="228" dxfId="22">
      <formula>AV7="후보"</formula>
    </cfRule>
  </conditionalFormatting>
  <conditionalFormatting sqref="AC7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7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7">
    <cfRule type="expression" priority="218" dxfId="3">
      <formula>AND(IF(OR($Q7=1,$Q7=2),1,0),IF($X7&lt;=20,1,0))</formula>
    </cfRule>
    <cfRule type="expression" priority="219" dxfId="2">
      <formula>AND(IF($Q7=2,1,0),IF($X7&lt;30,1,0))</formula>
    </cfRule>
    <cfRule type="expression" priority="220" dxfId="1">
      <formula>AND(IF($Q7=3,1,0),IF($X7&lt;30,1,0))</formula>
    </cfRule>
    <cfRule type="expression" priority="221" dxfId="0">
      <formula>AND(IF($Q7=3,1,IF($Q7=4,1,0)),IF($F7&lt;=85,1,0))</formula>
    </cfRule>
  </conditionalFormatting>
  <conditionalFormatting sqref="X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AI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V8">
    <cfRule type="expression" priority="208" dxfId="23">
      <formula>AV8="X"</formula>
    </cfRule>
    <cfRule type="expression" priority="209" dxfId="22">
      <formula>AV8="후보"</formula>
    </cfRule>
  </conditionalFormatting>
  <conditionalFormatting sqref="AC8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8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8">
    <cfRule type="expression" priority="199" dxfId="3">
      <formula>AND(IF(OR($Q8=1,$Q8=2),1,0),IF($X8&lt;=20,1,0))</formula>
    </cfRule>
    <cfRule type="expression" priority="200" dxfId="2">
      <formula>AND(IF($Q8=2,1,0),IF($X8&lt;30,1,0))</formula>
    </cfRule>
    <cfRule type="expression" priority="201" dxfId="1">
      <formula>AND(IF($Q8=3,1,0),IF($X8&lt;30,1,0))</formula>
    </cfRule>
    <cfRule type="expression" priority="202" dxfId="0">
      <formula>AND(IF($Q8=3,1,IF($Q8=4,1,0)),IF($F8&lt;=85,1,0))</formula>
    </cfRule>
  </conditionalFormatting>
  <conditionalFormatting sqref="X8">
    <cfRule type="expression" priority="195" dxfId="3">
      <formula>AND(IF(OR($Q8=1,$Q8=2),1,0),IF($X8&lt;=20,1,0))</formula>
    </cfRule>
    <cfRule type="expression" priority="196" dxfId="2">
      <formula>AND(IF($Q8=2,1,0),IF($X8&lt;30,1,0))</formula>
    </cfRule>
    <cfRule type="expression" priority="197" dxfId="1">
      <formula>AND(IF($Q8=3,1,0),IF($X8&lt;30,1,0))</formula>
    </cfRule>
    <cfRule type="expression" priority="198" dxfId="0">
      <formula>AND(IF($Q8=3,1,IF($Q8=4,1,0)),IF($F8&lt;=85,1,0))</formula>
    </cfRule>
  </conditionalFormatting>
  <conditionalFormatting sqref="AI8">
    <cfRule type="expression" priority="191" dxfId="3">
      <formula>AND(IF(OR($Q8=1,$Q8=2),1,0),IF($X8&lt;=20,1,0))</formula>
    </cfRule>
    <cfRule type="expression" priority="192" dxfId="2">
      <formula>AND(IF($Q8=2,1,0),IF($X8&lt;30,1,0))</formula>
    </cfRule>
    <cfRule type="expression" priority="193" dxfId="1">
      <formula>AND(IF($Q8=3,1,0),IF($X8&lt;30,1,0))</formula>
    </cfRule>
    <cfRule type="expression" priority="194" dxfId="0">
      <formula>AND(IF($Q8=3,1,IF($Q8=4,1,0)),IF($F8&lt;=85,1,0))</formula>
    </cfRule>
  </conditionalFormatting>
  <conditionalFormatting sqref="AV9">
    <cfRule type="expression" priority="189" dxfId="23">
      <formula>AV9="X"</formula>
    </cfRule>
    <cfRule type="expression" priority="190" dxfId="22">
      <formula>AV9="후보"</formula>
    </cfRule>
  </conditionalFormatting>
  <conditionalFormatting sqref="AC9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9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9">
    <cfRule type="expression" priority="180" dxfId="3">
      <formula>AND(IF(OR($Q9=1,$Q9=2),1,0),IF($X9&lt;=20,1,0))</formula>
    </cfRule>
    <cfRule type="expression" priority="181" dxfId="2">
      <formula>AND(IF($Q9=2,1,0),IF($X9&lt;30,1,0))</formula>
    </cfRule>
    <cfRule type="expression" priority="182" dxfId="1">
      <formula>AND(IF($Q9=3,1,0),IF($X9&lt;30,1,0))</formula>
    </cfRule>
    <cfRule type="expression" priority="183" dxfId="0">
      <formula>AND(IF($Q9=3,1,IF($Q9=4,1,0)),IF($F9&lt;=85,1,0))</formula>
    </cfRule>
  </conditionalFormatting>
  <conditionalFormatting sqref="X9">
    <cfRule type="expression" priority="176" dxfId="3">
      <formula>AND(IF(OR($Q9=1,$Q9=2),1,0),IF($X9&lt;=20,1,0))</formula>
    </cfRule>
    <cfRule type="expression" priority="177" dxfId="2">
      <formula>AND(IF($Q9=2,1,0),IF($X9&lt;30,1,0))</formula>
    </cfRule>
    <cfRule type="expression" priority="178" dxfId="1">
      <formula>AND(IF($Q9=3,1,0),IF($X9&lt;30,1,0))</formula>
    </cfRule>
    <cfRule type="expression" priority="179" dxfId="0">
      <formula>AND(IF($Q9=3,1,IF($Q9=4,1,0)),IF($F9&lt;=85,1,0))</formula>
    </cfRule>
  </conditionalFormatting>
  <conditionalFormatting sqref="AI9">
    <cfRule type="expression" priority="172" dxfId="3">
      <formula>AND(IF(OR($Q9=1,$Q9=2),1,0),IF($X9&lt;=20,1,0))</formula>
    </cfRule>
    <cfRule type="expression" priority="173" dxfId="2">
      <formula>AND(IF($Q9=2,1,0),IF($X9&lt;30,1,0))</formula>
    </cfRule>
    <cfRule type="expression" priority="174" dxfId="1">
      <formula>AND(IF($Q9=3,1,0),IF($X9&lt;30,1,0))</formula>
    </cfRule>
    <cfRule type="expression" priority="175" dxfId="0">
      <formula>AND(IF($Q9=3,1,IF($Q9=4,1,0)),IF($F9&lt;=85,1,0))</formula>
    </cfRule>
  </conditionalFormatting>
  <conditionalFormatting sqref="AV10">
    <cfRule type="expression" priority="170" dxfId="23">
      <formula>AV10="X"</formula>
    </cfRule>
    <cfRule type="expression" priority="171" dxfId="22">
      <formula>AV10="후보"</formula>
    </cfRule>
  </conditionalFormatting>
  <conditionalFormatting sqref="AC10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0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0">
    <cfRule type="expression" priority="161" dxfId="3">
      <formula>AND(IF(OR($Q10=1,$Q10=2),1,0),IF($X10&lt;=20,1,0))</formula>
    </cfRule>
    <cfRule type="expression" priority="162" dxfId="2">
      <formula>AND(IF($Q10=2,1,0),IF($X10&lt;30,1,0))</formula>
    </cfRule>
    <cfRule type="expression" priority="163" dxfId="1">
      <formula>AND(IF($Q10=3,1,0),IF($X10&lt;30,1,0))</formula>
    </cfRule>
    <cfRule type="expression" priority="164" dxfId="0">
      <formula>AND(IF($Q10=3,1,IF($Q10=4,1,0)),IF($F10&lt;=85,1,0))</formula>
    </cfRule>
  </conditionalFormatting>
  <conditionalFormatting sqref="X10">
    <cfRule type="expression" priority="157" dxfId="3">
      <formula>AND(IF(OR($Q10=1,$Q10=2),1,0),IF($X10&lt;=20,1,0))</formula>
    </cfRule>
    <cfRule type="expression" priority="158" dxfId="2">
      <formula>AND(IF($Q10=2,1,0),IF($X10&lt;30,1,0))</formula>
    </cfRule>
    <cfRule type="expression" priority="159" dxfId="1">
      <formula>AND(IF($Q10=3,1,0),IF($X10&lt;30,1,0))</formula>
    </cfRule>
    <cfRule type="expression" priority="160" dxfId="0">
      <formula>AND(IF($Q10=3,1,IF($Q10=4,1,0)),IF($F10&lt;=85,1,0))</formula>
    </cfRule>
  </conditionalFormatting>
  <conditionalFormatting sqref="AI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AV11">
    <cfRule type="expression" priority="151" dxfId="23">
      <formula>AV11="X"</formula>
    </cfRule>
    <cfRule type="expression" priority="152" dxfId="22">
      <formula>AV11="후보"</formula>
    </cfRule>
  </conditionalFormatting>
  <conditionalFormatting sqref="AC11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23">
      <formula>AV12="X"</formula>
    </cfRule>
    <cfRule type="expression" priority="133" dxfId="22">
      <formula>AV12="후보"</formula>
    </cfRule>
  </conditionalFormatting>
  <conditionalFormatting sqref="AC1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23">
      <formula>AV13="X"</formula>
    </cfRule>
    <cfRule type="expression" priority="114" dxfId="22">
      <formula>AV13="후보"</formula>
    </cfRule>
  </conditionalFormatting>
  <conditionalFormatting sqref="AC1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늘푸른마을코오롱</t>
        </is>
      </c>
      <c r="B6" s="10" t="inlineStr">
        <is>
          <t>'99.11.</t>
        </is>
      </c>
      <c r="C6" s="133" t="n">
        <v>426</v>
      </c>
      <c r="D6" s="131" t="n">
        <v>77.5</v>
      </c>
      <c r="E6" s="132" t="n">
        <v>23</v>
      </c>
      <c r="F6" s="131" t="n">
        <v>59.4</v>
      </c>
      <c r="G6" s="17" t="n">
        <v>18</v>
      </c>
      <c r="H6" s="133" t="n">
        <v>43</v>
      </c>
      <c r="I6" s="134" t="n">
        <v>24000</v>
      </c>
      <c r="J6" s="134" t="inlineStr">
        <is>
          <t>5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늘푸른마을코오롱</t>
        </is>
      </c>
      <c r="B7" s="10" t="inlineStr">
        <is>
          <t>'99.11.</t>
        </is>
      </c>
      <c r="C7" s="133" t="n">
        <v>426</v>
      </c>
      <c r="D7" s="131" t="n">
        <v>77.90000000000001</v>
      </c>
      <c r="E7" s="132" t="n">
        <v>24</v>
      </c>
      <c r="F7" s="131" t="n">
        <v>59.7</v>
      </c>
      <c r="G7" s="17" t="n">
        <v>18</v>
      </c>
      <c r="H7" s="133" t="n">
        <v>1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복</t>
        </is>
      </c>
      <c r="T7" s="5" t="n">
        <v>77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늘푸른마을코오롱</t>
        </is>
      </c>
      <c r="B8" s="10" t="inlineStr">
        <is>
          <t>'99.11.</t>
        </is>
      </c>
      <c r="C8" s="133" t="n">
        <v>426</v>
      </c>
      <c r="D8" s="131" t="n">
        <v>103.4</v>
      </c>
      <c r="E8" s="132" t="n">
        <v>31</v>
      </c>
      <c r="F8" s="131" t="n">
        <v>84.40000000000001</v>
      </c>
      <c r="G8" s="17" t="n">
        <v>26</v>
      </c>
      <c r="H8" s="133" t="n">
        <v>382</v>
      </c>
      <c r="I8" s="134" t="n">
        <v>29000</v>
      </c>
      <c r="J8" s="134" t="inlineStr">
        <is>
          <t>고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103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봉림동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엘에이치피닉스포레</t>
        </is>
      </c>
      <c r="B6" s="10" t="inlineStr">
        <is>
          <t>'11.10.</t>
        </is>
      </c>
      <c r="C6" s="133" t="n">
        <v>507</v>
      </c>
      <c r="D6" s="131" t="n">
        <v>108.4</v>
      </c>
      <c r="E6" s="132" t="n">
        <v>33</v>
      </c>
      <c r="F6" s="131" t="n">
        <v>85</v>
      </c>
      <c r="G6" s="17" t="n">
        <v>26</v>
      </c>
      <c r="H6" s="133" t="n">
        <v>150</v>
      </c>
      <c r="I6" s="134" t="n">
        <v>42000</v>
      </c>
      <c r="J6" s="134" t="inlineStr">
        <is>
          <t>5</t>
        </is>
      </c>
      <c r="K6" s="134" t="n">
        <v>36000</v>
      </c>
      <c r="L6" s="134" t="inlineStr">
        <is>
          <t>10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108A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엘에이치피닉스포레</t>
        </is>
      </c>
      <c r="B7" s="10" t="inlineStr">
        <is>
          <t>'11.10.</t>
        </is>
      </c>
      <c r="C7" s="133" t="n">
        <v>507</v>
      </c>
      <c r="D7" s="131" t="n">
        <v>108.3</v>
      </c>
      <c r="E7" s="132" t="n">
        <v>33</v>
      </c>
      <c r="F7" s="131" t="n">
        <v>84.90000000000001</v>
      </c>
      <c r="G7" s="17" t="n">
        <v>26</v>
      </c>
      <c r="H7" s="133" t="n">
        <v>141</v>
      </c>
      <c r="I7" s="134" t="n">
        <v>45000</v>
      </c>
      <c r="J7" s="134" t="inlineStr">
        <is>
          <t>고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108B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엘에이치피닉스포레</t>
        </is>
      </c>
      <c r="B8" s="10" t="inlineStr">
        <is>
          <t>'11.10.</t>
        </is>
      </c>
      <c r="C8" s="133" t="n">
        <v>507</v>
      </c>
      <c r="D8" s="131" t="n">
        <v>129.8</v>
      </c>
      <c r="E8" s="132" t="n">
        <v>39</v>
      </c>
      <c r="F8" s="131" t="n">
        <v>101.8</v>
      </c>
      <c r="G8" s="17" t="n">
        <v>31</v>
      </c>
      <c r="H8" s="133" t="n">
        <v>30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129A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엘에이치피닉스포레</t>
        </is>
      </c>
      <c r="B9" s="10" t="inlineStr">
        <is>
          <t>'11.10.</t>
        </is>
      </c>
      <c r="C9" s="133" t="n">
        <v>507</v>
      </c>
      <c r="D9" s="131" t="n">
        <v>129.7</v>
      </c>
      <c r="E9" s="132" t="n">
        <v>39</v>
      </c>
      <c r="F9" s="131" t="n">
        <v>101.6</v>
      </c>
      <c r="G9" s="17" t="n">
        <v>31</v>
      </c>
      <c r="H9" s="133" t="n">
        <v>30</v>
      </c>
      <c r="I9" s="134" t="n">
        <v>57000</v>
      </c>
      <c r="J9" s="134" t="inlineStr">
        <is>
          <t>13</t>
        </is>
      </c>
      <c r="K9" s="134" t="n">
        <v>45000</v>
      </c>
      <c r="L9" s="134" t="inlineStr">
        <is>
          <t>13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129B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엘에이치피닉스포레</t>
        </is>
      </c>
      <c r="B10" s="10" t="inlineStr">
        <is>
          <t>'11.10.</t>
        </is>
      </c>
      <c r="C10" s="133" t="n">
        <v>507</v>
      </c>
      <c r="D10" s="131" t="n">
        <v>155.5</v>
      </c>
      <c r="E10" s="132" t="n">
        <v>47</v>
      </c>
      <c r="F10" s="131" t="n">
        <v>121.9</v>
      </c>
      <c r="G10" s="17" t="n">
        <v>37</v>
      </c>
      <c r="H10" s="133" t="n">
        <v>48</v>
      </c>
      <c r="I10" s="134" t="n">
        <v>58000</v>
      </c>
      <c r="J10" s="134" t="inlineStr">
        <is>
          <t>5</t>
        </is>
      </c>
      <c r="K10" s="134" t="n">
        <v>45000</v>
      </c>
      <c r="L10" s="134" t="inlineStr">
        <is>
          <t>12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inlineStr">
        <is>
          <t>155A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엘에이치피닉스포레</t>
        </is>
      </c>
      <c r="B11" s="10" t="inlineStr">
        <is>
          <t>'11.10.</t>
        </is>
      </c>
      <c r="C11" s="133" t="n">
        <v>507</v>
      </c>
      <c r="D11" s="131" t="n">
        <v>155.5</v>
      </c>
      <c r="E11" s="132" t="n">
        <v>47</v>
      </c>
      <c r="F11" s="131" t="n">
        <v>121.9</v>
      </c>
      <c r="G11" s="17" t="n">
        <v>37</v>
      </c>
      <c r="H11" s="133" t="n">
        <v>28</v>
      </c>
      <c r="I11" s="134" t="n">
        <v>58000</v>
      </c>
      <c r="J11" s="134" t="inlineStr">
        <is>
          <t>5</t>
        </is>
      </c>
      <c r="K11" s="134" t="n">
        <v>45000</v>
      </c>
      <c r="L11" s="134" t="inlineStr">
        <is>
          <t>12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inlineStr">
        <is>
          <t>155B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엘에이치피닉스포레</t>
        </is>
      </c>
      <c r="B12" s="10" t="inlineStr">
        <is>
          <t>'11.10.</t>
        </is>
      </c>
      <c r="C12" s="133" t="n">
        <v>507</v>
      </c>
      <c r="D12" s="131" t="n">
        <v>155.4</v>
      </c>
      <c r="E12" s="132" t="n">
        <v>47</v>
      </c>
      <c r="F12" s="131" t="n">
        <v>121.8</v>
      </c>
      <c r="G12" s="17" t="n">
        <v>37</v>
      </c>
      <c r="H12" s="133" t="n">
        <v>28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155C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엘에이치피닉스포레</t>
        </is>
      </c>
      <c r="B13" s="10" t="inlineStr">
        <is>
          <t>'11.10.</t>
        </is>
      </c>
      <c r="C13" s="133" t="n">
        <v>507</v>
      </c>
      <c r="D13" s="131" t="n">
        <v>171.3</v>
      </c>
      <c r="E13" s="132" t="n">
        <v>52</v>
      </c>
      <c r="F13" s="131" t="n">
        <v>134.3</v>
      </c>
      <c r="G13" s="17" t="n">
        <v>41</v>
      </c>
      <c r="H13" s="133" t="n">
        <v>2</v>
      </c>
      <c r="I13" s="134" t="n">
        <v>79000</v>
      </c>
      <c r="J13" s="134" t="inlineStr">
        <is>
          <t>고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inlineStr">
        <is>
          <t>171B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엘에이치피닉스포레</t>
        </is>
      </c>
      <c r="B14" s="10" t="inlineStr">
        <is>
          <t>'11.10.</t>
        </is>
      </c>
      <c r="C14" s="133" t="n">
        <v>507</v>
      </c>
      <c r="D14" s="131" t="n">
        <v>171.3</v>
      </c>
      <c r="E14" s="132" t="n">
        <v>52</v>
      </c>
      <c r="F14" s="131" t="n">
        <v>134.3</v>
      </c>
      <c r="G14" s="17" t="n">
        <v>41</v>
      </c>
      <c r="H14" s="133" t="n">
        <v>2</v>
      </c>
      <c r="I14" s="134" t="n">
        <v>79000</v>
      </c>
      <c r="J14" s="134" t="inlineStr">
        <is>
          <t>고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171C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엘에이치피닉스포레</t>
        </is>
      </c>
      <c r="B15" s="10" t="inlineStr">
        <is>
          <t>'11.10.</t>
        </is>
      </c>
      <c r="C15" s="133" t="n">
        <v>507</v>
      </c>
      <c r="D15" s="131" t="n">
        <v>172.2</v>
      </c>
      <c r="E15" s="132" t="n">
        <v>52</v>
      </c>
      <c r="F15" s="131" t="n">
        <v>135</v>
      </c>
      <c r="G15" s="17" t="n">
        <v>41</v>
      </c>
      <c r="H15" s="133" t="n">
        <v>48</v>
      </c>
      <c r="I15" s="134" t="n">
        <v>68000</v>
      </c>
      <c r="J15" s="134" t="inlineStr">
        <is>
          <t>5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inlineStr">
        <is>
          <t>172A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23">
      <formula>AV4="X"</formula>
    </cfRule>
    <cfRule type="expression" priority="192" dxfId="22">
      <formula>AV4="후보"</formula>
    </cfRule>
  </conditionalFormatting>
  <conditionalFormatting sqref="AC1:AC2 AC4:AC6 N4:N5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N1:N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23">
      <formula>AV7="X"</formula>
    </cfRule>
    <cfRule type="expression" priority="171" dxfId="22">
      <formula>AV7="후보"</formula>
    </cfRule>
  </conditionalFormatting>
  <conditionalFormatting sqref="AC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23">
      <formula>AV8="X"</formula>
    </cfRule>
    <cfRule type="expression" priority="152" dxfId="22">
      <formula>AV8="후보"</formula>
    </cfRule>
  </conditionalFormatting>
  <conditionalFormatting sqref="AC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23">
      <formula>AV9="X"</formula>
    </cfRule>
    <cfRule type="expression" priority="133" dxfId="22">
      <formula>AV9="후보"</formula>
    </cfRule>
  </conditionalFormatting>
  <conditionalFormatting sqref="AC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23">
      <formula>AV10="X"</formula>
    </cfRule>
    <cfRule type="expression" priority="114" dxfId="22">
      <formula>AV10="후보"</formula>
    </cfRule>
  </conditionalFormatting>
  <conditionalFormatting sqref="AC1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3" sqref="A93:XFD9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북면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창원무동동원로얄듀크</t>
        </is>
      </c>
      <c r="B6" s="10" t="inlineStr">
        <is>
          <t>'23.12.</t>
        </is>
      </c>
      <c r="C6" s="133" t="n">
        <v>525</v>
      </c>
      <c r="D6" s="131" t="n">
        <v>83.2</v>
      </c>
      <c r="E6" s="132" t="n">
        <v>25</v>
      </c>
      <c r="F6" s="131" t="n">
        <v>63.6</v>
      </c>
      <c r="G6" s="17" t="n">
        <v>19</v>
      </c>
      <c r="H6" s="133" t="n">
        <v>35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83A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창원무동동원로얄듀크</t>
        </is>
      </c>
      <c r="B7" s="10" t="inlineStr">
        <is>
          <t>'23.12.</t>
        </is>
      </c>
      <c r="C7" s="133" t="n">
        <v>525</v>
      </c>
      <c r="D7" s="131" t="n">
        <v>84.09999999999999</v>
      </c>
      <c r="E7" s="132" t="n">
        <v>25</v>
      </c>
      <c r="F7" s="131" t="n">
        <v>63.8</v>
      </c>
      <c r="G7" s="17" t="n">
        <v>19</v>
      </c>
      <c r="H7" s="133" t="n">
        <v>137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84B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창원무동동원로얄듀크</t>
        </is>
      </c>
      <c r="B8" s="10" t="inlineStr">
        <is>
          <t>'23.12.</t>
        </is>
      </c>
      <c r="C8" s="133" t="n">
        <v>525</v>
      </c>
      <c r="D8" s="131" t="n">
        <v>98.8</v>
      </c>
      <c r="E8" s="132" t="n">
        <v>30</v>
      </c>
      <c r="F8" s="131" t="n">
        <v>75.8</v>
      </c>
      <c r="G8" s="17" t="n">
        <v>23</v>
      </c>
      <c r="H8" s="133" t="n">
        <v>353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98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창원무동코아루파크</t>
        </is>
      </c>
      <c r="B10" s="10" t="inlineStr">
        <is>
          <t>'18.02.</t>
        </is>
      </c>
      <c r="C10" s="133" t="n">
        <v>253</v>
      </c>
      <c r="D10" s="131" t="n">
        <v>98.3</v>
      </c>
      <c r="E10" s="132" t="n">
        <v>30</v>
      </c>
      <c r="F10" s="131" t="n">
        <v>74.2</v>
      </c>
      <c r="G10" s="17" t="n">
        <v>22</v>
      </c>
      <c r="H10" s="133" t="n">
        <v>253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98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창원무동휴먼빌2단지</t>
        </is>
      </c>
      <c r="B12" s="10" t="inlineStr">
        <is>
          <t>'13.06.</t>
        </is>
      </c>
      <c r="C12" s="133" t="n">
        <v>315</v>
      </c>
      <c r="D12" s="131" t="n">
        <v>80.3</v>
      </c>
      <c r="E12" s="132" t="n">
        <v>24</v>
      </c>
      <c r="F12" s="131" t="n">
        <v>60</v>
      </c>
      <c r="G12" s="17" t="n">
        <v>18</v>
      </c>
      <c r="H12" s="133" t="n">
        <v>27</v>
      </c>
      <c r="I12" s="134" t="n">
        <v>18300</v>
      </c>
      <c r="J12" s="134" t="inlineStr">
        <is>
          <t>중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80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창원무동휴먼빌2단지</t>
        </is>
      </c>
      <c r="B13" s="10" t="inlineStr">
        <is>
          <t>'13.06.</t>
        </is>
      </c>
      <c r="C13" s="133" t="n">
        <v>315</v>
      </c>
      <c r="D13" s="131" t="n">
        <v>113.8</v>
      </c>
      <c r="E13" s="132" t="n">
        <v>34</v>
      </c>
      <c r="F13" s="131" t="n">
        <v>85</v>
      </c>
      <c r="G13" s="17" t="n">
        <v>26</v>
      </c>
      <c r="H13" s="133" t="n">
        <v>178</v>
      </c>
      <c r="I13" s="134" t="n">
        <v>21000</v>
      </c>
      <c r="J13" s="134" t="inlineStr">
        <is>
          <t>고</t>
        </is>
      </c>
      <c r="K13" s="134" t="n">
        <v>20000</v>
      </c>
      <c r="L13" s="134" t="inlineStr">
        <is>
          <t>고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113A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창원무동휴먼빌2단지</t>
        </is>
      </c>
      <c r="B14" s="10" t="inlineStr">
        <is>
          <t>'13.06.</t>
        </is>
      </c>
      <c r="C14" s="133" t="n">
        <v>315</v>
      </c>
      <c r="D14" s="131" t="n">
        <v>113.5</v>
      </c>
      <c r="E14" s="132" t="n">
        <v>34</v>
      </c>
      <c r="F14" s="131" t="n">
        <v>85</v>
      </c>
      <c r="G14" s="17" t="n">
        <v>26</v>
      </c>
      <c r="H14" s="133" t="n">
        <v>110</v>
      </c>
      <c r="I14" s="134" t="n">
        <v>23000</v>
      </c>
      <c r="J14" s="134" t="inlineStr">
        <is>
          <t>중</t>
        </is>
      </c>
      <c r="K14" s="134" t="n">
        <v>20000</v>
      </c>
      <c r="L14" s="134" t="inlineStr">
        <is>
          <t>고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113B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창원무동센텀파라디아</t>
        </is>
      </c>
      <c r="B16" s="10" t="inlineStr">
        <is>
          <t>'18.03.</t>
        </is>
      </c>
      <c r="C16" s="133" t="n">
        <v>1034</v>
      </c>
      <c r="D16" s="131" t="n">
        <v>84</v>
      </c>
      <c r="E16" s="132" t="n">
        <v>25</v>
      </c>
      <c r="F16" s="131" t="n">
        <v>60</v>
      </c>
      <c r="G16" s="17" t="n">
        <v>18</v>
      </c>
      <c r="H16" s="133" t="n">
        <v>604</v>
      </c>
      <c r="I16" s="134" t="n">
        <v>20400</v>
      </c>
      <c r="J16" s="134" t="inlineStr">
        <is>
          <t>중</t>
        </is>
      </c>
      <c r="K16" s="134" t="n">
        <v>19000</v>
      </c>
      <c r="L16" s="134" t="inlineStr">
        <is>
          <t>중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84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창원무동센텀파라디아</t>
        </is>
      </c>
      <c r="B17" s="10" t="inlineStr">
        <is>
          <t>'18.03.</t>
        </is>
      </c>
      <c r="C17" s="133" t="n">
        <v>1034</v>
      </c>
      <c r="D17" s="131" t="n">
        <v>98.40000000000001</v>
      </c>
      <c r="E17" s="132" t="n">
        <v>30</v>
      </c>
      <c r="F17" s="131" t="n">
        <v>73</v>
      </c>
      <c r="G17" s="17" t="n">
        <v>22</v>
      </c>
      <c r="H17" s="133" t="n">
        <v>166</v>
      </c>
      <c r="I17" s="134" t="n">
        <v>25000</v>
      </c>
      <c r="J17" s="134" t="inlineStr">
        <is>
          <t>중</t>
        </is>
      </c>
      <c r="K17" s="134" t="n">
        <v>23000</v>
      </c>
      <c r="L17" s="134" t="inlineStr">
        <is>
          <t>중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98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창원무동센텀파라디아</t>
        </is>
      </c>
      <c r="B18" s="10" t="inlineStr">
        <is>
          <t>'18.03.</t>
        </is>
      </c>
      <c r="C18" s="133" t="n">
        <v>1034</v>
      </c>
      <c r="D18" s="131" t="n">
        <v>113.3</v>
      </c>
      <c r="E18" s="132" t="n">
        <v>34</v>
      </c>
      <c r="F18" s="131" t="n">
        <v>85</v>
      </c>
      <c r="G18" s="17" t="n">
        <v>26</v>
      </c>
      <c r="H18" s="133" t="n">
        <v>176</v>
      </c>
      <c r="I18" s="134" t="n">
        <v>28000</v>
      </c>
      <c r="J18" s="134" t="inlineStr">
        <is>
          <t>중</t>
        </is>
      </c>
      <c r="K18" s="134" t="n">
        <v>24000</v>
      </c>
      <c r="L18" s="134" t="inlineStr">
        <is>
          <t>고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113A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창원무동센텀파라디아</t>
        </is>
      </c>
      <c r="B19" s="10" t="inlineStr">
        <is>
          <t>'18.03.</t>
        </is>
      </c>
      <c r="C19" s="133" t="n">
        <v>1034</v>
      </c>
      <c r="D19" s="131" t="n">
        <v>122</v>
      </c>
      <c r="E19" s="132" t="n">
        <v>37</v>
      </c>
      <c r="F19" s="131" t="n">
        <v>85</v>
      </c>
      <c r="G19" s="17" t="n">
        <v>26</v>
      </c>
      <c r="H19" s="133" t="n">
        <v>88</v>
      </c>
      <c r="I19" s="134" t="n">
        <v>34500</v>
      </c>
      <c r="J19" s="134" t="inlineStr">
        <is>
          <t>고</t>
        </is>
      </c>
      <c r="K19" s="134" t="n">
        <v>25000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121B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춘광2차</t>
        </is>
      </c>
      <c r="B21" s="10" t="inlineStr">
        <is>
          <t>'95.12.</t>
        </is>
      </c>
      <c r="C21" s="133" t="n">
        <v>218</v>
      </c>
      <c r="D21" s="131" t="n">
        <v>51.8</v>
      </c>
      <c r="E21" s="132" t="n">
        <v>16</v>
      </c>
      <c r="F21" s="131" t="n">
        <v>39.4</v>
      </c>
      <c r="G21" s="17" t="n">
        <v>12</v>
      </c>
      <c r="H21" s="133" t="n">
        <v>25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복</t>
        </is>
      </c>
      <c r="T21" s="5" t="n">
        <v>51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춘광2차</t>
        </is>
      </c>
      <c r="B22" s="10" t="inlineStr">
        <is>
          <t>'95.12.</t>
        </is>
      </c>
      <c r="C22" s="133" t="n">
        <v>218</v>
      </c>
      <c r="D22" s="131" t="n">
        <v>76.09999999999999</v>
      </c>
      <c r="E22" s="132" t="n">
        <v>23</v>
      </c>
      <c r="F22" s="131" t="n">
        <v>57.9</v>
      </c>
      <c r="G22" s="17" t="n">
        <v>18</v>
      </c>
      <c r="H22" s="133" t="n">
        <v>105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복</t>
        </is>
      </c>
      <c r="T22" s="5" t="n">
        <v>76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춘광2차</t>
        </is>
      </c>
      <c r="B23" s="10" t="inlineStr">
        <is>
          <t>'95.12.</t>
        </is>
      </c>
      <c r="C23" s="133" t="n">
        <v>218</v>
      </c>
      <c r="D23" s="131" t="n">
        <v>78.59999999999999</v>
      </c>
      <c r="E23" s="132" t="n">
        <v>24</v>
      </c>
      <c r="F23" s="131" t="n">
        <v>59.8</v>
      </c>
      <c r="G23" s="17" t="n">
        <v>18</v>
      </c>
      <c r="H23" s="133" t="n">
        <v>88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복</t>
        </is>
      </c>
      <c r="T23" s="5" t="n">
        <v>78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n"/>
      <c r="B24" s="121" t="n"/>
      <c r="C24" s="6" t="n"/>
      <c r="D24" s="9" t="n"/>
      <c r="E24" s="14" t="n"/>
      <c r="F24" s="131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6" t="n"/>
      <c r="P24" s="136" t="n"/>
      <c r="Q24" s="132" t="n"/>
      <c r="R24" s="132" t="n"/>
      <c r="S24" s="9" t="n"/>
      <c r="T24" s="47" t="n"/>
      <c r="U24" s="9" t="n"/>
      <c r="W24" s="68">
        <f>$A$4&amp;" "&amp;A25&amp;"("&amp;B25&amp;","&amp;C25&amp;"^)"</f>
        <v/>
      </c>
      <c r="X24" s="69" t="n"/>
      <c r="Y24" s="69" t="n"/>
      <c r="Z24" s="69" t="n"/>
      <c r="AA24" s="69" t="n"/>
      <c r="AB24" s="69" t="n"/>
      <c r="AC24" s="69" t="n"/>
      <c r="AD24" s="69" t="n"/>
      <c r="AE24" s="69" t="n"/>
      <c r="AF24" s="70" t="n"/>
      <c r="AH24" s="20">
        <f>IF(A24="","",A24)</f>
        <v/>
      </c>
      <c r="AI24" s="156">
        <f>IF(E24="","",E24)</f>
        <v/>
      </c>
      <c r="AJ24" s="121" t="n"/>
      <c r="AK24" s="121" t="n"/>
      <c r="AL24" s="121" t="n"/>
      <c r="AM24" s="121" t="n"/>
      <c r="AN24" s="121" t="n"/>
      <c r="AO24" s="121" t="n"/>
      <c r="AP24" s="121" t="n"/>
      <c r="AQ24" s="121" t="n"/>
      <c r="AR24" s="121" t="n"/>
      <c r="AS24" s="121" t="n"/>
      <c r="AT24" s="121" t="n"/>
      <c r="AU24" s="121" t="n"/>
      <c r="AV24" s="121" t="n"/>
    </row>
    <row r="25">
      <c r="A25" s="9" t="inlineStr">
        <is>
          <t>창원감계힐스테이트1차</t>
        </is>
      </c>
      <c r="B25" s="10" t="inlineStr">
        <is>
          <t>'14.03.</t>
        </is>
      </c>
      <c r="C25" s="133" t="n">
        <v>1082</v>
      </c>
      <c r="D25" s="131" t="n">
        <v>95.59999999999999</v>
      </c>
      <c r="E25" s="132" t="n">
        <v>29</v>
      </c>
      <c r="F25" s="131" t="n">
        <v>68.8</v>
      </c>
      <c r="G25" s="17" t="n">
        <v>21</v>
      </c>
      <c r="H25" s="133" t="n">
        <v>74</v>
      </c>
      <c r="I25" s="134" t="n">
        <v>32000</v>
      </c>
      <c r="J25" s="134" t="inlineStr">
        <is>
          <t>15</t>
        </is>
      </c>
      <c r="K25" s="134" t="n">
        <v>25000</v>
      </c>
      <c r="L25" s="134" t="inlineStr">
        <is>
          <t>고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95A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창원감계힐스테이트1차</t>
        </is>
      </c>
      <c r="B26" s="10" t="inlineStr">
        <is>
          <t>'14.03.</t>
        </is>
      </c>
      <c r="C26" s="133" t="n">
        <v>1082</v>
      </c>
      <c r="D26" s="131" t="n">
        <v>95.8</v>
      </c>
      <c r="E26" s="132" t="n">
        <v>29</v>
      </c>
      <c r="F26" s="131" t="n">
        <v>68.40000000000001</v>
      </c>
      <c r="G26" s="17" t="n">
        <v>21</v>
      </c>
      <c r="H26" s="133" t="n">
        <v>44</v>
      </c>
      <c r="I26" s="134" t="n">
        <v>32000</v>
      </c>
      <c r="J26" s="134" t="inlineStr">
        <is>
          <t>고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95B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창원감계힐스테이트1차</t>
        </is>
      </c>
      <c r="B27" s="10" t="inlineStr">
        <is>
          <t>'14.03.</t>
        </is>
      </c>
      <c r="C27" s="133" t="n">
        <v>1082</v>
      </c>
      <c r="D27" s="131" t="n">
        <v>114.7</v>
      </c>
      <c r="E27" s="132" t="n">
        <v>35</v>
      </c>
      <c r="F27" s="131" t="n">
        <v>85</v>
      </c>
      <c r="G27" s="17" t="n">
        <v>26</v>
      </c>
      <c r="H27" s="133" t="n">
        <v>377</v>
      </c>
      <c r="I27" s="134" t="n">
        <v>30000</v>
      </c>
      <c r="J27" s="134" t="inlineStr">
        <is>
          <t>15</t>
        </is>
      </c>
      <c r="K27" s="134" t="n">
        <v>24000</v>
      </c>
      <c r="L27" s="134" t="inlineStr">
        <is>
          <t>중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114A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창원감계힐스테이트1차</t>
        </is>
      </c>
      <c r="B28" s="10" t="inlineStr">
        <is>
          <t>'14.03.</t>
        </is>
      </c>
      <c r="C28" s="133" t="n">
        <v>1082</v>
      </c>
      <c r="D28" s="131" t="n">
        <v>115.3</v>
      </c>
      <c r="E28" s="132" t="n">
        <v>35</v>
      </c>
      <c r="F28" s="131" t="n">
        <v>84.90000000000001</v>
      </c>
      <c r="G28" s="17" t="n">
        <v>26</v>
      </c>
      <c r="H28" s="133" t="n">
        <v>459</v>
      </c>
      <c r="I28" s="134" t="n">
        <v>31000</v>
      </c>
      <c r="J28" s="134" t="inlineStr">
        <is>
          <t>중</t>
        </is>
      </c>
      <c r="K28" s="134" t="n">
        <v>24000</v>
      </c>
      <c r="L28" s="134" t="inlineStr">
        <is>
          <t>중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115B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창원감계힐스테이트1차</t>
        </is>
      </c>
      <c r="B29" s="10" t="inlineStr">
        <is>
          <t>'14.03.</t>
        </is>
      </c>
      <c r="C29" s="133" t="n">
        <v>1082</v>
      </c>
      <c r="D29" s="131" t="n">
        <v>132.2</v>
      </c>
      <c r="E29" s="132" t="n">
        <v>40</v>
      </c>
      <c r="F29" s="131" t="n">
        <v>101.9</v>
      </c>
      <c r="G29" s="17" t="n">
        <v>31</v>
      </c>
      <c r="H29" s="133" t="n">
        <v>128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132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창원동전월드메르디앙</t>
        </is>
      </c>
      <c r="B31" s="10" t="inlineStr">
        <is>
          <t>'16.10.</t>
        </is>
      </c>
      <c r="C31" s="133" t="n">
        <v>217</v>
      </c>
      <c r="D31" s="131" t="n">
        <v>86.7</v>
      </c>
      <c r="E31" s="132" t="n">
        <v>26</v>
      </c>
      <c r="F31" s="131" t="n">
        <v>67.59999999999999</v>
      </c>
      <c r="G31" s="17" t="n">
        <v>20</v>
      </c>
      <c r="H31" s="133" t="n">
        <v>77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86A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창원동전월드메르디앙</t>
        </is>
      </c>
      <c r="B32" s="10" t="inlineStr">
        <is>
          <t>'16.10.</t>
        </is>
      </c>
      <c r="C32" s="133" t="n">
        <v>217</v>
      </c>
      <c r="D32" s="131" t="n">
        <v>86.7</v>
      </c>
      <c r="E32" s="132" t="n">
        <v>26</v>
      </c>
      <c r="F32" s="131" t="n">
        <v>67.59999999999999</v>
      </c>
      <c r="G32" s="17" t="n">
        <v>20</v>
      </c>
      <c r="H32" s="133" t="n">
        <v>1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86B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창원동전월드메르디앙</t>
        </is>
      </c>
      <c r="B33" s="10" t="inlineStr">
        <is>
          <t>'16.10.</t>
        </is>
      </c>
      <c r="C33" s="133" t="n">
        <v>217</v>
      </c>
      <c r="D33" s="131" t="n">
        <v>89.59999999999999</v>
      </c>
      <c r="E33" s="132" t="n">
        <v>27</v>
      </c>
      <c r="F33" s="131" t="n">
        <v>69.59999999999999</v>
      </c>
      <c r="G33" s="17" t="n">
        <v>21</v>
      </c>
      <c r="H33" s="133" t="n">
        <v>7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89B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창원동전월드메르디앙</t>
        </is>
      </c>
      <c r="B34" s="10" t="inlineStr">
        <is>
          <t>'16.10.</t>
        </is>
      </c>
      <c r="C34" s="133" t="n">
        <v>217</v>
      </c>
      <c r="D34" s="131" t="n">
        <v>90.2</v>
      </c>
      <c r="E34" s="132" t="n">
        <v>27</v>
      </c>
      <c r="F34" s="131" t="n">
        <v>69.3</v>
      </c>
      <c r="G34" s="17" t="n">
        <v>21</v>
      </c>
      <c r="H34" s="133" t="n">
        <v>20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90A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창원동전월드메르디앙</t>
        </is>
      </c>
      <c r="B35" s="10" t="inlineStr">
        <is>
          <t>'16.10.</t>
        </is>
      </c>
      <c r="C35" s="133" t="n">
        <v>217</v>
      </c>
      <c r="D35" s="131" t="n">
        <v>100.6</v>
      </c>
      <c r="E35" s="132" t="n">
        <v>30</v>
      </c>
      <c r="F35" s="131" t="n">
        <v>78.7</v>
      </c>
      <c r="G35" s="17" t="n">
        <v>24</v>
      </c>
      <c r="H35" s="133" t="n">
        <v>112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100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창원감계힐스테이트4차</t>
        </is>
      </c>
      <c r="B37" s="10" t="inlineStr">
        <is>
          <t>'17.04.</t>
        </is>
      </c>
      <c r="C37" s="133" t="n">
        <v>1665</v>
      </c>
      <c r="D37" s="131" t="n">
        <v>85.7</v>
      </c>
      <c r="E37" s="132" t="n">
        <v>26</v>
      </c>
      <c r="F37" s="131" t="n">
        <v>59.9</v>
      </c>
      <c r="G37" s="17" t="n">
        <v>18</v>
      </c>
      <c r="H37" s="133" t="n">
        <v>164</v>
      </c>
      <c r="I37" s="134" t="n">
        <v>23000</v>
      </c>
      <c r="J37" s="134" t="inlineStr">
        <is>
          <t>중</t>
        </is>
      </c>
      <c r="K37" s="134" t="n">
        <v>21000</v>
      </c>
      <c r="L37" s="134" t="inlineStr">
        <is>
          <t>17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85A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창원감계힐스테이트4차</t>
        </is>
      </c>
      <c r="B38" s="10" t="inlineStr">
        <is>
          <t>'17.04.</t>
        </is>
      </c>
      <c r="C38" s="133" t="n">
        <v>1665</v>
      </c>
      <c r="D38" s="131" t="n">
        <v>85.40000000000001</v>
      </c>
      <c r="E38" s="132" t="n">
        <v>26</v>
      </c>
      <c r="F38" s="131" t="n">
        <v>59</v>
      </c>
      <c r="G38" s="17" t="n">
        <v>18</v>
      </c>
      <c r="H38" s="133" t="n">
        <v>93</v>
      </c>
      <c r="I38" s="134" t="n">
        <v>24000</v>
      </c>
      <c r="J38" s="134" t="inlineStr">
        <is>
          <t>중</t>
        </is>
      </c>
      <c r="K38" s="134" t="n">
        <v>21000</v>
      </c>
      <c r="L38" s="134" t="inlineStr">
        <is>
          <t>고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85B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창원감계힐스테이트4차</t>
        </is>
      </c>
      <c r="B39" s="10" t="inlineStr">
        <is>
          <t>'17.04.</t>
        </is>
      </c>
      <c r="C39" s="133" t="n">
        <v>1665</v>
      </c>
      <c r="D39" s="131" t="n">
        <v>95.3</v>
      </c>
      <c r="E39" s="132" t="n">
        <v>29</v>
      </c>
      <c r="F39" s="131" t="n">
        <v>69</v>
      </c>
      <c r="G39" s="17" t="n">
        <v>21</v>
      </c>
      <c r="H39" s="133" t="n">
        <v>380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95A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창원감계힐스테이트4차</t>
        </is>
      </c>
      <c r="B40" s="10" t="inlineStr">
        <is>
          <t>'17.04.</t>
        </is>
      </c>
      <c r="C40" s="133" t="n">
        <v>1665</v>
      </c>
      <c r="D40" s="131" t="n">
        <v>95.8</v>
      </c>
      <c r="E40" s="132" t="n">
        <v>29</v>
      </c>
      <c r="F40" s="131" t="n">
        <v>68.7</v>
      </c>
      <c r="G40" s="17" t="n">
        <v>21</v>
      </c>
      <c r="H40" s="133" t="n">
        <v>95</v>
      </c>
      <c r="I40" s="134" t="n">
        <v>27500</v>
      </c>
      <c r="J40" s="134" t="inlineStr">
        <is>
          <t>고</t>
        </is>
      </c>
      <c r="K40" s="134" t="n">
        <v>23000</v>
      </c>
      <c r="L40" s="134" t="inlineStr">
        <is>
          <t>중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95B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창원감계힐스테이트4차</t>
        </is>
      </c>
      <c r="B41" s="10" t="inlineStr">
        <is>
          <t>'17.04.</t>
        </is>
      </c>
      <c r="C41" s="133" t="n">
        <v>1665</v>
      </c>
      <c r="D41" s="131" t="n">
        <v>108.1</v>
      </c>
      <c r="E41" s="132" t="n">
        <v>33</v>
      </c>
      <c r="F41" s="131" t="n">
        <v>79</v>
      </c>
      <c r="G41" s="17" t="n">
        <v>24</v>
      </c>
      <c r="H41" s="133" t="n">
        <v>143</v>
      </c>
      <c r="I41" s="134" t="n">
        <v>30000</v>
      </c>
      <c r="J41" s="134" t="inlineStr">
        <is>
          <t>6</t>
        </is>
      </c>
      <c r="K41" s="134" t="n">
        <v>25000</v>
      </c>
      <c r="L41" s="134" t="inlineStr">
        <is>
          <t>15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108A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창원감계힐스테이트4차</t>
        </is>
      </c>
      <c r="B42" s="10" t="inlineStr">
        <is>
          <t>'17.04.</t>
        </is>
      </c>
      <c r="C42" s="133" t="n">
        <v>1665</v>
      </c>
      <c r="D42" s="131" t="n">
        <v>108.3</v>
      </c>
      <c r="E42" s="132" t="n">
        <v>33</v>
      </c>
      <c r="F42" s="131" t="n">
        <v>78.90000000000001</v>
      </c>
      <c r="G42" s="17" t="n">
        <v>24</v>
      </c>
      <c r="H42" s="133" t="n">
        <v>142</v>
      </c>
      <c r="I42" s="134" t="n">
        <v>32000</v>
      </c>
      <c r="J42" s="134" t="inlineStr">
        <is>
          <t>고</t>
        </is>
      </c>
      <c r="K42" s="134" t="n">
        <v>28000</v>
      </c>
      <c r="L42" s="134" t="inlineStr">
        <is>
          <t>고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108B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창원감계힐스테이트4차</t>
        </is>
      </c>
      <c r="B43" s="10" t="inlineStr">
        <is>
          <t>'17.04.</t>
        </is>
      </c>
      <c r="C43" s="133" t="n">
        <v>1665</v>
      </c>
      <c r="D43" s="131" t="n">
        <v>115.7</v>
      </c>
      <c r="E43" s="132" t="n">
        <v>35</v>
      </c>
      <c r="F43" s="131" t="n">
        <v>85</v>
      </c>
      <c r="G43" s="17" t="n">
        <v>26</v>
      </c>
      <c r="H43" s="133" t="n">
        <v>514</v>
      </c>
      <c r="I43" s="134" t="n">
        <v>33000</v>
      </c>
      <c r="J43" s="134" t="inlineStr">
        <is>
          <t>고</t>
        </is>
      </c>
      <c r="K43" s="134" t="n">
        <v>26000</v>
      </c>
      <c r="L43" s="134" t="inlineStr">
        <is>
          <t>고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115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창원감계힐스테이트4차</t>
        </is>
      </c>
      <c r="B44" s="10" t="inlineStr">
        <is>
          <t>'17.04.</t>
        </is>
      </c>
      <c r="C44" s="133" t="n">
        <v>1665</v>
      </c>
      <c r="D44" s="131" t="n">
        <v>131.8</v>
      </c>
      <c r="E44" s="132" t="n">
        <v>40</v>
      </c>
      <c r="F44" s="131" t="n">
        <v>101.9</v>
      </c>
      <c r="G44" s="17" t="n">
        <v>31</v>
      </c>
      <c r="H44" s="133" t="n">
        <v>134</v>
      </c>
      <c r="I44" s="134" t="n">
        <v>44500</v>
      </c>
      <c r="J44" s="134" t="inlineStr">
        <is>
          <t>고</t>
        </is>
      </c>
      <c r="K44" s="134" t="n">
        <v>30000</v>
      </c>
      <c r="L44" s="134" t="inlineStr">
        <is>
          <t>중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131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8">
        <f>$A$4&amp;" "&amp;A46&amp;"("&amp;B46&amp;","&amp;C46&amp;"^)"</f>
        <v/>
      </c>
      <c r="X45" s="69" t="n"/>
      <c r="Y45" s="69" t="n"/>
      <c r="Z45" s="69" t="n"/>
      <c r="AA45" s="69" t="n"/>
      <c r="AB45" s="69" t="n"/>
      <c r="AC45" s="69" t="n"/>
      <c r="AD45" s="69" t="n"/>
      <c r="AE45" s="69" t="n"/>
      <c r="AF45" s="70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대호</t>
        </is>
      </c>
      <c r="B46" s="10" t="inlineStr">
        <is>
          <t>'98.06.</t>
        </is>
      </c>
      <c r="C46" s="133" t="n">
        <v>294</v>
      </c>
      <c r="D46" s="131" t="n">
        <v>69.40000000000001</v>
      </c>
      <c r="E46" s="132" t="n">
        <v>21</v>
      </c>
      <c r="F46" s="131" t="n">
        <v>59.8</v>
      </c>
      <c r="G46" s="17" t="n">
        <v>18</v>
      </c>
      <c r="H46" s="133" t="n">
        <v>174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계</t>
        </is>
      </c>
      <c r="T46" s="5" t="inlineStr">
        <is>
          <t>69B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대호</t>
        </is>
      </c>
      <c r="B47" s="10" t="inlineStr">
        <is>
          <t>'98.06.</t>
        </is>
      </c>
      <c r="C47" s="133" t="n">
        <v>294</v>
      </c>
      <c r="D47" s="131" t="n">
        <v>69.2</v>
      </c>
      <c r="E47" s="132" t="n">
        <v>21</v>
      </c>
      <c r="F47" s="131" t="n">
        <v>59.7</v>
      </c>
      <c r="G47" s="17" t="n">
        <v>18</v>
      </c>
      <c r="H47" s="133" t="n">
        <v>120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inlineStr">
        <is>
          <t>69A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n"/>
      <c r="B48" s="121" t="n"/>
      <c r="C48" s="6" t="n"/>
      <c r="D48" s="9" t="n"/>
      <c r="E48" s="14" t="n"/>
      <c r="F48" s="131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6" t="n"/>
      <c r="P48" s="136" t="n"/>
      <c r="Q48" s="132" t="n"/>
      <c r="R48" s="132" t="n"/>
      <c r="S48" s="9" t="n"/>
      <c r="T48" s="47" t="n"/>
      <c r="U48" s="9" t="n"/>
      <c r="W48" s="68">
        <f>$A$4&amp;" "&amp;A49&amp;"("&amp;B49&amp;","&amp;C49&amp;"^)"</f>
        <v/>
      </c>
      <c r="X48" s="69" t="n"/>
      <c r="Y48" s="69" t="n"/>
      <c r="Z48" s="69" t="n"/>
      <c r="AA48" s="69" t="n"/>
      <c r="AB48" s="69" t="n"/>
      <c r="AC48" s="69" t="n"/>
      <c r="AD48" s="69" t="n"/>
      <c r="AE48" s="69" t="n"/>
      <c r="AF48" s="70" t="n"/>
      <c r="AH48" s="20">
        <f>IF(A48="","",A48)</f>
        <v/>
      </c>
      <c r="AI48" s="156">
        <f>IF(E48="","",E48)</f>
        <v/>
      </c>
      <c r="AJ48" s="121" t="n"/>
      <c r="AK48" s="121" t="n"/>
      <c r="AL48" s="121" t="n"/>
      <c r="AM48" s="121" t="n"/>
      <c r="AN48" s="121" t="n"/>
      <c r="AO48" s="121" t="n"/>
      <c r="AP48" s="121" t="n"/>
      <c r="AQ48" s="121" t="n"/>
      <c r="AR48" s="121" t="n"/>
      <c r="AS48" s="121" t="n"/>
      <c r="AT48" s="121" t="n"/>
      <c r="AU48" s="121" t="n"/>
      <c r="AV48" s="121" t="n"/>
    </row>
    <row r="49">
      <c r="A49" s="9" t="inlineStr">
        <is>
          <t>창원감계아내에코프리미엄</t>
        </is>
      </c>
      <c r="B49" s="10" t="inlineStr">
        <is>
          <t>'14.09.</t>
        </is>
      </c>
      <c r="C49" s="133" t="n">
        <v>812</v>
      </c>
      <c r="D49" s="131" t="n">
        <v>111.8</v>
      </c>
      <c r="E49" s="132" t="n">
        <v>34</v>
      </c>
      <c r="F49" s="131" t="n">
        <v>85</v>
      </c>
      <c r="G49" s="17" t="n">
        <v>26</v>
      </c>
      <c r="H49" s="133" t="n">
        <v>442</v>
      </c>
      <c r="I49" s="134" t="n">
        <v>31000</v>
      </c>
      <c r="J49" s="134" t="inlineStr">
        <is>
          <t>중</t>
        </is>
      </c>
      <c r="K49" s="134" t="n">
        <v>27000</v>
      </c>
      <c r="L49" s="134" t="inlineStr">
        <is>
          <t>고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111A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창원감계아내에코프리미엄</t>
        </is>
      </c>
      <c r="B50" s="10" t="inlineStr">
        <is>
          <t>'14.09.</t>
        </is>
      </c>
      <c r="C50" s="133" t="n">
        <v>812</v>
      </c>
      <c r="D50" s="131" t="n">
        <v>111.3</v>
      </c>
      <c r="E50" s="132" t="n">
        <v>34</v>
      </c>
      <c r="F50" s="131" t="n">
        <v>84.8</v>
      </c>
      <c r="G50" s="17" t="n">
        <v>26</v>
      </c>
      <c r="H50" s="133" t="n">
        <v>213</v>
      </c>
      <c r="I50" s="134" t="n">
        <v>31000</v>
      </c>
      <c r="J50" s="134" t="inlineStr">
        <is>
          <t>중</t>
        </is>
      </c>
      <c r="K50" s="134" t="n">
        <v>25000</v>
      </c>
      <c r="L50" s="134" t="inlineStr">
        <is>
          <t>고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111C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창원감계아내에코프리미엄</t>
        </is>
      </c>
      <c r="B51" s="10" t="inlineStr">
        <is>
          <t>'14.09.</t>
        </is>
      </c>
      <c r="C51" s="133" t="n">
        <v>812</v>
      </c>
      <c r="D51" s="131" t="n">
        <v>111.3</v>
      </c>
      <c r="E51" s="132" t="n">
        <v>34</v>
      </c>
      <c r="F51" s="131" t="n">
        <v>85</v>
      </c>
      <c r="G51" s="17" t="n">
        <v>26</v>
      </c>
      <c r="H51" s="133" t="n">
        <v>157</v>
      </c>
      <c r="I51" s="134" t="n"/>
      <c r="J51" s="134" t="n"/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111B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창원무동STX칸2차</t>
        </is>
      </c>
      <c r="B53" s="10" t="inlineStr">
        <is>
          <t>'15.01.</t>
        </is>
      </c>
      <c r="C53" s="133" t="n">
        <v>231</v>
      </c>
      <c r="D53" s="131" t="n">
        <v>84.3</v>
      </c>
      <c r="E53" s="132" t="n">
        <v>25</v>
      </c>
      <c r="F53" s="131" t="n">
        <v>60</v>
      </c>
      <c r="G53" s="17" t="n">
        <v>18</v>
      </c>
      <c r="H53" s="133" t="n">
        <v>24</v>
      </c>
      <c r="I53" s="134" t="n"/>
      <c r="J53" s="134" t="n"/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84A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창원무동STX칸2차</t>
        </is>
      </c>
      <c r="B54" s="10" t="inlineStr">
        <is>
          <t>'15.01.</t>
        </is>
      </c>
      <c r="C54" s="133" t="n">
        <v>231</v>
      </c>
      <c r="D54" s="131" t="n">
        <v>113.1</v>
      </c>
      <c r="E54" s="132" t="n">
        <v>34</v>
      </c>
      <c r="F54" s="131" t="n">
        <v>85</v>
      </c>
      <c r="G54" s="17" t="n">
        <v>26</v>
      </c>
      <c r="H54" s="133" t="n">
        <v>104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113A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창원무동STX칸2차</t>
        </is>
      </c>
      <c r="B55" s="10" t="inlineStr">
        <is>
          <t>'15.01.</t>
        </is>
      </c>
      <c r="C55" s="133" t="n">
        <v>231</v>
      </c>
      <c r="D55" s="131" t="n">
        <v>113.8</v>
      </c>
      <c r="E55" s="132" t="n">
        <v>34</v>
      </c>
      <c r="F55" s="131" t="n">
        <v>85</v>
      </c>
      <c r="G55" s="17" t="n">
        <v>26</v>
      </c>
      <c r="H55" s="133" t="n">
        <v>103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113B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8">
        <f>$A$4&amp;" "&amp;A57&amp;"("&amp;B57&amp;","&amp;C57&amp;"^)"</f>
        <v/>
      </c>
      <c r="X56" s="69" t="n"/>
      <c r="Y56" s="69" t="n"/>
      <c r="Z56" s="69" t="n"/>
      <c r="AA56" s="69" t="n"/>
      <c r="AB56" s="69" t="n"/>
      <c r="AC56" s="69" t="n"/>
      <c r="AD56" s="69" t="n"/>
      <c r="AE56" s="69" t="n"/>
      <c r="AF56" s="70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창원감계푸르지오</t>
        </is>
      </c>
      <c r="B57" s="10" t="inlineStr">
        <is>
          <t>'17.02.</t>
        </is>
      </c>
      <c r="C57" s="133" t="n">
        <v>583</v>
      </c>
      <c r="D57" s="131" t="n">
        <v>85.8</v>
      </c>
      <c r="E57" s="132" t="n">
        <v>26</v>
      </c>
      <c r="F57" s="131" t="n">
        <v>60</v>
      </c>
      <c r="G57" s="17" t="n">
        <v>18</v>
      </c>
      <c r="H57" s="133" t="n">
        <v>67</v>
      </c>
      <c r="I57" s="134" t="n">
        <v>23000</v>
      </c>
      <c r="J57" s="134" t="inlineStr">
        <is>
          <t>고</t>
        </is>
      </c>
      <c r="K57" s="134" t="n">
        <v>22000</v>
      </c>
      <c r="L57" s="134" t="inlineStr">
        <is>
          <t>고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85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창원감계푸르지오</t>
        </is>
      </c>
      <c r="B58" s="10" t="inlineStr">
        <is>
          <t>'17.02.</t>
        </is>
      </c>
      <c r="C58" s="133" t="n">
        <v>583</v>
      </c>
      <c r="D58" s="131" t="n">
        <v>97.90000000000001</v>
      </c>
      <c r="E58" s="132" t="n">
        <v>30</v>
      </c>
      <c r="F58" s="131" t="n">
        <v>72.90000000000001</v>
      </c>
      <c r="G58" s="17" t="n">
        <v>22</v>
      </c>
      <c r="H58" s="133" t="n">
        <v>262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97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창원감계푸르지오</t>
        </is>
      </c>
      <c r="B59" s="10" t="inlineStr">
        <is>
          <t>'17.02.</t>
        </is>
      </c>
      <c r="C59" s="133" t="n">
        <v>583</v>
      </c>
      <c r="D59" s="131" t="n">
        <v>113.4</v>
      </c>
      <c r="E59" s="132" t="n">
        <v>34</v>
      </c>
      <c r="F59" s="131" t="n">
        <v>84.90000000000001</v>
      </c>
      <c r="G59" s="17" t="n">
        <v>26</v>
      </c>
      <c r="H59" s="133" t="n">
        <v>254</v>
      </c>
      <c r="I59" s="134" t="n">
        <v>35000</v>
      </c>
      <c r="J59" s="134" t="inlineStr">
        <is>
          <t>고</t>
        </is>
      </c>
      <c r="K59" s="134" t="n">
        <v>26000</v>
      </c>
      <c r="L59" s="134" t="inlineStr">
        <is>
          <t>중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4</v>
      </c>
      <c r="R59" s="121" t="n">
        <v>2</v>
      </c>
      <c r="S59" s="121" t="inlineStr">
        <is>
          <t>계</t>
        </is>
      </c>
      <c r="T59" s="5" t="n">
        <v>113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n"/>
      <c r="B60" s="121" t="n"/>
      <c r="C60" s="6" t="n"/>
      <c r="D60" s="9" t="n"/>
      <c r="E60" s="14" t="n"/>
      <c r="F60" s="131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6" t="n"/>
      <c r="P60" s="136" t="n"/>
      <c r="Q60" s="132" t="n"/>
      <c r="R60" s="132" t="n"/>
      <c r="S60" s="9" t="n"/>
      <c r="T60" s="47" t="n"/>
      <c r="U60" s="9" t="n"/>
      <c r="W60" s="68">
        <f>$A$4&amp;" "&amp;A61&amp;"("&amp;B61&amp;","&amp;C61&amp;"^)"</f>
        <v/>
      </c>
      <c r="X60" s="69" t="n"/>
      <c r="Y60" s="69" t="n"/>
      <c r="Z60" s="69" t="n"/>
      <c r="AA60" s="69" t="n"/>
      <c r="AB60" s="69" t="n"/>
      <c r="AC60" s="69" t="n"/>
      <c r="AD60" s="69" t="n"/>
      <c r="AE60" s="69" t="n"/>
      <c r="AF60" s="70" t="n"/>
      <c r="AH60" s="20">
        <f>IF(A60="","",A60)</f>
        <v/>
      </c>
      <c r="AI60" s="156">
        <f>IF(E60="","",E60)</f>
        <v/>
      </c>
      <c r="AJ60" s="121" t="n"/>
      <c r="AK60" s="121" t="n"/>
      <c r="AL60" s="121" t="n"/>
      <c r="AM60" s="121" t="n"/>
      <c r="AN60" s="121" t="n"/>
      <c r="AO60" s="121" t="n"/>
      <c r="AP60" s="121" t="n"/>
      <c r="AQ60" s="121" t="n"/>
      <c r="AR60" s="121" t="n"/>
      <c r="AS60" s="121" t="n"/>
      <c r="AT60" s="121" t="n"/>
      <c r="AU60" s="121" t="n"/>
      <c r="AV60" s="121" t="n"/>
    </row>
    <row r="61">
      <c r="A61" s="9" t="inlineStr">
        <is>
          <t>창원감계힐스테이트3차</t>
        </is>
      </c>
      <c r="B61" s="10" t="inlineStr">
        <is>
          <t>'14.12.</t>
        </is>
      </c>
      <c r="C61" s="133" t="n">
        <v>630</v>
      </c>
      <c r="D61" s="131" t="n">
        <v>115</v>
      </c>
      <c r="E61" s="132" t="n">
        <v>35</v>
      </c>
      <c r="F61" s="131" t="n">
        <v>84.8</v>
      </c>
      <c r="G61" s="17" t="n">
        <v>26</v>
      </c>
      <c r="H61" s="133" t="n">
        <v>274</v>
      </c>
      <c r="I61" s="134" t="n">
        <v>33000</v>
      </c>
      <c r="J61" s="134" t="inlineStr">
        <is>
          <t>12</t>
        </is>
      </c>
      <c r="K61" s="134" t="n">
        <v>26000</v>
      </c>
      <c r="L61" s="134" t="inlineStr">
        <is>
          <t>중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114A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창원감계힐스테이트3차</t>
        </is>
      </c>
      <c r="B62" s="10" t="inlineStr">
        <is>
          <t>'14.12.</t>
        </is>
      </c>
      <c r="C62" s="133" t="n">
        <v>630</v>
      </c>
      <c r="D62" s="131" t="n">
        <v>114.7</v>
      </c>
      <c r="E62" s="132" t="n">
        <v>35</v>
      </c>
      <c r="F62" s="131" t="n">
        <v>84.8</v>
      </c>
      <c r="G62" s="17" t="n">
        <v>26</v>
      </c>
      <c r="H62" s="133" t="n">
        <v>145</v>
      </c>
      <c r="I62" s="134" t="n">
        <v>29500</v>
      </c>
      <c r="J62" s="134" t="inlineStr">
        <is>
          <t>18</t>
        </is>
      </c>
      <c r="K62" s="134" t="n">
        <v>25000</v>
      </c>
      <c r="L62" s="134" t="inlineStr">
        <is>
          <t>중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inlineStr">
        <is>
          <t>114B</t>
        </is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창원감계힐스테이트3차</t>
        </is>
      </c>
      <c r="B63" s="10" t="inlineStr">
        <is>
          <t>'14.12.</t>
        </is>
      </c>
      <c r="C63" s="133" t="n">
        <v>630</v>
      </c>
      <c r="D63" s="131" t="n">
        <v>114.6</v>
      </c>
      <c r="E63" s="132" t="n">
        <v>35</v>
      </c>
      <c r="F63" s="131" t="n">
        <v>84.7</v>
      </c>
      <c r="G63" s="17" t="n">
        <v>26</v>
      </c>
      <c r="H63" s="133" t="n">
        <v>145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inlineStr">
        <is>
          <t>114C</t>
        </is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inlineStr">
        <is>
          <t>창원감계힐스테이트3차</t>
        </is>
      </c>
      <c r="B64" s="10" t="inlineStr">
        <is>
          <t>'14.12.</t>
        </is>
      </c>
      <c r="C64" s="133" t="n">
        <v>630</v>
      </c>
      <c r="D64" s="131" t="n">
        <v>132.2</v>
      </c>
      <c r="E64" s="132" t="n">
        <v>40</v>
      </c>
      <c r="F64" s="131" t="n">
        <v>101.7</v>
      </c>
      <c r="G64" s="17" t="n">
        <v>31</v>
      </c>
      <c r="H64" s="133" t="n">
        <v>66</v>
      </c>
      <c r="I64" s="134" t="n">
        <v>41000</v>
      </c>
      <c r="J64" s="134" t="inlineStr">
        <is>
          <t>중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132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n"/>
      <c r="B65" s="121" t="n"/>
      <c r="C65" s="6" t="n"/>
      <c r="D65" s="9" t="n"/>
      <c r="E65" s="14" t="n"/>
      <c r="F65" s="131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6" t="n"/>
      <c r="P65" s="136" t="n"/>
      <c r="Q65" s="132" t="n"/>
      <c r="R65" s="132" t="n"/>
      <c r="S65" s="9" t="n"/>
      <c r="T65" s="47" t="n"/>
      <c r="U65" s="9" t="n"/>
      <c r="W65" s="68">
        <f>$A$4&amp;" "&amp;A66&amp;"("&amp;B66&amp;","&amp;C66&amp;"^)"</f>
        <v/>
      </c>
      <c r="X65" s="69" t="n"/>
      <c r="Y65" s="69" t="n"/>
      <c r="Z65" s="69" t="n"/>
      <c r="AA65" s="69" t="n"/>
      <c r="AB65" s="69" t="n"/>
      <c r="AC65" s="69" t="n"/>
      <c r="AD65" s="69" t="n"/>
      <c r="AE65" s="69" t="n"/>
      <c r="AF65" s="70" t="n"/>
      <c r="AH65" s="20">
        <f>IF(A65="","",A65)</f>
        <v/>
      </c>
      <c r="AI65" s="156">
        <f>IF(E65="","",E65)</f>
        <v/>
      </c>
      <c r="AJ65" s="121" t="n"/>
      <c r="AK65" s="121" t="n"/>
      <c r="AL65" s="121" t="n"/>
      <c r="AM65" s="121" t="n"/>
      <c r="AN65" s="121" t="n"/>
      <c r="AO65" s="121" t="n"/>
      <c r="AP65" s="121" t="n"/>
      <c r="AQ65" s="121" t="n"/>
      <c r="AR65" s="121" t="n"/>
      <c r="AS65" s="121" t="n"/>
      <c r="AT65" s="121" t="n"/>
      <c r="AU65" s="121" t="n"/>
      <c r="AV65" s="121" t="n"/>
    </row>
    <row r="66">
      <c r="A66" s="9" t="inlineStr">
        <is>
          <t>창원무동휴먼빌1단지</t>
        </is>
      </c>
      <c r="B66" s="10" t="inlineStr">
        <is>
          <t>'13.06.</t>
        </is>
      </c>
      <c r="C66" s="133" t="n">
        <v>546</v>
      </c>
      <c r="D66" s="131" t="n">
        <v>80.3</v>
      </c>
      <c r="E66" s="132" t="n">
        <v>24</v>
      </c>
      <c r="F66" s="131" t="n">
        <v>60</v>
      </c>
      <c r="G66" s="17" t="n">
        <v>18</v>
      </c>
      <c r="H66" s="133" t="n">
        <v>54</v>
      </c>
      <c r="I66" s="134" t="n">
        <v>19000</v>
      </c>
      <c r="J66" s="134" t="inlineStr">
        <is>
          <t>고</t>
        </is>
      </c>
      <c r="K66" s="134" t="n">
        <v>17500</v>
      </c>
      <c r="L66" s="134" t="inlineStr">
        <is>
          <t>고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80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창원무동휴먼빌1단지</t>
        </is>
      </c>
      <c r="B67" s="10" t="inlineStr">
        <is>
          <t>'13.06.</t>
        </is>
      </c>
      <c r="C67" s="133" t="n">
        <v>546</v>
      </c>
      <c r="D67" s="131" t="n">
        <v>113.8</v>
      </c>
      <c r="E67" s="132" t="n">
        <v>34</v>
      </c>
      <c r="F67" s="131" t="n">
        <v>85</v>
      </c>
      <c r="G67" s="17" t="n">
        <v>26</v>
      </c>
      <c r="H67" s="133" t="n">
        <v>359</v>
      </c>
      <c r="I67" s="134" t="n">
        <v>23000</v>
      </c>
      <c r="J67" s="134" t="inlineStr">
        <is>
          <t>중</t>
        </is>
      </c>
      <c r="K67" s="134" t="n">
        <v>18000</v>
      </c>
      <c r="L67" s="134" t="inlineStr">
        <is>
          <t>고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inlineStr">
        <is>
          <t>113A</t>
        </is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inlineStr">
        <is>
          <t>창원무동휴먼빌1단지</t>
        </is>
      </c>
      <c r="B68" s="10" t="inlineStr">
        <is>
          <t>'13.06.</t>
        </is>
      </c>
      <c r="C68" s="133" t="n">
        <v>546</v>
      </c>
      <c r="D68" s="131" t="n">
        <v>113.5</v>
      </c>
      <c r="E68" s="132" t="n">
        <v>34</v>
      </c>
      <c r="F68" s="131" t="n">
        <v>85</v>
      </c>
      <c r="G68" s="17" t="n">
        <v>26</v>
      </c>
      <c r="H68" s="133" t="n">
        <v>133</v>
      </c>
      <c r="I68" s="134" t="n">
        <v>23500</v>
      </c>
      <c r="J68" s="134" t="inlineStr">
        <is>
          <t>고</t>
        </is>
      </c>
      <c r="K68" s="134" t="n">
        <v>20000</v>
      </c>
      <c r="L68" s="134" t="inlineStr">
        <is>
          <t>중</t>
        </is>
      </c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113B</t>
        </is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>
      <c r="A69" s="9" t="n"/>
      <c r="B69" s="121" t="n"/>
      <c r="C69" s="6" t="n"/>
      <c r="D69" s="9" t="n"/>
      <c r="E69" s="14" t="n"/>
      <c r="F69" s="131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6" t="n"/>
      <c r="P69" s="136" t="n"/>
      <c r="Q69" s="132" t="n"/>
      <c r="R69" s="132" t="n"/>
      <c r="S69" s="9" t="n"/>
      <c r="T69" s="47" t="n"/>
      <c r="U69" s="9" t="n"/>
      <c r="W69" s="68">
        <f>$A$4&amp;" "&amp;A70&amp;"("&amp;B70&amp;","&amp;C70&amp;"^)"</f>
        <v/>
      </c>
      <c r="X69" s="69" t="n"/>
      <c r="Y69" s="69" t="n"/>
      <c r="Z69" s="69" t="n"/>
      <c r="AA69" s="69" t="n"/>
      <c r="AB69" s="69" t="n"/>
      <c r="AC69" s="69" t="n"/>
      <c r="AD69" s="69" t="n"/>
      <c r="AE69" s="69" t="n"/>
      <c r="AF69" s="70" t="n"/>
      <c r="AH69" s="20">
        <f>IF(A69="","",A69)</f>
        <v/>
      </c>
      <c r="AI69" s="156">
        <f>IF(E69="","",E69)</f>
        <v/>
      </c>
      <c r="AJ69" s="121" t="n"/>
      <c r="AK69" s="121" t="n"/>
      <c r="AL69" s="121" t="n"/>
      <c r="AM69" s="121" t="n"/>
      <c r="AN69" s="121" t="n"/>
      <c r="AO69" s="121" t="n"/>
      <c r="AP69" s="121" t="n"/>
      <c r="AQ69" s="121" t="n"/>
      <c r="AR69" s="121" t="n"/>
      <c r="AS69" s="121" t="n"/>
      <c r="AT69" s="121" t="n"/>
      <c r="AU69" s="121" t="n"/>
      <c r="AV69" s="121" t="n"/>
    </row>
    <row r="70">
      <c r="A70" s="9" t="inlineStr">
        <is>
          <t>창원무동지구휴먼빌3단지</t>
        </is>
      </c>
      <c r="B70" s="10" t="inlineStr">
        <is>
          <t>'14.12.</t>
        </is>
      </c>
      <c r="C70" s="133" t="n">
        <v>451</v>
      </c>
      <c r="D70" s="131" t="n">
        <v>81.7</v>
      </c>
      <c r="E70" s="132" t="n">
        <v>25</v>
      </c>
      <c r="F70" s="131" t="n">
        <v>60</v>
      </c>
      <c r="G70" s="17" t="n">
        <v>18</v>
      </c>
      <c r="H70" s="133" t="n">
        <v>117</v>
      </c>
      <c r="I70" s="134" t="n">
        <v>19000</v>
      </c>
      <c r="J70" s="134" t="inlineStr">
        <is>
          <t>중</t>
        </is>
      </c>
      <c r="K70" s="134" t="n">
        <v>19000</v>
      </c>
      <c r="L70" s="134" t="inlineStr">
        <is>
          <t>중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81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inlineStr">
        <is>
          <t>창원무동지구휴먼빌3단지</t>
        </is>
      </c>
      <c r="B71" s="10" t="inlineStr">
        <is>
          <t>'14.12.</t>
        </is>
      </c>
      <c r="C71" s="133" t="n">
        <v>451</v>
      </c>
      <c r="D71" s="131" t="n">
        <v>115.5</v>
      </c>
      <c r="E71" s="132" t="n">
        <v>35</v>
      </c>
      <c r="F71" s="131" t="n">
        <v>85</v>
      </c>
      <c r="G71" s="17" t="n">
        <v>26</v>
      </c>
      <c r="H71" s="133" t="n">
        <v>212</v>
      </c>
      <c r="I71" s="134" t="n">
        <v>26000</v>
      </c>
      <c r="J71" s="134" t="inlineStr">
        <is>
          <t>고</t>
        </is>
      </c>
      <c r="K71" s="134" t="n">
        <v>18000</v>
      </c>
      <c r="L71" s="134" t="inlineStr">
        <is>
          <t>중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115A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>
      <c r="A72" s="9" t="inlineStr">
        <is>
          <t>창원무동지구휴먼빌3단지</t>
        </is>
      </c>
      <c r="B72" s="10" t="inlineStr">
        <is>
          <t>'14.12.</t>
        </is>
      </c>
      <c r="C72" s="133" t="n">
        <v>451</v>
      </c>
      <c r="D72" s="131" t="n">
        <v>115.6</v>
      </c>
      <c r="E72" s="132" t="n">
        <v>35</v>
      </c>
      <c r="F72" s="131" t="n">
        <v>85</v>
      </c>
      <c r="G72" s="17" t="n">
        <v>26</v>
      </c>
      <c r="H72" s="133" t="n">
        <v>122</v>
      </c>
      <c r="I72" s="134" t="n">
        <v>25000</v>
      </c>
      <c r="J72" s="134" t="inlineStr">
        <is>
          <t>고</t>
        </is>
      </c>
      <c r="K72" s="134" t="n">
        <v>19000</v>
      </c>
      <c r="L72" s="134" t="inlineStr">
        <is>
          <t>고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115B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n"/>
      <c r="B73" s="121" t="n"/>
      <c r="C73" s="6" t="n"/>
      <c r="D73" s="9" t="n"/>
      <c r="E73" s="14" t="n"/>
      <c r="F73" s="131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6" t="n"/>
      <c r="P73" s="136" t="n"/>
      <c r="Q73" s="132" t="n"/>
      <c r="R73" s="132" t="n"/>
      <c r="S73" s="9" t="n"/>
      <c r="T73" s="47" t="n"/>
      <c r="U73" s="9" t="n"/>
      <c r="W73" s="68">
        <f>$A$4&amp;" "&amp;A74&amp;"("&amp;B74&amp;","&amp;C74&amp;"^)"</f>
        <v/>
      </c>
      <c r="X73" s="69" t="n"/>
      <c r="Y73" s="69" t="n"/>
      <c r="Z73" s="69" t="n"/>
      <c r="AA73" s="69" t="n"/>
      <c r="AB73" s="69" t="n"/>
      <c r="AC73" s="69" t="n"/>
      <c r="AD73" s="69" t="n"/>
      <c r="AE73" s="69" t="n"/>
      <c r="AF73" s="70" t="n"/>
      <c r="AH73" s="20">
        <f>IF(A73="","",A73)</f>
        <v/>
      </c>
      <c r="AI73" s="156">
        <f>IF(E73="","",E73)</f>
        <v/>
      </c>
      <c r="AJ73" s="121" t="n"/>
      <c r="AK73" s="121" t="n"/>
      <c r="AL73" s="121" t="n"/>
      <c r="AM73" s="121" t="n"/>
      <c r="AN73" s="121" t="n"/>
      <c r="AO73" s="121" t="n"/>
      <c r="AP73" s="121" t="n"/>
      <c r="AQ73" s="121" t="n"/>
      <c r="AR73" s="121" t="n"/>
      <c r="AS73" s="121" t="n"/>
      <c r="AT73" s="121" t="n"/>
      <c r="AU73" s="121" t="n"/>
      <c r="AV73" s="121" t="n"/>
    </row>
    <row r="74">
      <c r="A74" s="9" t="inlineStr">
        <is>
          <t>감계휴먼빌</t>
        </is>
      </c>
      <c r="B74" s="10" t="inlineStr">
        <is>
          <t>'14.03.</t>
        </is>
      </c>
      <c r="C74" s="133" t="n">
        <v>697</v>
      </c>
      <c r="D74" s="131" t="n">
        <v>81.3</v>
      </c>
      <c r="E74" s="132" t="n">
        <v>25</v>
      </c>
      <c r="F74" s="131" t="n">
        <v>60</v>
      </c>
      <c r="G74" s="17" t="n">
        <v>18</v>
      </c>
      <c r="H74" s="133" t="n">
        <v>134</v>
      </c>
      <c r="I74" s="134" t="n">
        <v>21000</v>
      </c>
      <c r="J74" s="134" t="inlineStr">
        <is>
          <t>중</t>
        </is>
      </c>
      <c r="K74" s="134" t="n">
        <v>20000</v>
      </c>
      <c r="L74" s="134" t="inlineStr">
        <is>
          <t>고</t>
        </is>
      </c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81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inlineStr">
        <is>
          <t>감계휴먼빌</t>
        </is>
      </c>
      <c r="B75" s="10" t="inlineStr">
        <is>
          <t>'14.03.</t>
        </is>
      </c>
      <c r="C75" s="133" t="n">
        <v>697</v>
      </c>
      <c r="D75" s="131" t="n">
        <v>114.8</v>
      </c>
      <c r="E75" s="132" t="n">
        <v>35</v>
      </c>
      <c r="F75" s="131" t="n">
        <v>84.90000000000001</v>
      </c>
      <c r="G75" s="17" t="n">
        <v>26</v>
      </c>
      <c r="H75" s="133" t="n">
        <v>297</v>
      </c>
      <c r="I75" s="134" t="n">
        <v>27500</v>
      </c>
      <c r="J75" s="134" t="inlineStr">
        <is>
          <t>10</t>
        </is>
      </c>
      <c r="K75" s="134" t="n">
        <v>24000</v>
      </c>
      <c r="L75" s="134" t="inlineStr">
        <is>
          <t>중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114B</t>
        </is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inlineStr">
        <is>
          <t>감계휴먼빌</t>
        </is>
      </c>
      <c r="B76" s="10" t="inlineStr">
        <is>
          <t>'14.03.</t>
        </is>
      </c>
      <c r="C76" s="133" t="n">
        <v>697</v>
      </c>
      <c r="D76" s="131" t="n">
        <v>114.8</v>
      </c>
      <c r="E76" s="132" t="n">
        <v>35</v>
      </c>
      <c r="F76" s="131" t="n">
        <v>85</v>
      </c>
      <c r="G76" s="17" t="n">
        <v>26</v>
      </c>
      <c r="H76" s="133" t="n">
        <v>266</v>
      </c>
      <c r="I76" s="134" t="n">
        <v>26000</v>
      </c>
      <c r="J76" s="134" t="inlineStr">
        <is>
          <t>고</t>
        </is>
      </c>
      <c r="K76" s="134" t="n">
        <v>21000</v>
      </c>
      <c r="L76" s="134" t="inlineStr">
        <is>
          <t>중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inlineStr">
        <is>
          <t>114A</t>
        </is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n"/>
      <c r="B77" s="121" t="n"/>
      <c r="C77" s="6" t="n"/>
      <c r="D77" s="9" t="n"/>
      <c r="E77" s="14" t="n"/>
      <c r="F77" s="131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6" t="n"/>
      <c r="P77" s="136" t="n"/>
      <c r="Q77" s="132" t="n"/>
      <c r="R77" s="132" t="n"/>
      <c r="S77" s="9" t="n"/>
      <c r="T77" s="47" t="n"/>
      <c r="U77" s="9" t="n"/>
      <c r="W77" s="68">
        <f>$A$4&amp;" "&amp;A78&amp;"("&amp;B78&amp;","&amp;C78&amp;"^)"</f>
        <v/>
      </c>
      <c r="X77" s="69" t="n"/>
      <c r="Y77" s="69" t="n"/>
      <c r="Z77" s="69" t="n"/>
      <c r="AA77" s="69" t="n"/>
      <c r="AB77" s="69" t="n"/>
      <c r="AC77" s="69" t="n"/>
      <c r="AD77" s="69" t="n"/>
      <c r="AE77" s="69" t="n"/>
      <c r="AF77" s="70" t="n"/>
      <c r="AH77" s="20">
        <f>IF(A77="","",A77)</f>
        <v/>
      </c>
      <c r="AI77" s="156">
        <f>IF(E77="","",E77)</f>
        <v/>
      </c>
      <c r="AJ77" s="121" t="n"/>
      <c r="AK77" s="121" t="n"/>
      <c r="AL77" s="121" t="n"/>
      <c r="AM77" s="121" t="n"/>
      <c r="AN77" s="121" t="n"/>
      <c r="AO77" s="121" t="n"/>
      <c r="AP77" s="121" t="n"/>
      <c r="AQ77" s="121" t="n"/>
      <c r="AR77" s="121" t="n"/>
      <c r="AS77" s="121" t="n"/>
      <c r="AT77" s="121" t="n"/>
      <c r="AU77" s="121" t="n"/>
      <c r="AV77" s="121" t="n"/>
    </row>
    <row r="78">
      <c r="A78" s="9" t="inlineStr">
        <is>
          <t>창원무동STX칸1차</t>
        </is>
      </c>
      <c r="B78" s="10" t="inlineStr">
        <is>
          <t>'15.01.</t>
        </is>
      </c>
      <c r="C78" s="133" t="n">
        <v>854</v>
      </c>
      <c r="D78" s="131" t="n">
        <v>83.5</v>
      </c>
      <c r="E78" s="132" t="n">
        <v>25</v>
      </c>
      <c r="F78" s="131" t="n">
        <v>60</v>
      </c>
      <c r="G78" s="17" t="n">
        <v>18</v>
      </c>
      <c r="H78" s="133" t="n">
        <v>43</v>
      </c>
      <c r="I78" s="134" t="n">
        <v>20000</v>
      </c>
      <c r="J78" s="134" t="inlineStr">
        <is>
          <t>8</t>
        </is>
      </c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83A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창원무동STX칸1차</t>
        </is>
      </c>
      <c r="B79" s="10" t="inlineStr">
        <is>
          <t>'15.01.</t>
        </is>
      </c>
      <c r="C79" s="133" t="n">
        <v>854</v>
      </c>
      <c r="D79" s="131" t="n">
        <v>84.09999999999999</v>
      </c>
      <c r="E79" s="132" t="n">
        <v>25</v>
      </c>
      <c r="F79" s="131" t="n">
        <v>60</v>
      </c>
      <c r="G79" s="17" t="n">
        <v>18</v>
      </c>
      <c r="H79" s="133" t="n">
        <v>44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84B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inlineStr">
        <is>
          <t>창원무동STX칸1차</t>
        </is>
      </c>
      <c r="B80" s="10" t="inlineStr">
        <is>
          <t>'15.01.</t>
        </is>
      </c>
      <c r="C80" s="133" t="n">
        <v>854</v>
      </c>
      <c r="D80" s="131" t="n">
        <v>112.6</v>
      </c>
      <c r="E80" s="132" t="n">
        <v>34</v>
      </c>
      <c r="F80" s="131" t="n">
        <v>85</v>
      </c>
      <c r="G80" s="17" t="n">
        <v>26</v>
      </c>
      <c r="H80" s="133" t="n">
        <v>449</v>
      </c>
      <c r="I80" s="134" t="n">
        <v>22000</v>
      </c>
      <c r="J80" s="134" t="inlineStr">
        <is>
          <t>중</t>
        </is>
      </c>
      <c r="K80" s="134" t="n">
        <v>18000</v>
      </c>
      <c r="L80" s="134" t="inlineStr">
        <is>
          <t>중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inlineStr">
        <is>
          <t>112A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창원무동STX칸1차</t>
        </is>
      </c>
      <c r="B81" s="10" t="inlineStr">
        <is>
          <t>'15.01.</t>
        </is>
      </c>
      <c r="C81" s="133" t="n">
        <v>854</v>
      </c>
      <c r="D81" s="131" t="n">
        <v>113.3</v>
      </c>
      <c r="E81" s="132" t="n">
        <v>34</v>
      </c>
      <c r="F81" s="131" t="n">
        <v>85</v>
      </c>
      <c r="G81" s="17" t="n">
        <v>26</v>
      </c>
      <c r="H81" s="133" t="n">
        <v>318</v>
      </c>
      <c r="I81" s="134" t="n">
        <v>23000</v>
      </c>
      <c r="J81" s="134" t="inlineStr">
        <is>
          <t>중</t>
        </is>
      </c>
      <c r="K81" s="134" t="n">
        <v>19000</v>
      </c>
      <c r="L81" s="134" t="inlineStr">
        <is>
          <t>중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113B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창원감계힐스테이트2차</t>
        </is>
      </c>
      <c r="B83" s="10" t="inlineStr">
        <is>
          <t>'17.10.</t>
        </is>
      </c>
      <c r="C83" s="133" t="n">
        <v>836</v>
      </c>
      <c r="D83" s="131" t="n">
        <v>85.59999999999999</v>
      </c>
      <c r="E83" s="132" t="n">
        <v>26</v>
      </c>
      <c r="F83" s="131" t="n">
        <v>59.3</v>
      </c>
      <c r="G83" s="17" t="n">
        <v>18</v>
      </c>
      <c r="H83" s="133" t="n">
        <v>147</v>
      </c>
      <c r="I83" s="134" t="n">
        <v>25000</v>
      </c>
      <c r="J83" s="134" t="inlineStr">
        <is>
          <t>고</t>
        </is>
      </c>
      <c r="K83" s="134" t="n">
        <v>24000</v>
      </c>
      <c r="L83" s="134" t="inlineStr">
        <is>
          <t>중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85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창원감계힐스테이트2차</t>
        </is>
      </c>
      <c r="B84" s="10" t="inlineStr">
        <is>
          <t>'17.10.</t>
        </is>
      </c>
      <c r="C84" s="133" t="n">
        <v>836</v>
      </c>
      <c r="D84" s="131" t="n">
        <v>95.7</v>
      </c>
      <c r="E84" s="132" t="n">
        <v>29</v>
      </c>
      <c r="F84" s="131" t="n">
        <v>70.09999999999999</v>
      </c>
      <c r="G84" s="17" t="n">
        <v>21</v>
      </c>
      <c r="H84" s="133" t="n">
        <v>215</v>
      </c>
      <c r="I84" s="134" t="n">
        <v>30500</v>
      </c>
      <c r="J84" s="134" t="inlineStr">
        <is>
          <t>중</t>
        </is>
      </c>
      <c r="K84" s="134" t="n">
        <v>25000</v>
      </c>
      <c r="L84" s="134" t="inlineStr">
        <is>
          <t>고</t>
        </is>
      </c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95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창원감계힐스테이트2차</t>
        </is>
      </c>
      <c r="B85" s="10" t="inlineStr">
        <is>
          <t>'17.10.</t>
        </is>
      </c>
      <c r="C85" s="133" t="n">
        <v>836</v>
      </c>
      <c r="D85" s="131" t="n">
        <v>112.1</v>
      </c>
      <c r="E85" s="132" t="n">
        <v>34</v>
      </c>
      <c r="F85" s="131" t="n">
        <v>84.90000000000001</v>
      </c>
      <c r="G85" s="17" t="n">
        <v>26</v>
      </c>
      <c r="H85" s="133" t="n">
        <v>284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4</v>
      </c>
      <c r="R85" s="121" t="n">
        <v>2</v>
      </c>
      <c r="S85" s="121" t="inlineStr">
        <is>
          <t>계</t>
        </is>
      </c>
      <c r="T85" s="5" t="inlineStr">
        <is>
          <t>112A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>
      <c r="A86" s="9" t="inlineStr">
        <is>
          <t>창원감계힐스테이트2차</t>
        </is>
      </c>
      <c r="B86" s="10" t="inlineStr">
        <is>
          <t>'17.10.</t>
        </is>
      </c>
      <c r="C86" s="133" t="n">
        <v>836</v>
      </c>
      <c r="D86" s="131" t="n">
        <v>112.1</v>
      </c>
      <c r="E86" s="132" t="n">
        <v>34</v>
      </c>
      <c r="F86" s="131" t="n">
        <v>84.09999999999999</v>
      </c>
      <c r="G86" s="17" t="n">
        <v>25</v>
      </c>
      <c r="H86" s="133" t="n">
        <v>101</v>
      </c>
      <c r="I86" s="134" t="n">
        <v>38000</v>
      </c>
      <c r="J86" s="134" t="inlineStr">
        <is>
          <t>중</t>
        </is>
      </c>
      <c r="K86" s="134" t="n">
        <v>28000</v>
      </c>
      <c r="L86" s="134" t="inlineStr">
        <is>
          <t>중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inlineStr">
        <is>
          <t>112B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>
      <c r="A87" s="9" t="inlineStr">
        <is>
          <t>창원감계힐스테이트2차</t>
        </is>
      </c>
      <c r="B87" s="10" t="inlineStr">
        <is>
          <t>'17.10.</t>
        </is>
      </c>
      <c r="C87" s="133" t="n">
        <v>836</v>
      </c>
      <c r="D87" s="131" t="n">
        <v>132.1</v>
      </c>
      <c r="E87" s="132" t="n">
        <v>40</v>
      </c>
      <c r="F87" s="131" t="n">
        <v>101.4</v>
      </c>
      <c r="G87" s="17" t="n">
        <v>31</v>
      </c>
      <c r="H87" s="133" t="n">
        <v>89</v>
      </c>
      <c r="I87" s="134" t="n">
        <v>47000</v>
      </c>
      <c r="J87" s="134" t="inlineStr">
        <is>
          <t>중</t>
        </is>
      </c>
      <c r="K87" s="134" t="n">
        <v>32000</v>
      </c>
      <c r="L87" s="134" t="inlineStr">
        <is>
          <t>6</t>
        </is>
      </c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4</v>
      </c>
      <c r="R87" s="121" t="n">
        <v>2</v>
      </c>
      <c r="S87" s="121" t="inlineStr">
        <is>
          <t>계</t>
        </is>
      </c>
      <c r="T87" s="5" t="n">
        <v>132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>
      <c r="A88" s="9" t="n"/>
      <c r="B88" s="121" t="n"/>
      <c r="C88" s="6" t="n"/>
      <c r="D88" s="9" t="n"/>
      <c r="E88" s="14" t="n"/>
      <c r="F88" s="131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6" t="n"/>
      <c r="P88" s="136" t="n"/>
      <c r="Q88" s="132" t="n"/>
      <c r="R88" s="132" t="n"/>
      <c r="S88" s="9" t="n"/>
      <c r="T88" s="47" t="n"/>
      <c r="U88" s="9" t="n"/>
      <c r="W88" s="68">
        <f>$A$4&amp;" "&amp;A89&amp;"("&amp;B89&amp;","&amp;C89&amp;"^)"</f>
        <v/>
      </c>
      <c r="X88" s="69" t="n"/>
      <c r="Y88" s="69" t="n"/>
      <c r="Z88" s="69" t="n"/>
      <c r="AA88" s="69" t="n"/>
      <c r="AB88" s="69" t="n"/>
      <c r="AC88" s="69" t="n"/>
      <c r="AD88" s="69" t="n"/>
      <c r="AE88" s="69" t="n"/>
      <c r="AF88" s="70" t="n"/>
      <c r="AH88" s="20">
        <f>IF(A88="","",A88)</f>
        <v/>
      </c>
      <c r="AI88" s="156">
        <f>IF(E88="","",E88)</f>
        <v/>
      </c>
      <c r="AJ88" s="121" t="n"/>
      <c r="AK88" s="121" t="n"/>
      <c r="AL88" s="121" t="n"/>
      <c r="AM88" s="121" t="n"/>
      <c r="AN88" s="121" t="n"/>
      <c r="AO88" s="121" t="n"/>
      <c r="AP88" s="121" t="n"/>
      <c r="AQ88" s="121" t="n"/>
      <c r="AR88" s="121" t="n"/>
      <c r="AS88" s="121" t="n"/>
      <c r="AT88" s="121" t="n"/>
      <c r="AU88" s="121" t="n"/>
      <c r="AV88" s="121" t="n"/>
    </row>
    <row r="89">
      <c r="A89" s="9" t="inlineStr">
        <is>
          <t>창원감계아내에코프리미엄2차</t>
        </is>
      </c>
      <c r="B89" s="10" t="inlineStr">
        <is>
          <t>'19.01.</t>
        </is>
      </c>
      <c r="C89" s="133" t="n">
        <v>1393</v>
      </c>
      <c r="D89" s="131" t="n">
        <v>85.09999999999999</v>
      </c>
      <c r="E89" s="132" t="n">
        <v>26</v>
      </c>
      <c r="F89" s="131" t="n">
        <v>59.9</v>
      </c>
      <c r="G89" s="17" t="n">
        <v>18</v>
      </c>
      <c r="H89" s="133" t="n">
        <v>408</v>
      </c>
      <c r="I89" s="134" t="n">
        <v>26500</v>
      </c>
      <c r="J89" s="134" t="inlineStr">
        <is>
          <t>중</t>
        </is>
      </c>
      <c r="K89" s="134" t="n">
        <v>21000</v>
      </c>
      <c r="L89" s="134" t="inlineStr">
        <is>
          <t>중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n">
        <v>85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>
      <c r="A90" s="9" t="inlineStr">
        <is>
          <t>창원감계아내에코프리미엄2차</t>
        </is>
      </c>
      <c r="B90" s="10" t="inlineStr">
        <is>
          <t>'19.01.</t>
        </is>
      </c>
      <c r="C90" s="133" t="n">
        <v>1393</v>
      </c>
      <c r="D90" s="131" t="n">
        <v>97.59999999999999</v>
      </c>
      <c r="E90" s="132" t="n">
        <v>30</v>
      </c>
      <c r="F90" s="131" t="n">
        <v>70.59999999999999</v>
      </c>
      <c r="G90" s="17" t="n">
        <v>21</v>
      </c>
      <c r="H90" s="133" t="n">
        <v>174</v>
      </c>
      <c r="I90" s="134" t="n">
        <v>32000</v>
      </c>
      <c r="J90" s="134" t="inlineStr">
        <is>
          <t>중</t>
        </is>
      </c>
      <c r="K90" s="134" t="n">
        <v>25000</v>
      </c>
      <c r="L90" s="134" t="inlineStr">
        <is>
          <t>중</t>
        </is>
      </c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97A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>
      <c r="A91" s="9" t="inlineStr">
        <is>
          <t>창원감계아내에코프리미엄2차</t>
        </is>
      </c>
      <c r="B91" s="10" t="inlineStr">
        <is>
          <t>'19.01.</t>
        </is>
      </c>
      <c r="C91" s="133" t="n">
        <v>1393</v>
      </c>
      <c r="D91" s="131" t="n">
        <v>97.8</v>
      </c>
      <c r="E91" s="132" t="n">
        <v>30</v>
      </c>
      <c r="F91" s="131" t="n">
        <v>70.90000000000001</v>
      </c>
      <c r="G91" s="17" t="n">
        <v>21</v>
      </c>
      <c r="H91" s="133" t="n">
        <v>172</v>
      </c>
      <c r="I91" s="134" t="n">
        <v>33000</v>
      </c>
      <c r="J91" s="134" t="inlineStr">
        <is>
          <t>고</t>
        </is>
      </c>
      <c r="K91" s="134" t="n">
        <v>24000</v>
      </c>
      <c r="L91" s="134" t="inlineStr">
        <is>
          <t>고</t>
        </is>
      </c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97B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>
      <c r="A92" s="9" t="inlineStr">
        <is>
          <t>창원감계아내에코프리미엄2차</t>
        </is>
      </c>
      <c r="B92" s="10" t="inlineStr">
        <is>
          <t>'19.01.</t>
        </is>
      </c>
      <c r="C92" s="133" t="n">
        <v>1393</v>
      </c>
      <c r="D92" s="131" t="n">
        <v>112.6</v>
      </c>
      <c r="E92" s="132" t="n">
        <v>34</v>
      </c>
      <c r="F92" s="131" t="n">
        <v>84.5</v>
      </c>
      <c r="G92" s="17" t="n">
        <v>26</v>
      </c>
      <c r="H92" s="133" t="n">
        <v>285</v>
      </c>
      <c r="I92" s="134" t="n">
        <v>36000</v>
      </c>
      <c r="J92" s="134" t="inlineStr">
        <is>
          <t>중</t>
        </is>
      </c>
      <c r="K92" s="134" t="n">
        <v>30000</v>
      </c>
      <c r="L92" s="134" t="inlineStr">
        <is>
          <t>13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inlineStr">
        <is>
          <t>112A</t>
        </is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>
      <c r="A93" s="9" t="inlineStr">
        <is>
          <t>창원감계아내에코프리미엄2차</t>
        </is>
      </c>
      <c r="B93" s="10" t="inlineStr">
        <is>
          <t>'19.01.</t>
        </is>
      </c>
      <c r="C93" s="133" t="n">
        <v>1393</v>
      </c>
      <c r="D93" s="131" t="n">
        <v>113.1</v>
      </c>
      <c r="E93" s="132" t="n">
        <v>34</v>
      </c>
      <c r="F93" s="131" t="n">
        <v>84.90000000000001</v>
      </c>
      <c r="G93" s="17" t="n">
        <v>26</v>
      </c>
      <c r="H93" s="133" t="n">
        <v>354</v>
      </c>
      <c r="I93" s="134" t="n">
        <v>38000</v>
      </c>
      <c r="J93" s="134" t="inlineStr">
        <is>
          <t>16</t>
        </is>
      </c>
      <c r="K93" s="134" t="n">
        <v>30000</v>
      </c>
      <c r="L93" s="134" t="inlineStr">
        <is>
          <t>19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113B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</sheetData>
  <mergeCells count="1">
    <mergeCell ref="AJ1:AN1"/>
  </mergeCells>
  <conditionalFormatting sqref="AV4:AV6">
    <cfRule type="expression" priority="1421" dxfId="23">
      <formula>AV4="X"</formula>
    </cfRule>
    <cfRule type="expression" priority="1422" dxfId="22">
      <formula>AV4="후보"</formula>
    </cfRule>
  </conditionalFormatting>
  <conditionalFormatting sqref="AC1:AC2 AC4:AC6 N4:N5">
    <cfRule type="cellIs" priority="1418" operator="greaterThan" dxfId="17">
      <formula>0.9</formula>
    </cfRule>
    <cfRule type="cellIs" priority="1419" operator="greaterThan" dxfId="16">
      <formula>0.85</formula>
    </cfRule>
  </conditionalFormatting>
  <conditionalFormatting sqref="N1:N2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6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6">
    <cfRule type="expression" priority="1410" dxfId="3">
      <formula>AND(IF(OR($Q6=1,$Q6=2),1,0),IF($X6&lt;=20,1,0))</formula>
    </cfRule>
    <cfRule type="expression" priority="1411" dxfId="2">
      <formula>AND(IF($Q6=2,1,0),IF($X6&lt;30,1,0))</formula>
    </cfRule>
    <cfRule type="expression" priority="1412" dxfId="1">
      <formula>AND(IF($Q6=3,1,0),IF($X6&lt;30,1,0))</formula>
    </cfRule>
    <cfRule type="expression" priority="1413" dxfId="0">
      <formula>AND(IF($Q6=3,1,IF($Q6=4,1,0)),IF($F6&lt;=85,1,0))</formula>
    </cfRule>
  </conditionalFormatting>
  <conditionalFormatting sqref="X6">
    <cfRule type="expression" priority="1406" dxfId="3">
      <formula>AND(IF(OR($Q6=1,$Q6=2),1,0),IF($X6&lt;=20,1,0))</formula>
    </cfRule>
    <cfRule type="expression" priority="1407" dxfId="2">
      <formula>AND(IF($Q6=2,1,0),IF($X6&lt;30,1,0))</formula>
    </cfRule>
    <cfRule type="expression" priority="1408" dxfId="1">
      <formula>AND(IF($Q6=3,1,0),IF($X6&lt;30,1,0))</formula>
    </cfRule>
    <cfRule type="expression" priority="1409" dxfId="0">
      <formula>AND(IF($Q6=3,1,IF($Q6=4,1,0)),IF($F6&lt;=85,1,0))</formula>
    </cfRule>
  </conditionalFormatting>
  <conditionalFormatting sqref="AI6">
    <cfRule type="expression" priority="1402" dxfId="3">
      <formula>AND(IF(OR($Q6=1,$Q6=2),1,0),IF($X6&lt;=20,1,0))</formula>
    </cfRule>
    <cfRule type="expression" priority="1403" dxfId="2">
      <formula>AND(IF($Q6=2,1,0),IF($X6&lt;30,1,0))</formula>
    </cfRule>
    <cfRule type="expression" priority="1404" dxfId="1">
      <formula>AND(IF($Q6=3,1,0),IF($X6&lt;30,1,0))</formula>
    </cfRule>
    <cfRule type="expression" priority="1405" dxfId="0">
      <formula>AND(IF($Q6=3,1,IF($Q6=4,1,0)),IF($F6&lt;=85,1,0))</formula>
    </cfRule>
  </conditionalFormatting>
  <conditionalFormatting sqref="AV7">
    <cfRule type="expression" priority="1400" dxfId="23">
      <formula>AV7="X"</formula>
    </cfRule>
    <cfRule type="expression" priority="1401" dxfId="22">
      <formula>AV7="후보"</formula>
    </cfRule>
  </conditionalFormatting>
  <conditionalFormatting sqref="AC7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7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7">
    <cfRule type="expression" priority="1391" dxfId="3">
      <formula>AND(IF(OR($Q7=1,$Q7=2),1,0),IF($X7&lt;=20,1,0))</formula>
    </cfRule>
    <cfRule type="expression" priority="1392" dxfId="2">
      <formula>AND(IF($Q7=2,1,0),IF($X7&lt;30,1,0))</formula>
    </cfRule>
    <cfRule type="expression" priority="1393" dxfId="1">
      <formula>AND(IF($Q7=3,1,0),IF($X7&lt;30,1,0))</formula>
    </cfRule>
    <cfRule type="expression" priority="1394" dxfId="0">
      <formula>AND(IF($Q7=3,1,IF($Q7=4,1,0)),IF($F7&lt;=85,1,0))</formula>
    </cfRule>
  </conditionalFormatting>
  <conditionalFormatting sqref="X7">
    <cfRule type="expression" priority="1387" dxfId="3">
      <formula>AND(IF(OR($Q7=1,$Q7=2),1,0),IF($X7&lt;=20,1,0))</formula>
    </cfRule>
    <cfRule type="expression" priority="1388" dxfId="2">
      <formula>AND(IF($Q7=2,1,0),IF($X7&lt;30,1,0))</formula>
    </cfRule>
    <cfRule type="expression" priority="1389" dxfId="1">
      <formula>AND(IF($Q7=3,1,0),IF($X7&lt;30,1,0))</formula>
    </cfRule>
    <cfRule type="expression" priority="1390" dxfId="0">
      <formula>AND(IF($Q7=3,1,IF($Q7=4,1,0)),IF($F7&lt;=85,1,0))</formula>
    </cfRule>
  </conditionalFormatting>
  <conditionalFormatting sqref="AI7">
    <cfRule type="expression" priority="1383" dxfId="3">
      <formula>AND(IF(OR($Q7=1,$Q7=2),1,0),IF($X7&lt;=20,1,0))</formula>
    </cfRule>
    <cfRule type="expression" priority="1384" dxfId="2">
      <formula>AND(IF($Q7=2,1,0),IF($X7&lt;30,1,0))</formula>
    </cfRule>
    <cfRule type="expression" priority="1385" dxfId="1">
      <formula>AND(IF($Q7=3,1,0),IF($X7&lt;30,1,0))</formula>
    </cfRule>
    <cfRule type="expression" priority="1386" dxfId="0">
      <formula>AND(IF($Q7=3,1,IF($Q7=4,1,0)),IF($F7&lt;=85,1,0))</formula>
    </cfRule>
  </conditionalFormatting>
  <conditionalFormatting sqref="AV8">
    <cfRule type="expression" priority="1381" dxfId="23">
      <formula>AV8="X"</formula>
    </cfRule>
    <cfRule type="expression" priority="1382" dxfId="22">
      <formula>AV8="후보"</formula>
    </cfRule>
  </conditionalFormatting>
  <conditionalFormatting sqref="AC8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8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8">
    <cfRule type="expression" priority="1372" dxfId="3">
      <formula>AND(IF(OR($Q8=1,$Q8=2),1,0),IF($X8&lt;=20,1,0))</formula>
    </cfRule>
    <cfRule type="expression" priority="1373" dxfId="2">
      <formula>AND(IF($Q8=2,1,0),IF($X8&lt;30,1,0))</formula>
    </cfRule>
    <cfRule type="expression" priority="1374" dxfId="1">
      <formula>AND(IF($Q8=3,1,0),IF($X8&lt;30,1,0))</formula>
    </cfRule>
    <cfRule type="expression" priority="1375" dxfId="0">
      <formula>AND(IF($Q8=3,1,IF($Q8=4,1,0)),IF($F8&lt;=85,1,0))</formula>
    </cfRule>
  </conditionalFormatting>
  <conditionalFormatting sqref="X8">
    <cfRule type="expression" priority="1368" dxfId="3">
      <formula>AND(IF(OR($Q8=1,$Q8=2),1,0),IF($X8&lt;=20,1,0))</formula>
    </cfRule>
    <cfRule type="expression" priority="1369" dxfId="2">
      <formula>AND(IF($Q8=2,1,0),IF($X8&lt;30,1,0))</formula>
    </cfRule>
    <cfRule type="expression" priority="1370" dxfId="1">
      <formula>AND(IF($Q8=3,1,0),IF($X8&lt;30,1,0))</formula>
    </cfRule>
    <cfRule type="expression" priority="1371" dxfId="0">
      <formula>AND(IF($Q8=3,1,IF($Q8=4,1,0)),IF($F8&lt;=85,1,0))</formula>
    </cfRule>
  </conditionalFormatting>
  <conditionalFormatting sqref="AI8">
    <cfRule type="expression" priority="1364" dxfId="3">
      <formula>AND(IF(OR($Q8=1,$Q8=2),1,0),IF($X8&lt;=20,1,0))</formula>
    </cfRule>
    <cfRule type="expression" priority="1365" dxfId="2">
      <formula>AND(IF($Q8=2,1,0),IF($X8&lt;30,1,0))</formula>
    </cfRule>
    <cfRule type="expression" priority="1366" dxfId="1">
      <formula>AND(IF($Q8=3,1,0),IF($X8&lt;30,1,0))</formula>
    </cfRule>
    <cfRule type="expression" priority="1367" dxfId="0">
      <formula>AND(IF($Q8=3,1,IF($Q8=4,1,0)),IF($F8&lt;=85,1,0))</formula>
    </cfRule>
  </conditionalFormatting>
  <conditionalFormatting sqref="AV9">
    <cfRule type="expression" priority="1362" dxfId="23">
      <formula>AV9="X"</formula>
    </cfRule>
    <cfRule type="expression" priority="1363" dxfId="22">
      <formula>AV9="후보"</formula>
    </cfRule>
  </conditionalFormatting>
  <conditionalFormatting sqref="AC9 N9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AV10">
    <cfRule type="expression" priority="1357" dxfId="23">
      <formula>AV10="X"</formula>
    </cfRule>
    <cfRule type="expression" priority="1358" dxfId="22">
      <formula>AV10="후보"</formula>
    </cfRule>
  </conditionalFormatting>
  <conditionalFormatting sqref="AC10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10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10">
    <cfRule type="expression" priority="1348" dxfId="3">
      <formula>AND(IF(OR($Q10=1,$Q10=2),1,0),IF($X10&lt;=20,1,0))</formula>
    </cfRule>
    <cfRule type="expression" priority="1349" dxfId="2">
      <formula>AND(IF($Q10=2,1,0),IF($X10&lt;30,1,0))</formula>
    </cfRule>
    <cfRule type="expression" priority="1350" dxfId="1">
      <formula>AND(IF($Q10=3,1,0),IF($X10&lt;30,1,0))</formula>
    </cfRule>
    <cfRule type="expression" priority="1351" dxfId="0">
      <formula>AND(IF($Q10=3,1,IF($Q10=4,1,0)),IF($F10&lt;=85,1,0))</formula>
    </cfRule>
  </conditionalFormatting>
  <conditionalFormatting sqref="X10">
    <cfRule type="expression" priority="1344" dxfId="3">
      <formula>AND(IF(OR($Q10=1,$Q10=2),1,0),IF($X10&lt;=20,1,0))</formula>
    </cfRule>
    <cfRule type="expression" priority="1345" dxfId="2">
      <formula>AND(IF($Q10=2,1,0),IF($X10&lt;30,1,0))</formula>
    </cfRule>
    <cfRule type="expression" priority="1346" dxfId="1">
      <formula>AND(IF($Q10=3,1,0),IF($X10&lt;30,1,0))</formula>
    </cfRule>
    <cfRule type="expression" priority="1347" dxfId="0">
      <formula>AND(IF($Q10=3,1,IF($Q10=4,1,0)),IF($F10&lt;=85,1,0))</formula>
    </cfRule>
  </conditionalFormatting>
  <conditionalFormatting sqref="AI10">
    <cfRule type="expression" priority="1340" dxfId="3">
      <formula>AND(IF(OR($Q10=1,$Q10=2),1,0),IF($X10&lt;=20,1,0))</formula>
    </cfRule>
    <cfRule type="expression" priority="1341" dxfId="2">
      <formula>AND(IF($Q10=2,1,0),IF($X10&lt;30,1,0))</formula>
    </cfRule>
    <cfRule type="expression" priority="1342" dxfId="1">
      <formula>AND(IF($Q10=3,1,0),IF($X10&lt;30,1,0))</formula>
    </cfRule>
    <cfRule type="expression" priority="1343" dxfId="0">
      <formula>AND(IF($Q10=3,1,IF($Q10=4,1,0)),IF($F10&lt;=85,1,0))</formula>
    </cfRule>
  </conditionalFormatting>
  <conditionalFormatting sqref="AV11">
    <cfRule type="expression" priority="1338" dxfId="23">
      <formula>AV11="X"</formula>
    </cfRule>
    <cfRule type="expression" priority="1339" dxfId="22">
      <formula>AV11="후보"</formula>
    </cfRule>
  </conditionalFormatting>
  <conditionalFormatting sqref="AC11 N11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AV12">
    <cfRule type="expression" priority="1333" dxfId="23">
      <formula>AV12="X"</formula>
    </cfRule>
    <cfRule type="expression" priority="1334" dxfId="22">
      <formula>AV12="후보"</formula>
    </cfRule>
  </conditionalFormatting>
  <conditionalFormatting sqref="AC12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12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12">
    <cfRule type="expression" priority="1324" dxfId="3">
      <formula>AND(IF(OR($Q12=1,$Q12=2),1,0),IF($X12&lt;=20,1,0))</formula>
    </cfRule>
    <cfRule type="expression" priority="1325" dxfId="2">
      <formula>AND(IF($Q12=2,1,0),IF($X12&lt;30,1,0))</formula>
    </cfRule>
    <cfRule type="expression" priority="1326" dxfId="1">
      <formula>AND(IF($Q12=3,1,0),IF($X12&lt;30,1,0))</formula>
    </cfRule>
    <cfRule type="expression" priority="1327" dxfId="0">
      <formula>AND(IF($Q12=3,1,IF($Q12=4,1,0)),IF($F12&lt;=85,1,0))</formula>
    </cfRule>
  </conditionalFormatting>
  <conditionalFormatting sqref="X12">
    <cfRule type="expression" priority="1320" dxfId="3">
      <formula>AND(IF(OR($Q12=1,$Q12=2),1,0),IF($X12&lt;=20,1,0))</formula>
    </cfRule>
    <cfRule type="expression" priority="1321" dxfId="2">
      <formula>AND(IF($Q12=2,1,0),IF($X12&lt;30,1,0))</formula>
    </cfRule>
    <cfRule type="expression" priority="1322" dxfId="1">
      <formula>AND(IF($Q12=3,1,0),IF($X12&lt;30,1,0))</formula>
    </cfRule>
    <cfRule type="expression" priority="1323" dxfId="0">
      <formula>AND(IF($Q12=3,1,IF($Q12=4,1,0)),IF($F12&lt;=85,1,0))</formula>
    </cfRule>
  </conditionalFormatting>
  <conditionalFormatting sqref="AI12">
    <cfRule type="expression" priority="1316" dxfId="3">
      <formula>AND(IF(OR($Q12=1,$Q12=2),1,0),IF($X12&lt;=20,1,0))</formula>
    </cfRule>
    <cfRule type="expression" priority="1317" dxfId="2">
      <formula>AND(IF($Q12=2,1,0),IF($X12&lt;30,1,0))</formula>
    </cfRule>
    <cfRule type="expression" priority="1318" dxfId="1">
      <formula>AND(IF($Q12=3,1,0),IF($X12&lt;30,1,0))</formula>
    </cfRule>
    <cfRule type="expression" priority="1319" dxfId="0">
      <formula>AND(IF($Q12=3,1,IF($Q12=4,1,0)),IF($F12&lt;=85,1,0))</formula>
    </cfRule>
  </conditionalFormatting>
  <conditionalFormatting sqref="AV13">
    <cfRule type="expression" priority="1314" dxfId="23">
      <formula>AV13="X"</formula>
    </cfRule>
    <cfRule type="expression" priority="1315" dxfId="22">
      <formula>AV13="후보"</formula>
    </cfRule>
  </conditionalFormatting>
  <conditionalFormatting sqref="AC13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3">
    <cfRule type="expression" priority="1305" dxfId="3">
      <formula>AND(IF(OR($Q13=1,$Q13=2),1,0),IF($X13&lt;=20,1,0))</formula>
    </cfRule>
    <cfRule type="expression" priority="1306" dxfId="2">
      <formula>AND(IF($Q13=2,1,0),IF($X13&lt;30,1,0))</formula>
    </cfRule>
    <cfRule type="expression" priority="1307" dxfId="1">
      <formula>AND(IF($Q13=3,1,0),IF($X13&lt;30,1,0))</formula>
    </cfRule>
    <cfRule type="expression" priority="1308" dxfId="0">
      <formula>AND(IF($Q13=3,1,IF($Q13=4,1,0)),IF($F13&lt;=85,1,0))</formula>
    </cfRule>
  </conditionalFormatting>
  <conditionalFormatting sqref="X13">
    <cfRule type="expression" priority="1301" dxfId="3">
      <formula>AND(IF(OR($Q13=1,$Q13=2),1,0),IF($X13&lt;=20,1,0))</formula>
    </cfRule>
    <cfRule type="expression" priority="1302" dxfId="2">
      <formula>AND(IF($Q13=2,1,0),IF($X13&lt;30,1,0))</formula>
    </cfRule>
    <cfRule type="expression" priority="1303" dxfId="1">
      <formula>AND(IF($Q13=3,1,0),IF($X13&lt;30,1,0))</formula>
    </cfRule>
    <cfRule type="expression" priority="1304" dxfId="0">
      <formula>AND(IF($Q13=3,1,IF($Q13=4,1,0)),IF($F13&lt;=85,1,0))</formula>
    </cfRule>
  </conditionalFormatting>
  <conditionalFormatting sqref="AI13">
    <cfRule type="expression" priority="1297" dxfId="3">
      <formula>AND(IF(OR($Q13=1,$Q13=2),1,0),IF($X13&lt;=20,1,0))</formula>
    </cfRule>
    <cfRule type="expression" priority="1298" dxfId="2">
      <formula>AND(IF($Q13=2,1,0),IF($X13&lt;30,1,0))</formula>
    </cfRule>
    <cfRule type="expression" priority="1299" dxfId="1">
      <formula>AND(IF($Q13=3,1,0),IF($X13&lt;30,1,0))</formula>
    </cfRule>
    <cfRule type="expression" priority="1300" dxfId="0">
      <formula>AND(IF($Q13=3,1,IF($Q13=4,1,0)),IF($F13&lt;=85,1,0))</formula>
    </cfRule>
  </conditionalFormatting>
  <conditionalFormatting sqref="AV14">
    <cfRule type="expression" priority="1295" dxfId="23">
      <formula>AV14="X"</formula>
    </cfRule>
    <cfRule type="expression" priority="1296" dxfId="22">
      <formula>AV14="후보"</formula>
    </cfRule>
  </conditionalFormatting>
  <conditionalFormatting sqref="AC14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14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14">
    <cfRule type="expression" priority="1286" dxfId="3">
      <formula>AND(IF(OR($Q14=1,$Q14=2),1,0),IF($X14&lt;=20,1,0))</formula>
    </cfRule>
    <cfRule type="expression" priority="1287" dxfId="2">
      <formula>AND(IF($Q14=2,1,0),IF($X14&lt;30,1,0))</formula>
    </cfRule>
    <cfRule type="expression" priority="1288" dxfId="1">
      <formula>AND(IF($Q14=3,1,0),IF($X14&lt;30,1,0))</formula>
    </cfRule>
    <cfRule type="expression" priority="1289" dxfId="0">
      <formula>AND(IF($Q14=3,1,IF($Q14=4,1,0)),IF($F14&lt;=85,1,0))</formula>
    </cfRule>
  </conditionalFormatting>
  <conditionalFormatting sqref="X14">
    <cfRule type="expression" priority="1282" dxfId="3">
      <formula>AND(IF(OR($Q14=1,$Q14=2),1,0),IF($X14&lt;=20,1,0))</formula>
    </cfRule>
    <cfRule type="expression" priority="1283" dxfId="2">
      <formula>AND(IF($Q14=2,1,0),IF($X14&lt;30,1,0))</formula>
    </cfRule>
    <cfRule type="expression" priority="1284" dxfId="1">
      <formula>AND(IF($Q14=3,1,0),IF($X14&lt;30,1,0))</formula>
    </cfRule>
    <cfRule type="expression" priority="1285" dxfId="0">
      <formula>AND(IF($Q14=3,1,IF($Q14=4,1,0)),IF($F14&lt;=85,1,0))</formula>
    </cfRule>
  </conditionalFormatting>
  <conditionalFormatting sqref="AI14">
    <cfRule type="expression" priority="1278" dxfId="3">
      <formula>AND(IF(OR($Q14=1,$Q14=2),1,0),IF($X14&lt;=20,1,0))</formula>
    </cfRule>
    <cfRule type="expression" priority="1279" dxfId="2">
      <formula>AND(IF($Q14=2,1,0),IF($X14&lt;30,1,0))</formula>
    </cfRule>
    <cfRule type="expression" priority="1280" dxfId="1">
      <formula>AND(IF($Q14=3,1,0),IF($X14&lt;30,1,0))</formula>
    </cfRule>
    <cfRule type="expression" priority="1281" dxfId="0">
      <formula>AND(IF($Q14=3,1,IF($Q14=4,1,0)),IF($F14&lt;=85,1,0))</formula>
    </cfRule>
  </conditionalFormatting>
  <conditionalFormatting sqref="AV15">
    <cfRule type="expression" priority="1276" dxfId="23">
      <formula>AV15="X"</formula>
    </cfRule>
    <cfRule type="expression" priority="1277" dxfId="22">
      <formula>AV15="후보"</formula>
    </cfRule>
  </conditionalFormatting>
  <conditionalFormatting sqref="AC15 N15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AV16">
    <cfRule type="expression" priority="1271" dxfId="23">
      <formula>AV16="X"</formula>
    </cfRule>
    <cfRule type="expression" priority="1272" dxfId="22">
      <formula>AV16="후보"</formula>
    </cfRule>
  </conditionalFormatting>
  <conditionalFormatting sqref="AC16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1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16">
    <cfRule type="expression" priority="1262" dxfId="3">
      <formula>AND(IF(OR($Q16=1,$Q16=2),1,0),IF($X16&lt;=20,1,0))</formula>
    </cfRule>
    <cfRule type="expression" priority="1263" dxfId="2">
      <formula>AND(IF($Q16=2,1,0),IF($X16&lt;30,1,0))</formula>
    </cfRule>
    <cfRule type="expression" priority="1264" dxfId="1">
      <formula>AND(IF($Q16=3,1,0),IF($X16&lt;30,1,0))</formula>
    </cfRule>
    <cfRule type="expression" priority="1265" dxfId="0">
      <formula>AND(IF($Q16=3,1,IF($Q16=4,1,0)),IF($F16&lt;=85,1,0))</formula>
    </cfRule>
  </conditionalFormatting>
  <conditionalFormatting sqref="X16">
    <cfRule type="expression" priority="1258" dxfId="3">
      <formula>AND(IF(OR($Q16=1,$Q16=2),1,0),IF($X16&lt;=20,1,0))</formula>
    </cfRule>
    <cfRule type="expression" priority="1259" dxfId="2">
      <formula>AND(IF($Q16=2,1,0),IF($X16&lt;30,1,0))</formula>
    </cfRule>
    <cfRule type="expression" priority="1260" dxfId="1">
      <formula>AND(IF($Q16=3,1,0),IF($X16&lt;30,1,0))</formula>
    </cfRule>
    <cfRule type="expression" priority="1261" dxfId="0">
      <formula>AND(IF($Q16=3,1,IF($Q16=4,1,0)),IF($F16&lt;=85,1,0))</formula>
    </cfRule>
  </conditionalFormatting>
  <conditionalFormatting sqref="AI16">
    <cfRule type="expression" priority="1254" dxfId="3">
      <formula>AND(IF(OR($Q16=1,$Q16=2),1,0),IF($X16&lt;=20,1,0))</formula>
    </cfRule>
    <cfRule type="expression" priority="1255" dxfId="2">
      <formula>AND(IF($Q16=2,1,0),IF($X16&lt;30,1,0))</formula>
    </cfRule>
    <cfRule type="expression" priority="1256" dxfId="1">
      <formula>AND(IF($Q16=3,1,0),IF($X16&lt;30,1,0))</formula>
    </cfRule>
    <cfRule type="expression" priority="1257" dxfId="0">
      <formula>AND(IF($Q16=3,1,IF($Q16=4,1,0)),IF($F16&lt;=85,1,0))</formula>
    </cfRule>
  </conditionalFormatting>
  <conditionalFormatting sqref="AV17">
    <cfRule type="expression" priority="1252" dxfId="23">
      <formula>AV17="X"</formula>
    </cfRule>
    <cfRule type="expression" priority="1253" dxfId="22">
      <formula>AV17="후보"</formula>
    </cfRule>
  </conditionalFormatting>
  <conditionalFormatting sqref="AC17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1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17">
    <cfRule type="expression" priority="1243" dxfId="3">
      <formula>AND(IF(OR($Q17=1,$Q17=2),1,0),IF($X17&lt;=20,1,0))</formula>
    </cfRule>
    <cfRule type="expression" priority="1244" dxfId="2">
      <formula>AND(IF($Q17=2,1,0),IF($X17&lt;30,1,0))</formula>
    </cfRule>
    <cfRule type="expression" priority="1245" dxfId="1">
      <formula>AND(IF($Q17=3,1,0),IF($X17&lt;30,1,0))</formula>
    </cfRule>
    <cfRule type="expression" priority="1246" dxfId="0">
      <formula>AND(IF($Q17=3,1,IF($Q17=4,1,0)),IF($F17&lt;=85,1,0))</formula>
    </cfRule>
  </conditionalFormatting>
  <conditionalFormatting sqref="X17">
    <cfRule type="expression" priority="1239" dxfId="3">
      <formula>AND(IF(OR($Q17=1,$Q17=2),1,0),IF($X17&lt;=20,1,0))</formula>
    </cfRule>
    <cfRule type="expression" priority="1240" dxfId="2">
      <formula>AND(IF($Q17=2,1,0),IF($X17&lt;30,1,0))</formula>
    </cfRule>
    <cfRule type="expression" priority="1241" dxfId="1">
      <formula>AND(IF($Q17=3,1,0),IF($X17&lt;30,1,0))</formula>
    </cfRule>
    <cfRule type="expression" priority="1242" dxfId="0">
      <formula>AND(IF($Q17=3,1,IF($Q17=4,1,0)),IF($F17&lt;=85,1,0))</formula>
    </cfRule>
  </conditionalFormatting>
  <conditionalFormatting sqref="AI17">
    <cfRule type="expression" priority="1235" dxfId="3">
      <formula>AND(IF(OR($Q17=1,$Q17=2),1,0),IF($X17&lt;=20,1,0))</formula>
    </cfRule>
    <cfRule type="expression" priority="1236" dxfId="2">
      <formula>AND(IF($Q17=2,1,0),IF($X17&lt;30,1,0))</formula>
    </cfRule>
    <cfRule type="expression" priority="1237" dxfId="1">
      <formula>AND(IF($Q17=3,1,0),IF($X17&lt;30,1,0))</formula>
    </cfRule>
    <cfRule type="expression" priority="1238" dxfId="0">
      <formula>AND(IF($Q17=3,1,IF($Q17=4,1,0)),IF($F17&lt;=85,1,0))</formula>
    </cfRule>
  </conditionalFormatting>
  <conditionalFormatting sqref="AV18">
    <cfRule type="expression" priority="1233" dxfId="23">
      <formula>AV18="X"</formula>
    </cfRule>
    <cfRule type="expression" priority="1234" dxfId="22">
      <formula>AV18="후보"</formula>
    </cfRule>
  </conditionalFormatting>
  <conditionalFormatting sqref="AC18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1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18">
    <cfRule type="expression" priority="1224" dxfId="3">
      <formula>AND(IF(OR($Q18=1,$Q18=2),1,0),IF($X18&lt;=20,1,0))</formula>
    </cfRule>
    <cfRule type="expression" priority="1225" dxfId="2">
      <formula>AND(IF($Q18=2,1,0),IF($X18&lt;30,1,0))</formula>
    </cfRule>
    <cfRule type="expression" priority="1226" dxfId="1">
      <formula>AND(IF($Q18=3,1,0),IF($X18&lt;30,1,0))</formula>
    </cfRule>
    <cfRule type="expression" priority="1227" dxfId="0">
      <formula>AND(IF($Q18=3,1,IF($Q18=4,1,0)),IF($F18&lt;=85,1,0))</formula>
    </cfRule>
  </conditionalFormatting>
  <conditionalFormatting sqref="X18">
    <cfRule type="expression" priority="1220" dxfId="3">
      <formula>AND(IF(OR($Q18=1,$Q18=2),1,0),IF($X18&lt;=20,1,0))</formula>
    </cfRule>
    <cfRule type="expression" priority="1221" dxfId="2">
      <formula>AND(IF($Q18=2,1,0),IF($X18&lt;30,1,0))</formula>
    </cfRule>
    <cfRule type="expression" priority="1222" dxfId="1">
      <formula>AND(IF($Q18=3,1,0),IF($X18&lt;30,1,0))</formula>
    </cfRule>
    <cfRule type="expression" priority="1223" dxfId="0">
      <formula>AND(IF($Q18=3,1,IF($Q18=4,1,0)),IF($F18&lt;=85,1,0))</formula>
    </cfRule>
  </conditionalFormatting>
  <conditionalFormatting sqref="AI18">
    <cfRule type="expression" priority="1216" dxfId="3">
      <formula>AND(IF(OR($Q18=1,$Q18=2),1,0),IF($X18&lt;=20,1,0))</formula>
    </cfRule>
    <cfRule type="expression" priority="1217" dxfId="2">
      <formula>AND(IF($Q18=2,1,0),IF($X18&lt;30,1,0))</formula>
    </cfRule>
    <cfRule type="expression" priority="1218" dxfId="1">
      <formula>AND(IF($Q18=3,1,0),IF($X18&lt;30,1,0))</formula>
    </cfRule>
    <cfRule type="expression" priority="1219" dxfId="0">
      <formula>AND(IF($Q18=3,1,IF($Q18=4,1,0)),IF($F18&lt;=85,1,0))</formula>
    </cfRule>
  </conditionalFormatting>
  <conditionalFormatting sqref="AV19">
    <cfRule type="expression" priority="1214" dxfId="23">
      <formula>AV19="X"</formula>
    </cfRule>
    <cfRule type="expression" priority="1215" dxfId="22">
      <formula>AV19="후보"</formula>
    </cfRule>
  </conditionalFormatting>
  <conditionalFormatting sqref="AC19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1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19">
    <cfRule type="expression" priority="1205" dxfId="3">
      <formula>AND(IF(OR($Q19=1,$Q19=2),1,0),IF($X19&lt;=20,1,0))</formula>
    </cfRule>
    <cfRule type="expression" priority="1206" dxfId="2">
      <formula>AND(IF($Q19=2,1,0),IF($X19&lt;30,1,0))</formula>
    </cfRule>
    <cfRule type="expression" priority="1207" dxfId="1">
      <formula>AND(IF($Q19=3,1,0),IF($X19&lt;30,1,0))</formula>
    </cfRule>
    <cfRule type="expression" priority="1208" dxfId="0">
      <formula>AND(IF($Q19=3,1,IF($Q19=4,1,0)),IF($F19&lt;=85,1,0))</formula>
    </cfRule>
  </conditionalFormatting>
  <conditionalFormatting sqref="X19">
    <cfRule type="expression" priority="1201" dxfId="3">
      <formula>AND(IF(OR($Q19=1,$Q19=2),1,0),IF($X19&lt;=20,1,0))</formula>
    </cfRule>
    <cfRule type="expression" priority="1202" dxfId="2">
      <formula>AND(IF($Q19=2,1,0),IF($X19&lt;30,1,0))</formula>
    </cfRule>
    <cfRule type="expression" priority="1203" dxfId="1">
      <formula>AND(IF($Q19=3,1,0),IF($X19&lt;30,1,0))</formula>
    </cfRule>
    <cfRule type="expression" priority="1204" dxfId="0">
      <formula>AND(IF($Q19=3,1,IF($Q19=4,1,0)),IF($F19&lt;=85,1,0))</formula>
    </cfRule>
  </conditionalFormatting>
  <conditionalFormatting sqref="AI19">
    <cfRule type="expression" priority="1197" dxfId="3">
      <formula>AND(IF(OR($Q19=1,$Q19=2),1,0),IF($X19&lt;=20,1,0))</formula>
    </cfRule>
    <cfRule type="expression" priority="1198" dxfId="2">
      <formula>AND(IF($Q19=2,1,0),IF($X19&lt;30,1,0))</formula>
    </cfRule>
    <cfRule type="expression" priority="1199" dxfId="1">
      <formula>AND(IF($Q19=3,1,0),IF($X19&lt;30,1,0))</formula>
    </cfRule>
    <cfRule type="expression" priority="1200" dxfId="0">
      <formula>AND(IF($Q19=3,1,IF($Q19=4,1,0)),IF($F19&lt;=85,1,0))</formula>
    </cfRule>
  </conditionalFormatting>
  <conditionalFormatting sqref="AV20">
    <cfRule type="expression" priority="1195" dxfId="23">
      <formula>AV20="X"</formula>
    </cfRule>
    <cfRule type="expression" priority="1196" dxfId="22">
      <formula>AV20="후보"</formula>
    </cfRule>
  </conditionalFormatting>
  <conditionalFormatting sqref="AC20 N20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AV21">
    <cfRule type="expression" priority="1190" dxfId="23">
      <formula>AV21="X"</formula>
    </cfRule>
    <cfRule type="expression" priority="1191" dxfId="22">
      <formula>AV21="후보"</formula>
    </cfRule>
  </conditionalFormatting>
  <conditionalFormatting sqref="AC21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2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21">
    <cfRule type="expression" priority="1181" dxfId="3">
      <formula>AND(IF(OR($Q21=1,$Q21=2),1,0),IF($X21&lt;=20,1,0))</formula>
    </cfRule>
    <cfRule type="expression" priority="1182" dxfId="2">
      <formula>AND(IF($Q21=2,1,0),IF($X21&lt;30,1,0))</formula>
    </cfRule>
    <cfRule type="expression" priority="1183" dxfId="1">
      <formula>AND(IF($Q21=3,1,0),IF($X21&lt;30,1,0))</formula>
    </cfRule>
    <cfRule type="expression" priority="1184" dxfId="0">
      <formula>AND(IF($Q21=3,1,IF($Q21=4,1,0)),IF($F21&lt;=85,1,0))</formula>
    </cfRule>
  </conditionalFormatting>
  <conditionalFormatting sqref="X21">
    <cfRule type="expression" priority="1177" dxfId="3">
      <formula>AND(IF(OR($Q21=1,$Q21=2),1,0),IF($X21&lt;=20,1,0))</formula>
    </cfRule>
    <cfRule type="expression" priority="1178" dxfId="2">
      <formula>AND(IF($Q21=2,1,0),IF($X21&lt;30,1,0))</formula>
    </cfRule>
    <cfRule type="expression" priority="1179" dxfId="1">
      <formula>AND(IF($Q21=3,1,0),IF($X21&lt;30,1,0))</formula>
    </cfRule>
    <cfRule type="expression" priority="1180" dxfId="0">
      <formula>AND(IF($Q21=3,1,IF($Q21=4,1,0)),IF($F21&lt;=85,1,0))</formula>
    </cfRule>
  </conditionalFormatting>
  <conditionalFormatting sqref="AI21">
    <cfRule type="expression" priority="1173" dxfId="3">
      <formula>AND(IF(OR($Q21=1,$Q21=2),1,0),IF($X21&lt;=20,1,0))</formula>
    </cfRule>
    <cfRule type="expression" priority="1174" dxfId="2">
      <formula>AND(IF($Q21=2,1,0),IF($X21&lt;30,1,0))</formula>
    </cfRule>
    <cfRule type="expression" priority="1175" dxfId="1">
      <formula>AND(IF($Q21=3,1,0),IF($X21&lt;30,1,0))</formula>
    </cfRule>
    <cfRule type="expression" priority="1176" dxfId="0">
      <formula>AND(IF($Q21=3,1,IF($Q21=4,1,0)),IF($F21&lt;=85,1,0))</formula>
    </cfRule>
  </conditionalFormatting>
  <conditionalFormatting sqref="AV22">
    <cfRule type="expression" priority="1171" dxfId="23">
      <formula>AV22="X"</formula>
    </cfRule>
    <cfRule type="expression" priority="1172" dxfId="22">
      <formula>AV22="후보"</formula>
    </cfRule>
  </conditionalFormatting>
  <conditionalFormatting sqref="AC22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22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22">
    <cfRule type="expression" priority="1162" dxfId="3">
      <formula>AND(IF(OR($Q22=1,$Q22=2),1,0),IF($X22&lt;=20,1,0))</formula>
    </cfRule>
    <cfRule type="expression" priority="1163" dxfId="2">
      <formula>AND(IF($Q22=2,1,0),IF($X22&lt;30,1,0))</formula>
    </cfRule>
    <cfRule type="expression" priority="1164" dxfId="1">
      <formula>AND(IF($Q22=3,1,0),IF($X22&lt;30,1,0))</formula>
    </cfRule>
    <cfRule type="expression" priority="1165" dxfId="0">
      <formula>AND(IF($Q22=3,1,IF($Q22=4,1,0)),IF($F22&lt;=85,1,0))</formula>
    </cfRule>
  </conditionalFormatting>
  <conditionalFormatting sqref="X22">
    <cfRule type="expression" priority="1158" dxfId="3">
      <formula>AND(IF(OR($Q22=1,$Q22=2),1,0),IF($X22&lt;=20,1,0))</formula>
    </cfRule>
    <cfRule type="expression" priority="1159" dxfId="2">
      <formula>AND(IF($Q22=2,1,0),IF($X22&lt;30,1,0))</formula>
    </cfRule>
    <cfRule type="expression" priority="1160" dxfId="1">
      <formula>AND(IF($Q22=3,1,0),IF($X22&lt;30,1,0))</formula>
    </cfRule>
    <cfRule type="expression" priority="1161" dxfId="0">
      <formula>AND(IF($Q22=3,1,IF($Q22=4,1,0)),IF($F22&lt;=85,1,0))</formula>
    </cfRule>
  </conditionalFormatting>
  <conditionalFormatting sqref="AI22">
    <cfRule type="expression" priority="1154" dxfId="3">
      <formula>AND(IF(OR($Q22=1,$Q22=2),1,0),IF($X22&lt;=20,1,0))</formula>
    </cfRule>
    <cfRule type="expression" priority="1155" dxfId="2">
      <formula>AND(IF($Q22=2,1,0),IF($X22&lt;30,1,0))</formula>
    </cfRule>
    <cfRule type="expression" priority="1156" dxfId="1">
      <formula>AND(IF($Q22=3,1,0),IF($X22&lt;30,1,0))</formula>
    </cfRule>
    <cfRule type="expression" priority="1157" dxfId="0">
      <formula>AND(IF($Q22=3,1,IF($Q22=4,1,0)),IF($F22&lt;=85,1,0))</formula>
    </cfRule>
  </conditionalFormatting>
  <conditionalFormatting sqref="AV23">
    <cfRule type="expression" priority="1152" dxfId="23">
      <formula>AV23="X"</formula>
    </cfRule>
    <cfRule type="expression" priority="1153" dxfId="22">
      <formula>AV23="후보"</formula>
    </cfRule>
  </conditionalFormatting>
  <conditionalFormatting sqref="AC2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2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23">
    <cfRule type="expression" priority="1143" dxfId="3">
      <formula>AND(IF(OR($Q23=1,$Q23=2),1,0),IF($X23&lt;=20,1,0))</formula>
    </cfRule>
    <cfRule type="expression" priority="1144" dxfId="2">
      <formula>AND(IF($Q23=2,1,0),IF($X23&lt;30,1,0))</formula>
    </cfRule>
    <cfRule type="expression" priority="1145" dxfId="1">
      <formula>AND(IF($Q23=3,1,0),IF($X23&lt;30,1,0))</formula>
    </cfRule>
    <cfRule type="expression" priority="1146" dxfId="0">
      <formula>AND(IF($Q23=3,1,IF($Q23=4,1,0)),IF($F23&lt;=85,1,0))</formula>
    </cfRule>
  </conditionalFormatting>
  <conditionalFormatting sqref="X23">
    <cfRule type="expression" priority="1139" dxfId="3">
      <formula>AND(IF(OR($Q23=1,$Q23=2),1,0),IF($X23&lt;=20,1,0))</formula>
    </cfRule>
    <cfRule type="expression" priority="1140" dxfId="2">
      <formula>AND(IF($Q23=2,1,0),IF($X23&lt;30,1,0))</formula>
    </cfRule>
    <cfRule type="expression" priority="1141" dxfId="1">
      <formula>AND(IF($Q23=3,1,0),IF($X23&lt;30,1,0))</formula>
    </cfRule>
    <cfRule type="expression" priority="1142" dxfId="0">
      <formula>AND(IF($Q23=3,1,IF($Q23=4,1,0)),IF($F23&lt;=85,1,0))</formula>
    </cfRule>
  </conditionalFormatting>
  <conditionalFormatting sqref="AI23">
    <cfRule type="expression" priority="1135" dxfId="3">
      <formula>AND(IF(OR($Q23=1,$Q23=2),1,0),IF($X23&lt;=20,1,0))</formula>
    </cfRule>
    <cfRule type="expression" priority="1136" dxfId="2">
      <formula>AND(IF($Q23=2,1,0),IF($X23&lt;30,1,0))</formula>
    </cfRule>
    <cfRule type="expression" priority="1137" dxfId="1">
      <formula>AND(IF($Q23=3,1,0),IF($X23&lt;30,1,0))</formula>
    </cfRule>
    <cfRule type="expression" priority="1138" dxfId="0">
      <formula>AND(IF($Q23=3,1,IF($Q23=4,1,0)),IF($F23&lt;=85,1,0))</formula>
    </cfRule>
  </conditionalFormatting>
  <conditionalFormatting sqref="AV24">
    <cfRule type="expression" priority="1133" dxfId="23">
      <formula>AV24="X"</formula>
    </cfRule>
    <cfRule type="expression" priority="1134" dxfId="22">
      <formula>AV24="후보"</formula>
    </cfRule>
  </conditionalFormatting>
  <conditionalFormatting sqref="AC24 N24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25">
    <cfRule type="expression" priority="1128" dxfId="23">
      <formula>AV25="X"</formula>
    </cfRule>
    <cfRule type="expression" priority="1129" dxfId="22">
      <formula>AV25="후보"</formula>
    </cfRule>
  </conditionalFormatting>
  <conditionalFormatting sqref="AC25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25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25">
    <cfRule type="expression" priority="1119" dxfId="3">
      <formula>AND(IF(OR($Q25=1,$Q25=2),1,0),IF($X25&lt;=20,1,0))</formula>
    </cfRule>
    <cfRule type="expression" priority="1120" dxfId="2">
      <formula>AND(IF($Q25=2,1,0),IF($X25&lt;30,1,0))</formula>
    </cfRule>
    <cfRule type="expression" priority="1121" dxfId="1">
      <formula>AND(IF($Q25=3,1,0),IF($X25&lt;30,1,0))</formula>
    </cfRule>
    <cfRule type="expression" priority="1122" dxfId="0">
      <formula>AND(IF($Q25=3,1,IF($Q25=4,1,0)),IF($F25&lt;=85,1,0))</formula>
    </cfRule>
  </conditionalFormatting>
  <conditionalFormatting sqref="X25">
    <cfRule type="expression" priority="1115" dxfId="3">
      <formula>AND(IF(OR($Q25=1,$Q25=2),1,0),IF($X25&lt;=20,1,0))</formula>
    </cfRule>
    <cfRule type="expression" priority="1116" dxfId="2">
      <formula>AND(IF($Q25=2,1,0),IF($X25&lt;30,1,0))</formula>
    </cfRule>
    <cfRule type="expression" priority="1117" dxfId="1">
      <formula>AND(IF($Q25=3,1,0),IF($X25&lt;30,1,0))</formula>
    </cfRule>
    <cfRule type="expression" priority="1118" dxfId="0">
      <formula>AND(IF($Q25=3,1,IF($Q25=4,1,0)),IF($F25&lt;=85,1,0))</formula>
    </cfRule>
  </conditionalFormatting>
  <conditionalFormatting sqref="AI25">
    <cfRule type="expression" priority="1111" dxfId="3">
      <formula>AND(IF(OR($Q25=1,$Q25=2),1,0),IF($X25&lt;=20,1,0))</formula>
    </cfRule>
    <cfRule type="expression" priority="1112" dxfId="2">
      <formula>AND(IF($Q25=2,1,0),IF($X25&lt;30,1,0))</formula>
    </cfRule>
    <cfRule type="expression" priority="1113" dxfId="1">
      <formula>AND(IF($Q25=3,1,0),IF($X25&lt;30,1,0))</formula>
    </cfRule>
    <cfRule type="expression" priority="1114" dxfId="0">
      <formula>AND(IF($Q25=3,1,IF($Q25=4,1,0)),IF($F25&lt;=85,1,0))</formula>
    </cfRule>
  </conditionalFormatting>
  <conditionalFormatting sqref="AV26">
    <cfRule type="expression" priority="1109" dxfId="23">
      <formula>AV26="X"</formula>
    </cfRule>
    <cfRule type="expression" priority="1110" dxfId="22">
      <formula>AV26="후보"</formula>
    </cfRule>
  </conditionalFormatting>
  <conditionalFormatting sqref="AC26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26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26">
    <cfRule type="expression" priority="1100" dxfId="3">
      <formula>AND(IF(OR($Q26=1,$Q26=2),1,0),IF($X26&lt;=20,1,0))</formula>
    </cfRule>
    <cfRule type="expression" priority="1101" dxfId="2">
      <formula>AND(IF($Q26=2,1,0),IF($X26&lt;30,1,0))</formula>
    </cfRule>
    <cfRule type="expression" priority="1102" dxfId="1">
      <formula>AND(IF($Q26=3,1,0),IF($X26&lt;30,1,0))</formula>
    </cfRule>
    <cfRule type="expression" priority="1103" dxfId="0">
      <formula>AND(IF($Q26=3,1,IF($Q26=4,1,0)),IF($F26&lt;=85,1,0))</formula>
    </cfRule>
  </conditionalFormatting>
  <conditionalFormatting sqref="X26">
    <cfRule type="expression" priority="1096" dxfId="3">
      <formula>AND(IF(OR($Q26=1,$Q26=2),1,0),IF($X26&lt;=20,1,0))</formula>
    </cfRule>
    <cfRule type="expression" priority="1097" dxfId="2">
      <formula>AND(IF($Q26=2,1,0),IF($X26&lt;30,1,0))</formula>
    </cfRule>
    <cfRule type="expression" priority="1098" dxfId="1">
      <formula>AND(IF($Q26=3,1,0),IF($X26&lt;30,1,0))</formula>
    </cfRule>
    <cfRule type="expression" priority="1099" dxfId="0">
      <formula>AND(IF($Q26=3,1,IF($Q26=4,1,0)),IF($F26&lt;=85,1,0))</formula>
    </cfRule>
  </conditionalFormatting>
  <conditionalFormatting sqref="AI26">
    <cfRule type="expression" priority="1092" dxfId="3">
      <formula>AND(IF(OR($Q26=1,$Q26=2),1,0),IF($X26&lt;=20,1,0))</formula>
    </cfRule>
    <cfRule type="expression" priority="1093" dxfId="2">
      <formula>AND(IF($Q26=2,1,0),IF($X26&lt;30,1,0))</formula>
    </cfRule>
    <cfRule type="expression" priority="1094" dxfId="1">
      <formula>AND(IF($Q26=3,1,0),IF($X26&lt;30,1,0))</formula>
    </cfRule>
    <cfRule type="expression" priority="1095" dxfId="0">
      <formula>AND(IF($Q26=3,1,IF($Q26=4,1,0)),IF($F26&lt;=85,1,0))</formula>
    </cfRule>
  </conditionalFormatting>
  <conditionalFormatting sqref="AV27">
    <cfRule type="expression" priority="1090" dxfId="23">
      <formula>AV27="X"</formula>
    </cfRule>
    <cfRule type="expression" priority="1091" dxfId="22">
      <formula>AV27="후보"</formula>
    </cfRule>
  </conditionalFormatting>
  <conditionalFormatting sqref="AC27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27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27">
    <cfRule type="expression" priority="1081" dxfId="3">
      <formula>AND(IF(OR($Q27=1,$Q27=2),1,0),IF($X27&lt;=20,1,0))</formula>
    </cfRule>
    <cfRule type="expression" priority="1082" dxfId="2">
      <formula>AND(IF($Q27=2,1,0),IF($X27&lt;30,1,0))</formula>
    </cfRule>
    <cfRule type="expression" priority="1083" dxfId="1">
      <formula>AND(IF($Q27=3,1,0),IF($X27&lt;30,1,0))</formula>
    </cfRule>
    <cfRule type="expression" priority="1084" dxfId="0">
      <formula>AND(IF($Q27=3,1,IF($Q27=4,1,0)),IF($F27&lt;=85,1,0))</formula>
    </cfRule>
  </conditionalFormatting>
  <conditionalFormatting sqref="X27">
    <cfRule type="expression" priority="1077" dxfId="3">
      <formula>AND(IF(OR($Q27=1,$Q27=2),1,0),IF($X27&lt;=20,1,0))</formula>
    </cfRule>
    <cfRule type="expression" priority="1078" dxfId="2">
      <formula>AND(IF($Q27=2,1,0),IF($X27&lt;30,1,0))</formula>
    </cfRule>
    <cfRule type="expression" priority="1079" dxfId="1">
      <formula>AND(IF($Q27=3,1,0),IF($X27&lt;30,1,0))</formula>
    </cfRule>
    <cfRule type="expression" priority="1080" dxfId="0">
      <formula>AND(IF($Q27=3,1,IF($Q27=4,1,0)),IF($F27&lt;=85,1,0))</formula>
    </cfRule>
  </conditionalFormatting>
  <conditionalFormatting sqref="AI27">
    <cfRule type="expression" priority="1073" dxfId="3">
      <formula>AND(IF(OR($Q27=1,$Q27=2),1,0),IF($X27&lt;=20,1,0))</formula>
    </cfRule>
    <cfRule type="expression" priority="1074" dxfId="2">
      <formula>AND(IF($Q27=2,1,0),IF($X27&lt;30,1,0))</formula>
    </cfRule>
    <cfRule type="expression" priority="1075" dxfId="1">
      <formula>AND(IF($Q27=3,1,0),IF($X27&lt;30,1,0))</formula>
    </cfRule>
    <cfRule type="expression" priority="1076" dxfId="0">
      <formula>AND(IF($Q27=3,1,IF($Q27=4,1,0)),IF($F27&lt;=85,1,0))</formula>
    </cfRule>
  </conditionalFormatting>
  <conditionalFormatting sqref="AV28">
    <cfRule type="expression" priority="1071" dxfId="23">
      <formula>AV28="X"</formula>
    </cfRule>
    <cfRule type="expression" priority="1072" dxfId="22">
      <formula>AV28="후보"</formula>
    </cfRule>
  </conditionalFormatting>
  <conditionalFormatting sqref="AC28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28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28">
    <cfRule type="expression" priority="1062" dxfId="3">
      <formula>AND(IF(OR($Q28=1,$Q28=2),1,0),IF($X28&lt;=20,1,0))</formula>
    </cfRule>
    <cfRule type="expression" priority="1063" dxfId="2">
      <formula>AND(IF($Q28=2,1,0),IF($X28&lt;30,1,0))</formula>
    </cfRule>
    <cfRule type="expression" priority="1064" dxfId="1">
      <formula>AND(IF($Q28=3,1,0),IF($X28&lt;30,1,0))</formula>
    </cfRule>
    <cfRule type="expression" priority="1065" dxfId="0">
      <formula>AND(IF($Q28=3,1,IF($Q28=4,1,0)),IF($F28&lt;=85,1,0))</formula>
    </cfRule>
  </conditionalFormatting>
  <conditionalFormatting sqref="X28">
    <cfRule type="expression" priority="1058" dxfId="3">
      <formula>AND(IF(OR($Q28=1,$Q28=2),1,0),IF($X28&lt;=20,1,0))</formula>
    </cfRule>
    <cfRule type="expression" priority="1059" dxfId="2">
      <formula>AND(IF($Q28=2,1,0),IF($X28&lt;30,1,0))</formula>
    </cfRule>
    <cfRule type="expression" priority="1060" dxfId="1">
      <formula>AND(IF($Q28=3,1,0),IF($X28&lt;30,1,0))</formula>
    </cfRule>
    <cfRule type="expression" priority="1061" dxfId="0">
      <formula>AND(IF($Q28=3,1,IF($Q28=4,1,0)),IF($F28&lt;=85,1,0))</formula>
    </cfRule>
  </conditionalFormatting>
  <conditionalFormatting sqref="AI28">
    <cfRule type="expression" priority="1054" dxfId="3">
      <formula>AND(IF(OR($Q28=1,$Q28=2),1,0),IF($X28&lt;=20,1,0))</formula>
    </cfRule>
    <cfRule type="expression" priority="1055" dxfId="2">
      <formula>AND(IF($Q28=2,1,0),IF($X28&lt;30,1,0))</formula>
    </cfRule>
    <cfRule type="expression" priority="1056" dxfId="1">
      <formula>AND(IF($Q28=3,1,0),IF($X28&lt;30,1,0))</formula>
    </cfRule>
    <cfRule type="expression" priority="1057" dxfId="0">
      <formula>AND(IF($Q28=3,1,IF($Q28=4,1,0)),IF($F28&lt;=85,1,0))</formula>
    </cfRule>
  </conditionalFormatting>
  <conditionalFormatting sqref="AV29">
    <cfRule type="expression" priority="1052" dxfId="23">
      <formula>AV29="X"</formula>
    </cfRule>
    <cfRule type="expression" priority="1053" dxfId="22">
      <formula>AV29="후보"</formula>
    </cfRule>
  </conditionalFormatting>
  <conditionalFormatting sqref="AC29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29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29">
    <cfRule type="expression" priority="1043" dxfId="3">
      <formula>AND(IF(OR($Q29=1,$Q29=2),1,0),IF($X29&lt;=20,1,0))</formula>
    </cfRule>
    <cfRule type="expression" priority="1044" dxfId="2">
      <formula>AND(IF($Q29=2,1,0),IF($X29&lt;30,1,0))</formula>
    </cfRule>
    <cfRule type="expression" priority="1045" dxfId="1">
      <formula>AND(IF($Q29=3,1,0),IF($X29&lt;30,1,0))</formula>
    </cfRule>
    <cfRule type="expression" priority="1046" dxfId="0">
      <formula>AND(IF($Q29=3,1,IF($Q29=4,1,0)),IF($F29&lt;=85,1,0))</formula>
    </cfRule>
  </conditionalFormatting>
  <conditionalFormatting sqref="X29">
    <cfRule type="expression" priority="1039" dxfId="3">
      <formula>AND(IF(OR($Q29=1,$Q29=2),1,0),IF($X29&lt;=20,1,0))</formula>
    </cfRule>
    <cfRule type="expression" priority="1040" dxfId="2">
      <formula>AND(IF($Q29=2,1,0),IF($X29&lt;30,1,0))</formula>
    </cfRule>
    <cfRule type="expression" priority="1041" dxfId="1">
      <formula>AND(IF($Q29=3,1,0),IF($X29&lt;30,1,0))</formula>
    </cfRule>
    <cfRule type="expression" priority="1042" dxfId="0">
      <formula>AND(IF($Q29=3,1,IF($Q29=4,1,0)),IF($F29&lt;=85,1,0))</formula>
    </cfRule>
  </conditionalFormatting>
  <conditionalFormatting sqref="AI29">
    <cfRule type="expression" priority="1035" dxfId="3">
      <formula>AND(IF(OR($Q29=1,$Q29=2),1,0),IF($X29&lt;=20,1,0))</formula>
    </cfRule>
    <cfRule type="expression" priority="1036" dxfId="2">
      <formula>AND(IF($Q29=2,1,0),IF($X29&lt;30,1,0))</formula>
    </cfRule>
    <cfRule type="expression" priority="1037" dxfId="1">
      <formula>AND(IF($Q29=3,1,0),IF($X29&lt;30,1,0))</formula>
    </cfRule>
    <cfRule type="expression" priority="1038" dxfId="0">
      <formula>AND(IF($Q29=3,1,IF($Q29=4,1,0)),IF($F29&lt;=85,1,0))</formula>
    </cfRule>
  </conditionalFormatting>
  <conditionalFormatting sqref="AV30">
    <cfRule type="expression" priority="1033" dxfId="23">
      <formula>AV30="X"</formula>
    </cfRule>
    <cfRule type="expression" priority="1034" dxfId="22">
      <formula>AV30="후보"</formula>
    </cfRule>
  </conditionalFormatting>
  <conditionalFormatting sqref="AC30 N30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AV31">
    <cfRule type="expression" priority="1028" dxfId="23">
      <formula>AV31="X"</formula>
    </cfRule>
    <cfRule type="expression" priority="1029" dxfId="22">
      <formula>AV31="후보"</formula>
    </cfRule>
  </conditionalFormatting>
  <conditionalFormatting sqref="AC31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31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31">
    <cfRule type="expression" priority="1019" dxfId="3">
      <formula>AND(IF(OR($Q31=1,$Q31=2),1,0),IF($X31&lt;=20,1,0))</formula>
    </cfRule>
    <cfRule type="expression" priority="1020" dxfId="2">
      <formula>AND(IF($Q31=2,1,0),IF($X31&lt;30,1,0))</formula>
    </cfRule>
    <cfRule type="expression" priority="1021" dxfId="1">
      <formula>AND(IF($Q31=3,1,0),IF($X31&lt;30,1,0))</formula>
    </cfRule>
    <cfRule type="expression" priority="1022" dxfId="0">
      <formula>AND(IF($Q31=3,1,IF($Q31=4,1,0)),IF($F31&lt;=85,1,0))</formula>
    </cfRule>
  </conditionalFormatting>
  <conditionalFormatting sqref="X31">
    <cfRule type="expression" priority="1015" dxfId="3">
      <formula>AND(IF(OR($Q31=1,$Q31=2),1,0),IF($X31&lt;=20,1,0))</formula>
    </cfRule>
    <cfRule type="expression" priority="1016" dxfId="2">
      <formula>AND(IF($Q31=2,1,0),IF($X31&lt;30,1,0))</formula>
    </cfRule>
    <cfRule type="expression" priority="1017" dxfId="1">
      <formula>AND(IF($Q31=3,1,0),IF($X31&lt;30,1,0))</formula>
    </cfRule>
    <cfRule type="expression" priority="1018" dxfId="0">
      <formula>AND(IF($Q31=3,1,IF($Q31=4,1,0)),IF($F31&lt;=85,1,0))</formula>
    </cfRule>
  </conditionalFormatting>
  <conditionalFormatting sqref="AI31">
    <cfRule type="expression" priority="1011" dxfId="3">
      <formula>AND(IF(OR($Q31=1,$Q31=2),1,0),IF($X31&lt;=20,1,0))</formula>
    </cfRule>
    <cfRule type="expression" priority="1012" dxfId="2">
      <formula>AND(IF($Q31=2,1,0),IF($X31&lt;30,1,0))</formula>
    </cfRule>
    <cfRule type="expression" priority="1013" dxfId="1">
      <formula>AND(IF($Q31=3,1,0),IF($X31&lt;30,1,0))</formula>
    </cfRule>
    <cfRule type="expression" priority="1014" dxfId="0">
      <formula>AND(IF($Q31=3,1,IF($Q31=4,1,0)),IF($F31&lt;=85,1,0))</formula>
    </cfRule>
  </conditionalFormatting>
  <conditionalFormatting sqref="AV32">
    <cfRule type="expression" priority="1009" dxfId="23">
      <formula>AV32="X"</formula>
    </cfRule>
    <cfRule type="expression" priority="1010" dxfId="22">
      <formula>AV32="후보"</formula>
    </cfRule>
  </conditionalFormatting>
  <conditionalFormatting sqref="AC32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32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32">
    <cfRule type="expression" priority="1000" dxfId="3">
      <formula>AND(IF(OR($Q32=1,$Q32=2),1,0),IF($X32&lt;=20,1,0))</formula>
    </cfRule>
    <cfRule type="expression" priority="1001" dxfId="2">
      <formula>AND(IF($Q32=2,1,0),IF($X32&lt;30,1,0))</formula>
    </cfRule>
    <cfRule type="expression" priority="1002" dxfId="1">
      <formula>AND(IF($Q32=3,1,0),IF($X32&lt;30,1,0))</formula>
    </cfRule>
    <cfRule type="expression" priority="1003" dxfId="0">
      <formula>AND(IF($Q32=3,1,IF($Q32=4,1,0)),IF($F32&lt;=85,1,0))</formula>
    </cfRule>
  </conditionalFormatting>
  <conditionalFormatting sqref="X32">
    <cfRule type="expression" priority="996" dxfId="3">
      <formula>AND(IF(OR($Q32=1,$Q32=2),1,0),IF($X32&lt;=20,1,0))</formula>
    </cfRule>
    <cfRule type="expression" priority="997" dxfId="2">
      <formula>AND(IF($Q32=2,1,0),IF($X32&lt;30,1,0))</formula>
    </cfRule>
    <cfRule type="expression" priority="998" dxfId="1">
      <formula>AND(IF($Q32=3,1,0),IF($X32&lt;30,1,0))</formula>
    </cfRule>
    <cfRule type="expression" priority="999" dxfId="0">
      <formula>AND(IF($Q32=3,1,IF($Q32=4,1,0)),IF($F32&lt;=85,1,0))</formula>
    </cfRule>
  </conditionalFormatting>
  <conditionalFormatting sqref="AI32">
    <cfRule type="expression" priority="992" dxfId="3">
      <formula>AND(IF(OR($Q32=1,$Q32=2),1,0),IF($X32&lt;=20,1,0))</formula>
    </cfRule>
    <cfRule type="expression" priority="993" dxfId="2">
      <formula>AND(IF($Q32=2,1,0),IF($X32&lt;30,1,0))</formula>
    </cfRule>
    <cfRule type="expression" priority="994" dxfId="1">
      <formula>AND(IF($Q32=3,1,0),IF($X32&lt;30,1,0))</formula>
    </cfRule>
    <cfRule type="expression" priority="995" dxfId="0">
      <formula>AND(IF($Q32=3,1,IF($Q32=4,1,0)),IF($F32&lt;=85,1,0))</formula>
    </cfRule>
  </conditionalFormatting>
  <conditionalFormatting sqref="AV33">
    <cfRule type="expression" priority="990" dxfId="23">
      <formula>AV33="X"</formula>
    </cfRule>
    <cfRule type="expression" priority="991" dxfId="22">
      <formula>AV33="후보"</formula>
    </cfRule>
  </conditionalFormatting>
  <conditionalFormatting sqref="AC33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3">
    <cfRule type="expression" priority="981" dxfId="3">
      <formula>AND(IF(OR($Q33=1,$Q33=2),1,0),IF($X33&lt;=20,1,0))</formula>
    </cfRule>
    <cfRule type="expression" priority="982" dxfId="2">
      <formula>AND(IF($Q33=2,1,0),IF($X33&lt;30,1,0))</formula>
    </cfRule>
    <cfRule type="expression" priority="983" dxfId="1">
      <formula>AND(IF($Q33=3,1,0),IF($X33&lt;30,1,0))</formula>
    </cfRule>
    <cfRule type="expression" priority="984" dxfId="0">
      <formula>AND(IF($Q33=3,1,IF($Q33=4,1,0)),IF($F33&lt;=85,1,0))</formula>
    </cfRule>
  </conditionalFormatting>
  <conditionalFormatting sqref="X33">
    <cfRule type="expression" priority="977" dxfId="3">
      <formula>AND(IF(OR($Q33=1,$Q33=2),1,0),IF($X33&lt;=20,1,0))</formula>
    </cfRule>
    <cfRule type="expression" priority="978" dxfId="2">
      <formula>AND(IF($Q33=2,1,0),IF($X33&lt;30,1,0))</formula>
    </cfRule>
    <cfRule type="expression" priority="979" dxfId="1">
      <formula>AND(IF($Q33=3,1,0),IF($X33&lt;30,1,0))</formula>
    </cfRule>
    <cfRule type="expression" priority="980" dxfId="0">
      <formula>AND(IF($Q33=3,1,IF($Q33=4,1,0)),IF($F33&lt;=85,1,0))</formula>
    </cfRule>
  </conditionalFormatting>
  <conditionalFormatting sqref="AI33">
    <cfRule type="expression" priority="973" dxfId="3">
      <formula>AND(IF(OR($Q33=1,$Q33=2),1,0),IF($X33&lt;=20,1,0))</formula>
    </cfRule>
    <cfRule type="expression" priority="974" dxfId="2">
      <formula>AND(IF($Q33=2,1,0),IF($X33&lt;30,1,0))</formula>
    </cfRule>
    <cfRule type="expression" priority="975" dxfId="1">
      <formula>AND(IF($Q33=3,1,0),IF($X33&lt;30,1,0))</formula>
    </cfRule>
    <cfRule type="expression" priority="976" dxfId="0">
      <formula>AND(IF($Q33=3,1,IF($Q33=4,1,0)),IF($F33&lt;=85,1,0))</formula>
    </cfRule>
  </conditionalFormatting>
  <conditionalFormatting sqref="AV34">
    <cfRule type="expression" priority="971" dxfId="23">
      <formula>AV34="X"</formula>
    </cfRule>
    <cfRule type="expression" priority="972" dxfId="22">
      <formula>AV34="후보"</formula>
    </cfRule>
  </conditionalFormatting>
  <conditionalFormatting sqref="AC34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34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34">
    <cfRule type="expression" priority="962" dxfId="3">
      <formula>AND(IF(OR($Q34=1,$Q34=2),1,0),IF($X34&lt;=20,1,0))</formula>
    </cfRule>
    <cfRule type="expression" priority="963" dxfId="2">
      <formula>AND(IF($Q34=2,1,0),IF($X34&lt;30,1,0))</formula>
    </cfRule>
    <cfRule type="expression" priority="964" dxfId="1">
      <formula>AND(IF($Q34=3,1,0),IF($X34&lt;30,1,0))</formula>
    </cfRule>
    <cfRule type="expression" priority="965" dxfId="0">
      <formula>AND(IF($Q34=3,1,IF($Q34=4,1,0)),IF($F34&lt;=85,1,0))</formula>
    </cfRule>
  </conditionalFormatting>
  <conditionalFormatting sqref="X34">
    <cfRule type="expression" priority="958" dxfId="3">
      <formula>AND(IF(OR($Q34=1,$Q34=2),1,0),IF($X34&lt;=20,1,0))</formula>
    </cfRule>
    <cfRule type="expression" priority="959" dxfId="2">
      <formula>AND(IF($Q34=2,1,0),IF($X34&lt;30,1,0))</formula>
    </cfRule>
    <cfRule type="expression" priority="960" dxfId="1">
      <formula>AND(IF($Q34=3,1,0),IF($X34&lt;30,1,0))</formula>
    </cfRule>
    <cfRule type="expression" priority="961" dxfId="0">
      <formula>AND(IF($Q34=3,1,IF($Q34=4,1,0)),IF($F34&lt;=85,1,0))</formula>
    </cfRule>
  </conditionalFormatting>
  <conditionalFormatting sqref="AI34">
    <cfRule type="expression" priority="954" dxfId="3">
      <formula>AND(IF(OR($Q34=1,$Q34=2),1,0),IF($X34&lt;=20,1,0))</formula>
    </cfRule>
    <cfRule type="expression" priority="955" dxfId="2">
      <formula>AND(IF($Q34=2,1,0),IF($X34&lt;30,1,0))</formula>
    </cfRule>
    <cfRule type="expression" priority="956" dxfId="1">
      <formula>AND(IF($Q34=3,1,0),IF($X34&lt;30,1,0))</formula>
    </cfRule>
    <cfRule type="expression" priority="957" dxfId="0">
      <formula>AND(IF($Q34=3,1,IF($Q34=4,1,0)),IF($F34&lt;=85,1,0))</formula>
    </cfRule>
  </conditionalFormatting>
  <conditionalFormatting sqref="AV35">
    <cfRule type="expression" priority="952" dxfId="23">
      <formula>AV35="X"</formula>
    </cfRule>
    <cfRule type="expression" priority="953" dxfId="22">
      <formula>AV35="후보"</formula>
    </cfRule>
  </conditionalFormatting>
  <conditionalFormatting sqref="AC3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5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35">
    <cfRule type="expression" priority="943" dxfId="3">
      <formula>AND(IF(OR($Q35=1,$Q35=2),1,0),IF($X35&lt;=20,1,0))</formula>
    </cfRule>
    <cfRule type="expression" priority="944" dxfId="2">
      <formula>AND(IF($Q35=2,1,0),IF($X35&lt;30,1,0))</formula>
    </cfRule>
    <cfRule type="expression" priority="945" dxfId="1">
      <formula>AND(IF($Q35=3,1,0),IF($X35&lt;30,1,0))</formula>
    </cfRule>
    <cfRule type="expression" priority="946" dxfId="0">
      <formula>AND(IF($Q35=3,1,IF($Q35=4,1,0)),IF($F35&lt;=85,1,0))</formula>
    </cfRule>
  </conditionalFormatting>
  <conditionalFormatting sqref="X35">
    <cfRule type="expression" priority="939" dxfId="3">
      <formula>AND(IF(OR($Q35=1,$Q35=2),1,0),IF($X35&lt;=20,1,0))</formula>
    </cfRule>
    <cfRule type="expression" priority="940" dxfId="2">
      <formula>AND(IF($Q35=2,1,0),IF($X35&lt;30,1,0))</formula>
    </cfRule>
    <cfRule type="expression" priority="941" dxfId="1">
      <formula>AND(IF($Q35=3,1,0),IF($X35&lt;30,1,0))</formula>
    </cfRule>
    <cfRule type="expression" priority="942" dxfId="0">
      <formula>AND(IF($Q35=3,1,IF($Q35=4,1,0)),IF($F35&lt;=85,1,0))</formula>
    </cfRule>
  </conditionalFormatting>
  <conditionalFormatting sqref="AI35">
    <cfRule type="expression" priority="935" dxfId="3">
      <formula>AND(IF(OR($Q35=1,$Q35=2),1,0),IF($X35&lt;=20,1,0))</formula>
    </cfRule>
    <cfRule type="expression" priority="936" dxfId="2">
      <formula>AND(IF($Q35=2,1,0),IF($X35&lt;30,1,0))</formula>
    </cfRule>
    <cfRule type="expression" priority="937" dxfId="1">
      <formula>AND(IF($Q35=3,1,0),IF($X35&lt;30,1,0))</formula>
    </cfRule>
    <cfRule type="expression" priority="938" dxfId="0">
      <formula>AND(IF($Q35=3,1,IF($Q35=4,1,0)),IF($F35&lt;=85,1,0))</formula>
    </cfRule>
  </conditionalFormatting>
  <conditionalFormatting sqref="AV36">
    <cfRule type="expression" priority="933" dxfId="23">
      <formula>AV36="X"</formula>
    </cfRule>
    <cfRule type="expression" priority="934" dxfId="22">
      <formula>AV36="후보"</formula>
    </cfRule>
  </conditionalFormatting>
  <conditionalFormatting sqref="AC36 N36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37">
    <cfRule type="expression" priority="928" dxfId="23">
      <formula>AV37="X"</formula>
    </cfRule>
    <cfRule type="expression" priority="929" dxfId="22">
      <formula>AV37="후보"</formula>
    </cfRule>
  </conditionalFormatting>
  <conditionalFormatting sqref="AC37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37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37">
    <cfRule type="expression" priority="919" dxfId="3">
      <formula>AND(IF(OR($Q37=1,$Q37=2),1,0),IF($X37&lt;=20,1,0))</formula>
    </cfRule>
    <cfRule type="expression" priority="920" dxfId="2">
      <formula>AND(IF($Q37=2,1,0),IF($X37&lt;30,1,0))</formula>
    </cfRule>
    <cfRule type="expression" priority="921" dxfId="1">
      <formula>AND(IF($Q37=3,1,0),IF($X37&lt;30,1,0))</formula>
    </cfRule>
    <cfRule type="expression" priority="922" dxfId="0">
      <formula>AND(IF($Q37=3,1,IF($Q37=4,1,0)),IF($F37&lt;=85,1,0))</formula>
    </cfRule>
  </conditionalFormatting>
  <conditionalFormatting sqref="X37">
    <cfRule type="expression" priority="915" dxfId="3">
      <formula>AND(IF(OR($Q37=1,$Q37=2),1,0),IF($X37&lt;=20,1,0))</formula>
    </cfRule>
    <cfRule type="expression" priority="916" dxfId="2">
      <formula>AND(IF($Q37=2,1,0),IF($X37&lt;30,1,0))</formula>
    </cfRule>
    <cfRule type="expression" priority="917" dxfId="1">
      <formula>AND(IF($Q37=3,1,0),IF($X37&lt;30,1,0))</formula>
    </cfRule>
    <cfRule type="expression" priority="918" dxfId="0">
      <formula>AND(IF($Q37=3,1,IF($Q37=4,1,0)),IF($F37&lt;=85,1,0))</formula>
    </cfRule>
  </conditionalFormatting>
  <conditionalFormatting sqref="AI37">
    <cfRule type="expression" priority="911" dxfId="3">
      <formula>AND(IF(OR($Q37=1,$Q37=2),1,0),IF($X37&lt;=20,1,0))</formula>
    </cfRule>
    <cfRule type="expression" priority="912" dxfId="2">
      <formula>AND(IF($Q37=2,1,0),IF($X37&lt;30,1,0))</formula>
    </cfRule>
    <cfRule type="expression" priority="913" dxfId="1">
      <formula>AND(IF($Q37=3,1,0),IF($X37&lt;30,1,0))</formula>
    </cfRule>
    <cfRule type="expression" priority="914" dxfId="0">
      <formula>AND(IF($Q37=3,1,IF($Q37=4,1,0)),IF($F37&lt;=85,1,0))</formula>
    </cfRule>
  </conditionalFormatting>
  <conditionalFormatting sqref="AV38">
    <cfRule type="expression" priority="909" dxfId="23">
      <formula>AV38="X"</formula>
    </cfRule>
    <cfRule type="expression" priority="910" dxfId="22">
      <formula>AV38="후보"</formula>
    </cfRule>
  </conditionalFormatting>
  <conditionalFormatting sqref="AC38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38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38">
    <cfRule type="expression" priority="900" dxfId="3">
      <formula>AND(IF(OR($Q38=1,$Q38=2),1,0),IF($X38&lt;=20,1,0))</formula>
    </cfRule>
    <cfRule type="expression" priority="901" dxfId="2">
      <formula>AND(IF($Q38=2,1,0),IF($X38&lt;30,1,0))</formula>
    </cfRule>
    <cfRule type="expression" priority="902" dxfId="1">
      <formula>AND(IF($Q38=3,1,0),IF($X38&lt;30,1,0))</formula>
    </cfRule>
    <cfRule type="expression" priority="903" dxfId="0">
      <formula>AND(IF($Q38=3,1,IF($Q38=4,1,0)),IF($F38&lt;=85,1,0))</formula>
    </cfRule>
  </conditionalFormatting>
  <conditionalFormatting sqref="X38">
    <cfRule type="expression" priority="896" dxfId="3">
      <formula>AND(IF(OR($Q38=1,$Q38=2),1,0),IF($X38&lt;=20,1,0))</formula>
    </cfRule>
    <cfRule type="expression" priority="897" dxfId="2">
      <formula>AND(IF($Q38=2,1,0),IF($X38&lt;30,1,0))</formula>
    </cfRule>
    <cfRule type="expression" priority="898" dxfId="1">
      <formula>AND(IF($Q38=3,1,0),IF($X38&lt;30,1,0))</formula>
    </cfRule>
    <cfRule type="expression" priority="899" dxfId="0">
      <formula>AND(IF($Q38=3,1,IF($Q38=4,1,0)),IF($F38&lt;=85,1,0))</formula>
    </cfRule>
  </conditionalFormatting>
  <conditionalFormatting sqref="AI38">
    <cfRule type="expression" priority="892" dxfId="3">
      <formula>AND(IF(OR($Q38=1,$Q38=2),1,0),IF($X38&lt;=20,1,0))</formula>
    </cfRule>
    <cfRule type="expression" priority="893" dxfId="2">
      <formula>AND(IF($Q38=2,1,0),IF($X38&lt;30,1,0))</formula>
    </cfRule>
    <cfRule type="expression" priority="894" dxfId="1">
      <formula>AND(IF($Q38=3,1,0),IF($X38&lt;30,1,0))</formula>
    </cfRule>
    <cfRule type="expression" priority="895" dxfId="0">
      <formula>AND(IF($Q38=3,1,IF($Q38=4,1,0)),IF($F38&lt;=85,1,0))</formula>
    </cfRule>
  </conditionalFormatting>
  <conditionalFormatting sqref="AV39">
    <cfRule type="expression" priority="890" dxfId="23">
      <formula>AV39="X"</formula>
    </cfRule>
    <cfRule type="expression" priority="891" dxfId="22">
      <formula>AV39="후보"</formula>
    </cfRule>
  </conditionalFormatting>
  <conditionalFormatting sqref="AC39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39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39">
    <cfRule type="expression" priority="881" dxfId="3">
      <formula>AND(IF(OR($Q39=1,$Q39=2),1,0),IF($X39&lt;=20,1,0))</formula>
    </cfRule>
    <cfRule type="expression" priority="882" dxfId="2">
      <formula>AND(IF($Q39=2,1,0),IF($X39&lt;30,1,0))</formula>
    </cfRule>
    <cfRule type="expression" priority="883" dxfId="1">
      <formula>AND(IF($Q39=3,1,0),IF($X39&lt;30,1,0))</formula>
    </cfRule>
    <cfRule type="expression" priority="884" dxfId="0">
      <formula>AND(IF($Q39=3,1,IF($Q39=4,1,0)),IF($F39&lt;=85,1,0))</formula>
    </cfRule>
  </conditionalFormatting>
  <conditionalFormatting sqref="X39">
    <cfRule type="expression" priority="877" dxfId="3">
      <formula>AND(IF(OR($Q39=1,$Q39=2),1,0),IF($X39&lt;=20,1,0))</formula>
    </cfRule>
    <cfRule type="expression" priority="878" dxfId="2">
      <formula>AND(IF($Q39=2,1,0),IF($X39&lt;30,1,0))</formula>
    </cfRule>
    <cfRule type="expression" priority="879" dxfId="1">
      <formula>AND(IF($Q39=3,1,0),IF($X39&lt;30,1,0))</formula>
    </cfRule>
    <cfRule type="expression" priority="880" dxfId="0">
      <formula>AND(IF($Q39=3,1,IF($Q39=4,1,0)),IF($F39&lt;=85,1,0))</formula>
    </cfRule>
  </conditionalFormatting>
  <conditionalFormatting sqref="AI39">
    <cfRule type="expression" priority="873" dxfId="3">
      <formula>AND(IF(OR($Q39=1,$Q39=2),1,0),IF($X39&lt;=20,1,0))</formula>
    </cfRule>
    <cfRule type="expression" priority="874" dxfId="2">
      <formula>AND(IF($Q39=2,1,0),IF($X39&lt;30,1,0))</formula>
    </cfRule>
    <cfRule type="expression" priority="875" dxfId="1">
      <formula>AND(IF($Q39=3,1,0),IF($X39&lt;30,1,0))</formula>
    </cfRule>
    <cfRule type="expression" priority="876" dxfId="0">
      <formula>AND(IF($Q39=3,1,IF($Q39=4,1,0)),IF($F39&lt;=85,1,0))</formula>
    </cfRule>
  </conditionalFormatting>
  <conditionalFormatting sqref="AV40">
    <cfRule type="expression" priority="871" dxfId="23">
      <formula>AV40="X"</formula>
    </cfRule>
    <cfRule type="expression" priority="872" dxfId="22">
      <formula>AV40="후보"</formula>
    </cfRule>
  </conditionalFormatting>
  <conditionalFormatting sqref="AC40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40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40">
    <cfRule type="expression" priority="862" dxfId="3">
      <formula>AND(IF(OR($Q40=1,$Q40=2),1,0),IF($X40&lt;=20,1,0))</formula>
    </cfRule>
    <cfRule type="expression" priority="863" dxfId="2">
      <formula>AND(IF($Q40=2,1,0),IF($X40&lt;30,1,0))</formula>
    </cfRule>
    <cfRule type="expression" priority="864" dxfId="1">
      <formula>AND(IF($Q40=3,1,0),IF($X40&lt;30,1,0))</formula>
    </cfRule>
    <cfRule type="expression" priority="865" dxfId="0">
      <formula>AND(IF($Q40=3,1,IF($Q40=4,1,0)),IF($F40&lt;=85,1,0))</formula>
    </cfRule>
  </conditionalFormatting>
  <conditionalFormatting sqref="X40">
    <cfRule type="expression" priority="858" dxfId="3">
      <formula>AND(IF(OR($Q40=1,$Q40=2),1,0),IF($X40&lt;=20,1,0))</formula>
    </cfRule>
    <cfRule type="expression" priority="859" dxfId="2">
      <formula>AND(IF($Q40=2,1,0),IF($X40&lt;30,1,0))</formula>
    </cfRule>
    <cfRule type="expression" priority="860" dxfId="1">
      <formula>AND(IF($Q40=3,1,0),IF($X40&lt;30,1,0))</formula>
    </cfRule>
    <cfRule type="expression" priority="861" dxfId="0">
      <formula>AND(IF($Q40=3,1,IF($Q40=4,1,0)),IF($F40&lt;=85,1,0))</formula>
    </cfRule>
  </conditionalFormatting>
  <conditionalFormatting sqref="AI40">
    <cfRule type="expression" priority="854" dxfId="3">
      <formula>AND(IF(OR($Q40=1,$Q40=2),1,0),IF($X40&lt;=20,1,0))</formula>
    </cfRule>
    <cfRule type="expression" priority="855" dxfId="2">
      <formula>AND(IF($Q40=2,1,0),IF($X40&lt;30,1,0))</formula>
    </cfRule>
    <cfRule type="expression" priority="856" dxfId="1">
      <formula>AND(IF($Q40=3,1,0),IF($X40&lt;30,1,0))</formula>
    </cfRule>
    <cfRule type="expression" priority="857" dxfId="0">
      <formula>AND(IF($Q40=3,1,IF($Q40=4,1,0)),IF($F40&lt;=85,1,0))</formula>
    </cfRule>
  </conditionalFormatting>
  <conditionalFormatting sqref="AV41">
    <cfRule type="expression" priority="852" dxfId="23">
      <formula>AV41="X"</formula>
    </cfRule>
    <cfRule type="expression" priority="853" dxfId="22">
      <formula>AV41="후보"</formula>
    </cfRule>
  </conditionalFormatting>
  <conditionalFormatting sqref="AC41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41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41">
    <cfRule type="expression" priority="843" dxfId="3">
      <formula>AND(IF(OR($Q41=1,$Q41=2),1,0),IF($X41&lt;=20,1,0))</formula>
    </cfRule>
    <cfRule type="expression" priority="844" dxfId="2">
      <formula>AND(IF($Q41=2,1,0),IF($X41&lt;30,1,0))</formula>
    </cfRule>
    <cfRule type="expression" priority="845" dxfId="1">
      <formula>AND(IF($Q41=3,1,0),IF($X41&lt;30,1,0))</formula>
    </cfRule>
    <cfRule type="expression" priority="846" dxfId="0">
      <formula>AND(IF($Q41=3,1,IF($Q41=4,1,0)),IF($F41&lt;=85,1,0))</formula>
    </cfRule>
  </conditionalFormatting>
  <conditionalFormatting sqref="X41">
    <cfRule type="expression" priority="839" dxfId="3">
      <formula>AND(IF(OR($Q41=1,$Q41=2),1,0),IF($X41&lt;=20,1,0))</formula>
    </cfRule>
    <cfRule type="expression" priority="840" dxfId="2">
      <formula>AND(IF($Q41=2,1,0),IF($X41&lt;30,1,0))</formula>
    </cfRule>
    <cfRule type="expression" priority="841" dxfId="1">
      <formula>AND(IF($Q41=3,1,0),IF($X41&lt;30,1,0))</formula>
    </cfRule>
    <cfRule type="expression" priority="842" dxfId="0">
      <formula>AND(IF($Q41=3,1,IF($Q41=4,1,0)),IF($F41&lt;=85,1,0))</formula>
    </cfRule>
  </conditionalFormatting>
  <conditionalFormatting sqref="AI41">
    <cfRule type="expression" priority="835" dxfId="3">
      <formula>AND(IF(OR($Q41=1,$Q41=2),1,0),IF($X41&lt;=20,1,0))</formula>
    </cfRule>
    <cfRule type="expression" priority="836" dxfId="2">
      <formula>AND(IF($Q41=2,1,0),IF($X41&lt;30,1,0))</formula>
    </cfRule>
    <cfRule type="expression" priority="837" dxfId="1">
      <formula>AND(IF($Q41=3,1,0),IF($X41&lt;30,1,0))</formula>
    </cfRule>
    <cfRule type="expression" priority="838" dxfId="0">
      <formula>AND(IF($Q41=3,1,IF($Q41=4,1,0)),IF($F41&lt;=85,1,0))</formula>
    </cfRule>
  </conditionalFormatting>
  <conditionalFormatting sqref="AV42">
    <cfRule type="expression" priority="833" dxfId="23">
      <formula>AV42="X"</formula>
    </cfRule>
    <cfRule type="expression" priority="834" dxfId="22">
      <formula>AV42="후보"</formula>
    </cfRule>
  </conditionalFormatting>
  <conditionalFormatting sqref="AC4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42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42">
    <cfRule type="expression" priority="824" dxfId="3">
      <formula>AND(IF(OR($Q42=1,$Q42=2),1,0),IF($X42&lt;=20,1,0))</formula>
    </cfRule>
    <cfRule type="expression" priority="825" dxfId="2">
      <formula>AND(IF($Q42=2,1,0),IF($X42&lt;30,1,0))</formula>
    </cfRule>
    <cfRule type="expression" priority="826" dxfId="1">
      <formula>AND(IF($Q42=3,1,0),IF($X42&lt;30,1,0))</formula>
    </cfRule>
    <cfRule type="expression" priority="827" dxfId="0">
      <formula>AND(IF($Q42=3,1,IF($Q42=4,1,0)),IF($F42&lt;=85,1,0))</formula>
    </cfRule>
  </conditionalFormatting>
  <conditionalFormatting sqref="X42">
    <cfRule type="expression" priority="820" dxfId="3">
      <formula>AND(IF(OR($Q42=1,$Q42=2),1,0),IF($X42&lt;=20,1,0))</formula>
    </cfRule>
    <cfRule type="expression" priority="821" dxfId="2">
      <formula>AND(IF($Q42=2,1,0),IF($X42&lt;30,1,0))</formula>
    </cfRule>
    <cfRule type="expression" priority="822" dxfId="1">
      <formula>AND(IF($Q42=3,1,0),IF($X42&lt;30,1,0))</formula>
    </cfRule>
    <cfRule type="expression" priority="823" dxfId="0">
      <formula>AND(IF($Q42=3,1,IF($Q42=4,1,0)),IF($F42&lt;=85,1,0))</formula>
    </cfRule>
  </conditionalFormatting>
  <conditionalFormatting sqref="AI42">
    <cfRule type="expression" priority="816" dxfId="3">
      <formula>AND(IF(OR($Q42=1,$Q42=2),1,0),IF($X42&lt;=20,1,0))</formula>
    </cfRule>
    <cfRule type="expression" priority="817" dxfId="2">
      <formula>AND(IF($Q42=2,1,0),IF($X42&lt;30,1,0))</formula>
    </cfRule>
    <cfRule type="expression" priority="818" dxfId="1">
      <formula>AND(IF($Q42=3,1,0),IF($X42&lt;30,1,0))</formula>
    </cfRule>
    <cfRule type="expression" priority="819" dxfId="0">
      <formula>AND(IF($Q42=3,1,IF($Q42=4,1,0)),IF($F42&lt;=85,1,0))</formula>
    </cfRule>
  </conditionalFormatting>
  <conditionalFormatting sqref="AV43">
    <cfRule type="expression" priority="814" dxfId="23">
      <formula>AV43="X"</formula>
    </cfRule>
    <cfRule type="expression" priority="815" dxfId="22">
      <formula>AV43="후보"</formula>
    </cfRule>
  </conditionalFormatting>
  <conditionalFormatting sqref="AC43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43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43">
    <cfRule type="expression" priority="805" dxfId="3">
      <formula>AND(IF(OR($Q43=1,$Q43=2),1,0),IF($X43&lt;=20,1,0))</formula>
    </cfRule>
    <cfRule type="expression" priority="806" dxfId="2">
      <formula>AND(IF($Q43=2,1,0),IF($X43&lt;30,1,0))</formula>
    </cfRule>
    <cfRule type="expression" priority="807" dxfId="1">
      <formula>AND(IF($Q43=3,1,0),IF($X43&lt;30,1,0))</formula>
    </cfRule>
    <cfRule type="expression" priority="808" dxfId="0">
      <formula>AND(IF($Q43=3,1,IF($Q43=4,1,0)),IF($F43&lt;=85,1,0))</formula>
    </cfRule>
  </conditionalFormatting>
  <conditionalFormatting sqref="X43">
    <cfRule type="expression" priority="801" dxfId="3">
      <formula>AND(IF(OR($Q43=1,$Q43=2),1,0),IF($X43&lt;=20,1,0))</formula>
    </cfRule>
    <cfRule type="expression" priority="802" dxfId="2">
      <formula>AND(IF($Q43=2,1,0),IF($X43&lt;30,1,0))</formula>
    </cfRule>
    <cfRule type="expression" priority="803" dxfId="1">
      <formula>AND(IF($Q43=3,1,0),IF($X43&lt;30,1,0))</formula>
    </cfRule>
    <cfRule type="expression" priority="804" dxfId="0">
      <formula>AND(IF($Q43=3,1,IF($Q43=4,1,0)),IF($F43&lt;=85,1,0))</formula>
    </cfRule>
  </conditionalFormatting>
  <conditionalFormatting sqref="AI43">
    <cfRule type="expression" priority="797" dxfId="3">
      <formula>AND(IF(OR($Q43=1,$Q43=2),1,0),IF($X43&lt;=20,1,0))</formula>
    </cfRule>
    <cfRule type="expression" priority="798" dxfId="2">
      <formula>AND(IF($Q43=2,1,0),IF($X43&lt;30,1,0))</formula>
    </cfRule>
    <cfRule type="expression" priority="799" dxfId="1">
      <formula>AND(IF($Q43=3,1,0),IF($X43&lt;30,1,0))</formula>
    </cfRule>
    <cfRule type="expression" priority="800" dxfId="0">
      <formula>AND(IF($Q43=3,1,IF($Q43=4,1,0)),IF($F43&lt;=85,1,0))</formula>
    </cfRule>
  </conditionalFormatting>
  <conditionalFormatting sqref="AV44">
    <cfRule type="expression" priority="795" dxfId="23">
      <formula>AV44="X"</formula>
    </cfRule>
    <cfRule type="expression" priority="796" dxfId="22">
      <formula>AV44="후보"</formula>
    </cfRule>
  </conditionalFormatting>
  <conditionalFormatting sqref="AC44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44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44">
    <cfRule type="expression" priority="786" dxfId="3">
      <formula>AND(IF(OR($Q44=1,$Q44=2),1,0),IF($X44&lt;=20,1,0))</formula>
    </cfRule>
    <cfRule type="expression" priority="787" dxfId="2">
      <formula>AND(IF($Q44=2,1,0),IF($X44&lt;30,1,0))</formula>
    </cfRule>
    <cfRule type="expression" priority="788" dxfId="1">
      <formula>AND(IF($Q44=3,1,0),IF($X44&lt;30,1,0))</formula>
    </cfRule>
    <cfRule type="expression" priority="789" dxfId="0">
      <formula>AND(IF($Q44=3,1,IF($Q44=4,1,0)),IF($F44&lt;=85,1,0))</formula>
    </cfRule>
  </conditionalFormatting>
  <conditionalFormatting sqref="X44">
    <cfRule type="expression" priority="782" dxfId="3">
      <formula>AND(IF(OR($Q44=1,$Q44=2),1,0),IF($X44&lt;=20,1,0))</formula>
    </cfRule>
    <cfRule type="expression" priority="783" dxfId="2">
      <formula>AND(IF($Q44=2,1,0),IF($X44&lt;30,1,0))</formula>
    </cfRule>
    <cfRule type="expression" priority="784" dxfId="1">
      <formula>AND(IF($Q44=3,1,0),IF($X44&lt;30,1,0))</formula>
    </cfRule>
    <cfRule type="expression" priority="785" dxfId="0">
      <formula>AND(IF($Q44=3,1,IF($Q44=4,1,0)),IF($F44&lt;=85,1,0))</formula>
    </cfRule>
  </conditionalFormatting>
  <conditionalFormatting sqref="AI44">
    <cfRule type="expression" priority="778" dxfId="3">
      <formula>AND(IF(OR($Q44=1,$Q44=2),1,0),IF($X44&lt;=20,1,0))</formula>
    </cfRule>
    <cfRule type="expression" priority="779" dxfId="2">
      <formula>AND(IF($Q44=2,1,0),IF($X44&lt;30,1,0))</formula>
    </cfRule>
    <cfRule type="expression" priority="780" dxfId="1">
      <formula>AND(IF($Q44=3,1,0),IF($X44&lt;30,1,0))</formula>
    </cfRule>
    <cfRule type="expression" priority="781" dxfId="0">
      <formula>AND(IF($Q44=3,1,IF($Q44=4,1,0)),IF($F44&lt;=85,1,0))</formula>
    </cfRule>
  </conditionalFormatting>
  <conditionalFormatting sqref="AV45">
    <cfRule type="expression" priority="776" dxfId="23">
      <formula>AV45="X"</formula>
    </cfRule>
    <cfRule type="expression" priority="777" dxfId="22">
      <formula>AV45="후보"</formula>
    </cfRule>
  </conditionalFormatting>
  <conditionalFormatting sqref="AC45 N45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AV46">
    <cfRule type="expression" priority="771" dxfId="23">
      <formula>AV46="X"</formula>
    </cfRule>
    <cfRule type="expression" priority="772" dxfId="22">
      <formula>AV46="후보"</formula>
    </cfRule>
  </conditionalFormatting>
  <conditionalFormatting sqref="AC46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46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46">
    <cfRule type="expression" priority="762" dxfId="3">
      <formula>AND(IF(OR($Q46=1,$Q46=2),1,0),IF($X46&lt;=20,1,0))</formula>
    </cfRule>
    <cfRule type="expression" priority="763" dxfId="2">
      <formula>AND(IF($Q46=2,1,0),IF($X46&lt;30,1,0))</formula>
    </cfRule>
    <cfRule type="expression" priority="764" dxfId="1">
      <formula>AND(IF($Q46=3,1,0),IF($X46&lt;30,1,0))</formula>
    </cfRule>
    <cfRule type="expression" priority="765" dxfId="0">
      <formula>AND(IF($Q46=3,1,IF($Q46=4,1,0)),IF($F46&lt;=85,1,0))</formula>
    </cfRule>
  </conditionalFormatting>
  <conditionalFormatting sqref="X46">
    <cfRule type="expression" priority="758" dxfId="3">
      <formula>AND(IF(OR($Q46=1,$Q46=2),1,0),IF($X46&lt;=20,1,0))</formula>
    </cfRule>
    <cfRule type="expression" priority="759" dxfId="2">
      <formula>AND(IF($Q46=2,1,0),IF($X46&lt;30,1,0))</formula>
    </cfRule>
    <cfRule type="expression" priority="760" dxfId="1">
      <formula>AND(IF($Q46=3,1,0),IF($X46&lt;30,1,0))</formula>
    </cfRule>
    <cfRule type="expression" priority="761" dxfId="0">
      <formula>AND(IF($Q46=3,1,IF($Q46=4,1,0)),IF($F46&lt;=85,1,0))</formula>
    </cfRule>
  </conditionalFormatting>
  <conditionalFormatting sqref="AI46">
    <cfRule type="expression" priority="754" dxfId="3">
      <formula>AND(IF(OR($Q46=1,$Q46=2),1,0),IF($X46&lt;=20,1,0))</formula>
    </cfRule>
    <cfRule type="expression" priority="755" dxfId="2">
      <formula>AND(IF($Q46=2,1,0),IF($X46&lt;30,1,0))</formula>
    </cfRule>
    <cfRule type="expression" priority="756" dxfId="1">
      <formula>AND(IF($Q46=3,1,0),IF($X46&lt;30,1,0))</formula>
    </cfRule>
    <cfRule type="expression" priority="757" dxfId="0">
      <formula>AND(IF($Q46=3,1,IF($Q46=4,1,0)),IF($F46&lt;=85,1,0))</formula>
    </cfRule>
  </conditionalFormatting>
  <conditionalFormatting sqref="AV47">
    <cfRule type="expression" priority="752" dxfId="23">
      <formula>AV47="X"</formula>
    </cfRule>
    <cfRule type="expression" priority="753" dxfId="22">
      <formula>AV47="후보"</formula>
    </cfRule>
  </conditionalFormatting>
  <conditionalFormatting sqref="AC47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47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47">
    <cfRule type="expression" priority="743" dxfId="3">
      <formula>AND(IF(OR($Q47=1,$Q47=2),1,0),IF($X47&lt;=20,1,0))</formula>
    </cfRule>
    <cfRule type="expression" priority="744" dxfId="2">
      <formula>AND(IF($Q47=2,1,0),IF($X47&lt;30,1,0))</formula>
    </cfRule>
    <cfRule type="expression" priority="745" dxfId="1">
      <formula>AND(IF($Q47=3,1,0),IF($X47&lt;30,1,0))</formula>
    </cfRule>
    <cfRule type="expression" priority="746" dxfId="0">
      <formula>AND(IF($Q47=3,1,IF($Q47=4,1,0)),IF($F47&lt;=85,1,0))</formula>
    </cfRule>
  </conditionalFormatting>
  <conditionalFormatting sqref="X47">
    <cfRule type="expression" priority="739" dxfId="3">
      <formula>AND(IF(OR($Q47=1,$Q47=2),1,0),IF($X47&lt;=20,1,0))</formula>
    </cfRule>
    <cfRule type="expression" priority="740" dxfId="2">
      <formula>AND(IF($Q47=2,1,0),IF($X47&lt;30,1,0))</formula>
    </cfRule>
    <cfRule type="expression" priority="741" dxfId="1">
      <formula>AND(IF($Q47=3,1,0),IF($X47&lt;30,1,0))</formula>
    </cfRule>
    <cfRule type="expression" priority="742" dxfId="0">
      <formula>AND(IF($Q47=3,1,IF($Q47=4,1,0)),IF($F47&lt;=85,1,0))</formula>
    </cfRule>
  </conditionalFormatting>
  <conditionalFormatting sqref="AI47">
    <cfRule type="expression" priority="735" dxfId="3">
      <formula>AND(IF(OR($Q47=1,$Q47=2),1,0),IF($X47&lt;=20,1,0))</formula>
    </cfRule>
    <cfRule type="expression" priority="736" dxfId="2">
      <formula>AND(IF($Q47=2,1,0),IF($X47&lt;30,1,0))</formula>
    </cfRule>
    <cfRule type="expression" priority="737" dxfId="1">
      <formula>AND(IF($Q47=3,1,0),IF($X47&lt;30,1,0))</formula>
    </cfRule>
    <cfRule type="expression" priority="738" dxfId="0">
      <formula>AND(IF($Q47=3,1,IF($Q47=4,1,0)),IF($F47&lt;=85,1,0))</formula>
    </cfRule>
  </conditionalFormatting>
  <conditionalFormatting sqref="AV48">
    <cfRule type="expression" priority="733" dxfId="23">
      <formula>AV48="X"</formula>
    </cfRule>
    <cfRule type="expression" priority="734" dxfId="22">
      <formula>AV48="후보"</formula>
    </cfRule>
  </conditionalFormatting>
  <conditionalFormatting sqref="AC48 N48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AV49">
    <cfRule type="expression" priority="728" dxfId="23">
      <formula>AV49="X"</formula>
    </cfRule>
    <cfRule type="expression" priority="729" dxfId="22">
      <formula>AV49="후보"</formula>
    </cfRule>
  </conditionalFormatting>
  <conditionalFormatting sqref="AC49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49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49">
    <cfRule type="expression" priority="719" dxfId="3">
      <formula>AND(IF(OR($Q49=1,$Q49=2),1,0),IF($X49&lt;=20,1,0))</formula>
    </cfRule>
    <cfRule type="expression" priority="720" dxfId="2">
      <formula>AND(IF($Q49=2,1,0),IF($X49&lt;30,1,0))</formula>
    </cfRule>
    <cfRule type="expression" priority="721" dxfId="1">
      <formula>AND(IF($Q49=3,1,0),IF($X49&lt;30,1,0))</formula>
    </cfRule>
    <cfRule type="expression" priority="722" dxfId="0">
      <formula>AND(IF($Q49=3,1,IF($Q49=4,1,0)),IF($F49&lt;=85,1,0))</formula>
    </cfRule>
  </conditionalFormatting>
  <conditionalFormatting sqref="X49">
    <cfRule type="expression" priority="715" dxfId="3">
      <formula>AND(IF(OR($Q49=1,$Q49=2),1,0),IF($X49&lt;=20,1,0))</formula>
    </cfRule>
    <cfRule type="expression" priority="716" dxfId="2">
      <formula>AND(IF($Q49=2,1,0),IF($X49&lt;30,1,0))</formula>
    </cfRule>
    <cfRule type="expression" priority="717" dxfId="1">
      <formula>AND(IF($Q49=3,1,0),IF($X49&lt;30,1,0))</formula>
    </cfRule>
    <cfRule type="expression" priority="718" dxfId="0">
      <formula>AND(IF($Q49=3,1,IF($Q49=4,1,0)),IF($F49&lt;=85,1,0))</formula>
    </cfRule>
  </conditionalFormatting>
  <conditionalFormatting sqref="AI49">
    <cfRule type="expression" priority="711" dxfId="3">
      <formula>AND(IF(OR($Q49=1,$Q49=2),1,0),IF($X49&lt;=20,1,0))</formula>
    </cfRule>
    <cfRule type="expression" priority="712" dxfId="2">
      <formula>AND(IF($Q49=2,1,0),IF($X49&lt;30,1,0))</formula>
    </cfRule>
    <cfRule type="expression" priority="713" dxfId="1">
      <formula>AND(IF($Q49=3,1,0),IF($X49&lt;30,1,0))</formula>
    </cfRule>
    <cfRule type="expression" priority="714" dxfId="0">
      <formula>AND(IF($Q49=3,1,IF($Q49=4,1,0)),IF($F49&lt;=85,1,0))</formula>
    </cfRule>
  </conditionalFormatting>
  <conditionalFormatting sqref="AV50">
    <cfRule type="expression" priority="709" dxfId="23">
      <formula>AV50="X"</formula>
    </cfRule>
    <cfRule type="expression" priority="710" dxfId="22">
      <formula>AV50="후보"</formula>
    </cfRule>
  </conditionalFormatting>
  <conditionalFormatting sqref="AC50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50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50">
    <cfRule type="expression" priority="700" dxfId="3">
      <formula>AND(IF(OR($Q50=1,$Q50=2),1,0),IF($X50&lt;=20,1,0))</formula>
    </cfRule>
    <cfRule type="expression" priority="701" dxfId="2">
      <formula>AND(IF($Q50=2,1,0),IF($X50&lt;30,1,0))</formula>
    </cfRule>
    <cfRule type="expression" priority="702" dxfId="1">
      <formula>AND(IF($Q50=3,1,0),IF($X50&lt;30,1,0))</formula>
    </cfRule>
    <cfRule type="expression" priority="703" dxfId="0">
      <formula>AND(IF($Q50=3,1,IF($Q50=4,1,0)),IF($F50&lt;=85,1,0))</formula>
    </cfRule>
  </conditionalFormatting>
  <conditionalFormatting sqref="X50">
    <cfRule type="expression" priority="696" dxfId="3">
      <formula>AND(IF(OR($Q50=1,$Q50=2),1,0),IF($X50&lt;=20,1,0))</formula>
    </cfRule>
    <cfRule type="expression" priority="697" dxfId="2">
      <formula>AND(IF($Q50=2,1,0),IF($X50&lt;30,1,0))</formula>
    </cfRule>
    <cfRule type="expression" priority="698" dxfId="1">
      <formula>AND(IF($Q50=3,1,0),IF($X50&lt;30,1,0))</formula>
    </cfRule>
    <cfRule type="expression" priority="699" dxfId="0">
      <formula>AND(IF($Q50=3,1,IF($Q50=4,1,0)),IF($F50&lt;=85,1,0))</formula>
    </cfRule>
  </conditionalFormatting>
  <conditionalFormatting sqref="AI50">
    <cfRule type="expression" priority="692" dxfId="3">
      <formula>AND(IF(OR($Q50=1,$Q50=2),1,0),IF($X50&lt;=20,1,0))</formula>
    </cfRule>
    <cfRule type="expression" priority="693" dxfId="2">
      <formula>AND(IF($Q50=2,1,0),IF($X50&lt;30,1,0))</formula>
    </cfRule>
    <cfRule type="expression" priority="694" dxfId="1">
      <formula>AND(IF($Q50=3,1,0),IF($X50&lt;30,1,0))</formula>
    </cfRule>
    <cfRule type="expression" priority="695" dxfId="0">
      <formula>AND(IF($Q50=3,1,IF($Q50=4,1,0)),IF($F50&lt;=85,1,0))</formula>
    </cfRule>
  </conditionalFormatting>
  <conditionalFormatting sqref="AV51">
    <cfRule type="expression" priority="690" dxfId="23">
      <formula>AV51="X"</formula>
    </cfRule>
    <cfRule type="expression" priority="691" dxfId="22">
      <formula>AV51="후보"</formula>
    </cfRule>
  </conditionalFormatting>
  <conditionalFormatting sqref="AC51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51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51">
    <cfRule type="expression" priority="681" dxfId="3">
      <formula>AND(IF(OR($Q51=1,$Q51=2),1,0),IF($X51&lt;=20,1,0))</formula>
    </cfRule>
    <cfRule type="expression" priority="682" dxfId="2">
      <formula>AND(IF($Q51=2,1,0),IF($X51&lt;30,1,0))</formula>
    </cfRule>
    <cfRule type="expression" priority="683" dxfId="1">
      <formula>AND(IF($Q51=3,1,0),IF($X51&lt;30,1,0))</formula>
    </cfRule>
    <cfRule type="expression" priority="684" dxfId="0">
      <formula>AND(IF($Q51=3,1,IF($Q51=4,1,0)),IF($F51&lt;=85,1,0))</formula>
    </cfRule>
  </conditionalFormatting>
  <conditionalFormatting sqref="X51">
    <cfRule type="expression" priority="677" dxfId="3">
      <formula>AND(IF(OR($Q51=1,$Q51=2),1,0),IF($X51&lt;=20,1,0))</formula>
    </cfRule>
    <cfRule type="expression" priority="678" dxfId="2">
      <formula>AND(IF($Q51=2,1,0),IF($X51&lt;30,1,0))</formula>
    </cfRule>
    <cfRule type="expression" priority="679" dxfId="1">
      <formula>AND(IF($Q51=3,1,0),IF($X51&lt;30,1,0))</formula>
    </cfRule>
    <cfRule type="expression" priority="680" dxfId="0">
      <formula>AND(IF($Q51=3,1,IF($Q51=4,1,0)),IF($F51&lt;=85,1,0))</formula>
    </cfRule>
  </conditionalFormatting>
  <conditionalFormatting sqref="AI51">
    <cfRule type="expression" priority="673" dxfId="3">
      <formula>AND(IF(OR($Q51=1,$Q51=2),1,0),IF($X51&lt;=20,1,0))</formula>
    </cfRule>
    <cfRule type="expression" priority="674" dxfId="2">
      <formula>AND(IF($Q51=2,1,0),IF($X51&lt;30,1,0))</formula>
    </cfRule>
    <cfRule type="expression" priority="675" dxfId="1">
      <formula>AND(IF($Q51=3,1,0),IF($X51&lt;30,1,0))</formula>
    </cfRule>
    <cfRule type="expression" priority="676" dxfId="0">
      <formula>AND(IF($Q51=3,1,IF($Q51=4,1,0)),IF($F51&lt;=85,1,0))</formula>
    </cfRule>
  </conditionalFormatting>
  <conditionalFormatting sqref="AV52">
    <cfRule type="expression" priority="671" dxfId="23">
      <formula>AV52="X"</formula>
    </cfRule>
    <cfRule type="expression" priority="672" dxfId="22">
      <formula>AV52="후보"</formula>
    </cfRule>
  </conditionalFormatting>
  <conditionalFormatting sqref="AC52 N5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53">
    <cfRule type="expression" priority="666" dxfId="23">
      <formula>AV53="X"</formula>
    </cfRule>
    <cfRule type="expression" priority="667" dxfId="22">
      <formula>AV53="후보"</formula>
    </cfRule>
  </conditionalFormatting>
  <conditionalFormatting sqref="AC5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3">
    <cfRule type="expression" priority="657" dxfId="3">
      <formula>AND(IF(OR($Q53=1,$Q53=2),1,0),IF($X53&lt;=20,1,0))</formula>
    </cfRule>
    <cfRule type="expression" priority="658" dxfId="2">
      <formula>AND(IF($Q53=2,1,0),IF($X53&lt;30,1,0))</formula>
    </cfRule>
    <cfRule type="expression" priority="659" dxfId="1">
      <formula>AND(IF($Q53=3,1,0),IF($X53&lt;30,1,0))</formula>
    </cfRule>
    <cfRule type="expression" priority="660" dxfId="0">
      <formula>AND(IF($Q53=3,1,IF($Q53=4,1,0)),IF($F53&lt;=85,1,0))</formula>
    </cfRule>
  </conditionalFormatting>
  <conditionalFormatting sqref="X53">
    <cfRule type="expression" priority="653" dxfId="3">
      <formula>AND(IF(OR($Q53=1,$Q53=2),1,0),IF($X53&lt;=20,1,0))</formula>
    </cfRule>
    <cfRule type="expression" priority="654" dxfId="2">
      <formula>AND(IF($Q53=2,1,0),IF($X53&lt;30,1,0))</formula>
    </cfRule>
    <cfRule type="expression" priority="655" dxfId="1">
      <formula>AND(IF($Q53=3,1,0),IF($X53&lt;30,1,0))</formula>
    </cfRule>
    <cfRule type="expression" priority="656" dxfId="0">
      <formula>AND(IF($Q53=3,1,IF($Q53=4,1,0)),IF($F53&lt;=85,1,0))</formula>
    </cfRule>
  </conditionalFormatting>
  <conditionalFormatting sqref="AI53">
    <cfRule type="expression" priority="649" dxfId="3">
      <formula>AND(IF(OR($Q53=1,$Q53=2),1,0),IF($X53&lt;=20,1,0))</formula>
    </cfRule>
    <cfRule type="expression" priority="650" dxfId="2">
      <formula>AND(IF($Q53=2,1,0),IF($X53&lt;30,1,0))</formula>
    </cfRule>
    <cfRule type="expression" priority="651" dxfId="1">
      <formula>AND(IF($Q53=3,1,0),IF($X53&lt;30,1,0))</formula>
    </cfRule>
    <cfRule type="expression" priority="652" dxfId="0">
      <formula>AND(IF($Q53=3,1,IF($Q53=4,1,0)),IF($F53&lt;=85,1,0))</formula>
    </cfRule>
  </conditionalFormatting>
  <conditionalFormatting sqref="AV54">
    <cfRule type="expression" priority="647" dxfId="23">
      <formula>AV54="X"</formula>
    </cfRule>
    <cfRule type="expression" priority="648" dxfId="22">
      <formula>AV54="후보"</formula>
    </cfRule>
  </conditionalFormatting>
  <conditionalFormatting sqref="AC54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54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54">
    <cfRule type="expression" priority="638" dxfId="3">
      <formula>AND(IF(OR($Q54=1,$Q54=2),1,0),IF($X54&lt;=20,1,0))</formula>
    </cfRule>
    <cfRule type="expression" priority="639" dxfId="2">
      <formula>AND(IF($Q54=2,1,0),IF($X54&lt;30,1,0))</formula>
    </cfRule>
    <cfRule type="expression" priority="640" dxfId="1">
      <formula>AND(IF($Q54=3,1,0),IF($X54&lt;30,1,0))</formula>
    </cfRule>
    <cfRule type="expression" priority="641" dxfId="0">
      <formula>AND(IF($Q54=3,1,IF($Q54=4,1,0)),IF($F54&lt;=85,1,0))</formula>
    </cfRule>
  </conditionalFormatting>
  <conditionalFormatting sqref="X54">
    <cfRule type="expression" priority="634" dxfId="3">
      <formula>AND(IF(OR($Q54=1,$Q54=2),1,0),IF($X54&lt;=20,1,0))</formula>
    </cfRule>
    <cfRule type="expression" priority="635" dxfId="2">
      <formula>AND(IF($Q54=2,1,0),IF($X54&lt;30,1,0))</formula>
    </cfRule>
    <cfRule type="expression" priority="636" dxfId="1">
      <formula>AND(IF($Q54=3,1,0),IF($X54&lt;30,1,0))</formula>
    </cfRule>
    <cfRule type="expression" priority="637" dxfId="0">
      <formula>AND(IF($Q54=3,1,IF($Q54=4,1,0)),IF($F54&lt;=85,1,0))</formula>
    </cfRule>
  </conditionalFormatting>
  <conditionalFormatting sqref="AI54">
    <cfRule type="expression" priority="630" dxfId="3">
      <formula>AND(IF(OR($Q54=1,$Q54=2),1,0),IF($X54&lt;=20,1,0))</formula>
    </cfRule>
    <cfRule type="expression" priority="631" dxfId="2">
      <formula>AND(IF($Q54=2,1,0),IF($X54&lt;30,1,0))</formula>
    </cfRule>
    <cfRule type="expression" priority="632" dxfId="1">
      <formula>AND(IF($Q54=3,1,0),IF($X54&lt;30,1,0))</formula>
    </cfRule>
    <cfRule type="expression" priority="633" dxfId="0">
      <formula>AND(IF($Q54=3,1,IF($Q54=4,1,0)),IF($F54&lt;=85,1,0))</formula>
    </cfRule>
  </conditionalFormatting>
  <conditionalFormatting sqref="AV55">
    <cfRule type="expression" priority="628" dxfId="23">
      <formula>AV55="X"</formula>
    </cfRule>
    <cfRule type="expression" priority="629" dxfId="22">
      <formula>AV55="후보"</formula>
    </cfRule>
  </conditionalFormatting>
  <conditionalFormatting sqref="AC5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5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55">
    <cfRule type="expression" priority="619" dxfId="3">
      <formula>AND(IF(OR($Q55=1,$Q55=2),1,0),IF($X55&lt;=20,1,0))</formula>
    </cfRule>
    <cfRule type="expression" priority="620" dxfId="2">
      <formula>AND(IF($Q55=2,1,0),IF($X55&lt;30,1,0))</formula>
    </cfRule>
    <cfRule type="expression" priority="621" dxfId="1">
      <formula>AND(IF($Q55=3,1,0),IF($X55&lt;30,1,0))</formula>
    </cfRule>
    <cfRule type="expression" priority="622" dxfId="0">
      <formula>AND(IF($Q55=3,1,IF($Q55=4,1,0)),IF($F55&lt;=85,1,0))</formula>
    </cfRule>
  </conditionalFormatting>
  <conditionalFormatting sqref="X55">
    <cfRule type="expression" priority="615" dxfId="3">
      <formula>AND(IF(OR($Q55=1,$Q55=2),1,0),IF($X55&lt;=20,1,0))</formula>
    </cfRule>
    <cfRule type="expression" priority="616" dxfId="2">
      <formula>AND(IF($Q55=2,1,0),IF($X55&lt;30,1,0))</formula>
    </cfRule>
    <cfRule type="expression" priority="617" dxfId="1">
      <formula>AND(IF($Q55=3,1,0),IF($X55&lt;30,1,0))</formula>
    </cfRule>
    <cfRule type="expression" priority="618" dxfId="0">
      <formula>AND(IF($Q55=3,1,IF($Q55=4,1,0)),IF($F55&lt;=85,1,0))</formula>
    </cfRule>
  </conditionalFormatting>
  <conditionalFormatting sqref="AI55">
    <cfRule type="expression" priority="611" dxfId="3">
      <formula>AND(IF(OR($Q55=1,$Q55=2),1,0),IF($X55&lt;=20,1,0))</formula>
    </cfRule>
    <cfRule type="expression" priority="612" dxfId="2">
      <formula>AND(IF($Q55=2,1,0),IF($X55&lt;30,1,0))</formula>
    </cfRule>
    <cfRule type="expression" priority="613" dxfId="1">
      <formula>AND(IF($Q55=3,1,0),IF($X55&lt;30,1,0))</formula>
    </cfRule>
    <cfRule type="expression" priority="614" dxfId="0">
      <formula>AND(IF($Q55=3,1,IF($Q55=4,1,0)),IF($F55&lt;=85,1,0))</formula>
    </cfRule>
  </conditionalFormatting>
  <conditionalFormatting sqref="AV56">
    <cfRule type="expression" priority="609" dxfId="23">
      <formula>AV56="X"</formula>
    </cfRule>
    <cfRule type="expression" priority="610" dxfId="22">
      <formula>AV56="후보"</formula>
    </cfRule>
  </conditionalFormatting>
  <conditionalFormatting sqref="AC56 N56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57">
    <cfRule type="expression" priority="604" dxfId="23">
      <formula>AV57="X"</formula>
    </cfRule>
    <cfRule type="expression" priority="605" dxfId="22">
      <formula>AV57="후보"</formula>
    </cfRule>
  </conditionalFormatting>
  <conditionalFormatting sqref="AC5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5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57">
    <cfRule type="expression" priority="595" dxfId="3">
      <formula>AND(IF(OR($Q57=1,$Q57=2),1,0),IF($X57&lt;=20,1,0))</formula>
    </cfRule>
    <cfRule type="expression" priority="596" dxfId="2">
      <formula>AND(IF($Q57=2,1,0),IF($X57&lt;30,1,0))</formula>
    </cfRule>
    <cfRule type="expression" priority="597" dxfId="1">
      <formula>AND(IF($Q57=3,1,0),IF($X57&lt;30,1,0))</formula>
    </cfRule>
    <cfRule type="expression" priority="598" dxfId="0">
      <formula>AND(IF($Q57=3,1,IF($Q57=4,1,0)),IF($F57&lt;=85,1,0))</formula>
    </cfRule>
  </conditionalFormatting>
  <conditionalFormatting sqref="X57">
    <cfRule type="expression" priority="591" dxfId="3">
      <formula>AND(IF(OR($Q57=1,$Q57=2),1,0),IF($X57&lt;=20,1,0))</formula>
    </cfRule>
    <cfRule type="expression" priority="592" dxfId="2">
      <formula>AND(IF($Q57=2,1,0),IF($X57&lt;30,1,0))</formula>
    </cfRule>
    <cfRule type="expression" priority="593" dxfId="1">
      <formula>AND(IF($Q57=3,1,0),IF($X57&lt;30,1,0))</formula>
    </cfRule>
    <cfRule type="expression" priority="594" dxfId="0">
      <formula>AND(IF($Q57=3,1,IF($Q57=4,1,0)),IF($F57&lt;=85,1,0))</formula>
    </cfRule>
  </conditionalFormatting>
  <conditionalFormatting sqref="AI57">
    <cfRule type="expression" priority="587" dxfId="3">
      <formula>AND(IF(OR($Q57=1,$Q57=2),1,0),IF($X57&lt;=20,1,0))</formula>
    </cfRule>
    <cfRule type="expression" priority="588" dxfId="2">
      <formula>AND(IF($Q57=2,1,0),IF($X57&lt;30,1,0))</formula>
    </cfRule>
    <cfRule type="expression" priority="589" dxfId="1">
      <formula>AND(IF($Q57=3,1,0),IF($X57&lt;30,1,0))</formula>
    </cfRule>
    <cfRule type="expression" priority="590" dxfId="0">
      <formula>AND(IF($Q57=3,1,IF($Q57=4,1,0)),IF($F57&lt;=85,1,0))</formula>
    </cfRule>
  </conditionalFormatting>
  <conditionalFormatting sqref="AV58">
    <cfRule type="expression" priority="585" dxfId="23">
      <formula>AV58="X"</formula>
    </cfRule>
    <cfRule type="expression" priority="586" dxfId="22">
      <formula>AV58="후보"</formula>
    </cfRule>
  </conditionalFormatting>
  <conditionalFormatting sqref="AC5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5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58">
    <cfRule type="expression" priority="576" dxfId="3">
      <formula>AND(IF(OR($Q58=1,$Q58=2),1,0),IF($X58&lt;=20,1,0))</formula>
    </cfRule>
    <cfRule type="expression" priority="577" dxfId="2">
      <formula>AND(IF($Q58=2,1,0),IF($X58&lt;30,1,0))</formula>
    </cfRule>
    <cfRule type="expression" priority="578" dxfId="1">
      <formula>AND(IF($Q58=3,1,0),IF($X58&lt;30,1,0))</formula>
    </cfRule>
    <cfRule type="expression" priority="579" dxfId="0">
      <formula>AND(IF($Q58=3,1,IF($Q58=4,1,0)),IF($F58&lt;=85,1,0))</formula>
    </cfRule>
  </conditionalFormatting>
  <conditionalFormatting sqref="X58">
    <cfRule type="expression" priority="572" dxfId="3">
      <formula>AND(IF(OR($Q58=1,$Q58=2),1,0),IF($X58&lt;=20,1,0))</formula>
    </cfRule>
    <cfRule type="expression" priority="573" dxfId="2">
      <formula>AND(IF($Q58=2,1,0),IF($X58&lt;30,1,0))</formula>
    </cfRule>
    <cfRule type="expression" priority="574" dxfId="1">
      <formula>AND(IF($Q58=3,1,0),IF($X58&lt;30,1,0))</formula>
    </cfRule>
    <cfRule type="expression" priority="575" dxfId="0">
      <formula>AND(IF($Q58=3,1,IF($Q58=4,1,0)),IF($F58&lt;=85,1,0))</formula>
    </cfRule>
  </conditionalFormatting>
  <conditionalFormatting sqref="AI58">
    <cfRule type="expression" priority="568" dxfId="3">
      <formula>AND(IF(OR($Q58=1,$Q58=2),1,0),IF($X58&lt;=20,1,0))</formula>
    </cfRule>
    <cfRule type="expression" priority="569" dxfId="2">
      <formula>AND(IF($Q58=2,1,0),IF($X58&lt;30,1,0))</formula>
    </cfRule>
    <cfRule type="expression" priority="570" dxfId="1">
      <formula>AND(IF($Q58=3,1,0),IF($X58&lt;30,1,0))</formula>
    </cfRule>
    <cfRule type="expression" priority="571" dxfId="0">
      <formula>AND(IF($Q58=3,1,IF($Q58=4,1,0)),IF($F58&lt;=85,1,0))</formula>
    </cfRule>
  </conditionalFormatting>
  <conditionalFormatting sqref="AV59">
    <cfRule type="expression" priority="566" dxfId="23">
      <formula>AV59="X"</formula>
    </cfRule>
    <cfRule type="expression" priority="567" dxfId="22">
      <formula>AV59="후보"</formula>
    </cfRule>
  </conditionalFormatting>
  <conditionalFormatting sqref="AC5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5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59">
    <cfRule type="expression" priority="557" dxfId="3">
      <formula>AND(IF(OR($Q59=1,$Q59=2),1,0),IF($X59&lt;=20,1,0))</formula>
    </cfRule>
    <cfRule type="expression" priority="558" dxfId="2">
      <formula>AND(IF($Q59=2,1,0),IF($X59&lt;30,1,0))</formula>
    </cfRule>
    <cfRule type="expression" priority="559" dxfId="1">
      <formula>AND(IF($Q59=3,1,0),IF($X59&lt;30,1,0))</formula>
    </cfRule>
    <cfRule type="expression" priority="560" dxfId="0">
      <formula>AND(IF($Q59=3,1,IF($Q59=4,1,0)),IF($F59&lt;=85,1,0))</formula>
    </cfRule>
  </conditionalFormatting>
  <conditionalFormatting sqref="X59">
    <cfRule type="expression" priority="553" dxfId="3">
      <formula>AND(IF(OR($Q59=1,$Q59=2),1,0),IF($X59&lt;=20,1,0))</formula>
    </cfRule>
    <cfRule type="expression" priority="554" dxfId="2">
      <formula>AND(IF($Q59=2,1,0),IF($X59&lt;30,1,0))</formula>
    </cfRule>
    <cfRule type="expression" priority="555" dxfId="1">
      <formula>AND(IF($Q59=3,1,0),IF($X59&lt;30,1,0))</formula>
    </cfRule>
    <cfRule type="expression" priority="556" dxfId="0">
      <formula>AND(IF($Q59=3,1,IF($Q59=4,1,0)),IF($F59&lt;=85,1,0))</formula>
    </cfRule>
  </conditionalFormatting>
  <conditionalFormatting sqref="AI59">
    <cfRule type="expression" priority="549" dxfId="3">
      <formula>AND(IF(OR($Q59=1,$Q59=2),1,0),IF($X59&lt;=20,1,0))</formula>
    </cfRule>
    <cfRule type="expression" priority="550" dxfId="2">
      <formula>AND(IF($Q59=2,1,0),IF($X59&lt;30,1,0))</formula>
    </cfRule>
    <cfRule type="expression" priority="551" dxfId="1">
      <formula>AND(IF($Q59=3,1,0),IF($X59&lt;30,1,0))</formula>
    </cfRule>
    <cfRule type="expression" priority="552" dxfId="0">
      <formula>AND(IF($Q59=3,1,IF($Q59=4,1,0)),IF($F59&lt;=85,1,0))</formula>
    </cfRule>
  </conditionalFormatting>
  <conditionalFormatting sqref="AV60">
    <cfRule type="expression" priority="547" dxfId="23">
      <formula>AV60="X"</formula>
    </cfRule>
    <cfRule type="expression" priority="548" dxfId="22">
      <formula>AV60="후보"</formula>
    </cfRule>
  </conditionalFormatting>
  <conditionalFormatting sqref="AC60 N6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61">
    <cfRule type="expression" priority="542" dxfId="23">
      <formula>AV61="X"</formula>
    </cfRule>
    <cfRule type="expression" priority="543" dxfId="22">
      <formula>AV61="후보"</formula>
    </cfRule>
  </conditionalFormatting>
  <conditionalFormatting sqref="AC6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1">
    <cfRule type="expression" priority="533" dxfId="3">
      <formula>AND(IF(OR($Q61=1,$Q61=2),1,0),IF($X61&lt;=20,1,0))</formula>
    </cfRule>
    <cfRule type="expression" priority="534" dxfId="2">
      <formula>AND(IF($Q61=2,1,0),IF($X61&lt;30,1,0))</formula>
    </cfRule>
    <cfRule type="expression" priority="535" dxfId="1">
      <formula>AND(IF($Q61=3,1,0),IF($X61&lt;30,1,0))</formula>
    </cfRule>
    <cfRule type="expression" priority="536" dxfId="0">
      <formula>AND(IF($Q61=3,1,IF($Q61=4,1,0)),IF($F61&lt;=85,1,0))</formula>
    </cfRule>
  </conditionalFormatting>
  <conditionalFormatting sqref="X61">
    <cfRule type="expression" priority="529" dxfId="3">
      <formula>AND(IF(OR($Q61=1,$Q61=2),1,0),IF($X61&lt;=20,1,0))</formula>
    </cfRule>
    <cfRule type="expression" priority="530" dxfId="2">
      <formula>AND(IF($Q61=2,1,0),IF($X61&lt;30,1,0))</formula>
    </cfRule>
    <cfRule type="expression" priority="531" dxfId="1">
      <formula>AND(IF($Q61=3,1,0),IF($X61&lt;30,1,0))</formula>
    </cfRule>
    <cfRule type="expression" priority="532" dxfId="0">
      <formula>AND(IF($Q61=3,1,IF($Q61=4,1,0)),IF($F61&lt;=85,1,0))</formula>
    </cfRule>
  </conditionalFormatting>
  <conditionalFormatting sqref="AI61">
    <cfRule type="expression" priority="525" dxfId="3">
      <formula>AND(IF(OR($Q61=1,$Q61=2),1,0),IF($X61&lt;=20,1,0))</formula>
    </cfRule>
    <cfRule type="expression" priority="526" dxfId="2">
      <formula>AND(IF($Q61=2,1,0),IF($X61&lt;30,1,0))</formula>
    </cfRule>
    <cfRule type="expression" priority="527" dxfId="1">
      <formula>AND(IF($Q61=3,1,0),IF($X61&lt;30,1,0))</formula>
    </cfRule>
    <cfRule type="expression" priority="528" dxfId="0">
      <formula>AND(IF($Q61=3,1,IF($Q61=4,1,0)),IF($F61&lt;=85,1,0))</formula>
    </cfRule>
  </conditionalFormatting>
  <conditionalFormatting sqref="AV62">
    <cfRule type="expression" priority="523" dxfId="23">
      <formula>AV62="X"</formula>
    </cfRule>
    <cfRule type="expression" priority="524" dxfId="22">
      <formula>AV62="후보"</formula>
    </cfRule>
  </conditionalFormatting>
  <conditionalFormatting sqref="AC6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2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2">
    <cfRule type="expression" priority="514" dxfId="3">
      <formula>AND(IF(OR($Q62=1,$Q62=2),1,0),IF($X62&lt;=20,1,0))</formula>
    </cfRule>
    <cfRule type="expression" priority="515" dxfId="2">
      <formula>AND(IF($Q62=2,1,0),IF($X62&lt;30,1,0))</formula>
    </cfRule>
    <cfRule type="expression" priority="516" dxfId="1">
      <formula>AND(IF($Q62=3,1,0),IF($X62&lt;30,1,0))</formula>
    </cfRule>
    <cfRule type="expression" priority="517" dxfId="0">
      <formula>AND(IF($Q62=3,1,IF($Q62=4,1,0)),IF($F62&lt;=85,1,0))</formula>
    </cfRule>
  </conditionalFormatting>
  <conditionalFormatting sqref="X62">
    <cfRule type="expression" priority="510" dxfId="3">
      <formula>AND(IF(OR($Q62=1,$Q62=2),1,0),IF($X62&lt;=20,1,0))</formula>
    </cfRule>
    <cfRule type="expression" priority="511" dxfId="2">
      <formula>AND(IF($Q62=2,1,0),IF($X62&lt;30,1,0))</formula>
    </cfRule>
    <cfRule type="expression" priority="512" dxfId="1">
      <formula>AND(IF($Q62=3,1,0),IF($X62&lt;30,1,0))</formula>
    </cfRule>
    <cfRule type="expression" priority="513" dxfId="0">
      <formula>AND(IF($Q62=3,1,IF($Q62=4,1,0)),IF($F62&lt;=85,1,0))</formula>
    </cfRule>
  </conditionalFormatting>
  <conditionalFormatting sqref="AI62">
    <cfRule type="expression" priority="506" dxfId="3">
      <formula>AND(IF(OR($Q62=1,$Q62=2),1,0),IF($X62&lt;=20,1,0))</formula>
    </cfRule>
    <cfRule type="expression" priority="507" dxfId="2">
      <formula>AND(IF($Q62=2,1,0),IF($X62&lt;30,1,0))</formula>
    </cfRule>
    <cfRule type="expression" priority="508" dxfId="1">
      <formula>AND(IF($Q62=3,1,0),IF($X62&lt;30,1,0))</formula>
    </cfRule>
    <cfRule type="expression" priority="509" dxfId="0">
      <formula>AND(IF($Q62=3,1,IF($Q62=4,1,0)),IF($F62&lt;=85,1,0))</formula>
    </cfRule>
  </conditionalFormatting>
  <conditionalFormatting sqref="AV63">
    <cfRule type="expression" priority="504" dxfId="23">
      <formula>AV63="X"</formula>
    </cfRule>
    <cfRule type="expression" priority="505" dxfId="22">
      <formula>AV63="후보"</formula>
    </cfRule>
  </conditionalFormatting>
  <conditionalFormatting sqref="AC6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3">
    <cfRule type="expression" priority="495" dxfId="3">
      <formula>AND(IF(OR($Q63=1,$Q63=2),1,0),IF($X63&lt;=20,1,0))</formula>
    </cfRule>
    <cfRule type="expression" priority="496" dxfId="2">
      <formula>AND(IF($Q63=2,1,0),IF($X63&lt;30,1,0))</formula>
    </cfRule>
    <cfRule type="expression" priority="497" dxfId="1">
      <formula>AND(IF($Q63=3,1,0),IF($X63&lt;30,1,0))</formula>
    </cfRule>
    <cfRule type="expression" priority="498" dxfId="0">
      <formula>AND(IF($Q63=3,1,IF($Q63=4,1,0)),IF($F63&lt;=85,1,0))</formula>
    </cfRule>
  </conditionalFormatting>
  <conditionalFormatting sqref="X63">
    <cfRule type="expression" priority="491" dxfId="3">
      <formula>AND(IF(OR($Q63=1,$Q63=2),1,0),IF($X63&lt;=20,1,0))</formula>
    </cfRule>
    <cfRule type="expression" priority="492" dxfId="2">
      <formula>AND(IF($Q63=2,1,0),IF($X63&lt;30,1,0))</formula>
    </cfRule>
    <cfRule type="expression" priority="493" dxfId="1">
      <formula>AND(IF($Q63=3,1,0),IF($X63&lt;30,1,0))</formula>
    </cfRule>
    <cfRule type="expression" priority="494" dxfId="0">
      <formula>AND(IF($Q63=3,1,IF($Q63=4,1,0)),IF($F63&lt;=85,1,0))</formula>
    </cfRule>
  </conditionalFormatting>
  <conditionalFormatting sqref="AI63">
    <cfRule type="expression" priority="487" dxfId="3">
      <formula>AND(IF(OR($Q63=1,$Q63=2),1,0),IF($X63&lt;=20,1,0))</formula>
    </cfRule>
    <cfRule type="expression" priority="488" dxfId="2">
      <formula>AND(IF($Q63=2,1,0),IF($X63&lt;30,1,0))</formula>
    </cfRule>
    <cfRule type="expression" priority="489" dxfId="1">
      <formula>AND(IF($Q63=3,1,0),IF($X63&lt;30,1,0))</formula>
    </cfRule>
    <cfRule type="expression" priority="490" dxfId="0">
      <formula>AND(IF($Q63=3,1,IF($Q63=4,1,0)),IF($F63&lt;=85,1,0))</formula>
    </cfRule>
  </conditionalFormatting>
  <conditionalFormatting sqref="AV64">
    <cfRule type="expression" priority="485" dxfId="23">
      <formula>AV64="X"</formula>
    </cfRule>
    <cfRule type="expression" priority="486" dxfId="22">
      <formula>AV64="후보"</formula>
    </cfRule>
  </conditionalFormatting>
  <conditionalFormatting sqref="AC64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4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4">
    <cfRule type="expression" priority="476" dxfId="3">
      <formula>AND(IF(OR($Q64=1,$Q64=2),1,0),IF($X64&lt;=20,1,0))</formula>
    </cfRule>
    <cfRule type="expression" priority="477" dxfId="2">
      <formula>AND(IF($Q64=2,1,0),IF($X64&lt;30,1,0))</formula>
    </cfRule>
    <cfRule type="expression" priority="478" dxfId="1">
      <formula>AND(IF($Q64=3,1,0),IF($X64&lt;30,1,0))</formula>
    </cfRule>
    <cfRule type="expression" priority="479" dxfId="0">
      <formula>AND(IF($Q64=3,1,IF($Q64=4,1,0)),IF($F64&lt;=85,1,0))</formula>
    </cfRule>
  </conditionalFormatting>
  <conditionalFormatting sqref="X64">
    <cfRule type="expression" priority="472" dxfId="3">
      <formula>AND(IF(OR($Q64=1,$Q64=2),1,0),IF($X64&lt;=20,1,0))</formula>
    </cfRule>
    <cfRule type="expression" priority="473" dxfId="2">
      <formula>AND(IF($Q64=2,1,0),IF($X64&lt;30,1,0))</formula>
    </cfRule>
    <cfRule type="expression" priority="474" dxfId="1">
      <formula>AND(IF($Q64=3,1,0),IF($X64&lt;30,1,0))</formula>
    </cfRule>
    <cfRule type="expression" priority="475" dxfId="0">
      <formula>AND(IF($Q64=3,1,IF($Q64=4,1,0)),IF($F64&lt;=85,1,0))</formula>
    </cfRule>
  </conditionalFormatting>
  <conditionalFormatting sqref="AI64">
    <cfRule type="expression" priority="468" dxfId="3">
      <formula>AND(IF(OR($Q64=1,$Q64=2),1,0),IF($X64&lt;=20,1,0))</formula>
    </cfRule>
    <cfRule type="expression" priority="469" dxfId="2">
      <formula>AND(IF($Q64=2,1,0),IF($X64&lt;30,1,0))</formula>
    </cfRule>
    <cfRule type="expression" priority="470" dxfId="1">
      <formula>AND(IF($Q64=3,1,0),IF($X64&lt;30,1,0))</formula>
    </cfRule>
    <cfRule type="expression" priority="471" dxfId="0">
      <formula>AND(IF($Q64=3,1,IF($Q64=4,1,0)),IF($F64&lt;=85,1,0))</formula>
    </cfRule>
  </conditionalFormatting>
  <conditionalFormatting sqref="AV65">
    <cfRule type="expression" priority="466" dxfId="23">
      <formula>AV65="X"</formula>
    </cfRule>
    <cfRule type="expression" priority="467" dxfId="22">
      <formula>AV65="후보"</formula>
    </cfRule>
  </conditionalFormatting>
  <conditionalFormatting sqref="AC65 N6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66">
    <cfRule type="expression" priority="461" dxfId="23">
      <formula>AV66="X"</formula>
    </cfRule>
    <cfRule type="expression" priority="462" dxfId="22">
      <formula>AV66="후보"</formula>
    </cfRule>
  </conditionalFormatting>
  <conditionalFormatting sqref="AC6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6">
    <cfRule type="expression" priority="452" dxfId="3">
      <formula>AND(IF(OR($Q66=1,$Q66=2),1,0),IF($X66&lt;=20,1,0))</formula>
    </cfRule>
    <cfRule type="expression" priority="453" dxfId="2">
      <formula>AND(IF($Q66=2,1,0),IF($X66&lt;30,1,0))</formula>
    </cfRule>
    <cfRule type="expression" priority="454" dxfId="1">
      <formula>AND(IF($Q66=3,1,0),IF($X66&lt;30,1,0))</formula>
    </cfRule>
    <cfRule type="expression" priority="455" dxfId="0">
      <formula>AND(IF($Q66=3,1,IF($Q66=4,1,0)),IF($F66&lt;=85,1,0))</formula>
    </cfRule>
  </conditionalFormatting>
  <conditionalFormatting sqref="X66">
    <cfRule type="expression" priority="448" dxfId="3">
      <formula>AND(IF(OR($Q66=1,$Q66=2),1,0),IF($X66&lt;=20,1,0))</formula>
    </cfRule>
    <cfRule type="expression" priority="449" dxfId="2">
      <formula>AND(IF($Q66=2,1,0),IF($X66&lt;30,1,0))</formula>
    </cfRule>
    <cfRule type="expression" priority="450" dxfId="1">
      <formula>AND(IF($Q66=3,1,0),IF($X66&lt;30,1,0))</formula>
    </cfRule>
    <cfRule type="expression" priority="451" dxfId="0">
      <formula>AND(IF($Q66=3,1,IF($Q66=4,1,0)),IF($F66&lt;=85,1,0))</formula>
    </cfRule>
  </conditionalFormatting>
  <conditionalFormatting sqref="AI66">
    <cfRule type="expression" priority="444" dxfId="3">
      <formula>AND(IF(OR($Q66=1,$Q66=2),1,0),IF($X66&lt;=20,1,0))</formula>
    </cfRule>
    <cfRule type="expression" priority="445" dxfId="2">
      <formula>AND(IF($Q66=2,1,0),IF($X66&lt;30,1,0))</formula>
    </cfRule>
    <cfRule type="expression" priority="446" dxfId="1">
      <formula>AND(IF($Q66=3,1,0),IF($X66&lt;30,1,0))</formula>
    </cfRule>
    <cfRule type="expression" priority="447" dxfId="0">
      <formula>AND(IF($Q66=3,1,IF($Q66=4,1,0)),IF($F66&lt;=85,1,0))</formula>
    </cfRule>
  </conditionalFormatting>
  <conditionalFormatting sqref="AV67">
    <cfRule type="expression" priority="442" dxfId="23">
      <formula>AV67="X"</formula>
    </cfRule>
    <cfRule type="expression" priority="443" dxfId="22">
      <formula>AV67="후보"</formula>
    </cfRule>
  </conditionalFormatting>
  <conditionalFormatting sqref="AC6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7">
    <cfRule type="expression" priority="433" dxfId="3">
      <formula>AND(IF(OR($Q67=1,$Q67=2),1,0),IF($X67&lt;=20,1,0))</formula>
    </cfRule>
    <cfRule type="expression" priority="434" dxfId="2">
      <formula>AND(IF($Q67=2,1,0),IF($X67&lt;30,1,0))</formula>
    </cfRule>
    <cfRule type="expression" priority="435" dxfId="1">
      <formula>AND(IF($Q67=3,1,0),IF($X67&lt;30,1,0))</formula>
    </cfRule>
    <cfRule type="expression" priority="436" dxfId="0">
      <formula>AND(IF($Q67=3,1,IF($Q67=4,1,0)),IF($F67&lt;=85,1,0))</formula>
    </cfRule>
  </conditionalFormatting>
  <conditionalFormatting sqref="X67">
    <cfRule type="expression" priority="429" dxfId="3">
      <formula>AND(IF(OR($Q67=1,$Q67=2),1,0),IF($X67&lt;=20,1,0))</formula>
    </cfRule>
    <cfRule type="expression" priority="430" dxfId="2">
      <formula>AND(IF($Q67=2,1,0),IF($X67&lt;30,1,0))</formula>
    </cfRule>
    <cfRule type="expression" priority="431" dxfId="1">
      <formula>AND(IF($Q67=3,1,0),IF($X67&lt;30,1,0))</formula>
    </cfRule>
    <cfRule type="expression" priority="432" dxfId="0">
      <formula>AND(IF($Q67=3,1,IF($Q67=4,1,0)),IF($F67&lt;=85,1,0))</formula>
    </cfRule>
  </conditionalFormatting>
  <conditionalFormatting sqref="AI67">
    <cfRule type="expression" priority="425" dxfId="3">
      <formula>AND(IF(OR($Q67=1,$Q67=2),1,0),IF($X67&lt;=20,1,0))</formula>
    </cfRule>
    <cfRule type="expression" priority="426" dxfId="2">
      <formula>AND(IF($Q67=2,1,0),IF($X67&lt;30,1,0))</formula>
    </cfRule>
    <cfRule type="expression" priority="427" dxfId="1">
      <formula>AND(IF($Q67=3,1,0),IF($X67&lt;30,1,0))</formula>
    </cfRule>
    <cfRule type="expression" priority="428" dxfId="0">
      <formula>AND(IF($Q67=3,1,IF($Q67=4,1,0)),IF($F67&lt;=85,1,0))</formula>
    </cfRule>
  </conditionalFormatting>
  <conditionalFormatting sqref="AV68">
    <cfRule type="expression" priority="423" dxfId="23">
      <formula>AV68="X"</formula>
    </cfRule>
    <cfRule type="expression" priority="424" dxfId="22">
      <formula>AV68="후보"</formula>
    </cfRule>
  </conditionalFormatting>
  <conditionalFormatting sqref="AC6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6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68">
    <cfRule type="expression" priority="414" dxfId="3">
      <formula>AND(IF(OR($Q68=1,$Q68=2),1,0),IF($X68&lt;=20,1,0))</formula>
    </cfRule>
    <cfRule type="expression" priority="415" dxfId="2">
      <formula>AND(IF($Q68=2,1,0),IF($X68&lt;30,1,0))</formula>
    </cfRule>
    <cfRule type="expression" priority="416" dxfId="1">
      <formula>AND(IF($Q68=3,1,0),IF($X68&lt;30,1,0))</formula>
    </cfRule>
    <cfRule type="expression" priority="417" dxfId="0">
      <formula>AND(IF($Q68=3,1,IF($Q68=4,1,0)),IF($F68&lt;=85,1,0))</formula>
    </cfRule>
  </conditionalFormatting>
  <conditionalFormatting sqref="X68">
    <cfRule type="expression" priority="410" dxfId="3">
      <formula>AND(IF(OR($Q68=1,$Q68=2),1,0),IF($X68&lt;=20,1,0))</formula>
    </cfRule>
    <cfRule type="expression" priority="411" dxfId="2">
      <formula>AND(IF($Q68=2,1,0),IF($X68&lt;30,1,0))</formula>
    </cfRule>
    <cfRule type="expression" priority="412" dxfId="1">
      <formula>AND(IF($Q68=3,1,0),IF($X68&lt;30,1,0))</formula>
    </cfRule>
    <cfRule type="expression" priority="413" dxfId="0">
      <formula>AND(IF($Q68=3,1,IF($Q68=4,1,0)),IF($F68&lt;=85,1,0))</formula>
    </cfRule>
  </conditionalFormatting>
  <conditionalFormatting sqref="AI68">
    <cfRule type="expression" priority="406" dxfId="3">
      <formula>AND(IF(OR($Q68=1,$Q68=2),1,0),IF($X68&lt;=20,1,0))</formula>
    </cfRule>
    <cfRule type="expression" priority="407" dxfId="2">
      <formula>AND(IF($Q68=2,1,0),IF($X68&lt;30,1,0))</formula>
    </cfRule>
    <cfRule type="expression" priority="408" dxfId="1">
      <formula>AND(IF($Q68=3,1,0),IF($X68&lt;30,1,0))</formula>
    </cfRule>
    <cfRule type="expression" priority="409" dxfId="0">
      <formula>AND(IF($Q68=3,1,IF($Q68=4,1,0)),IF($F68&lt;=85,1,0))</formula>
    </cfRule>
  </conditionalFormatting>
  <conditionalFormatting sqref="AV69">
    <cfRule type="expression" priority="404" dxfId="23">
      <formula>AV69="X"</formula>
    </cfRule>
    <cfRule type="expression" priority="405" dxfId="22">
      <formula>AV69="후보"</formula>
    </cfRule>
  </conditionalFormatting>
  <conditionalFormatting sqref="AC69 N6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70">
    <cfRule type="expression" priority="399" dxfId="23">
      <formula>AV70="X"</formula>
    </cfRule>
    <cfRule type="expression" priority="400" dxfId="22">
      <formula>AV70="후보"</formula>
    </cfRule>
  </conditionalFormatting>
  <conditionalFormatting sqref="AC7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0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0">
    <cfRule type="expression" priority="390" dxfId="3">
      <formula>AND(IF(OR($Q70=1,$Q70=2),1,0),IF($X70&lt;=20,1,0))</formula>
    </cfRule>
    <cfRule type="expression" priority="391" dxfId="2">
      <formula>AND(IF($Q70=2,1,0),IF($X70&lt;30,1,0))</formula>
    </cfRule>
    <cfRule type="expression" priority="392" dxfId="1">
      <formula>AND(IF($Q70=3,1,0),IF($X70&lt;30,1,0))</formula>
    </cfRule>
    <cfRule type="expression" priority="393" dxfId="0">
      <formula>AND(IF($Q70=3,1,IF($Q70=4,1,0)),IF($F70&lt;=85,1,0))</formula>
    </cfRule>
  </conditionalFormatting>
  <conditionalFormatting sqref="X70">
    <cfRule type="expression" priority="386" dxfId="3">
      <formula>AND(IF(OR($Q70=1,$Q70=2),1,0),IF($X70&lt;=20,1,0))</formula>
    </cfRule>
    <cfRule type="expression" priority="387" dxfId="2">
      <formula>AND(IF($Q70=2,1,0),IF($X70&lt;30,1,0))</formula>
    </cfRule>
    <cfRule type="expression" priority="388" dxfId="1">
      <formula>AND(IF($Q70=3,1,0),IF($X70&lt;30,1,0))</formula>
    </cfRule>
    <cfRule type="expression" priority="389" dxfId="0">
      <formula>AND(IF($Q70=3,1,IF($Q70=4,1,0)),IF($F70&lt;=85,1,0))</formula>
    </cfRule>
  </conditionalFormatting>
  <conditionalFormatting sqref="AI70">
    <cfRule type="expression" priority="382" dxfId="3">
      <formula>AND(IF(OR($Q70=1,$Q70=2),1,0),IF($X70&lt;=20,1,0))</formula>
    </cfRule>
    <cfRule type="expression" priority="383" dxfId="2">
      <formula>AND(IF($Q70=2,1,0),IF($X70&lt;30,1,0))</formula>
    </cfRule>
    <cfRule type="expression" priority="384" dxfId="1">
      <formula>AND(IF($Q70=3,1,0),IF($X70&lt;30,1,0))</formula>
    </cfRule>
    <cfRule type="expression" priority="385" dxfId="0">
      <formula>AND(IF($Q70=3,1,IF($Q70=4,1,0)),IF($F70&lt;=85,1,0))</formula>
    </cfRule>
  </conditionalFormatting>
  <conditionalFormatting sqref="AV71">
    <cfRule type="expression" priority="380" dxfId="23">
      <formula>AV71="X"</formula>
    </cfRule>
    <cfRule type="expression" priority="381" dxfId="22">
      <formula>AV71="후보"</formula>
    </cfRule>
  </conditionalFormatting>
  <conditionalFormatting sqref="AC7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7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71">
    <cfRule type="expression" priority="371" dxfId="3">
      <formula>AND(IF(OR($Q71=1,$Q71=2),1,0),IF($X71&lt;=20,1,0))</formula>
    </cfRule>
    <cfRule type="expression" priority="372" dxfId="2">
      <formula>AND(IF($Q71=2,1,0),IF($X71&lt;30,1,0))</formula>
    </cfRule>
    <cfRule type="expression" priority="373" dxfId="1">
      <formula>AND(IF($Q71=3,1,0),IF($X71&lt;30,1,0))</formula>
    </cfRule>
    <cfRule type="expression" priority="374" dxfId="0">
      <formula>AND(IF($Q71=3,1,IF($Q71=4,1,0)),IF($F71&lt;=85,1,0))</formula>
    </cfRule>
  </conditionalFormatting>
  <conditionalFormatting sqref="X71">
    <cfRule type="expression" priority="367" dxfId="3">
      <formula>AND(IF(OR($Q71=1,$Q71=2),1,0),IF($X71&lt;=20,1,0))</formula>
    </cfRule>
    <cfRule type="expression" priority="368" dxfId="2">
      <formula>AND(IF($Q71=2,1,0),IF($X71&lt;30,1,0))</formula>
    </cfRule>
    <cfRule type="expression" priority="369" dxfId="1">
      <formula>AND(IF($Q71=3,1,0),IF($X71&lt;30,1,0))</formula>
    </cfRule>
    <cfRule type="expression" priority="370" dxfId="0">
      <formula>AND(IF($Q71=3,1,IF($Q71=4,1,0)),IF($F71&lt;=85,1,0))</formula>
    </cfRule>
  </conditionalFormatting>
  <conditionalFormatting sqref="AI71">
    <cfRule type="expression" priority="363" dxfId="3">
      <formula>AND(IF(OR($Q71=1,$Q71=2),1,0),IF($X71&lt;=20,1,0))</formula>
    </cfRule>
    <cfRule type="expression" priority="364" dxfId="2">
      <formula>AND(IF($Q71=2,1,0),IF($X71&lt;30,1,0))</formula>
    </cfRule>
    <cfRule type="expression" priority="365" dxfId="1">
      <formula>AND(IF($Q71=3,1,0),IF($X71&lt;30,1,0))</formula>
    </cfRule>
    <cfRule type="expression" priority="366" dxfId="0">
      <formula>AND(IF($Q71=3,1,IF($Q71=4,1,0)),IF($F71&lt;=85,1,0))</formula>
    </cfRule>
  </conditionalFormatting>
  <conditionalFormatting sqref="AV72">
    <cfRule type="expression" priority="361" dxfId="23">
      <formula>AV72="X"</formula>
    </cfRule>
    <cfRule type="expression" priority="362" dxfId="22">
      <formula>AV72="후보"</formula>
    </cfRule>
  </conditionalFormatting>
  <conditionalFormatting sqref="AC7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2">
    <cfRule type="expression" priority="352" dxfId="3">
      <formula>AND(IF(OR($Q72=1,$Q72=2),1,0),IF($X72&lt;=20,1,0))</formula>
    </cfRule>
    <cfRule type="expression" priority="353" dxfId="2">
      <formula>AND(IF($Q72=2,1,0),IF($X72&lt;30,1,0))</formula>
    </cfRule>
    <cfRule type="expression" priority="354" dxfId="1">
      <formula>AND(IF($Q72=3,1,0),IF($X72&lt;30,1,0))</formula>
    </cfRule>
    <cfRule type="expression" priority="355" dxfId="0">
      <formula>AND(IF($Q72=3,1,IF($Q72=4,1,0)),IF($F72&lt;=85,1,0))</formula>
    </cfRule>
  </conditionalFormatting>
  <conditionalFormatting sqref="X72">
    <cfRule type="expression" priority="348" dxfId="3">
      <formula>AND(IF(OR($Q72=1,$Q72=2),1,0),IF($X72&lt;=20,1,0))</formula>
    </cfRule>
    <cfRule type="expression" priority="349" dxfId="2">
      <formula>AND(IF($Q72=2,1,0),IF($X72&lt;30,1,0))</formula>
    </cfRule>
    <cfRule type="expression" priority="350" dxfId="1">
      <formula>AND(IF($Q72=3,1,0),IF($X72&lt;30,1,0))</formula>
    </cfRule>
    <cfRule type="expression" priority="351" dxfId="0">
      <formula>AND(IF($Q72=3,1,IF($Q72=4,1,0)),IF($F72&lt;=85,1,0))</formula>
    </cfRule>
  </conditionalFormatting>
  <conditionalFormatting sqref="AI72">
    <cfRule type="expression" priority="344" dxfId="3">
      <formula>AND(IF(OR($Q72=1,$Q72=2),1,0),IF($X72&lt;=20,1,0))</formula>
    </cfRule>
    <cfRule type="expression" priority="345" dxfId="2">
      <formula>AND(IF($Q72=2,1,0),IF($X72&lt;30,1,0))</formula>
    </cfRule>
    <cfRule type="expression" priority="346" dxfId="1">
      <formula>AND(IF($Q72=3,1,0),IF($X72&lt;30,1,0))</formula>
    </cfRule>
    <cfRule type="expression" priority="347" dxfId="0">
      <formula>AND(IF($Q72=3,1,IF($Q72=4,1,0)),IF($F72&lt;=85,1,0))</formula>
    </cfRule>
  </conditionalFormatting>
  <conditionalFormatting sqref="AV73">
    <cfRule type="expression" priority="342" dxfId="23">
      <formula>AV73="X"</formula>
    </cfRule>
    <cfRule type="expression" priority="343" dxfId="22">
      <formula>AV73="후보"</formula>
    </cfRule>
  </conditionalFormatting>
  <conditionalFormatting sqref="AC73 N7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74">
    <cfRule type="expression" priority="337" dxfId="23">
      <formula>AV74="X"</formula>
    </cfRule>
    <cfRule type="expression" priority="338" dxfId="22">
      <formula>AV74="후보"</formula>
    </cfRule>
  </conditionalFormatting>
  <conditionalFormatting sqref="AC7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7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74">
    <cfRule type="expression" priority="328" dxfId="3">
      <formula>AND(IF(OR($Q74=1,$Q74=2),1,0),IF($X74&lt;=20,1,0))</formula>
    </cfRule>
    <cfRule type="expression" priority="329" dxfId="2">
      <formula>AND(IF($Q74=2,1,0),IF($X74&lt;30,1,0))</formula>
    </cfRule>
    <cfRule type="expression" priority="330" dxfId="1">
      <formula>AND(IF($Q74=3,1,0),IF($X74&lt;30,1,0))</formula>
    </cfRule>
    <cfRule type="expression" priority="331" dxfId="0">
      <formula>AND(IF($Q74=3,1,IF($Q74=4,1,0)),IF($F74&lt;=85,1,0))</formula>
    </cfRule>
  </conditionalFormatting>
  <conditionalFormatting sqref="X74">
    <cfRule type="expression" priority="324" dxfId="3">
      <formula>AND(IF(OR($Q74=1,$Q74=2),1,0),IF($X74&lt;=20,1,0))</formula>
    </cfRule>
    <cfRule type="expression" priority="325" dxfId="2">
      <formula>AND(IF($Q74=2,1,0),IF($X74&lt;30,1,0))</formula>
    </cfRule>
    <cfRule type="expression" priority="326" dxfId="1">
      <formula>AND(IF($Q74=3,1,0),IF($X74&lt;30,1,0))</formula>
    </cfRule>
    <cfRule type="expression" priority="327" dxfId="0">
      <formula>AND(IF($Q74=3,1,IF($Q74=4,1,0)),IF($F74&lt;=85,1,0))</formula>
    </cfRule>
  </conditionalFormatting>
  <conditionalFormatting sqref="AI74">
    <cfRule type="expression" priority="320" dxfId="3">
      <formula>AND(IF(OR($Q74=1,$Q74=2),1,0),IF($X74&lt;=20,1,0))</formula>
    </cfRule>
    <cfRule type="expression" priority="321" dxfId="2">
      <formula>AND(IF($Q74=2,1,0),IF($X74&lt;30,1,0))</formula>
    </cfRule>
    <cfRule type="expression" priority="322" dxfId="1">
      <formula>AND(IF($Q74=3,1,0),IF($X74&lt;30,1,0))</formula>
    </cfRule>
    <cfRule type="expression" priority="323" dxfId="0">
      <formula>AND(IF($Q74=3,1,IF($Q74=4,1,0)),IF($F74&lt;=85,1,0))</formula>
    </cfRule>
  </conditionalFormatting>
  <conditionalFormatting sqref="AV75">
    <cfRule type="expression" priority="318" dxfId="23">
      <formula>AV75="X"</formula>
    </cfRule>
    <cfRule type="expression" priority="319" dxfId="22">
      <formula>AV75="후보"</formula>
    </cfRule>
  </conditionalFormatting>
  <conditionalFormatting sqref="AC7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5">
    <cfRule type="expression" priority="309" dxfId="3">
      <formula>AND(IF(OR($Q75=1,$Q75=2),1,0),IF($X75&lt;=20,1,0))</formula>
    </cfRule>
    <cfRule type="expression" priority="310" dxfId="2">
      <formula>AND(IF($Q75=2,1,0),IF($X75&lt;30,1,0))</formula>
    </cfRule>
    <cfRule type="expression" priority="311" dxfId="1">
      <formula>AND(IF($Q75=3,1,0),IF($X75&lt;30,1,0))</formula>
    </cfRule>
    <cfRule type="expression" priority="312" dxfId="0">
      <formula>AND(IF($Q75=3,1,IF($Q75=4,1,0)),IF($F75&lt;=85,1,0))</formula>
    </cfRule>
  </conditionalFormatting>
  <conditionalFormatting sqref="X75">
    <cfRule type="expression" priority="305" dxfId="3">
      <formula>AND(IF(OR($Q75=1,$Q75=2),1,0),IF($X75&lt;=20,1,0))</formula>
    </cfRule>
    <cfRule type="expression" priority="306" dxfId="2">
      <formula>AND(IF($Q75=2,1,0),IF($X75&lt;30,1,0))</formula>
    </cfRule>
    <cfRule type="expression" priority="307" dxfId="1">
      <formula>AND(IF($Q75=3,1,0),IF($X75&lt;30,1,0))</formula>
    </cfRule>
    <cfRule type="expression" priority="308" dxfId="0">
      <formula>AND(IF($Q75=3,1,IF($Q75=4,1,0)),IF($F75&lt;=85,1,0))</formula>
    </cfRule>
  </conditionalFormatting>
  <conditionalFormatting sqref="AI75">
    <cfRule type="expression" priority="301" dxfId="3">
      <formula>AND(IF(OR($Q75=1,$Q75=2),1,0),IF($X75&lt;=20,1,0))</formula>
    </cfRule>
    <cfRule type="expression" priority="302" dxfId="2">
      <formula>AND(IF($Q75=2,1,0),IF($X75&lt;30,1,0))</formula>
    </cfRule>
    <cfRule type="expression" priority="303" dxfId="1">
      <formula>AND(IF($Q75=3,1,0),IF($X75&lt;30,1,0))</formula>
    </cfRule>
    <cfRule type="expression" priority="304" dxfId="0">
      <formula>AND(IF($Q75=3,1,IF($Q75=4,1,0)),IF($F75&lt;=85,1,0))</formula>
    </cfRule>
  </conditionalFormatting>
  <conditionalFormatting sqref="AV76">
    <cfRule type="expression" priority="299" dxfId="23">
      <formula>AV76="X"</formula>
    </cfRule>
    <cfRule type="expression" priority="300" dxfId="22">
      <formula>AV76="후보"</formula>
    </cfRule>
  </conditionalFormatting>
  <conditionalFormatting sqref="AC7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6">
    <cfRule type="expression" priority="290" dxfId="3">
      <formula>AND(IF(OR($Q76=1,$Q76=2),1,0),IF($X76&lt;=20,1,0))</formula>
    </cfRule>
    <cfRule type="expression" priority="291" dxfId="2">
      <formula>AND(IF($Q76=2,1,0),IF($X76&lt;30,1,0))</formula>
    </cfRule>
    <cfRule type="expression" priority="292" dxfId="1">
      <formula>AND(IF($Q76=3,1,0),IF($X76&lt;30,1,0))</formula>
    </cfRule>
    <cfRule type="expression" priority="293" dxfId="0">
      <formula>AND(IF($Q76=3,1,IF($Q76=4,1,0)),IF($F76&lt;=85,1,0))</formula>
    </cfRule>
  </conditionalFormatting>
  <conditionalFormatting sqref="X76">
    <cfRule type="expression" priority="286" dxfId="3">
      <formula>AND(IF(OR($Q76=1,$Q76=2),1,0),IF($X76&lt;=20,1,0))</formula>
    </cfRule>
    <cfRule type="expression" priority="287" dxfId="2">
      <formula>AND(IF($Q76=2,1,0),IF($X76&lt;30,1,0))</formula>
    </cfRule>
    <cfRule type="expression" priority="288" dxfId="1">
      <formula>AND(IF($Q76=3,1,0),IF($X76&lt;30,1,0))</formula>
    </cfRule>
    <cfRule type="expression" priority="289" dxfId="0">
      <formula>AND(IF($Q76=3,1,IF($Q76=4,1,0)),IF($F76&lt;=85,1,0))</formula>
    </cfRule>
  </conditionalFormatting>
  <conditionalFormatting sqref="AI76">
    <cfRule type="expression" priority="282" dxfId="3">
      <formula>AND(IF(OR($Q76=1,$Q76=2),1,0),IF($X76&lt;=20,1,0))</formula>
    </cfRule>
    <cfRule type="expression" priority="283" dxfId="2">
      <formula>AND(IF($Q76=2,1,0),IF($X76&lt;30,1,0))</formula>
    </cfRule>
    <cfRule type="expression" priority="284" dxfId="1">
      <formula>AND(IF($Q76=3,1,0),IF($X76&lt;30,1,0))</formula>
    </cfRule>
    <cfRule type="expression" priority="285" dxfId="0">
      <formula>AND(IF($Q76=3,1,IF($Q76=4,1,0)),IF($F76&lt;=85,1,0))</formula>
    </cfRule>
  </conditionalFormatting>
  <conditionalFormatting sqref="AV77">
    <cfRule type="expression" priority="280" dxfId="23">
      <formula>AV77="X"</formula>
    </cfRule>
    <cfRule type="expression" priority="281" dxfId="22">
      <formula>AV77="후보"</formula>
    </cfRule>
  </conditionalFormatting>
  <conditionalFormatting sqref="AC77 N7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78">
    <cfRule type="expression" priority="275" dxfId="23">
      <formula>AV78="X"</formula>
    </cfRule>
    <cfRule type="expression" priority="276" dxfId="22">
      <formula>AV78="후보"</formula>
    </cfRule>
  </conditionalFormatting>
  <conditionalFormatting sqref="AC7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8">
    <cfRule type="expression" priority="266" dxfId="3">
      <formula>AND(IF(OR($Q78=1,$Q78=2),1,0),IF($X78&lt;=20,1,0))</formula>
    </cfRule>
    <cfRule type="expression" priority="267" dxfId="2">
      <formula>AND(IF($Q78=2,1,0),IF($X78&lt;30,1,0))</formula>
    </cfRule>
    <cfRule type="expression" priority="268" dxfId="1">
      <formula>AND(IF($Q78=3,1,0),IF($X78&lt;30,1,0))</formula>
    </cfRule>
    <cfRule type="expression" priority="269" dxfId="0">
      <formula>AND(IF($Q78=3,1,IF($Q78=4,1,0)),IF($F78&lt;=85,1,0))</formula>
    </cfRule>
  </conditionalFormatting>
  <conditionalFormatting sqref="X78">
    <cfRule type="expression" priority="262" dxfId="3">
      <formula>AND(IF(OR($Q78=1,$Q78=2),1,0),IF($X78&lt;=20,1,0))</formula>
    </cfRule>
    <cfRule type="expression" priority="263" dxfId="2">
      <formula>AND(IF($Q78=2,1,0),IF($X78&lt;30,1,0))</formula>
    </cfRule>
    <cfRule type="expression" priority="264" dxfId="1">
      <formula>AND(IF($Q78=3,1,0),IF($X78&lt;30,1,0))</formula>
    </cfRule>
    <cfRule type="expression" priority="265" dxfId="0">
      <formula>AND(IF($Q78=3,1,IF($Q78=4,1,0)),IF($F78&lt;=85,1,0))</formula>
    </cfRule>
  </conditionalFormatting>
  <conditionalFormatting sqref="AI78">
    <cfRule type="expression" priority="258" dxfId="3">
      <formula>AND(IF(OR($Q78=1,$Q78=2),1,0),IF($X78&lt;=20,1,0))</formula>
    </cfRule>
    <cfRule type="expression" priority="259" dxfId="2">
      <formula>AND(IF($Q78=2,1,0),IF($X78&lt;30,1,0))</formula>
    </cfRule>
    <cfRule type="expression" priority="260" dxfId="1">
      <formula>AND(IF($Q78=3,1,0),IF($X78&lt;30,1,0))</formula>
    </cfRule>
    <cfRule type="expression" priority="261" dxfId="0">
      <formula>AND(IF($Q78=3,1,IF($Q78=4,1,0)),IF($F78&lt;=85,1,0))</formula>
    </cfRule>
  </conditionalFormatting>
  <conditionalFormatting sqref="AV79">
    <cfRule type="expression" priority="256" dxfId="23">
      <formula>AV79="X"</formula>
    </cfRule>
    <cfRule type="expression" priority="257" dxfId="22">
      <formula>AV79="후보"</formula>
    </cfRule>
  </conditionalFormatting>
  <conditionalFormatting sqref="AC7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9">
    <cfRule type="expression" priority="247" dxfId="3">
      <formula>AND(IF(OR($Q79=1,$Q79=2),1,0),IF($X79&lt;=20,1,0))</formula>
    </cfRule>
    <cfRule type="expression" priority="248" dxfId="2">
      <formula>AND(IF($Q79=2,1,0),IF($X79&lt;30,1,0))</formula>
    </cfRule>
    <cfRule type="expression" priority="249" dxfId="1">
      <formula>AND(IF($Q79=3,1,0),IF($X79&lt;30,1,0))</formula>
    </cfRule>
    <cfRule type="expression" priority="250" dxfId="0">
      <formula>AND(IF($Q79=3,1,IF($Q79=4,1,0)),IF($F79&lt;=85,1,0))</formula>
    </cfRule>
  </conditionalFormatting>
  <conditionalFormatting sqref="X79">
    <cfRule type="expression" priority="243" dxfId="3">
      <formula>AND(IF(OR($Q79=1,$Q79=2),1,0),IF($X79&lt;=20,1,0))</formula>
    </cfRule>
    <cfRule type="expression" priority="244" dxfId="2">
      <formula>AND(IF($Q79=2,1,0),IF($X79&lt;30,1,0))</formula>
    </cfRule>
    <cfRule type="expression" priority="245" dxfId="1">
      <formula>AND(IF($Q79=3,1,0),IF($X79&lt;30,1,0))</formula>
    </cfRule>
    <cfRule type="expression" priority="246" dxfId="0">
      <formula>AND(IF($Q79=3,1,IF($Q79=4,1,0)),IF($F79&lt;=85,1,0))</formula>
    </cfRule>
  </conditionalFormatting>
  <conditionalFormatting sqref="AI79">
    <cfRule type="expression" priority="239" dxfId="3">
      <formula>AND(IF(OR($Q79=1,$Q79=2),1,0),IF($X79&lt;=20,1,0))</formula>
    </cfRule>
    <cfRule type="expression" priority="240" dxfId="2">
      <formula>AND(IF($Q79=2,1,0),IF($X79&lt;30,1,0))</formula>
    </cfRule>
    <cfRule type="expression" priority="241" dxfId="1">
      <formula>AND(IF($Q79=3,1,0),IF($X79&lt;30,1,0))</formula>
    </cfRule>
    <cfRule type="expression" priority="242" dxfId="0">
      <formula>AND(IF($Q79=3,1,IF($Q79=4,1,0)),IF($F79&lt;=85,1,0))</formula>
    </cfRule>
  </conditionalFormatting>
  <conditionalFormatting sqref="AV80">
    <cfRule type="expression" priority="237" dxfId="23">
      <formula>AV80="X"</formula>
    </cfRule>
    <cfRule type="expression" priority="238" dxfId="22">
      <formula>AV80="후보"</formula>
    </cfRule>
  </conditionalFormatting>
  <conditionalFormatting sqref="AC8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0">
    <cfRule type="expression" priority="228" dxfId="3">
      <formula>AND(IF(OR($Q80=1,$Q80=2),1,0),IF($X80&lt;=20,1,0))</formula>
    </cfRule>
    <cfRule type="expression" priority="229" dxfId="2">
      <formula>AND(IF($Q80=2,1,0),IF($X80&lt;30,1,0))</formula>
    </cfRule>
    <cfRule type="expression" priority="230" dxfId="1">
      <formula>AND(IF($Q80=3,1,0),IF($X80&lt;30,1,0))</formula>
    </cfRule>
    <cfRule type="expression" priority="231" dxfId="0">
      <formula>AND(IF($Q80=3,1,IF($Q80=4,1,0)),IF($F80&lt;=85,1,0))</formula>
    </cfRule>
  </conditionalFormatting>
  <conditionalFormatting sqref="X80">
    <cfRule type="expression" priority="224" dxfId="3">
      <formula>AND(IF(OR($Q80=1,$Q80=2),1,0),IF($X80&lt;=20,1,0))</formula>
    </cfRule>
    <cfRule type="expression" priority="225" dxfId="2">
      <formula>AND(IF($Q80=2,1,0),IF($X80&lt;30,1,0))</formula>
    </cfRule>
    <cfRule type="expression" priority="226" dxfId="1">
      <formula>AND(IF($Q80=3,1,0),IF($X80&lt;30,1,0))</formula>
    </cfRule>
    <cfRule type="expression" priority="227" dxfId="0">
      <formula>AND(IF($Q80=3,1,IF($Q80=4,1,0)),IF($F80&lt;=85,1,0))</formula>
    </cfRule>
  </conditionalFormatting>
  <conditionalFormatting sqref="AI80">
    <cfRule type="expression" priority="220" dxfId="3">
      <formula>AND(IF(OR($Q80=1,$Q80=2),1,0),IF($X80&lt;=20,1,0))</formula>
    </cfRule>
    <cfRule type="expression" priority="221" dxfId="2">
      <formula>AND(IF($Q80=2,1,0),IF($X80&lt;30,1,0))</formula>
    </cfRule>
    <cfRule type="expression" priority="222" dxfId="1">
      <formula>AND(IF($Q80=3,1,0),IF($X80&lt;30,1,0))</formula>
    </cfRule>
    <cfRule type="expression" priority="223" dxfId="0">
      <formula>AND(IF($Q80=3,1,IF($Q80=4,1,0)),IF($F80&lt;=85,1,0))</formula>
    </cfRule>
  </conditionalFormatting>
  <conditionalFormatting sqref="AV81">
    <cfRule type="expression" priority="218" dxfId="23">
      <formula>AV81="X"</formula>
    </cfRule>
    <cfRule type="expression" priority="219" dxfId="22">
      <formula>AV81="후보"</formula>
    </cfRule>
  </conditionalFormatting>
  <conditionalFormatting sqref="AC8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1">
    <cfRule type="expression" priority="209" dxfId="3">
      <formula>AND(IF(OR($Q81=1,$Q81=2),1,0),IF($X81&lt;=20,1,0))</formula>
    </cfRule>
    <cfRule type="expression" priority="210" dxfId="2">
      <formula>AND(IF($Q81=2,1,0),IF($X81&lt;30,1,0))</formula>
    </cfRule>
    <cfRule type="expression" priority="211" dxfId="1">
      <formula>AND(IF($Q81=3,1,0),IF($X81&lt;30,1,0))</formula>
    </cfRule>
    <cfRule type="expression" priority="212" dxfId="0">
      <formula>AND(IF($Q81=3,1,IF($Q81=4,1,0)),IF($F81&lt;=85,1,0))</formula>
    </cfRule>
  </conditionalFormatting>
  <conditionalFormatting sqref="X81">
    <cfRule type="expression" priority="205" dxfId="3">
      <formula>AND(IF(OR($Q81=1,$Q81=2),1,0),IF($X81&lt;=20,1,0))</formula>
    </cfRule>
    <cfRule type="expression" priority="206" dxfId="2">
      <formula>AND(IF($Q81=2,1,0),IF($X81&lt;30,1,0))</formula>
    </cfRule>
    <cfRule type="expression" priority="207" dxfId="1">
      <formula>AND(IF($Q81=3,1,0),IF($X81&lt;30,1,0))</formula>
    </cfRule>
    <cfRule type="expression" priority="208" dxfId="0">
      <formula>AND(IF($Q81=3,1,IF($Q81=4,1,0)),IF($F81&lt;=85,1,0))</formula>
    </cfRule>
  </conditionalFormatting>
  <conditionalFormatting sqref="AI81">
    <cfRule type="expression" priority="201" dxfId="3">
      <formula>AND(IF(OR($Q81=1,$Q81=2),1,0),IF($X81&lt;=20,1,0))</formula>
    </cfRule>
    <cfRule type="expression" priority="202" dxfId="2">
      <formula>AND(IF($Q81=2,1,0),IF($X81&lt;30,1,0))</formula>
    </cfRule>
    <cfRule type="expression" priority="203" dxfId="1">
      <formula>AND(IF($Q81=3,1,0),IF($X81&lt;30,1,0))</formula>
    </cfRule>
    <cfRule type="expression" priority="204" dxfId="0">
      <formula>AND(IF($Q81=3,1,IF($Q81=4,1,0)),IF($F81&lt;=85,1,0))</formula>
    </cfRule>
  </conditionalFormatting>
  <conditionalFormatting sqref="AV82">
    <cfRule type="expression" priority="199" dxfId="23">
      <formula>AV82="X"</formula>
    </cfRule>
    <cfRule type="expression" priority="200" dxfId="22">
      <formula>AV82="후보"</formula>
    </cfRule>
  </conditionalFormatting>
  <conditionalFormatting sqref="AC82 N8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83">
    <cfRule type="expression" priority="194" dxfId="23">
      <formula>AV83="X"</formula>
    </cfRule>
    <cfRule type="expression" priority="195" dxfId="22">
      <formula>AV83="후보"</formula>
    </cfRule>
  </conditionalFormatting>
  <conditionalFormatting sqref="AC8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3">
    <cfRule type="expression" priority="185" dxfId="3">
      <formula>AND(IF(OR($Q83=1,$Q83=2),1,0),IF($X83&lt;=20,1,0))</formula>
    </cfRule>
    <cfRule type="expression" priority="186" dxfId="2">
      <formula>AND(IF($Q83=2,1,0),IF($X83&lt;30,1,0))</formula>
    </cfRule>
    <cfRule type="expression" priority="187" dxfId="1">
      <formula>AND(IF($Q83=3,1,0),IF($X83&lt;30,1,0))</formula>
    </cfRule>
    <cfRule type="expression" priority="188" dxfId="0">
      <formula>AND(IF($Q83=3,1,IF($Q83=4,1,0)),IF($F83&lt;=85,1,0))</formula>
    </cfRule>
  </conditionalFormatting>
  <conditionalFormatting sqref="X83">
    <cfRule type="expression" priority="181" dxfId="3">
      <formula>AND(IF(OR($Q83=1,$Q83=2),1,0),IF($X83&lt;=20,1,0))</formula>
    </cfRule>
    <cfRule type="expression" priority="182" dxfId="2">
      <formula>AND(IF($Q83=2,1,0),IF($X83&lt;30,1,0))</formula>
    </cfRule>
    <cfRule type="expression" priority="183" dxfId="1">
      <formula>AND(IF($Q83=3,1,0),IF($X83&lt;30,1,0))</formula>
    </cfRule>
    <cfRule type="expression" priority="184" dxfId="0">
      <formula>AND(IF($Q83=3,1,IF($Q83=4,1,0)),IF($F83&lt;=85,1,0))</formula>
    </cfRule>
  </conditionalFormatting>
  <conditionalFormatting sqref="AI83">
    <cfRule type="expression" priority="177" dxfId="3">
      <formula>AND(IF(OR($Q83=1,$Q83=2),1,0),IF($X83&lt;=20,1,0))</formula>
    </cfRule>
    <cfRule type="expression" priority="178" dxfId="2">
      <formula>AND(IF($Q83=2,1,0),IF($X83&lt;30,1,0))</formula>
    </cfRule>
    <cfRule type="expression" priority="179" dxfId="1">
      <formula>AND(IF($Q83=3,1,0),IF($X83&lt;30,1,0))</formula>
    </cfRule>
    <cfRule type="expression" priority="180" dxfId="0">
      <formula>AND(IF($Q83=3,1,IF($Q83=4,1,0)),IF($F83&lt;=85,1,0))</formula>
    </cfRule>
  </conditionalFormatting>
  <conditionalFormatting sqref="AV84">
    <cfRule type="expression" priority="175" dxfId="23">
      <formula>AV84="X"</formula>
    </cfRule>
    <cfRule type="expression" priority="176" dxfId="22">
      <formula>AV84="후보"</formula>
    </cfRule>
  </conditionalFormatting>
  <conditionalFormatting sqref="AC8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4">
    <cfRule type="expression" priority="166" dxfId="3">
      <formula>AND(IF(OR($Q84=1,$Q84=2),1,0),IF($X84&lt;=20,1,0))</formula>
    </cfRule>
    <cfRule type="expression" priority="167" dxfId="2">
      <formula>AND(IF($Q84=2,1,0),IF($X84&lt;30,1,0))</formula>
    </cfRule>
    <cfRule type="expression" priority="168" dxfId="1">
      <formula>AND(IF($Q84=3,1,0),IF($X84&lt;30,1,0))</formula>
    </cfRule>
    <cfRule type="expression" priority="169" dxfId="0">
      <formula>AND(IF($Q84=3,1,IF($Q84=4,1,0)),IF($F84&lt;=85,1,0))</formula>
    </cfRule>
  </conditionalFormatting>
  <conditionalFormatting sqref="X84">
    <cfRule type="expression" priority="162" dxfId="3">
      <formula>AND(IF(OR($Q84=1,$Q84=2),1,0),IF($X84&lt;=20,1,0))</formula>
    </cfRule>
    <cfRule type="expression" priority="163" dxfId="2">
      <formula>AND(IF($Q84=2,1,0),IF($X84&lt;30,1,0))</formula>
    </cfRule>
    <cfRule type="expression" priority="164" dxfId="1">
      <formula>AND(IF($Q84=3,1,0),IF($X84&lt;30,1,0))</formula>
    </cfRule>
    <cfRule type="expression" priority="165" dxfId="0">
      <formula>AND(IF($Q84=3,1,IF($Q84=4,1,0)),IF($F84&lt;=85,1,0))</formula>
    </cfRule>
  </conditionalFormatting>
  <conditionalFormatting sqref="AI84">
    <cfRule type="expression" priority="158" dxfId="3">
      <formula>AND(IF(OR($Q84=1,$Q84=2),1,0),IF($X84&lt;=20,1,0))</formula>
    </cfRule>
    <cfRule type="expression" priority="159" dxfId="2">
      <formula>AND(IF($Q84=2,1,0),IF($X84&lt;30,1,0))</formula>
    </cfRule>
    <cfRule type="expression" priority="160" dxfId="1">
      <formula>AND(IF($Q84=3,1,0),IF($X84&lt;30,1,0))</formula>
    </cfRule>
    <cfRule type="expression" priority="161" dxfId="0">
      <formula>AND(IF($Q84=3,1,IF($Q84=4,1,0)),IF($F84&lt;=85,1,0))</formula>
    </cfRule>
  </conditionalFormatting>
  <conditionalFormatting sqref="AV85">
    <cfRule type="expression" priority="156" dxfId="23">
      <formula>AV85="X"</formula>
    </cfRule>
    <cfRule type="expression" priority="157" dxfId="22">
      <formula>AV85="후보"</formula>
    </cfRule>
  </conditionalFormatting>
  <conditionalFormatting sqref="AC8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5">
    <cfRule type="expression" priority="147" dxfId="3">
      <formula>AND(IF(OR($Q85=1,$Q85=2),1,0),IF($X85&lt;=20,1,0))</formula>
    </cfRule>
    <cfRule type="expression" priority="148" dxfId="2">
      <formula>AND(IF($Q85=2,1,0),IF($X85&lt;30,1,0))</formula>
    </cfRule>
    <cfRule type="expression" priority="149" dxfId="1">
      <formula>AND(IF($Q85=3,1,0),IF($X85&lt;30,1,0))</formula>
    </cfRule>
    <cfRule type="expression" priority="150" dxfId="0">
      <formula>AND(IF($Q85=3,1,IF($Q85=4,1,0)),IF($F85&lt;=85,1,0))</formula>
    </cfRule>
  </conditionalFormatting>
  <conditionalFormatting sqref="X85">
    <cfRule type="expression" priority="143" dxfId="3">
      <formula>AND(IF(OR($Q85=1,$Q85=2),1,0),IF($X85&lt;=20,1,0))</formula>
    </cfRule>
    <cfRule type="expression" priority="144" dxfId="2">
      <formula>AND(IF($Q85=2,1,0),IF($X85&lt;30,1,0))</formula>
    </cfRule>
    <cfRule type="expression" priority="145" dxfId="1">
      <formula>AND(IF($Q85=3,1,0),IF($X85&lt;30,1,0))</formula>
    </cfRule>
    <cfRule type="expression" priority="146" dxfId="0">
      <formula>AND(IF($Q85=3,1,IF($Q85=4,1,0)),IF($F85&lt;=85,1,0))</formula>
    </cfRule>
  </conditionalFormatting>
  <conditionalFormatting sqref="AI85">
    <cfRule type="expression" priority="139" dxfId="3">
      <formula>AND(IF(OR($Q85=1,$Q85=2),1,0),IF($X85&lt;=20,1,0))</formula>
    </cfRule>
    <cfRule type="expression" priority="140" dxfId="2">
      <formula>AND(IF($Q85=2,1,0),IF($X85&lt;30,1,0))</formula>
    </cfRule>
    <cfRule type="expression" priority="141" dxfId="1">
      <formula>AND(IF($Q85=3,1,0),IF($X85&lt;30,1,0))</formula>
    </cfRule>
    <cfRule type="expression" priority="142" dxfId="0">
      <formula>AND(IF($Q85=3,1,IF($Q85=4,1,0)),IF($F85&lt;=85,1,0))</formula>
    </cfRule>
  </conditionalFormatting>
  <conditionalFormatting sqref="AV86">
    <cfRule type="expression" priority="137" dxfId="23">
      <formula>AV86="X"</formula>
    </cfRule>
    <cfRule type="expression" priority="138" dxfId="22">
      <formula>AV86="후보"</formula>
    </cfRule>
  </conditionalFormatting>
  <conditionalFormatting sqref="AC8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6">
    <cfRule type="expression" priority="128" dxfId="3">
      <formula>AND(IF(OR($Q86=1,$Q86=2),1,0),IF($X86&lt;=20,1,0))</formula>
    </cfRule>
    <cfRule type="expression" priority="129" dxfId="2">
      <formula>AND(IF($Q86=2,1,0),IF($X86&lt;30,1,0))</formula>
    </cfRule>
    <cfRule type="expression" priority="130" dxfId="1">
      <formula>AND(IF($Q86=3,1,0),IF($X86&lt;30,1,0))</formula>
    </cfRule>
    <cfRule type="expression" priority="131" dxfId="0">
      <formula>AND(IF($Q86=3,1,IF($Q86=4,1,0)),IF($F86&lt;=85,1,0))</formula>
    </cfRule>
  </conditionalFormatting>
  <conditionalFormatting sqref="X86">
    <cfRule type="expression" priority="124" dxfId="3">
      <formula>AND(IF(OR($Q86=1,$Q86=2),1,0),IF($X86&lt;=20,1,0))</formula>
    </cfRule>
    <cfRule type="expression" priority="125" dxfId="2">
      <formula>AND(IF($Q86=2,1,0),IF($X86&lt;30,1,0))</formula>
    </cfRule>
    <cfRule type="expression" priority="126" dxfId="1">
      <formula>AND(IF($Q86=3,1,0),IF($X86&lt;30,1,0))</formula>
    </cfRule>
    <cfRule type="expression" priority="127" dxfId="0">
      <formula>AND(IF($Q86=3,1,IF($Q86=4,1,0)),IF($F86&lt;=85,1,0))</formula>
    </cfRule>
  </conditionalFormatting>
  <conditionalFormatting sqref="AI86">
    <cfRule type="expression" priority="120" dxfId="3">
      <formula>AND(IF(OR($Q86=1,$Q86=2),1,0),IF($X86&lt;=20,1,0))</formula>
    </cfRule>
    <cfRule type="expression" priority="121" dxfId="2">
      <formula>AND(IF($Q86=2,1,0),IF($X86&lt;30,1,0))</formula>
    </cfRule>
    <cfRule type="expression" priority="122" dxfId="1">
      <formula>AND(IF($Q86=3,1,0),IF($X86&lt;30,1,0))</formula>
    </cfRule>
    <cfRule type="expression" priority="123" dxfId="0">
      <formula>AND(IF($Q86=3,1,IF($Q86=4,1,0)),IF($F86&lt;=85,1,0))</formula>
    </cfRule>
  </conditionalFormatting>
  <conditionalFormatting sqref="AV87">
    <cfRule type="expression" priority="118" dxfId="23">
      <formula>AV87="X"</formula>
    </cfRule>
    <cfRule type="expression" priority="119" dxfId="22">
      <formula>AV87="후보"</formula>
    </cfRule>
  </conditionalFormatting>
  <conditionalFormatting sqref="AC8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7">
    <cfRule type="expression" priority="109" dxfId="3">
      <formula>AND(IF(OR($Q87=1,$Q87=2),1,0),IF($X87&lt;=20,1,0))</formula>
    </cfRule>
    <cfRule type="expression" priority="110" dxfId="2">
      <formula>AND(IF($Q87=2,1,0),IF($X87&lt;30,1,0))</formula>
    </cfRule>
    <cfRule type="expression" priority="111" dxfId="1">
      <formula>AND(IF($Q87=3,1,0),IF($X87&lt;30,1,0))</formula>
    </cfRule>
    <cfRule type="expression" priority="112" dxfId="0">
      <formula>AND(IF($Q87=3,1,IF($Q87=4,1,0)),IF($F87&lt;=85,1,0))</formula>
    </cfRule>
  </conditionalFormatting>
  <conditionalFormatting sqref="X87">
    <cfRule type="expression" priority="105" dxfId="3">
      <formula>AND(IF(OR($Q87=1,$Q87=2),1,0),IF($X87&lt;=20,1,0))</formula>
    </cfRule>
    <cfRule type="expression" priority="106" dxfId="2">
      <formula>AND(IF($Q87=2,1,0),IF($X87&lt;30,1,0))</formula>
    </cfRule>
    <cfRule type="expression" priority="107" dxfId="1">
      <formula>AND(IF($Q87=3,1,0),IF($X87&lt;30,1,0))</formula>
    </cfRule>
    <cfRule type="expression" priority="108" dxfId="0">
      <formula>AND(IF($Q87=3,1,IF($Q87=4,1,0)),IF($F87&lt;=85,1,0))</formula>
    </cfRule>
  </conditionalFormatting>
  <conditionalFormatting sqref="AI87">
    <cfRule type="expression" priority="101" dxfId="3">
      <formula>AND(IF(OR($Q87=1,$Q87=2),1,0),IF($X87&lt;=20,1,0))</formula>
    </cfRule>
    <cfRule type="expression" priority="102" dxfId="2">
      <formula>AND(IF($Q87=2,1,0),IF($X87&lt;30,1,0))</formula>
    </cfRule>
    <cfRule type="expression" priority="103" dxfId="1">
      <formula>AND(IF($Q87=3,1,0),IF($X87&lt;30,1,0))</formula>
    </cfRule>
    <cfRule type="expression" priority="104" dxfId="0">
      <formula>AND(IF($Q87=3,1,IF($Q87=4,1,0)),IF($F87&lt;=85,1,0))</formula>
    </cfRule>
  </conditionalFormatting>
  <conditionalFormatting sqref="AV88">
    <cfRule type="expression" priority="99" dxfId="23">
      <formula>AV88="X"</formula>
    </cfRule>
    <cfRule type="expression" priority="100" dxfId="22">
      <formula>AV88="후보"</formula>
    </cfRule>
  </conditionalFormatting>
  <conditionalFormatting sqref="AC88 N8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89">
    <cfRule type="expression" priority="94" dxfId="23">
      <formula>AV89="X"</formula>
    </cfRule>
    <cfRule type="expression" priority="95" dxfId="22">
      <formula>AV89="후보"</formula>
    </cfRule>
  </conditionalFormatting>
  <conditionalFormatting sqref="AC8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9">
    <cfRule type="expression" priority="85" dxfId="3">
      <formula>AND(IF(OR($Q89=1,$Q89=2),1,0),IF($X89&lt;=20,1,0))</formula>
    </cfRule>
    <cfRule type="expression" priority="86" dxfId="2">
      <formula>AND(IF($Q89=2,1,0),IF($X89&lt;30,1,0))</formula>
    </cfRule>
    <cfRule type="expression" priority="87" dxfId="1">
      <formula>AND(IF($Q89=3,1,0),IF($X89&lt;30,1,0))</formula>
    </cfRule>
    <cfRule type="expression" priority="88" dxfId="0">
      <formula>AND(IF($Q89=3,1,IF($Q89=4,1,0)),IF($F89&lt;=85,1,0))</formula>
    </cfRule>
  </conditionalFormatting>
  <conditionalFormatting sqref="X89">
    <cfRule type="expression" priority="81" dxfId="3">
      <formula>AND(IF(OR($Q89=1,$Q89=2),1,0),IF($X89&lt;=20,1,0))</formula>
    </cfRule>
    <cfRule type="expression" priority="82" dxfId="2">
      <formula>AND(IF($Q89=2,1,0),IF($X89&lt;30,1,0))</formula>
    </cfRule>
    <cfRule type="expression" priority="83" dxfId="1">
      <formula>AND(IF($Q89=3,1,0),IF($X89&lt;30,1,0))</formula>
    </cfRule>
    <cfRule type="expression" priority="84" dxfId="0">
      <formula>AND(IF($Q89=3,1,IF($Q89=4,1,0)),IF($F89&lt;=85,1,0))</formula>
    </cfRule>
  </conditionalFormatting>
  <conditionalFormatting sqref="AI89">
    <cfRule type="expression" priority="77" dxfId="3">
      <formula>AND(IF(OR($Q89=1,$Q89=2),1,0),IF($X89&lt;=20,1,0))</formula>
    </cfRule>
    <cfRule type="expression" priority="78" dxfId="2">
      <formula>AND(IF($Q89=2,1,0),IF($X89&lt;30,1,0))</formula>
    </cfRule>
    <cfRule type="expression" priority="79" dxfId="1">
      <formula>AND(IF($Q89=3,1,0),IF($X89&lt;30,1,0))</formula>
    </cfRule>
    <cfRule type="expression" priority="80" dxfId="0">
      <formula>AND(IF($Q89=3,1,IF($Q89=4,1,0)),IF($F89&lt;=85,1,0))</formula>
    </cfRule>
  </conditionalFormatting>
  <conditionalFormatting sqref="AV90">
    <cfRule type="expression" priority="75" dxfId="23">
      <formula>AV90="X"</formula>
    </cfRule>
    <cfRule type="expression" priority="76" dxfId="22">
      <formula>AV90="후보"</formula>
    </cfRule>
  </conditionalFormatting>
  <conditionalFormatting sqref="AC9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0">
    <cfRule type="expression" priority="66" dxfId="3">
      <formula>AND(IF(OR($Q90=1,$Q90=2),1,0),IF($X90&lt;=20,1,0))</formula>
    </cfRule>
    <cfRule type="expression" priority="67" dxfId="2">
      <formula>AND(IF($Q90=2,1,0),IF($X90&lt;30,1,0))</formula>
    </cfRule>
    <cfRule type="expression" priority="68" dxfId="1">
      <formula>AND(IF($Q90=3,1,0),IF($X90&lt;30,1,0))</formula>
    </cfRule>
    <cfRule type="expression" priority="69" dxfId="0">
      <formula>AND(IF($Q90=3,1,IF($Q90=4,1,0)),IF($F90&lt;=85,1,0))</formula>
    </cfRule>
  </conditionalFormatting>
  <conditionalFormatting sqref="X90">
    <cfRule type="expression" priority="62" dxfId="3">
      <formula>AND(IF(OR($Q90=1,$Q90=2),1,0),IF($X90&lt;=20,1,0))</formula>
    </cfRule>
    <cfRule type="expression" priority="63" dxfId="2">
      <formula>AND(IF($Q90=2,1,0),IF($X90&lt;30,1,0))</formula>
    </cfRule>
    <cfRule type="expression" priority="64" dxfId="1">
      <formula>AND(IF($Q90=3,1,0),IF($X90&lt;30,1,0))</formula>
    </cfRule>
    <cfRule type="expression" priority="65" dxfId="0">
      <formula>AND(IF($Q90=3,1,IF($Q90=4,1,0)),IF($F90&lt;=85,1,0))</formula>
    </cfRule>
  </conditionalFormatting>
  <conditionalFormatting sqref="AI90">
    <cfRule type="expression" priority="58" dxfId="3">
      <formula>AND(IF(OR($Q90=1,$Q90=2),1,0),IF($X90&lt;=20,1,0))</formula>
    </cfRule>
    <cfRule type="expression" priority="59" dxfId="2">
      <formula>AND(IF($Q90=2,1,0),IF($X90&lt;30,1,0))</formula>
    </cfRule>
    <cfRule type="expression" priority="60" dxfId="1">
      <formula>AND(IF($Q90=3,1,0),IF($X90&lt;30,1,0))</formula>
    </cfRule>
    <cfRule type="expression" priority="61" dxfId="0">
      <formula>AND(IF($Q90=3,1,IF($Q90=4,1,0)),IF($F90&lt;=85,1,0))</formula>
    </cfRule>
  </conditionalFormatting>
  <conditionalFormatting sqref="AV91">
    <cfRule type="expression" priority="56" dxfId="23">
      <formula>AV91="X"</formula>
    </cfRule>
    <cfRule type="expression" priority="57" dxfId="22">
      <formula>AV91="후보"</formula>
    </cfRule>
  </conditionalFormatting>
  <conditionalFormatting sqref="AC9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1">
    <cfRule type="expression" priority="47" dxfId="3">
      <formula>AND(IF(OR($Q91=1,$Q91=2),1,0),IF($X91&lt;=20,1,0))</formula>
    </cfRule>
    <cfRule type="expression" priority="48" dxfId="2">
      <formula>AND(IF($Q91=2,1,0),IF($X91&lt;30,1,0))</formula>
    </cfRule>
    <cfRule type="expression" priority="49" dxfId="1">
      <formula>AND(IF($Q91=3,1,0),IF($X91&lt;30,1,0))</formula>
    </cfRule>
    <cfRule type="expression" priority="50" dxfId="0">
      <formula>AND(IF($Q91=3,1,IF($Q91=4,1,0)),IF($F91&lt;=85,1,0))</formula>
    </cfRule>
  </conditionalFormatting>
  <conditionalFormatting sqref="X91">
    <cfRule type="expression" priority="43" dxfId="3">
      <formula>AND(IF(OR($Q91=1,$Q91=2),1,0),IF($X91&lt;=20,1,0))</formula>
    </cfRule>
    <cfRule type="expression" priority="44" dxfId="2">
      <formula>AND(IF($Q91=2,1,0),IF($X91&lt;30,1,0))</formula>
    </cfRule>
    <cfRule type="expression" priority="45" dxfId="1">
      <formula>AND(IF($Q91=3,1,0),IF($X91&lt;30,1,0))</formula>
    </cfRule>
    <cfRule type="expression" priority="46" dxfId="0">
      <formula>AND(IF($Q91=3,1,IF($Q91=4,1,0)),IF($F91&lt;=85,1,0))</formula>
    </cfRule>
  </conditionalFormatting>
  <conditionalFormatting sqref="AI91">
    <cfRule type="expression" priority="39" dxfId="3">
      <formula>AND(IF(OR($Q91=1,$Q91=2),1,0),IF($X91&lt;=20,1,0))</formula>
    </cfRule>
    <cfRule type="expression" priority="40" dxfId="2">
      <formula>AND(IF($Q91=2,1,0),IF($X91&lt;30,1,0))</formula>
    </cfRule>
    <cfRule type="expression" priority="41" dxfId="1">
      <formula>AND(IF($Q91=3,1,0),IF($X91&lt;30,1,0))</formula>
    </cfRule>
    <cfRule type="expression" priority="42" dxfId="0">
      <formula>AND(IF($Q91=3,1,IF($Q91=4,1,0)),IF($F91&lt;=85,1,0))</formula>
    </cfRule>
  </conditionalFormatting>
  <conditionalFormatting sqref="AV92">
    <cfRule type="expression" priority="37" dxfId="23">
      <formula>AV92="X"</formula>
    </cfRule>
    <cfRule type="expression" priority="38" dxfId="22">
      <formula>AV92="후보"</formula>
    </cfRule>
  </conditionalFormatting>
  <conditionalFormatting sqref="AC9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2">
    <cfRule type="expression" priority="28" dxfId="3">
      <formula>AND(IF(OR($Q92=1,$Q92=2),1,0),IF($X92&lt;=20,1,0))</formula>
    </cfRule>
    <cfRule type="expression" priority="29" dxfId="2">
      <formula>AND(IF($Q92=2,1,0),IF($X92&lt;30,1,0))</formula>
    </cfRule>
    <cfRule type="expression" priority="30" dxfId="1">
      <formula>AND(IF($Q92=3,1,0),IF($X92&lt;30,1,0))</formula>
    </cfRule>
    <cfRule type="expression" priority="31" dxfId="0">
      <formula>AND(IF($Q92=3,1,IF($Q92=4,1,0)),IF($F92&lt;=85,1,0))</formula>
    </cfRule>
  </conditionalFormatting>
  <conditionalFormatting sqref="X92">
    <cfRule type="expression" priority="24" dxfId="3">
      <formula>AND(IF(OR($Q92=1,$Q92=2),1,0),IF($X92&lt;=20,1,0))</formula>
    </cfRule>
    <cfRule type="expression" priority="25" dxfId="2">
      <formula>AND(IF($Q92=2,1,0),IF($X92&lt;30,1,0))</formula>
    </cfRule>
    <cfRule type="expression" priority="26" dxfId="1">
      <formula>AND(IF($Q92=3,1,0),IF($X92&lt;30,1,0))</formula>
    </cfRule>
    <cfRule type="expression" priority="27" dxfId="0">
      <formula>AND(IF($Q92=3,1,IF($Q92=4,1,0)),IF($F92&lt;=85,1,0))</formula>
    </cfRule>
  </conditionalFormatting>
  <conditionalFormatting sqref="AI92">
    <cfRule type="expression" priority="20" dxfId="3">
      <formula>AND(IF(OR($Q92=1,$Q92=2),1,0),IF($X92&lt;=20,1,0))</formula>
    </cfRule>
    <cfRule type="expression" priority="21" dxfId="2">
      <formula>AND(IF($Q92=2,1,0),IF($X92&lt;30,1,0))</formula>
    </cfRule>
    <cfRule type="expression" priority="22" dxfId="1">
      <formula>AND(IF($Q92=3,1,0),IF($X92&lt;30,1,0))</formula>
    </cfRule>
    <cfRule type="expression" priority="23" dxfId="0">
      <formula>AND(IF($Q92=3,1,IF($Q92=4,1,0)),IF($F92&lt;=85,1,0))</formula>
    </cfRule>
  </conditionalFormatting>
  <conditionalFormatting sqref="AV93">
    <cfRule type="expression" priority="18" dxfId="23">
      <formula>AV93="X"</formula>
    </cfRule>
    <cfRule type="expression" priority="19" dxfId="22">
      <formula>AV93="후보"</formula>
    </cfRule>
  </conditionalFormatting>
  <conditionalFormatting sqref="AC9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3">
    <cfRule type="expression" priority="9" dxfId="3">
      <formula>AND(IF(OR($Q93=1,$Q93=2),1,0),IF($X93&lt;=20,1,0))</formula>
    </cfRule>
    <cfRule type="expression" priority="10" dxfId="2">
      <formula>AND(IF($Q93=2,1,0),IF($X93&lt;30,1,0))</formula>
    </cfRule>
    <cfRule type="expression" priority="11" dxfId="1">
      <formula>AND(IF($Q93=3,1,0),IF($X93&lt;30,1,0))</formula>
    </cfRule>
    <cfRule type="expression" priority="12" dxfId="0">
      <formula>AND(IF($Q93=3,1,IF($Q93=4,1,0)),IF($F93&lt;=85,1,0))</formula>
    </cfRule>
  </conditionalFormatting>
  <conditionalFormatting sqref="X93">
    <cfRule type="expression" priority="5" dxfId="3">
      <formula>AND(IF(OR($Q93=1,$Q93=2),1,0),IF($X93&lt;=20,1,0))</formula>
    </cfRule>
    <cfRule type="expression" priority="6" dxfId="2">
      <formula>AND(IF($Q93=2,1,0),IF($X93&lt;30,1,0))</formula>
    </cfRule>
    <cfRule type="expression" priority="7" dxfId="1">
      <formula>AND(IF($Q93=3,1,0),IF($X93&lt;30,1,0))</formula>
    </cfRule>
    <cfRule type="expression" priority="8" dxfId="0">
      <formula>AND(IF($Q93=3,1,IF($Q93=4,1,0)),IF($F93&lt;=85,1,0))</formula>
    </cfRule>
  </conditionalFormatting>
  <conditionalFormatting sqref="AI93">
    <cfRule type="expression" priority="1" dxfId="3">
      <formula>AND(IF(OR($Q93=1,$Q93=2),1,0),IF($X93&lt;=20,1,0))</formula>
    </cfRule>
    <cfRule type="expression" priority="2" dxfId="2">
      <formula>AND(IF($Q93=2,1,0),IF($X93&lt;30,1,0))</formula>
    </cfRule>
    <cfRule type="expression" priority="3" dxfId="1">
      <formula>AND(IF($Q93=3,1,0),IF($X93&lt;30,1,0))</formula>
    </cfRule>
    <cfRule type="expression" priority="4" dxfId="0">
      <formula>AND(IF($Q93=3,1,IF($Q93=4,1,0)),IF($F93&lt;=85,1,0))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서상동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중동대동다숲</t>
        </is>
      </c>
      <c r="B6" s="10" t="inlineStr">
        <is>
          <t>'05.12.</t>
        </is>
      </c>
      <c r="C6" s="133" t="n">
        <v>630</v>
      </c>
      <c r="D6" s="131" t="n">
        <v>106.9</v>
      </c>
      <c r="E6" s="132" t="n">
        <v>32</v>
      </c>
      <c r="F6" s="131" t="n">
        <v>84.90000000000001</v>
      </c>
      <c r="G6" s="17" t="n">
        <v>26</v>
      </c>
      <c r="H6" s="133" t="n">
        <v>230</v>
      </c>
      <c r="I6" s="134" t="n">
        <v>35000</v>
      </c>
      <c r="J6" s="134" t="inlineStr">
        <is>
          <t>중</t>
        </is>
      </c>
      <c r="K6" s="134" t="n">
        <v>30000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중동대동다숲</t>
        </is>
      </c>
      <c r="B7" s="10" t="inlineStr">
        <is>
          <t>'05.12.</t>
        </is>
      </c>
      <c r="C7" s="133" t="n">
        <v>630</v>
      </c>
      <c r="D7" s="131" t="n">
        <v>112.8</v>
      </c>
      <c r="E7" s="132" t="n">
        <v>34</v>
      </c>
      <c r="F7" s="131" t="n">
        <v>84.90000000000001</v>
      </c>
      <c r="G7" s="17" t="n">
        <v>26</v>
      </c>
      <c r="H7" s="133" t="n">
        <v>192</v>
      </c>
      <c r="I7" s="134" t="n">
        <v>37000</v>
      </c>
      <c r="J7" s="134" t="inlineStr">
        <is>
          <t>중</t>
        </is>
      </c>
      <c r="K7" s="134" t="n">
        <v>30000</v>
      </c>
      <c r="L7" s="134" t="inlineStr">
        <is>
          <t>고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112A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중동대동다숲</t>
        </is>
      </c>
      <c r="B8" s="10" t="inlineStr">
        <is>
          <t>'05.12.</t>
        </is>
      </c>
      <c r="C8" s="133" t="n">
        <v>630</v>
      </c>
      <c r="D8" s="131" t="n">
        <v>113.7</v>
      </c>
      <c r="E8" s="132" t="n">
        <v>34</v>
      </c>
      <c r="F8" s="131" t="n">
        <v>85</v>
      </c>
      <c r="G8" s="17" t="n">
        <v>26</v>
      </c>
      <c r="H8" s="133" t="n">
        <v>150</v>
      </c>
      <c r="I8" s="134" t="n">
        <v>37000</v>
      </c>
      <c r="J8" s="134" t="inlineStr">
        <is>
          <t>고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113B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중동대동다숲</t>
        </is>
      </c>
      <c r="B9" s="10" t="inlineStr">
        <is>
          <t>'05.12.</t>
        </is>
      </c>
      <c r="C9" s="133" t="n">
        <v>630</v>
      </c>
      <c r="D9" s="131" t="n">
        <v>158</v>
      </c>
      <c r="E9" s="132" t="n">
        <v>48</v>
      </c>
      <c r="F9" s="131" t="n">
        <v>131.1</v>
      </c>
      <c r="G9" s="17" t="n">
        <v>40</v>
      </c>
      <c r="H9" s="133" t="n">
        <v>30</v>
      </c>
      <c r="I9" s="134" t="n">
        <v>54000</v>
      </c>
      <c r="J9" s="134" t="inlineStr">
        <is>
          <t>고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158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중동대동다숲</t>
        </is>
      </c>
      <c r="B10" s="10" t="inlineStr">
        <is>
          <t>'05.12.</t>
        </is>
      </c>
      <c r="C10" s="133" t="n">
        <v>630</v>
      </c>
      <c r="D10" s="131" t="n">
        <v>182</v>
      </c>
      <c r="E10" s="132" t="n">
        <v>55</v>
      </c>
      <c r="F10" s="131" t="n">
        <v>151.9</v>
      </c>
      <c r="G10" s="17" t="n">
        <v>46</v>
      </c>
      <c r="H10" s="133" t="n">
        <v>28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181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소계럭키</t>
        </is>
      </c>
      <c r="B6" s="10" t="inlineStr">
        <is>
          <t>'91.03.</t>
        </is>
      </c>
      <c r="C6" s="133" t="n">
        <v>243</v>
      </c>
      <c r="D6" s="131" t="n">
        <v>65.8</v>
      </c>
      <c r="E6" s="132" t="n">
        <v>20</v>
      </c>
      <c r="F6" s="131" t="n">
        <v>49.8</v>
      </c>
      <c r="G6" s="17" t="n">
        <v>15</v>
      </c>
      <c r="H6" s="133" t="n">
        <v>21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복</t>
        </is>
      </c>
      <c r="T6" s="5" t="n">
        <v>65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소계럭키</t>
        </is>
      </c>
      <c r="B7" s="10" t="inlineStr">
        <is>
          <t>'91.03.</t>
        </is>
      </c>
      <c r="C7" s="133" t="n">
        <v>243</v>
      </c>
      <c r="D7" s="131" t="n">
        <v>71.40000000000001</v>
      </c>
      <c r="E7" s="132" t="n">
        <v>22</v>
      </c>
      <c r="F7" s="131" t="n">
        <v>54.1</v>
      </c>
      <c r="G7" s="17" t="n">
        <v>16</v>
      </c>
      <c r="H7" s="133" t="n">
        <v>90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복</t>
        </is>
      </c>
      <c r="T7" s="5" t="n">
        <v>71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소계럭키</t>
        </is>
      </c>
      <c r="B8" s="10" t="inlineStr">
        <is>
          <t>'91.03.</t>
        </is>
      </c>
      <c r="C8" s="133" t="n">
        <v>243</v>
      </c>
      <c r="D8" s="131" t="n">
        <v>79.3</v>
      </c>
      <c r="E8" s="132" t="n">
        <v>24</v>
      </c>
      <c r="F8" s="131" t="n">
        <v>60</v>
      </c>
      <c r="G8" s="17" t="n">
        <v>18</v>
      </c>
      <c r="H8" s="133" t="n">
        <v>132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79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창원중동유니시티1단지</t>
        </is>
      </c>
      <c r="B6" s="10" t="inlineStr">
        <is>
          <t>'19.06.</t>
        </is>
      </c>
      <c r="C6" s="133" t="n">
        <v>1803</v>
      </c>
      <c r="D6" s="131" t="n">
        <v>83.8</v>
      </c>
      <c r="E6" s="132" t="n">
        <v>25</v>
      </c>
      <c r="F6" s="131" t="n">
        <v>60</v>
      </c>
      <c r="G6" s="17" t="n">
        <v>18</v>
      </c>
      <c r="H6" s="133" t="n">
        <v>162</v>
      </c>
      <c r="I6" s="134" t="n">
        <v>57000</v>
      </c>
      <c r="J6" s="134" t="inlineStr">
        <is>
          <t>고</t>
        </is>
      </c>
      <c r="K6" s="134" t="n">
        <v>35000</v>
      </c>
      <c r="L6" s="134" t="inlineStr">
        <is>
          <t>9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창원중동유니시티1단지</t>
        </is>
      </c>
      <c r="B7" s="10" t="inlineStr">
        <is>
          <t>'19.06.</t>
        </is>
      </c>
      <c r="C7" s="133" t="n">
        <v>1803</v>
      </c>
      <c r="D7" s="131" t="n">
        <v>100.8</v>
      </c>
      <c r="E7" s="132" t="n">
        <v>30</v>
      </c>
      <c r="F7" s="131" t="n">
        <v>72.90000000000001</v>
      </c>
      <c r="G7" s="17" t="n">
        <v>22</v>
      </c>
      <c r="H7" s="133" t="n">
        <v>182</v>
      </c>
      <c r="I7" s="134" t="n">
        <v>70000</v>
      </c>
      <c r="J7" s="134" t="inlineStr">
        <is>
          <t>21</t>
        </is>
      </c>
      <c r="K7" s="134" t="n">
        <v>40000</v>
      </c>
      <c r="L7" s="134" t="inlineStr">
        <is>
          <t>21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100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창원중동유니시티1단지</t>
        </is>
      </c>
      <c r="B8" s="10" t="inlineStr">
        <is>
          <t>'19.06.</t>
        </is>
      </c>
      <c r="C8" s="133" t="n">
        <v>1803</v>
      </c>
      <c r="D8" s="131" t="n">
        <v>116.8</v>
      </c>
      <c r="E8" s="132" t="n">
        <v>35</v>
      </c>
      <c r="F8" s="131" t="n">
        <v>84.09999999999999</v>
      </c>
      <c r="G8" s="17" t="n">
        <v>25</v>
      </c>
      <c r="H8" s="133" t="n">
        <v>269</v>
      </c>
      <c r="I8" s="134" t="n">
        <v>77000</v>
      </c>
      <c r="J8" s="134" t="inlineStr">
        <is>
          <t>20</t>
        </is>
      </c>
      <c r="K8" s="134" t="n">
        <v>48000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116B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창원중동유니시티1단지</t>
        </is>
      </c>
      <c r="B9" s="10" t="inlineStr">
        <is>
          <t>'19.06.</t>
        </is>
      </c>
      <c r="C9" s="133" t="n">
        <v>1803</v>
      </c>
      <c r="D9" s="131" t="n">
        <v>117.1</v>
      </c>
      <c r="E9" s="132" t="n">
        <v>35</v>
      </c>
      <c r="F9" s="131" t="n">
        <v>84.40000000000001</v>
      </c>
      <c r="G9" s="17" t="n">
        <v>26</v>
      </c>
      <c r="H9" s="133" t="n">
        <v>506</v>
      </c>
      <c r="I9" s="134" t="n">
        <v>74000</v>
      </c>
      <c r="J9" s="134" t="inlineStr">
        <is>
          <t>16</t>
        </is>
      </c>
      <c r="K9" s="134" t="n">
        <v>45000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117A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창원중동유니시티1단지</t>
        </is>
      </c>
      <c r="B10" s="10" t="inlineStr">
        <is>
          <t>'19.06.</t>
        </is>
      </c>
      <c r="C10" s="133" t="n">
        <v>1803</v>
      </c>
      <c r="D10" s="131" t="n">
        <v>136.5</v>
      </c>
      <c r="E10" s="132" t="n">
        <v>41</v>
      </c>
      <c r="F10" s="131" t="n">
        <v>99.2</v>
      </c>
      <c r="G10" s="17" t="n">
        <v>30</v>
      </c>
      <c r="H10" s="133" t="n">
        <v>474</v>
      </c>
      <c r="I10" s="134" t="n">
        <v>95000</v>
      </c>
      <c r="J10" s="134" t="inlineStr">
        <is>
          <t>32</t>
        </is>
      </c>
      <c r="K10" s="134" t="n">
        <v>48000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136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창원중동유니시티1단지</t>
        </is>
      </c>
      <c r="B11" s="10" t="inlineStr">
        <is>
          <t>'19.06.</t>
        </is>
      </c>
      <c r="C11" s="133" t="n">
        <v>1803</v>
      </c>
      <c r="D11" s="131" t="n">
        <v>158.6</v>
      </c>
      <c r="E11" s="132" t="n">
        <v>48</v>
      </c>
      <c r="F11" s="131" t="n">
        <v>115.7</v>
      </c>
      <c r="G11" s="17" t="n">
        <v>35</v>
      </c>
      <c r="H11" s="133" t="n">
        <v>128</v>
      </c>
      <c r="I11" s="134" t="n">
        <v>133000</v>
      </c>
      <c r="J11" s="134" t="inlineStr">
        <is>
          <t>고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n">
        <v>158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창원중동유니시티1단지</t>
        </is>
      </c>
      <c r="B12" s="10" t="inlineStr">
        <is>
          <t>'19.06.</t>
        </is>
      </c>
      <c r="C12" s="133" t="n">
        <v>1803</v>
      </c>
      <c r="D12" s="131" t="n">
        <v>185.8</v>
      </c>
      <c r="E12" s="132" t="n">
        <v>56</v>
      </c>
      <c r="F12" s="131" t="n">
        <v>135.9</v>
      </c>
      <c r="G12" s="17" t="n">
        <v>41</v>
      </c>
      <c r="H12" s="133" t="n">
        <v>41</v>
      </c>
      <c r="I12" s="134" t="n">
        <v>163000</v>
      </c>
      <c r="J12" s="134" t="inlineStr">
        <is>
          <t>17</t>
        </is>
      </c>
      <c r="K12" s="134" t="n">
        <v>97000</v>
      </c>
      <c r="L12" s="134" t="inlineStr">
        <is>
          <t>37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185A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창원중동유니시티1단지</t>
        </is>
      </c>
      <c r="B13" s="10" t="inlineStr">
        <is>
          <t>'19.06.</t>
        </is>
      </c>
      <c r="C13" s="133" t="n">
        <v>1803</v>
      </c>
      <c r="D13" s="131" t="n">
        <v>186.9</v>
      </c>
      <c r="E13" s="132" t="n">
        <v>57</v>
      </c>
      <c r="F13" s="131" t="n">
        <v>135.8</v>
      </c>
      <c r="G13" s="17" t="n">
        <v>41</v>
      </c>
      <c r="H13" s="133" t="n">
        <v>41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186B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창원중동유니시티4단지</t>
        </is>
      </c>
      <c r="B15" s="10" t="inlineStr">
        <is>
          <t>'19.12.</t>
        </is>
      </c>
      <c r="C15" s="133" t="n">
        <v>1768</v>
      </c>
      <c r="D15" s="131" t="n">
        <v>82.7</v>
      </c>
      <c r="E15" s="132" t="n">
        <v>25</v>
      </c>
      <c r="F15" s="131" t="n">
        <v>60</v>
      </c>
      <c r="G15" s="17" t="n">
        <v>18</v>
      </c>
      <c r="H15" s="133" t="n">
        <v>104</v>
      </c>
      <c r="I15" s="134" t="n">
        <v>55000</v>
      </c>
      <c r="J15" s="134" t="inlineStr">
        <is>
          <t>11</t>
        </is>
      </c>
      <c r="K15" s="134" t="n">
        <v>36000</v>
      </c>
      <c r="L15" s="134" t="inlineStr">
        <is>
          <t>6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82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창원중동유니시티4단지</t>
        </is>
      </c>
      <c r="B16" s="10" t="inlineStr">
        <is>
          <t>'19.12.</t>
        </is>
      </c>
      <c r="C16" s="133" t="n">
        <v>1768</v>
      </c>
      <c r="D16" s="131" t="n">
        <v>99.2</v>
      </c>
      <c r="E16" s="132" t="n">
        <v>30</v>
      </c>
      <c r="F16" s="131" t="n">
        <v>72.90000000000001</v>
      </c>
      <c r="G16" s="17" t="n">
        <v>22</v>
      </c>
      <c r="H16" s="133" t="n">
        <v>104</v>
      </c>
      <c r="I16" s="134" t="n">
        <v>65000</v>
      </c>
      <c r="J16" s="134" t="inlineStr">
        <is>
          <t>12</t>
        </is>
      </c>
      <c r="K16" s="134" t="n">
        <v>39000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99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창원중동유니시티4단지</t>
        </is>
      </c>
      <c r="B17" s="10" t="inlineStr">
        <is>
          <t>'19.12.</t>
        </is>
      </c>
      <c r="C17" s="133" t="n">
        <v>1768</v>
      </c>
      <c r="D17" s="131" t="n">
        <v>115.7</v>
      </c>
      <c r="E17" s="132" t="n">
        <v>35</v>
      </c>
      <c r="F17" s="131" t="n">
        <v>84.7</v>
      </c>
      <c r="G17" s="17" t="n">
        <v>26</v>
      </c>
      <c r="H17" s="133" t="n">
        <v>686</v>
      </c>
      <c r="I17" s="134" t="n">
        <v>73000</v>
      </c>
      <c r="J17" s="134" t="inlineStr">
        <is>
          <t>중</t>
        </is>
      </c>
      <c r="K17" s="134" t="n">
        <v>32000</v>
      </c>
      <c r="L17" s="134" t="inlineStr">
        <is>
          <t>고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115A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창원중동유니시티4단지</t>
        </is>
      </c>
      <c r="B18" s="10" t="inlineStr">
        <is>
          <t>'19.12.</t>
        </is>
      </c>
      <c r="C18" s="133" t="n">
        <v>1768</v>
      </c>
      <c r="D18" s="131" t="n">
        <v>115.9</v>
      </c>
      <c r="E18" s="132" t="n">
        <v>35</v>
      </c>
      <c r="F18" s="131" t="n">
        <v>84.8</v>
      </c>
      <c r="G18" s="17" t="n">
        <v>26</v>
      </c>
      <c r="H18" s="133" t="n">
        <v>308</v>
      </c>
      <c r="I18" s="134" t="n">
        <v>73000</v>
      </c>
      <c r="J18" s="134" t="inlineStr">
        <is>
          <t>20</t>
        </is>
      </c>
      <c r="K18" s="134" t="n">
        <v>40000</v>
      </c>
      <c r="L18" s="134" t="inlineStr">
        <is>
          <t>38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115B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창원중동유니시티4단지</t>
        </is>
      </c>
      <c r="B19" s="10" t="inlineStr">
        <is>
          <t>'19.12.</t>
        </is>
      </c>
      <c r="C19" s="133" t="n">
        <v>1768</v>
      </c>
      <c r="D19" s="131" t="n">
        <v>135.6</v>
      </c>
      <c r="E19" s="132" t="n">
        <v>41</v>
      </c>
      <c r="F19" s="131" t="n">
        <v>100.3</v>
      </c>
      <c r="G19" s="17" t="n">
        <v>30</v>
      </c>
      <c r="H19" s="133" t="n">
        <v>372</v>
      </c>
      <c r="I19" s="134" t="n">
        <v>95000</v>
      </c>
      <c r="J19" s="134" t="inlineStr">
        <is>
          <t>중</t>
        </is>
      </c>
      <c r="K19" s="134" t="n">
        <v>47000</v>
      </c>
      <c r="L19" s="134" t="inlineStr">
        <is>
          <t>37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135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창원중동유니시티4단지</t>
        </is>
      </c>
      <c r="B20" s="10" t="inlineStr">
        <is>
          <t>'19.12.</t>
        </is>
      </c>
      <c r="C20" s="133" t="n">
        <v>1768</v>
      </c>
      <c r="D20" s="131" t="n">
        <v>158.8</v>
      </c>
      <c r="E20" s="132" t="n">
        <v>48</v>
      </c>
      <c r="F20" s="131" t="n">
        <v>117.9</v>
      </c>
      <c r="G20" s="17" t="n">
        <v>36</v>
      </c>
      <c r="H20" s="133" t="n">
        <v>112</v>
      </c>
      <c r="I20" s="134" t="n">
        <v>128000</v>
      </c>
      <c r="J20" s="134" t="inlineStr">
        <is>
          <t>9</t>
        </is>
      </c>
      <c r="K20" s="134" t="n">
        <v>75000</v>
      </c>
      <c r="L20" s="134" t="inlineStr">
        <is>
          <t>29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158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창원중동유니시티4단지</t>
        </is>
      </c>
      <c r="B21" s="10" t="inlineStr">
        <is>
          <t>'19.12.</t>
        </is>
      </c>
      <c r="C21" s="133" t="n">
        <v>1768</v>
      </c>
      <c r="D21" s="131" t="n">
        <v>185.3</v>
      </c>
      <c r="E21" s="132" t="n">
        <v>56</v>
      </c>
      <c r="F21" s="131" t="n">
        <v>137.9</v>
      </c>
      <c r="G21" s="17" t="n">
        <v>42</v>
      </c>
      <c r="H21" s="133" t="n">
        <v>41</v>
      </c>
      <c r="I21" s="134" t="n">
        <v>230000</v>
      </c>
      <c r="J21" s="134" t="inlineStr">
        <is>
          <t>고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inlineStr">
        <is>
          <t>185A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창원중동유니시티4단지</t>
        </is>
      </c>
      <c r="B22" s="10" t="inlineStr">
        <is>
          <t>'19.12.</t>
        </is>
      </c>
      <c r="C22" s="133" t="n">
        <v>1768</v>
      </c>
      <c r="D22" s="131" t="n">
        <v>185.6</v>
      </c>
      <c r="E22" s="132" t="n">
        <v>56</v>
      </c>
      <c r="F22" s="131" t="n">
        <v>137.2</v>
      </c>
      <c r="G22" s="17" t="n">
        <v>41</v>
      </c>
      <c r="H22" s="133" t="n">
        <v>41</v>
      </c>
      <c r="I22" s="134" t="n">
        <v>190000</v>
      </c>
      <c r="J22" s="134" t="inlineStr">
        <is>
          <t>고</t>
        </is>
      </c>
      <c r="K22" s="134" t="n">
        <v>100000</v>
      </c>
      <c r="L22" s="134" t="inlineStr">
        <is>
          <t>27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inlineStr">
        <is>
          <t>185B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창원중동유니시티3단지</t>
        </is>
      </c>
      <c r="B24" s="10" t="inlineStr">
        <is>
          <t>'19.12.</t>
        </is>
      </c>
      <c r="C24" s="133" t="n">
        <v>1465</v>
      </c>
      <c r="D24" s="131" t="n">
        <v>84</v>
      </c>
      <c r="E24" s="132" t="n">
        <v>25</v>
      </c>
      <c r="F24" s="131" t="n">
        <v>60</v>
      </c>
      <c r="G24" s="17" t="n">
        <v>18</v>
      </c>
      <c r="H24" s="133" t="n">
        <v>160</v>
      </c>
      <c r="I24" s="134" t="n">
        <v>54000</v>
      </c>
      <c r="J24" s="134" t="inlineStr">
        <is>
          <t>고</t>
        </is>
      </c>
      <c r="K24" s="134" t="n">
        <v>38000</v>
      </c>
      <c r="L24" s="134" t="inlineStr">
        <is>
          <t>고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84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창원중동유니시티3단지</t>
        </is>
      </c>
      <c r="B25" s="10" t="inlineStr">
        <is>
          <t>'19.12.</t>
        </is>
      </c>
      <c r="C25" s="133" t="n">
        <v>1465</v>
      </c>
      <c r="D25" s="131" t="n">
        <v>100.9</v>
      </c>
      <c r="E25" s="132" t="n">
        <v>31</v>
      </c>
      <c r="F25" s="131" t="n">
        <v>72.90000000000001</v>
      </c>
      <c r="G25" s="17" t="n">
        <v>22</v>
      </c>
      <c r="H25" s="133" t="n">
        <v>50</v>
      </c>
      <c r="I25" s="134" t="n">
        <v>75000</v>
      </c>
      <c r="J25" s="134" t="inlineStr">
        <is>
          <t>고</t>
        </is>
      </c>
      <c r="K25" s="134" t="n">
        <v>45000</v>
      </c>
      <c r="L25" s="134" t="inlineStr">
        <is>
          <t>21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100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창원중동유니시티3단지</t>
        </is>
      </c>
      <c r="B26" s="10" t="inlineStr">
        <is>
          <t>'19.12.</t>
        </is>
      </c>
      <c r="C26" s="133" t="n">
        <v>1465</v>
      </c>
      <c r="D26" s="131" t="n">
        <v>117.6</v>
      </c>
      <c r="E26" s="132" t="n">
        <v>36</v>
      </c>
      <c r="F26" s="131" t="n">
        <v>84.7</v>
      </c>
      <c r="G26" s="17" t="n">
        <v>26</v>
      </c>
      <c r="H26" s="133" t="n">
        <v>658</v>
      </c>
      <c r="I26" s="134" t="n">
        <v>70000</v>
      </c>
      <c r="J26" s="134" t="inlineStr">
        <is>
          <t>고</t>
        </is>
      </c>
      <c r="K26" s="134" t="n">
        <v>38000</v>
      </c>
      <c r="L26" s="134" t="inlineStr">
        <is>
          <t>중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117A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창원중동유니시티3단지</t>
        </is>
      </c>
      <c r="B27" s="10" t="inlineStr">
        <is>
          <t>'19.12.</t>
        </is>
      </c>
      <c r="C27" s="133" t="n">
        <v>1465</v>
      </c>
      <c r="D27" s="131" t="n">
        <v>117.9</v>
      </c>
      <c r="E27" s="132" t="n">
        <v>36</v>
      </c>
      <c r="F27" s="131" t="n">
        <v>84.8</v>
      </c>
      <c r="G27" s="17" t="n">
        <v>26</v>
      </c>
      <c r="H27" s="133" t="n">
        <v>273</v>
      </c>
      <c r="I27" s="134" t="n">
        <v>73000</v>
      </c>
      <c r="J27" s="134" t="inlineStr">
        <is>
          <t>35</t>
        </is>
      </c>
      <c r="K27" s="134" t="n">
        <v>38000</v>
      </c>
      <c r="L27" s="134" t="inlineStr">
        <is>
          <t>32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117B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창원중동유니시티3단지</t>
        </is>
      </c>
      <c r="B28" s="10" t="inlineStr">
        <is>
          <t>'19.12.</t>
        </is>
      </c>
      <c r="C28" s="133" t="n">
        <v>1465</v>
      </c>
      <c r="D28" s="131" t="n">
        <v>137.9</v>
      </c>
      <c r="E28" s="132" t="n">
        <v>42</v>
      </c>
      <c r="F28" s="131" t="n">
        <v>100.3</v>
      </c>
      <c r="G28" s="17" t="n">
        <v>30</v>
      </c>
      <c r="H28" s="133" t="n">
        <v>324</v>
      </c>
      <c r="I28" s="134" t="n">
        <v>93500</v>
      </c>
      <c r="J28" s="134" t="inlineStr">
        <is>
          <t>12</t>
        </is>
      </c>
      <c r="K28" s="134" t="n">
        <v>48000</v>
      </c>
      <c r="L28" s="134" t="inlineStr">
        <is>
          <t>15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137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창원중동유니시티2단지</t>
        </is>
      </c>
      <c r="B30" s="10" t="inlineStr">
        <is>
          <t>'19.06.</t>
        </is>
      </c>
      <c r="C30" s="133" t="n">
        <v>1064</v>
      </c>
      <c r="D30" s="131" t="n">
        <v>85.09999999999999</v>
      </c>
      <c r="E30" s="132" t="n">
        <v>26</v>
      </c>
      <c r="F30" s="131" t="n">
        <v>60</v>
      </c>
      <c r="G30" s="17" t="n">
        <v>18</v>
      </c>
      <c r="H30" s="133" t="n">
        <v>60</v>
      </c>
      <c r="I30" s="134" t="n">
        <v>55000</v>
      </c>
      <c r="J30" s="134" t="inlineStr">
        <is>
          <t>23</t>
        </is>
      </c>
      <c r="K30" s="134" t="n">
        <v>35000</v>
      </c>
      <c r="L30" s="134" t="inlineStr">
        <is>
          <t>고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85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창원중동유니시티2단지</t>
        </is>
      </c>
      <c r="B31" s="10" t="inlineStr">
        <is>
          <t>'19.06.</t>
        </is>
      </c>
      <c r="C31" s="133" t="n">
        <v>1064</v>
      </c>
      <c r="D31" s="131" t="n">
        <v>102.3</v>
      </c>
      <c r="E31" s="132" t="n">
        <v>31</v>
      </c>
      <c r="F31" s="131" t="n">
        <v>72.90000000000001</v>
      </c>
      <c r="G31" s="17" t="n">
        <v>22</v>
      </c>
      <c r="H31" s="133" t="n">
        <v>124</v>
      </c>
      <c r="I31" s="134" t="n">
        <v>72000</v>
      </c>
      <c r="J31" s="134" t="inlineStr">
        <is>
          <t>11</t>
        </is>
      </c>
      <c r="K31" s="134" t="n">
        <v>38000</v>
      </c>
      <c r="L31" s="134" t="inlineStr">
        <is>
          <t>중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102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창원중동유니시티2단지</t>
        </is>
      </c>
      <c r="B32" s="10" t="inlineStr">
        <is>
          <t>'19.06.</t>
        </is>
      </c>
      <c r="C32" s="133" t="n">
        <v>1064</v>
      </c>
      <c r="D32" s="131" t="n">
        <v>118.9</v>
      </c>
      <c r="E32" s="132" t="n">
        <v>36</v>
      </c>
      <c r="F32" s="131" t="n">
        <v>84.40000000000001</v>
      </c>
      <c r="G32" s="17" t="n">
        <v>26</v>
      </c>
      <c r="H32" s="133" t="n">
        <v>411</v>
      </c>
      <c r="I32" s="134" t="n">
        <v>75000</v>
      </c>
      <c r="J32" s="134" t="inlineStr">
        <is>
          <t>고</t>
        </is>
      </c>
      <c r="K32" s="134" t="n">
        <v>32000</v>
      </c>
      <c r="L32" s="134" t="inlineStr">
        <is>
          <t>29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118A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창원중동유니시티2단지</t>
        </is>
      </c>
      <c r="B33" s="10" t="inlineStr">
        <is>
          <t>'19.06.</t>
        </is>
      </c>
      <c r="C33" s="133" t="n">
        <v>1064</v>
      </c>
      <c r="D33" s="131" t="n">
        <v>118.6</v>
      </c>
      <c r="E33" s="132" t="n">
        <v>36</v>
      </c>
      <c r="F33" s="131" t="n">
        <v>84.09999999999999</v>
      </c>
      <c r="G33" s="17" t="n">
        <v>25</v>
      </c>
      <c r="H33" s="133" t="n">
        <v>223</v>
      </c>
      <c r="I33" s="134" t="n">
        <v>78000</v>
      </c>
      <c r="J33" s="134" t="inlineStr">
        <is>
          <t>고</t>
        </is>
      </c>
      <c r="K33" s="134" t="n">
        <v>40000</v>
      </c>
      <c r="L33" s="134" t="inlineStr">
        <is>
          <t>17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118B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창원중동유니시티2단지</t>
        </is>
      </c>
      <c r="B34" s="10" t="inlineStr">
        <is>
          <t>'19.06.</t>
        </is>
      </c>
      <c r="C34" s="133" t="n">
        <v>1064</v>
      </c>
      <c r="D34" s="131" t="n">
        <v>138.6</v>
      </c>
      <c r="E34" s="132" t="n">
        <v>42</v>
      </c>
      <c r="F34" s="131" t="n">
        <v>99.2</v>
      </c>
      <c r="G34" s="17" t="n">
        <v>30</v>
      </c>
      <c r="H34" s="133" t="n">
        <v>246</v>
      </c>
      <c r="I34" s="134" t="n">
        <v>95000</v>
      </c>
      <c r="J34" s="134" t="inlineStr">
        <is>
          <t>10</t>
        </is>
      </c>
      <c r="K34" s="134" t="n">
        <v>50000</v>
      </c>
      <c r="L34" s="134" t="inlineStr">
        <is>
          <t>10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138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510" dxfId="23">
      <formula>AV4="X"</formula>
    </cfRule>
    <cfRule type="expression" priority="511" dxfId="22">
      <formula>AV4="후보"</formula>
    </cfRule>
  </conditionalFormatting>
  <conditionalFormatting sqref="AC1:AC2 AC4:AC6 N4:N5">
    <cfRule type="cellIs" priority="507" operator="greaterThan" dxfId="17">
      <formula>0.9</formula>
    </cfRule>
    <cfRule type="cellIs" priority="508" operator="greaterThan" dxfId="16">
      <formula>0.85</formula>
    </cfRule>
  </conditionalFormatting>
  <conditionalFormatting sqref="N1:N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">
    <cfRule type="expression" priority="499" dxfId="3">
      <formula>AND(IF(OR($Q6=1,$Q6=2),1,0),IF($X6&lt;=20,1,0))</formula>
    </cfRule>
    <cfRule type="expression" priority="500" dxfId="2">
      <formula>AND(IF($Q6=2,1,0),IF($X6&lt;30,1,0))</formula>
    </cfRule>
    <cfRule type="expression" priority="501" dxfId="1">
      <formula>AND(IF($Q6=3,1,0),IF($X6&lt;30,1,0))</formula>
    </cfRule>
    <cfRule type="expression" priority="502" dxfId="0">
      <formula>AND(IF($Q6=3,1,IF($Q6=4,1,0)),IF($F6&lt;=85,1,0))</formula>
    </cfRule>
  </conditionalFormatting>
  <conditionalFormatting sqref="X6">
    <cfRule type="expression" priority="495" dxfId="3">
      <formula>AND(IF(OR($Q6=1,$Q6=2),1,0),IF($X6&lt;=20,1,0))</formula>
    </cfRule>
    <cfRule type="expression" priority="496" dxfId="2">
      <formula>AND(IF($Q6=2,1,0),IF($X6&lt;30,1,0))</formula>
    </cfRule>
    <cfRule type="expression" priority="497" dxfId="1">
      <formula>AND(IF($Q6=3,1,0),IF($X6&lt;30,1,0))</formula>
    </cfRule>
    <cfRule type="expression" priority="498" dxfId="0">
      <formula>AND(IF($Q6=3,1,IF($Q6=4,1,0)),IF($F6&lt;=85,1,0))</formula>
    </cfRule>
  </conditionalFormatting>
  <conditionalFormatting sqref="AI6">
    <cfRule type="expression" priority="491" dxfId="3">
      <formula>AND(IF(OR($Q6=1,$Q6=2),1,0),IF($X6&lt;=20,1,0))</formula>
    </cfRule>
    <cfRule type="expression" priority="492" dxfId="2">
      <formula>AND(IF($Q6=2,1,0),IF($X6&lt;30,1,0))</formula>
    </cfRule>
    <cfRule type="expression" priority="493" dxfId="1">
      <formula>AND(IF($Q6=3,1,0),IF($X6&lt;30,1,0))</formula>
    </cfRule>
    <cfRule type="expression" priority="494" dxfId="0">
      <formula>AND(IF($Q6=3,1,IF($Q6=4,1,0)),IF($F6&lt;=85,1,0))</formula>
    </cfRule>
  </conditionalFormatting>
  <conditionalFormatting sqref="AV7">
    <cfRule type="expression" priority="489" dxfId="23">
      <formula>AV7="X"</formula>
    </cfRule>
    <cfRule type="expression" priority="490" dxfId="22">
      <formula>AV7="후보"</formula>
    </cfRule>
  </conditionalFormatting>
  <conditionalFormatting sqref="AC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7">
    <cfRule type="expression" priority="480" dxfId="3">
      <formula>AND(IF(OR($Q7=1,$Q7=2),1,0),IF($X7&lt;=20,1,0))</formula>
    </cfRule>
    <cfRule type="expression" priority="481" dxfId="2">
      <formula>AND(IF($Q7=2,1,0),IF($X7&lt;30,1,0))</formula>
    </cfRule>
    <cfRule type="expression" priority="482" dxfId="1">
      <formula>AND(IF($Q7=3,1,0),IF($X7&lt;30,1,0))</formula>
    </cfRule>
    <cfRule type="expression" priority="483" dxfId="0">
      <formula>AND(IF($Q7=3,1,IF($Q7=4,1,0)),IF($F7&lt;=85,1,0))</formula>
    </cfRule>
  </conditionalFormatting>
  <conditionalFormatting sqref="X7">
    <cfRule type="expression" priority="476" dxfId="3">
      <formula>AND(IF(OR($Q7=1,$Q7=2),1,0),IF($X7&lt;=20,1,0))</formula>
    </cfRule>
    <cfRule type="expression" priority="477" dxfId="2">
      <formula>AND(IF($Q7=2,1,0),IF($X7&lt;30,1,0))</formula>
    </cfRule>
    <cfRule type="expression" priority="478" dxfId="1">
      <formula>AND(IF($Q7=3,1,0),IF($X7&lt;30,1,0))</formula>
    </cfRule>
    <cfRule type="expression" priority="479" dxfId="0">
      <formula>AND(IF($Q7=3,1,IF($Q7=4,1,0)),IF($F7&lt;=85,1,0))</formula>
    </cfRule>
  </conditionalFormatting>
  <conditionalFormatting sqref="AI7">
    <cfRule type="expression" priority="472" dxfId="3">
      <formula>AND(IF(OR($Q7=1,$Q7=2),1,0),IF($X7&lt;=20,1,0))</formula>
    </cfRule>
    <cfRule type="expression" priority="473" dxfId="2">
      <formula>AND(IF($Q7=2,1,0),IF($X7&lt;30,1,0))</formula>
    </cfRule>
    <cfRule type="expression" priority="474" dxfId="1">
      <formula>AND(IF($Q7=3,1,0),IF($X7&lt;30,1,0))</formula>
    </cfRule>
    <cfRule type="expression" priority="475" dxfId="0">
      <formula>AND(IF($Q7=3,1,IF($Q7=4,1,0)),IF($F7&lt;=85,1,0))</formula>
    </cfRule>
  </conditionalFormatting>
  <conditionalFormatting sqref="AV8">
    <cfRule type="expression" priority="470" dxfId="23">
      <formula>AV8="X"</formula>
    </cfRule>
    <cfRule type="expression" priority="471" dxfId="22">
      <formula>AV8="후보"</formula>
    </cfRule>
  </conditionalFormatting>
  <conditionalFormatting sqref="AC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8">
    <cfRule type="expression" priority="461" dxfId="3">
      <formula>AND(IF(OR($Q8=1,$Q8=2),1,0),IF($X8&lt;=20,1,0))</formula>
    </cfRule>
    <cfRule type="expression" priority="462" dxfId="2">
      <formula>AND(IF($Q8=2,1,0),IF($X8&lt;30,1,0))</formula>
    </cfRule>
    <cfRule type="expression" priority="463" dxfId="1">
      <formula>AND(IF($Q8=3,1,0),IF($X8&lt;30,1,0))</formula>
    </cfRule>
    <cfRule type="expression" priority="464" dxfId="0">
      <formula>AND(IF($Q8=3,1,IF($Q8=4,1,0)),IF($F8&lt;=85,1,0))</formula>
    </cfRule>
  </conditionalFormatting>
  <conditionalFormatting sqref="X8">
    <cfRule type="expression" priority="457" dxfId="3">
      <formula>AND(IF(OR($Q8=1,$Q8=2),1,0),IF($X8&lt;=20,1,0))</formula>
    </cfRule>
    <cfRule type="expression" priority="458" dxfId="2">
      <formula>AND(IF($Q8=2,1,0),IF($X8&lt;30,1,0))</formula>
    </cfRule>
    <cfRule type="expression" priority="459" dxfId="1">
      <formula>AND(IF($Q8=3,1,0),IF($X8&lt;30,1,0))</formula>
    </cfRule>
    <cfRule type="expression" priority="460" dxfId="0">
      <formula>AND(IF($Q8=3,1,IF($Q8=4,1,0)),IF($F8&lt;=85,1,0))</formula>
    </cfRule>
  </conditionalFormatting>
  <conditionalFormatting sqref="AI8">
    <cfRule type="expression" priority="453" dxfId="3">
      <formula>AND(IF(OR($Q8=1,$Q8=2),1,0),IF($X8&lt;=20,1,0))</formula>
    </cfRule>
    <cfRule type="expression" priority="454" dxfId="2">
      <formula>AND(IF($Q8=2,1,0),IF($X8&lt;30,1,0))</formula>
    </cfRule>
    <cfRule type="expression" priority="455" dxfId="1">
      <formula>AND(IF($Q8=3,1,0),IF($X8&lt;30,1,0))</formula>
    </cfRule>
    <cfRule type="expression" priority="456" dxfId="0">
      <formula>AND(IF($Q8=3,1,IF($Q8=4,1,0)),IF($F8&lt;=85,1,0))</formula>
    </cfRule>
  </conditionalFormatting>
  <conditionalFormatting sqref="AV9">
    <cfRule type="expression" priority="451" dxfId="23">
      <formula>AV9="X"</formula>
    </cfRule>
    <cfRule type="expression" priority="452" dxfId="22">
      <formula>AV9="후보"</formula>
    </cfRule>
  </conditionalFormatting>
  <conditionalFormatting sqref="AC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">
    <cfRule type="expression" priority="442" dxfId="3">
      <formula>AND(IF(OR($Q9=1,$Q9=2),1,0),IF($X9&lt;=20,1,0))</formula>
    </cfRule>
    <cfRule type="expression" priority="443" dxfId="2">
      <formula>AND(IF($Q9=2,1,0),IF($X9&lt;30,1,0))</formula>
    </cfRule>
    <cfRule type="expression" priority="444" dxfId="1">
      <formula>AND(IF($Q9=3,1,0),IF($X9&lt;30,1,0))</formula>
    </cfRule>
    <cfRule type="expression" priority="445" dxfId="0">
      <formula>AND(IF($Q9=3,1,IF($Q9=4,1,0)),IF($F9&lt;=85,1,0))</formula>
    </cfRule>
  </conditionalFormatting>
  <conditionalFormatting sqref="X9">
    <cfRule type="expression" priority="438" dxfId="3">
      <formula>AND(IF(OR($Q9=1,$Q9=2),1,0),IF($X9&lt;=20,1,0))</formula>
    </cfRule>
    <cfRule type="expression" priority="439" dxfId="2">
      <formula>AND(IF($Q9=2,1,0),IF($X9&lt;30,1,0))</formula>
    </cfRule>
    <cfRule type="expression" priority="440" dxfId="1">
      <formula>AND(IF($Q9=3,1,0),IF($X9&lt;30,1,0))</formula>
    </cfRule>
    <cfRule type="expression" priority="441" dxfId="0">
      <formula>AND(IF($Q9=3,1,IF($Q9=4,1,0)),IF($F9&lt;=85,1,0))</formula>
    </cfRule>
  </conditionalFormatting>
  <conditionalFormatting sqref="AI9">
    <cfRule type="expression" priority="434" dxfId="3">
      <formula>AND(IF(OR($Q9=1,$Q9=2),1,0),IF($X9&lt;=20,1,0))</formula>
    </cfRule>
    <cfRule type="expression" priority="435" dxfId="2">
      <formula>AND(IF($Q9=2,1,0),IF($X9&lt;30,1,0))</formula>
    </cfRule>
    <cfRule type="expression" priority="436" dxfId="1">
      <formula>AND(IF($Q9=3,1,0),IF($X9&lt;30,1,0))</formula>
    </cfRule>
    <cfRule type="expression" priority="437" dxfId="0">
      <formula>AND(IF($Q9=3,1,IF($Q9=4,1,0)),IF($F9&lt;=85,1,0))</formula>
    </cfRule>
  </conditionalFormatting>
  <conditionalFormatting sqref="AV10">
    <cfRule type="expression" priority="432" dxfId="23">
      <formula>AV10="X"</formula>
    </cfRule>
    <cfRule type="expression" priority="433" dxfId="22">
      <formula>AV10="후보"</formula>
    </cfRule>
  </conditionalFormatting>
  <conditionalFormatting sqref="AC1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">
    <cfRule type="expression" priority="423" dxfId="3">
      <formula>AND(IF(OR($Q10=1,$Q10=2),1,0),IF($X10&lt;=20,1,0))</formula>
    </cfRule>
    <cfRule type="expression" priority="424" dxfId="2">
      <formula>AND(IF($Q10=2,1,0),IF($X10&lt;30,1,0))</formula>
    </cfRule>
    <cfRule type="expression" priority="425" dxfId="1">
      <formula>AND(IF($Q10=3,1,0),IF($X10&lt;30,1,0))</formula>
    </cfRule>
    <cfRule type="expression" priority="426" dxfId="0">
      <formula>AND(IF($Q10=3,1,IF($Q10=4,1,0)),IF($F10&lt;=85,1,0))</formula>
    </cfRule>
  </conditionalFormatting>
  <conditionalFormatting sqref="X10">
    <cfRule type="expression" priority="419" dxfId="3">
      <formula>AND(IF(OR($Q10=1,$Q10=2),1,0),IF($X10&lt;=20,1,0))</formula>
    </cfRule>
    <cfRule type="expression" priority="420" dxfId="2">
      <formula>AND(IF($Q10=2,1,0),IF($X10&lt;30,1,0))</formula>
    </cfRule>
    <cfRule type="expression" priority="421" dxfId="1">
      <formula>AND(IF($Q10=3,1,0),IF($X10&lt;30,1,0))</formula>
    </cfRule>
    <cfRule type="expression" priority="422" dxfId="0">
      <formula>AND(IF($Q10=3,1,IF($Q10=4,1,0)),IF($F10&lt;=85,1,0))</formula>
    </cfRule>
  </conditionalFormatting>
  <conditionalFormatting sqref="AI10">
    <cfRule type="expression" priority="415" dxfId="3">
      <formula>AND(IF(OR($Q10=1,$Q10=2),1,0),IF($X10&lt;=20,1,0))</formula>
    </cfRule>
    <cfRule type="expression" priority="416" dxfId="2">
      <formula>AND(IF($Q10=2,1,0),IF($X10&lt;30,1,0))</formula>
    </cfRule>
    <cfRule type="expression" priority="417" dxfId="1">
      <formula>AND(IF($Q10=3,1,0),IF($X10&lt;30,1,0))</formula>
    </cfRule>
    <cfRule type="expression" priority="418" dxfId="0">
      <formula>AND(IF($Q10=3,1,IF($Q10=4,1,0)),IF($F10&lt;=85,1,0))</formula>
    </cfRule>
  </conditionalFormatting>
  <conditionalFormatting sqref="AV11">
    <cfRule type="expression" priority="413" dxfId="23">
      <formula>AV11="X"</formula>
    </cfRule>
    <cfRule type="expression" priority="414" dxfId="22">
      <formula>AV11="후보"</formula>
    </cfRule>
  </conditionalFormatting>
  <conditionalFormatting sqref="AC1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1">
    <cfRule type="expression" priority="404" dxfId="3">
      <formula>AND(IF(OR($Q11=1,$Q11=2),1,0),IF($X11&lt;=20,1,0))</formula>
    </cfRule>
    <cfRule type="expression" priority="405" dxfId="2">
      <formula>AND(IF($Q11=2,1,0),IF($X11&lt;30,1,0))</formula>
    </cfRule>
    <cfRule type="expression" priority="406" dxfId="1">
      <formula>AND(IF($Q11=3,1,0),IF($X11&lt;30,1,0))</formula>
    </cfRule>
    <cfRule type="expression" priority="407" dxfId="0">
      <formula>AND(IF($Q11=3,1,IF($Q11=4,1,0)),IF($F11&lt;=85,1,0))</formula>
    </cfRule>
  </conditionalFormatting>
  <conditionalFormatting sqref="X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AI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V12">
    <cfRule type="expression" priority="394" dxfId="23">
      <formula>AV12="X"</formula>
    </cfRule>
    <cfRule type="expression" priority="395" dxfId="22">
      <formula>AV12="후보"</formula>
    </cfRule>
  </conditionalFormatting>
  <conditionalFormatting sqref="AC1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X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I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V13">
    <cfRule type="expression" priority="375" dxfId="23">
      <formula>AV13="X"</formula>
    </cfRule>
    <cfRule type="expression" priority="376" dxfId="22">
      <formula>AV13="후보"</formula>
    </cfRule>
  </conditionalFormatting>
  <conditionalFormatting sqref="AC1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X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I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V14">
    <cfRule type="expression" priority="356" dxfId="23">
      <formula>AV14="X"</formula>
    </cfRule>
    <cfRule type="expression" priority="357" dxfId="22">
      <formula>AV14="후보"</formula>
    </cfRule>
  </conditionalFormatting>
  <conditionalFormatting sqref="AC14 N1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5">
    <cfRule type="expression" priority="351" dxfId="23">
      <formula>AV15="X"</formula>
    </cfRule>
    <cfRule type="expression" priority="352" dxfId="22">
      <formula>AV15="후보"</formula>
    </cfRule>
  </conditionalFormatting>
  <conditionalFormatting sqref="AC1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5">
    <cfRule type="expression" priority="342" dxfId="3">
      <formula>AND(IF(OR($Q15=1,$Q15=2),1,0),IF($X15&lt;=20,1,0))</formula>
    </cfRule>
    <cfRule type="expression" priority="343" dxfId="2">
      <formula>AND(IF($Q15=2,1,0),IF($X15&lt;30,1,0))</formula>
    </cfRule>
    <cfRule type="expression" priority="344" dxfId="1">
      <formula>AND(IF($Q15=3,1,0),IF($X15&lt;30,1,0))</formula>
    </cfRule>
    <cfRule type="expression" priority="345" dxfId="0">
      <formula>AND(IF($Q15=3,1,IF($Q15=4,1,0)),IF($F15&lt;=85,1,0))</formula>
    </cfRule>
  </conditionalFormatting>
  <conditionalFormatting sqref="X15">
    <cfRule type="expression" priority="338" dxfId="3">
      <formula>AND(IF(OR($Q15=1,$Q15=2),1,0),IF($X15&lt;=20,1,0))</formula>
    </cfRule>
    <cfRule type="expression" priority="339" dxfId="2">
      <formula>AND(IF($Q15=2,1,0),IF($X15&lt;30,1,0))</formula>
    </cfRule>
    <cfRule type="expression" priority="340" dxfId="1">
      <formula>AND(IF($Q15=3,1,0),IF($X15&lt;30,1,0))</formula>
    </cfRule>
    <cfRule type="expression" priority="341" dxfId="0">
      <formula>AND(IF($Q15=3,1,IF($Q15=4,1,0)),IF($F15&lt;=85,1,0))</formula>
    </cfRule>
  </conditionalFormatting>
  <conditionalFormatting sqref="AI15">
    <cfRule type="expression" priority="334" dxfId="3">
      <formula>AND(IF(OR($Q15=1,$Q15=2),1,0),IF($X15&lt;=20,1,0))</formula>
    </cfRule>
    <cfRule type="expression" priority="335" dxfId="2">
      <formula>AND(IF($Q15=2,1,0),IF($X15&lt;30,1,0))</formula>
    </cfRule>
    <cfRule type="expression" priority="336" dxfId="1">
      <formula>AND(IF($Q15=3,1,0),IF($X15&lt;30,1,0))</formula>
    </cfRule>
    <cfRule type="expression" priority="337" dxfId="0">
      <formula>AND(IF($Q15=3,1,IF($Q15=4,1,0)),IF($F15&lt;=85,1,0))</formula>
    </cfRule>
  </conditionalFormatting>
  <conditionalFormatting sqref="AV16">
    <cfRule type="expression" priority="332" dxfId="23">
      <formula>AV16="X"</formula>
    </cfRule>
    <cfRule type="expression" priority="333" dxfId="22">
      <formula>AV16="후보"</formula>
    </cfRule>
  </conditionalFormatting>
  <conditionalFormatting sqref="AC1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6">
    <cfRule type="expression" priority="323" dxfId="3">
      <formula>AND(IF(OR($Q16=1,$Q16=2),1,0),IF($X16&lt;=20,1,0))</formula>
    </cfRule>
    <cfRule type="expression" priority="324" dxfId="2">
      <formula>AND(IF($Q16=2,1,0),IF($X16&lt;30,1,0))</formula>
    </cfRule>
    <cfRule type="expression" priority="325" dxfId="1">
      <formula>AND(IF($Q16=3,1,0),IF($X16&lt;30,1,0))</formula>
    </cfRule>
    <cfRule type="expression" priority="326" dxfId="0">
      <formula>AND(IF($Q16=3,1,IF($Q16=4,1,0)),IF($F16&lt;=85,1,0))</formula>
    </cfRule>
  </conditionalFormatting>
  <conditionalFormatting sqref="X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AI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V17">
    <cfRule type="expression" priority="313" dxfId="23">
      <formula>AV17="X"</formula>
    </cfRule>
    <cfRule type="expression" priority="314" dxfId="22">
      <formula>AV17="후보"</formula>
    </cfRule>
  </conditionalFormatting>
  <conditionalFormatting sqref="AC1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7">
    <cfRule type="expression" priority="304" dxfId="3">
      <formula>AND(IF(OR($Q17=1,$Q17=2),1,0),IF($X17&lt;=20,1,0))</formula>
    </cfRule>
    <cfRule type="expression" priority="305" dxfId="2">
      <formula>AND(IF($Q17=2,1,0),IF($X17&lt;30,1,0))</formula>
    </cfRule>
    <cfRule type="expression" priority="306" dxfId="1">
      <formula>AND(IF($Q17=3,1,0),IF($X17&lt;30,1,0))</formula>
    </cfRule>
    <cfRule type="expression" priority="307" dxfId="0">
      <formula>AND(IF($Q17=3,1,IF($Q17=4,1,0)),IF($F17&lt;=85,1,0))</formula>
    </cfRule>
  </conditionalFormatting>
  <conditionalFormatting sqref="X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AI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V18">
    <cfRule type="expression" priority="294" dxfId="23">
      <formula>AV18="X"</formula>
    </cfRule>
    <cfRule type="expression" priority="295" dxfId="22">
      <formula>AV18="후보"</formula>
    </cfRule>
  </conditionalFormatting>
  <conditionalFormatting sqref="AC1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8">
    <cfRule type="expression" priority="285" dxfId="3">
      <formula>AND(IF(OR($Q18=1,$Q18=2),1,0),IF($X18&lt;=20,1,0))</formula>
    </cfRule>
    <cfRule type="expression" priority="286" dxfId="2">
      <formula>AND(IF($Q18=2,1,0),IF($X18&lt;30,1,0))</formula>
    </cfRule>
    <cfRule type="expression" priority="287" dxfId="1">
      <formula>AND(IF($Q18=3,1,0),IF($X18&lt;30,1,0))</formula>
    </cfRule>
    <cfRule type="expression" priority="288" dxfId="0">
      <formula>AND(IF($Q18=3,1,IF($Q18=4,1,0)),IF($F18&lt;=85,1,0))</formula>
    </cfRule>
  </conditionalFormatting>
  <conditionalFormatting sqref="X18">
    <cfRule type="expression" priority="281" dxfId="3">
      <formula>AND(IF(OR($Q18=1,$Q18=2),1,0),IF($X18&lt;=20,1,0))</formula>
    </cfRule>
    <cfRule type="expression" priority="282" dxfId="2">
      <formula>AND(IF($Q18=2,1,0),IF($X18&lt;30,1,0))</formula>
    </cfRule>
    <cfRule type="expression" priority="283" dxfId="1">
      <formula>AND(IF($Q18=3,1,0),IF($X18&lt;30,1,0))</formula>
    </cfRule>
    <cfRule type="expression" priority="284" dxfId="0">
      <formula>AND(IF($Q18=3,1,IF($Q18=4,1,0)),IF($F18&lt;=85,1,0))</formula>
    </cfRule>
  </conditionalFormatting>
  <conditionalFormatting sqref="AI18">
    <cfRule type="expression" priority="277" dxfId="3">
      <formula>AND(IF(OR($Q18=1,$Q18=2),1,0),IF($X18&lt;=20,1,0))</formula>
    </cfRule>
    <cfRule type="expression" priority="278" dxfId="2">
      <formula>AND(IF($Q18=2,1,0),IF($X18&lt;30,1,0))</formula>
    </cfRule>
    <cfRule type="expression" priority="279" dxfId="1">
      <formula>AND(IF($Q18=3,1,0),IF($X18&lt;30,1,0))</formula>
    </cfRule>
    <cfRule type="expression" priority="280" dxfId="0">
      <formula>AND(IF($Q18=3,1,IF($Q18=4,1,0)),IF($F18&lt;=85,1,0))</formula>
    </cfRule>
  </conditionalFormatting>
  <conditionalFormatting sqref="AV19">
    <cfRule type="expression" priority="275" dxfId="23">
      <formula>AV19="X"</formula>
    </cfRule>
    <cfRule type="expression" priority="276" dxfId="22">
      <formula>AV19="후보"</formula>
    </cfRule>
  </conditionalFormatting>
  <conditionalFormatting sqref="AC1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9">
    <cfRule type="expression" priority="266" dxfId="3">
      <formula>AND(IF(OR($Q19=1,$Q19=2),1,0),IF($X19&lt;=20,1,0))</formula>
    </cfRule>
    <cfRule type="expression" priority="267" dxfId="2">
      <formula>AND(IF($Q19=2,1,0),IF($X19&lt;30,1,0))</formula>
    </cfRule>
    <cfRule type="expression" priority="268" dxfId="1">
      <formula>AND(IF($Q19=3,1,0),IF($X19&lt;30,1,0))</formula>
    </cfRule>
    <cfRule type="expression" priority="269" dxfId="0">
      <formula>AND(IF($Q19=3,1,IF($Q19=4,1,0)),IF($F19&lt;=85,1,0))</formula>
    </cfRule>
  </conditionalFormatting>
  <conditionalFormatting sqref="X19">
    <cfRule type="expression" priority="262" dxfId="3">
      <formula>AND(IF(OR($Q19=1,$Q19=2),1,0),IF($X19&lt;=20,1,0))</formula>
    </cfRule>
    <cfRule type="expression" priority="263" dxfId="2">
      <formula>AND(IF($Q19=2,1,0),IF($X19&lt;30,1,0))</formula>
    </cfRule>
    <cfRule type="expression" priority="264" dxfId="1">
      <formula>AND(IF($Q19=3,1,0),IF($X19&lt;30,1,0))</formula>
    </cfRule>
    <cfRule type="expression" priority="265" dxfId="0">
      <formula>AND(IF($Q19=3,1,IF($Q19=4,1,0)),IF($F19&lt;=85,1,0))</formula>
    </cfRule>
  </conditionalFormatting>
  <conditionalFormatting sqref="AI19">
    <cfRule type="expression" priority="258" dxfId="3">
      <formula>AND(IF(OR($Q19=1,$Q19=2),1,0),IF($X19&lt;=20,1,0))</formula>
    </cfRule>
    <cfRule type="expression" priority="259" dxfId="2">
      <formula>AND(IF($Q19=2,1,0),IF($X19&lt;30,1,0))</formula>
    </cfRule>
    <cfRule type="expression" priority="260" dxfId="1">
      <formula>AND(IF($Q19=3,1,0),IF($X19&lt;30,1,0))</formula>
    </cfRule>
    <cfRule type="expression" priority="261" dxfId="0">
      <formula>AND(IF($Q19=3,1,IF($Q19=4,1,0)),IF($F19&lt;=85,1,0))</formula>
    </cfRule>
  </conditionalFormatting>
  <conditionalFormatting sqref="AV20">
    <cfRule type="expression" priority="256" dxfId="23">
      <formula>AV20="X"</formula>
    </cfRule>
    <cfRule type="expression" priority="257" dxfId="22">
      <formula>AV20="후보"</formula>
    </cfRule>
  </conditionalFormatting>
  <conditionalFormatting sqref="AC2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0">
    <cfRule type="expression" priority="247" dxfId="3">
      <formula>AND(IF(OR($Q20=1,$Q20=2),1,0),IF($X20&lt;=20,1,0))</formula>
    </cfRule>
    <cfRule type="expression" priority="248" dxfId="2">
      <formula>AND(IF($Q20=2,1,0),IF($X20&lt;30,1,0))</formula>
    </cfRule>
    <cfRule type="expression" priority="249" dxfId="1">
      <formula>AND(IF($Q20=3,1,0),IF($X20&lt;30,1,0))</formula>
    </cfRule>
    <cfRule type="expression" priority="250" dxfId="0">
      <formula>AND(IF($Q20=3,1,IF($Q20=4,1,0)),IF($F20&lt;=85,1,0))</formula>
    </cfRule>
  </conditionalFormatting>
  <conditionalFormatting sqref="X20">
    <cfRule type="expression" priority="243" dxfId="3">
      <formula>AND(IF(OR($Q20=1,$Q20=2),1,0),IF($X20&lt;=20,1,0))</formula>
    </cfRule>
    <cfRule type="expression" priority="244" dxfId="2">
      <formula>AND(IF($Q20=2,1,0),IF($X20&lt;30,1,0))</formula>
    </cfRule>
    <cfRule type="expression" priority="245" dxfId="1">
      <formula>AND(IF($Q20=3,1,0),IF($X20&lt;30,1,0))</formula>
    </cfRule>
    <cfRule type="expression" priority="246" dxfId="0">
      <formula>AND(IF($Q20=3,1,IF($Q20=4,1,0)),IF($F20&lt;=85,1,0))</formula>
    </cfRule>
  </conditionalFormatting>
  <conditionalFormatting sqref="AI20">
    <cfRule type="expression" priority="239" dxfId="3">
      <formula>AND(IF(OR($Q20=1,$Q20=2),1,0),IF($X20&lt;=20,1,0))</formula>
    </cfRule>
    <cfRule type="expression" priority="240" dxfId="2">
      <formula>AND(IF($Q20=2,1,0),IF($X20&lt;30,1,0))</formula>
    </cfRule>
    <cfRule type="expression" priority="241" dxfId="1">
      <formula>AND(IF($Q20=3,1,0),IF($X20&lt;30,1,0))</formula>
    </cfRule>
    <cfRule type="expression" priority="242" dxfId="0">
      <formula>AND(IF($Q20=3,1,IF($Q20=4,1,0)),IF($F20&lt;=85,1,0))</formula>
    </cfRule>
  </conditionalFormatting>
  <conditionalFormatting sqref="AV21">
    <cfRule type="expression" priority="237" dxfId="23">
      <formula>AV21="X"</formula>
    </cfRule>
    <cfRule type="expression" priority="238" dxfId="22">
      <formula>AV21="후보"</formula>
    </cfRule>
  </conditionalFormatting>
  <conditionalFormatting sqref="AC2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1">
    <cfRule type="expression" priority="228" dxfId="3">
      <formula>AND(IF(OR($Q21=1,$Q21=2),1,0),IF($X21&lt;=20,1,0))</formula>
    </cfRule>
    <cfRule type="expression" priority="229" dxfId="2">
      <formula>AND(IF($Q21=2,1,0),IF($X21&lt;30,1,0))</formula>
    </cfRule>
    <cfRule type="expression" priority="230" dxfId="1">
      <formula>AND(IF($Q21=3,1,0),IF($X21&lt;30,1,0))</formula>
    </cfRule>
    <cfRule type="expression" priority="231" dxfId="0">
      <formula>AND(IF($Q21=3,1,IF($Q21=4,1,0)),IF($F21&lt;=85,1,0))</formula>
    </cfRule>
  </conditionalFormatting>
  <conditionalFormatting sqref="X21">
    <cfRule type="expression" priority="224" dxfId="3">
      <formula>AND(IF(OR($Q21=1,$Q21=2),1,0),IF($X21&lt;=20,1,0))</formula>
    </cfRule>
    <cfRule type="expression" priority="225" dxfId="2">
      <formula>AND(IF($Q21=2,1,0),IF($X21&lt;30,1,0))</formula>
    </cfRule>
    <cfRule type="expression" priority="226" dxfId="1">
      <formula>AND(IF($Q21=3,1,0),IF($X21&lt;30,1,0))</formula>
    </cfRule>
    <cfRule type="expression" priority="227" dxfId="0">
      <formula>AND(IF($Q21=3,1,IF($Q21=4,1,0)),IF($F21&lt;=85,1,0))</formula>
    </cfRule>
  </conditionalFormatting>
  <conditionalFormatting sqref="AI21">
    <cfRule type="expression" priority="220" dxfId="3">
      <formula>AND(IF(OR($Q21=1,$Q21=2),1,0),IF($X21&lt;=20,1,0))</formula>
    </cfRule>
    <cfRule type="expression" priority="221" dxfId="2">
      <formula>AND(IF($Q21=2,1,0),IF($X21&lt;30,1,0))</formula>
    </cfRule>
    <cfRule type="expression" priority="222" dxfId="1">
      <formula>AND(IF($Q21=3,1,0),IF($X21&lt;30,1,0))</formula>
    </cfRule>
    <cfRule type="expression" priority="223" dxfId="0">
      <formula>AND(IF($Q21=3,1,IF($Q21=4,1,0)),IF($F21&lt;=85,1,0))</formula>
    </cfRule>
  </conditionalFormatting>
  <conditionalFormatting sqref="AV22">
    <cfRule type="expression" priority="218" dxfId="23">
      <formula>AV22="X"</formula>
    </cfRule>
    <cfRule type="expression" priority="219" dxfId="22">
      <formula>AV22="후보"</formula>
    </cfRule>
  </conditionalFormatting>
  <conditionalFormatting sqref="AC2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2">
    <cfRule type="expression" priority="209" dxfId="3">
      <formula>AND(IF(OR($Q22=1,$Q22=2),1,0),IF($X22&lt;=20,1,0))</formula>
    </cfRule>
    <cfRule type="expression" priority="210" dxfId="2">
      <formula>AND(IF($Q22=2,1,0),IF($X22&lt;30,1,0))</formula>
    </cfRule>
    <cfRule type="expression" priority="211" dxfId="1">
      <formula>AND(IF($Q22=3,1,0),IF($X22&lt;30,1,0))</formula>
    </cfRule>
    <cfRule type="expression" priority="212" dxfId="0">
      <formula>AND(IF($Q22=3,1,IF($Q22=4,1,0)),IF($F22&lt;=85,1,0))</formula>
    </cfRule>
  </conditionalFormatting>
  <conditionalFormatting sqref="X22">
    <cfRule type="expression" priority="205" dxfId="3">
      <formula>AND(IF(OR($Q22=1,$Q22=2),1,0),IF($X22&lt;=20,1,0))</formula>
    </cfRule>
    <cfRule type="expression" priority="206" dxfId="2">
      <formula>AND(IF($Q22=2,1,0),IF($X22&lt;30,1,0))</formula>
    </cfRule>
    <cfRule type="expression" priority="207" dxfId="1">
      <formula>AND(IF($Q22=3,1,0),IF($X22&lt;30,1,0))</formula>
    </cfRule>
    <cfRule type="expression" priority="208" dxfId="0">
      <formula>AND(IF($Q22=3,1,IF($Q22=4,1,0)),IF($F22&lt;=85,1,0))</formula>
    </cfRule>
  </conditionalFormatting>
  <conditionalFormatting sqref="AI22">
    <cfRule type="expression" priority="201" dxfId="3">
      <formula>AND(IF(OR($Q22=1,$Q22=2),1,0),IF($X22&lt;=20,1,0))</formula>
    </cfRule>
    <cfRule type="expression" priority="202" dxfId="2">
      <formula>AND(IF($Q22=2,1,0),IF($X22&lt;30,1,0))</formula>
    </cfRule>
    <cfRule type="expression" priority="203" dxfId="1">
      <formula>AND(IF($Q22=3,1,0),IF($X22&lt;30,1,0))</formula>
    </cfRule>
    <cfRule type="expression" priority="204" dxfId="0">
      <formula>AND(IF($Q22=3,1,IF($Q22=4,1,0)),IF($F22&lt;=85,1,0))</formula>
    </cfRule>
  </conditionalFormatting>
  <conditionalFormatting sqref="AV23">
    <cfRule type="expression" priority="199" dxfId="23">
      <formula>AV23="X"</formula>
    </cfRule>
    <cfRule type="expression" priority="200" dxfId="22">
      <formula>AV23="후보"</formula>
    </cfRule>
  </conditionalFormatting>
  <conditionalFormatting sqref="AC23 N2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24">
    <cfRule type="expression" priority="194" dxfId="23">
      <formula>AV24="X"</formula>
    </cfRule>
    <cfRule type="expression" priority="195" dxfId="22">
      <formula>AV24="후보"</formula>
    </cfRule>
  </conditionalFormatting>
  <conditionalFormatting sqref="AC2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4">
    <cfRule type="expression" priority="185" dxfId="3">
      <formula>AND(IF(OR($Q24=1,$Q24=2),1,0),IF($X24&lt;=20,1,0))</formula>
    </cfRule>
    <cfRule type="expression" priority="186" dxfId="2">
      <formula>AND(IF($Q24=2,1,0),IF($X24&lt;30,1,0))</formula>
    </cfRule>
    <cfRule type="expression" priority="187" dxfId="1">
      <formula>AND(IF($Q24=3,1,0),IF($X24&lt;30,1,0))</formula>
    </cfRule>
    <cfRule type="expression" priority="188" dxfId="0">
      <formula>AND(IF($Q24=3,1,IF($Q24=4,1,0)),IF($F24&lt;=85,1,0))</formula>
    </cfRule>
  </conditionalFormatting>
  <conditionalFormatting sqref="X24">
    <cfRule type="expression" priority="181" dxfId="3">
      <formula>AND(IF(OR($Q24=1,$Q24=2),1,0),IF($X24&lt;=20,1,0))</formula>
    </cfRule>
    <cfRule type="expression" priority="182" dxfId="2">
      <formula>AND(IF($Q24=2,1,0),IF($X24&lt;30,1,0))</formula>
    </cfRule>
    <cfRule type="expression" priority="183" dxfId="1">
      <formula>AND(IF($Q24=3,1,0),IF($X24&lt;30,1,0))</formula>
    </cfRule>
    <cfRule type="expression" priority="184" dxfId="0">
      <formula>AND(IF($Q24=3,1,IF($Q24=4,1,0)),IF($F24&lt;=85,1,0))</formula>
    </cfRule>
  </conditionalFormatting>
  <conditionalFormatting sqref="AI24">
    <cfRule type="expression" priority="177" dxfId="3">
      <formula>AND(IF(OR($Q24=1,$Q24=2),1,0),IF($X24&lt;=20,1,0))</formula>
    </cfRule>
    <cfRule type="expression" priority="178" dxfId="2">
      <formula>AND(IF($Q24=2,1,0),IF($X24&lt;30,1,0))</formula>
    </cfRule>
    <cfRule type="expression" priority="179" dxfId="1">
      <formula>AND(IF($Q24=3,1,0),IF($X24&lt;30,1,0))</formula>
    </cfRule>
    <cfRule type="expression" priority="180" dxfId="0">
      <formula>AND(IF($Q24=3,1,IF($Q24=4,1,0)),IF($F24&lt;=85,1,0))</formula>
    </cfRule>
  </conditionalFormatting>
  <conditionalFormatting sqref="AV25">
    <cfRule type="expression" priority="175" dxfId="23">
      <formula>AV25="X"</formula>
    </cfRule>
    <cfRule type="expression" priority="176" dxfId="22">
      <formula>AV25="후보"</formula>
    </cfRule>
  </conditionalFormatting>
  <conditionalFormatting sqref="AC2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23">
      <formula>AV26="X"</formula>
    </cfRule>
    <cfRule type="expression" priority="157" dxfId="22">
      <formula>AV26="후보"</formula>
    </cfRule>
  </conditionalFormatting>
  <conditionalFormatting sqref="AC2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23">
      <formula>AV27="X"</formula>
    </cfRule>
    <cfRule type="expression" priority="138" dxfId="22">
      <formula>AV27="후보"</formula>
    </cfRule>
  </conditionalFormatting>
  <conditionalFormatting sqref="AC2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7">
    <cfRule type="expression" priority="128" dxfId="3">
      <formula>AND(IF(OR($Q27=1,$Q27=2),1,0),IF($X27&lt;=20,1,0))</formula>
    </cfRule>
    <cfRule type="expression" priority="129" dxfId="2">
      <formula>AND(IF($Q27=2,1,0),IF($X27&lt;30,1,0))</formula>
    </cfRule>
    <cfRule type="expression" priority="130" dxfId="1">
      <formula>AND(IF($Q27=3,1,0),IF($X27&lt;30,1,0))</formula>
    </cfRule>
    <cfRule type="expression" priority="131" dxfId="0">
      <formula>AND(IF($Q27=3,1,IF($Q27=4,1,0)),IF($F27&lt;=85,1,0))</formula>
    </cfRule>
  </conditionalFormatting>
  <conditionalFormatting sqref="X27">
    <cfRule type="expression" priority="124" dxfId="3">
      <formula>AND(IF(OR($Q27=1,$Q27=2),1,0),IF($X27&lt;=20,1,0))</formula>
    </cfRule>
    <cfRule type="expression" priority="125" dxfId="2">
      <formula>AND(IF($Q27=2,1,0),IF($X27&lt;30,1,0))</formula>
    </cfRule>
    <cfRule type="expression" priority="126" dxfId="1">
      <formula>AND(IF($Q27=3,1,0),IF($X27&lt;30,1,0))</formula>
    </cfRule>
    <cfRule type="expression" priority="127" dxfId="0">
      <formula>AND(IF($Q27=3,1,IF($Q27=4,1,0)),IF($F27&lt;=85,1,0))</formula>
    </cfRule>
  </conditionalFormatting>
  <conditionalFormatting sqref="AI27">
    <cfRule type="expression" priority="120" dxfId="3">
      <formula>AND(IF(OR($Q27=1,$Q27=2),1,0),IF($X27&lt;=20,1,0))</formula>
    </cfRule>
    <cfRule type="expression" priority="121" dxfId="2">
      <formula>AND(IF($Q27=2,1,0),IF($X27&lt;30,1,0))</formula>
    </cfRule>
    <cfRule type="expression" priority="122" dxfId="1">
      <formula>AND(IF($Q27=3,1,0),IF($X27&lt;30,1,0))</formula>
    </cfRule>
    <cfRule type="expression" priority="123" dxfId="0">
      <formula>AND(IF($Q27=3,1,IF($Q27=4,1,0)),IF($F27&lt;=85,1,0))</formula>
    </cfRule>
  </conditionalFormatting>
  <conditionalFormatting sqref="AV28">
    <cfRule type="expression" priority="118" dxfId="23">
      <formula>AV28="X"</formula>
    </cfRule>
    <cfRule type="expression" priority="119" dxfId="22">
      <formula>AV28="후보"</formula>
    </cfRule>
  </conditionalFormatting>
  <conditionalFormatting sqref="AC2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23">
      <formula>AV29="X"</formula>
    </cfRule>
    <cfRule type="expression" priority="100" dxfId="22">
      <formula>AV29="후보"</formula>
    </cfRule>
  </conditionalFormatting>
  <conditionalFormatting sqref="AC29 N2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30">
    <cfRule type="expression" priority="94" dxfId="23">
      <formula>AV30="X"</formula>
    </cfRule>
    <cfRule type="expression" priority="95" dxfId="22">
      <formula>AV30="후보"</formula>
    </cfRule>
  </conditionalFormatting>
  <conditionalFormatting sqref="AC3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0">
    <cfRule type="expression" priority="85" dxfId="3">
      <formula>AND(IF(OR($Q30=1,$Q30=2),1,0),IF($X30&lt;=20,1,0))</formula>
    </cfRule>
    <cfRule type="expression" priority="86" dxfId="2">
      <formula>AND(IF($Q30=2,1,0),IF($X30&lt;30,1,0))</formula>
    </cfRule>
    <cfRule type="expression" priority="87" dxfId="1">
      <formula>AND(IF($Q30=3,1,0),IF($X30&lt;30,1,0))</formula>
    </cfRule>
    <cfRule type="expression" priority="88" dxfId="0">
      <formula>AND(IF($Q30=3,1,IF($Q30=4,1,0)),IF($F30&lt;=85,1,0))</formula>
    </cfRule>
  </conditionalFormatting>
  <conditionalFormatting sqref="X30">
    <cfRule type="expression" priority="81" dxfId="3">
      <formula>AND(IF(OR($Q30=1,$Q30=2),1,0),IF($X30&lt;=20,1,0))</formula>
    </cfRule>
    <cfRule type="expression" priority="82" dxfId="2">
      <formula>AND(IF($Q30=2,1,0),IF($X30&lt;30,1,0))</formula>
    </cfRule>
    <cfRule type="expression" priority="83" dxfId="1">
      <formula>AND(IF($Q30=3,1,0),IF($X30&lt;30,1,0))</formula>
    </cfRule>
    <cfRule type="expression" priority="84" dxfId="0">
      <formula>AND(IF($Q30=3,1,IF($Q30=4,1,0)),IF($F30&lt;=85,1,0))</formula>
    </cfRule>
  </conditionalFormatting>
  <conditionalFormatting sqref="AI30">
    <cfRule type="expression" priority="77" dxfId="3">
      <formula>AND(IF(OR($Q30=1,$Q30=2),1,0),IF($X30&lt;=20,1,0))</formula>
    </cfRule>
    <cfRule type="expression" priority="78" dxfId="2">
      <formula>AND(IF($Q30=2,1,0),IF($X30&lt;30,1,0))</formula>
    </cfRule>
    <cfRule type="expression" priority="79" dxfId="1">
      <formula>AND(IF($Q30=3,1,0),IF($X30&lt;30,1,0))</formula>
    </cfRule>
    <cfRule type="expression" priority="80" dxfId="0">
      <formula>AND(IF($Q30=3,1,IF($Q30=4,1,0)),IF($F30&lt;=85,1,0))</formula>
    </cfRule>
  </conditionalFormatting>
  <conditionalFormatting sqref="AV31">
    <cfRule type="expression" priority="75" dxfId="23">
      <formula>AV31="X"</formula>
    </cfRule>
    <cfRule type="expression" priority="76" dxfId="22">
      <formula>AV31="후보"</formula>
    </cfRule>
  </conditionalFormatting>
  <conditionalFormatting sqref="AC3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1">
    <cfRule type="expression" priority="66" dxfId="3">
      <formula>AND(IF(OR($Q31=1,$Q31=2),1,0),IF($X31&lt;=20,1,0))</formula>
    </cfRule>
    <cfRule type="expression" priority="67" dxfId="2">
      <formula>AND(IF($Q31=2,1,0),IF($X31&lt;30,1,0))</formula>
    </cfRule>
    <cfRule type="expression" priority="68" dxfId="1">
      <formula>AND(IF($Q31=3,1,0),IF($X31&lt;30,1,0))</formula>
    </cfRule>
    <cfRule type="expression" priority="69" dxfId="0">
      <formula>AND(IF($Q31=3,1,IF($Q31=4,1,0)),IF($F31&lt;=85,1,0))</formula>
    </cfRule>
  </conditionalFormatting>
  <conditionalFormatting sqref="X31">
    <cfRule type="expression" priority="62" dxfId="3">
      <formula>AND(IF(OR($Q31=1,$Q31=2),1,0),IF($X31&lt;=20,1,0))</formula>
    </cfRule>
    <cfRule type="expression" priority="63" dxfId="2">
      <formula>AND(IF($Q31=2,1,0),IF($X31&lt;30,1,0))</formula>
    </cfRule>
    <cfRule type="expression" priority="64" dxfId="1">
      <formula>AND(IF($Q31=3,1,0),IF($X31&lt;30,1,0))</formula>
    </cfRule>
    <cfRule type="expression" priority="65" dxfId="0">
      <formula>AND(IF($Q31=3,1,IF($Q31=4,1,0)),IF($F31&lt;=85,1,0))</formula>
    </cfRule>
  </conditionalFormatting>
  <conditionalFormatting sqref="AI31">
    <cfRule type="expression" priority="58" dxfId="3">
      <formula>AND(IF(OR($Q31=1,$Q31=2),1,0),IF($X31&lt;=20,1,0))</formula>
    </cfRule>
    <cfRule type="expression" priority="59" dxfId="2">
      <formula>AND(IF($Q31=2,1,0),IF($X31&lt;30,1,0))</formula>
    </cfRule>
    <cfRule type="expression" priority="60" dxfId="1">
      <formula>AND(IF($Q31=3,1,0),IF($X31&lt;30,1,0))</formula>
    </cfRule>
    <cfRule type="expression" priority="61" dxfId="0">
      <formula>AND(IF($Q31=3,1,IF($Q31=4,1,0)),IF($F31&lt;=85,1,0))</formula>
    </cfRule>
  </conditionalFormatting>
  <conditionalFormatting sqref="AV32">
    <cfRule type="expression" priority="56" dxfId="23">
      <formula>AV32="X"</formula>
    </cfRule>
    <cfRule type="expression" priority="57" dxfId="22">
      <formula>AV32="후보"</formula>
    </cfRule>
  </conditionalFormatting>
  <conditionalFormatting sqref="AC3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23">
      <formula>AV33="X"</formula>
    </cfRule>
    <cfRule type="expression" priority="38" dxfId="22">
      <formula>AV33="후보"</formula>
    </cfRule>
  </conditionalFormatting>
  <conditionalFormatting sqref="AC3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23">
      <formula>AV34="X"</formula>
    </cfRule>
    <cfRule type="expression" priority="19" dxfId="22">
      <formula>AV34="후보"</formula>
    </cfRule>
  </conditionalFormatting>
  <conditionalFormatting sqref="AC3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8"/>
  <sheetViews>
    <sheetView zoomScaleNormal="100" zoomScaleSheetLayoutView="85" workbookViewId="0">
      <pane xSplit="1" ySplit="3" topLeftCell="B3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49" sqref="I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팔용동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팔용벽산블루밍A단지</t>
        </is>
      </c>
      <c r="B6" s="10" t="inlineStr">
        <is>
          <t>'00.01.</t>
        </is>
      </c>
      <c r="C6" s="133" t="n">
        <v>672</v>
      </c>
      <c r="D6" s="131" t="n">
        <v>79.90000000000001</v>
      </c>
      <c r="E6" s="132" t="n">
        <v>24</v>
      </c>
      <c r="F6" s="131" t="n">
        <v>60</v>
      </c>
      <c r="G6" s="17" t="n">
        <v>18</v>
      </c>
      <c r="H6" s="133" t="n">
        <v>592</v>
      </c>
      <c r="I6" s="134" t="n">
        <v>27500</v>
      </c>
      <c r="J6" s="134" t="inlineStr">
        <is>
          <t>고</t>
        </is>
      </c>
      <c r="K6" s="134" t="n">
        <v>23000</v>
      </c>
      <c r="L6" s="134" t="inlineStr">
        <is>
          <t>10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팔용벽산블루밍A단지</t>
        </is>
      </c>
      <c r="B7" s="10" t="inlineStr">
        <is>
          <t>'00.01.</t>
        </is>
      </c>
      <c r="C7" s="133" t="n">
        <v>672</v>
      </c>
      <c r="D7" s="131" t="n">
        <v>106.9</v>
      </c>
      <c r="E7" s="132" t="n">
        <v>32</v>
      </c>
      <c r="F7" s="131" t="n">
        <v>84.90000000000001</v>
      </c>
      <c r="G7" s="17" t="n">
        <v>26</v>
      </c>
      <c r="H7" s="133" t="n">
        <v>80</v>
      </c>
      <c r="I7" s="134" t="n">
        <v>44000</v>
      </c>
      <c r="J7" s="134" t="inlineStr">
        <is>
          <t>고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106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벽산블루밍B단지</t>
        </is>
      </c>
      <c r="B9" s="10" t="inlineStr">
        <is>
          <t>'99.06.</t>
        </is>
      </c>
      <c r="C9" s="133" t="n">
        <v>1650</v>
      </c>
      <c r="D9" s="131" t="n">
        <v>79.8</v>
      </c>
      <c r="E9" s="132" t="n">
        <v>24</v>
      </c>
      <c r="F9" s="131" t="n">
        <v>60</v>
      </c>
      <c r="G9" s="17" t="n">
        <v>18</v>
      </c>
      <c r="H9" s="133" t="n">
        <v>360</v>
      </c>
      <c r="I9" s="134" t="n">
        <v>30000</v>
      </c>
      <c r="J9" s="134" t="inlineStr">
        <is>
          <t>17</t>
        </is>
      </c>
      <c r="K9" s="134" t="n">
        <v>25000</v>
      </c>
      <c r="L9" s="134" t="inlineStr">
        <is>
          <t>5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79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벽산블루밍B단지</t>
        </is>
      </c>
      <c r="B10" s="10" t="inlineStr">
        <is>
          <t>'99.06.</t>
        </is>
      </c>
      <c r="C10" s="133" t="n">
        <v>1650</v>
      </c>
      <c r="D10" s="131" t="n">
        <v>95.09999999999999</v>
      </c>
      <c r="E10" s="132" t="n">
        <v>29</v>
      </c>
      <c r="F10" s="131" t="n">
        <v>74</v>
      </c>
      <c r="G10" s="17" t="n">
        <v>22</v>
      </c>
      <c r="H10" s="133" t="n">
        <v>570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95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벽산블루밍B단지</t>
        </is>
      </c>
      <c r="B11" s="10" t="inlineStr">
        <is>
          <t>'99.06.</t>
        </is>
      </c>
      <c r="C11" s="133" t="n">
        <v>1650</v>
      </c>
      <c r="D11" s="131" t="n">
        <v>108.1</v>
      </c>
      <c r="E11" s="132" t="n">
        <v>33</v>
      </c>
      <c r="F11" s="131" t="n">
        <v>84.90000000000001</v>
      </c>
      <c r="G11" s="17" t="n">
        <v>26</v>
      </c>
      <c r="H11" s="133" t="n">
        <v>720</v>
      </c>
      <c r="I11" s="134" t="n">
        <v>40000</v>
      </c>
      <c r="J11" s="134" t="inlineStr">
        <is>
          <t>17</t>
        </is>
      </c>
      <c r="K11" s="134" t="n">
        <v>25000</v>
      </c>
      <c r="L11" s="134" t="inlineStr">
        <is>
          <t>17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벽산블루밍C단지</t>
        </is>
      </c>
      <c r="B13" s="10" t="inlineStr">
        <is>
          <t>'99.08.</t>
        </is>
      </c>
      <c r="C13" s="133" t="n">
        <v>594</v>
      </c>
      <c r="D13" s="131" t="n">
        <v>79.59999999999999</v>
      </c>
      <c r="E13" s="132" t="n">
        <v>24</v>
      </c>
      <c r="F13" s="131" t="n">
        <v>60</v>
      </c>
      <c r="G13" s="17" t="n">
        <v>18</v>
      </c>
      <c r="H13" s="133" t="n">
        <v>231</v>
      </c>
      <c r="I13" s="134" t="n">
        <v>28000</v>
      </c>
      <c r="J13" s="134" t="inlineStr">
        <is>
          <t>중</t>
        </is>
      </c>
      <c r="K13" s="134" t="n">
        <v>21000</v>
      </c>
      <c r="L13" s="134" t="inlineStr">
        <is>
          <t>18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79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벽산블루밍C단지</t>
        </is>
      </c>
      <c r="B14" s="10" t="inlineStr">
        <is>
          <t>'99.08.</t>
        </is>
      </c>
      <c r="C14" s="133" t="n">
        <v>594</v>
      </c>
      <c r="D14" s="131" t="n">
        <v>94.7</v>
      </c>
      <c r="E14" s="132" t="n">
        <v>29</v>
      </c>
      <c r="F14" s="131" t="n">
        <v>74</v>
      </c>
      <c r="G14" s="17" t="n">
        <v>22</v>
      </c>
      <c r="H14" s="133" t="n">
        <v>87</v>
      </c>
      <c r="I14" s="134" t="n">
        <v>31000</v>
      </c>
      <c r="J14" s="134" t="inlineStr">
        <is>
          <t>고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94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벽산블루밍C단지</t>
        </is>
      </c>
      <c r="B15" s="10" t="inlineStr">
        <is>
          <t>'99.08.</t>
        </is>
      </c>
      <c r="C15" s="133" t="n">
        <v>594</v>
      </c>
      <c r="D15" s="131" t="n">
        <v>106.5</v>
      </c>
      <c r="E15" s="132" t="n">
        <v>32</v>
      </c>
      <c r="F15" s="131" t="n">
        <v>84.90000000000001</v>
      </c>
      <c r="G15" s="17" t="n">
        <v>26</v>
      </c>
      <c r="H15" s="133" t="n">
        <v>276</v>
      </c>
      <c r="I15" s="134" t="n">
        <v>31000</v>
      </c>
      <c r="J15" s="134" t="inlineStr">
        <is>
          <t>중</t>
        </is>
      </c>
      <c r="K15" s="134" t="n">
        <v>29000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106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힐스테이트아티움시티</t>
        </is>
      </c>
      <c r="B17" s="10" t="inlineStr">
        <is>
          <t>'20.05.</t>
        </is>
      </c>
      <c r="C17" s="133" t="n">
        <v>1132</v>
      </c>
      <c r="D17" s="131" t="n">
        <v>112.9</v>
      </c>
      <c r="E17" s="132" t="n">
        <v>34</v>
      </c>
      <c r="F17" s="131" t="n">
        <v>84.90000000000001</v>
      </c>
      <c r="G17" s="17" t="n">
        <v>26</v>
      </c>
      <c r="H17" s="133" t="n">
        <v>378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112A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힐스테이트아티움시티</t>
        </is>
      </c>
      <c r="B18" s="10" t="inlineStr">
        <is>
          <t>'20.05.</t>
        </is>
      </c>
      <c r="C18" s="133" t="n">
        <v>1132</v>
      </c>
      <c r="D18" s="131" t="n">
        <v>114.3</v>
      </c>
      <c r="E18" s="132" t="n">
        <v>35</v>
      </c>
      <c r="F18" s="131" t="n">
        <v>84.59999999999999</v>
      </c>
      <c r="G18" s="17" t="n">
        <v>26</v>
      </c>
      <c r="H18" s="133" t="n">
        <v>378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114C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힐스테이트아티움시티</t>
        </is>
      </c>
      <c r="B19" s="10" t="inlineStr">
        <is>
          <t>'20.05.</t>
        </is>
      </c>
      <c r="C19" s="133" t="n">
        <v>1132</v>
      </c>
      <c r="D19" s="131" t="n">
        <v>114.9</v>
      </c>
      <c r="E19" s="132" t="n">
        <v>35</v>
      </c>
      <c r="F19" s="131" t="n">
        <v>84.90000000000001</v>
      </c>
      <c r="G19" s="17" t="n">
        <v>26</v>
      </c>
      <c r="H19" s="133" t="n">
        <v>376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114B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극동</t>
        </is>
      </c>
      <c r="B21" s="10" t="inlineStr">
        <is>
          <t>'94.12.</t>
        </is>
      </c>
      <c r="C21" s="133" t="n">
        <v>1059</v>
      </c>
      <c r="D21" s="131" t="n">
        <v>72.90000000000001</v>
      </c>
      <c r="E21" s="132" t="n">
        <v>22</v>
      </c>
      <c r="F21" s="131" t="n">
        <v>49.9</v>
      </c>
      <c r="G21" s="17" t="n">
        <v>15</v>
      </c>
      <c r="H21" s="133" t="n">
        <v>108</v>
      </c>
      <c r="I21" s="134" t="n">
        <v>17500</v>
      </c>
      <c r="J21" s="134" t="inlineStr">
        <is>
          <t>6</t>
        </is>
      </c>
      <c r="K21" s="134" t="n">
        <v>15500</v>
      </c>
      <c r="L21" s="134" t="inlineStr">
        <is>
          <t>고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복</t>
        </is>
      </c>
      <c r="T21" s="5" t="n">
        <v>72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극동</t>
        </is>
      </c>
      <c r="B22" s="10" t="inlineStr">
        <is>
          <t>'94.12.</t>
        </is>
      </c>
      <c r="C22" s="133" t="n">
        <v>1059</v>
      </c>
      <c r="D22" s="131" t="n">
        <v>86.7</v>
      </c>
      <c r="E22" s="132" t="n">
        <v>26</v>
      </c>
      <c r="F22" s="131" t="n">
        <v>59.3</v>
      </c>
      <c r="G22" s="17" t="n">
        <v>18</v>
      </c>
      <c r="H22" s="133" t="n">
        <v>299</v>
      </c>
      <c r="I22" s="134" t="n">
        <v>20000</v>
      </c>
      <c r="J22" s="134" t="inlineStr">
        <is>
          <t>20</t>
        </is>
      </c>
      <c r="K22" s="134" t="n">
        <v>19000</v>
      </c>
      <c r="L22" s="134" t="inlineStr">
        <is>
          <t>중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복</t>
        </is>
      </c>
      <c r="T22" s="5" t="n">
        <v>86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극동</t>
        </is>
      </c>
      <c r="B23" s="10" t="inlineStr">
        <is>
          <t>'94.12.</t>
        </is>
      </c>
      <c r="C23" s="133" t="n">
        <v>1059</v>
      </c>
      <c r="D23" s="131" t="n">
        <v>105.5</v>
      </c>
      <c r="E23" s="132" t="n">
        <v>32</v>
      </c>
      <c r="F23" s="131" t="n">
        <v>84.90000000000001</v>
      </c>
      <c r="G23" s="17" t="n">
        <v>26</v>
      </c>
      <c r="H23" s="133" t="n">
        <v>360</v>
      </c>
      <c r="I23" s="134" t="n">
        <v>31500</v>
      </c>
      <c r="J23" s="134" t="inlineStr">
        <is>
          <t>중</t>
        </is>
      </c>
      <c r="K23" s="134" t="n">
        <v>25000</v>
      </c>
      <c r="L23" s="134" t="inlineStr">
        <is>
          <t>5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105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극동</t>
        </is>
      </c>
      <c r="B24" s="10" t="inlineStr">
        <is>
          <t>'94.12.</t>
        </is>
      </c>
      <c r="C24" s="133" t="n">
        <v>1059</v>
      </c>
      <c r="D24" s="131" t="n">
        <v>135.1</v>
      </c>
      <c r="E24" s="132" t="n">
        <v>41</v>
      </c>
      <c r="F24" s="131" t="n">
        <v>108.7</v>
      </c>
      <c r="G24" s="17" t="n">
        <v>33</v>
      </c>
      <c r="H24" s="133" t="n">
        <v>292</v>
      </c>
      <c r="I24" s="134" t="n">
        <v>34500</v>
      </c>
      <c r="J24" s="134" t="inlineStr">
        <is>
          <t>중</t>
        </is>
      </c>
      <c r="K24" s="134" t="n">
        <v>29000</v>
      </c>
      <c r="L24" s="134" t="inlineStr">
        <is>
          <t>8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4</v>
      </c>
      <c r="R24" s="121" t="n">
        <v>2</v>
      </c>
      <c r="S24" s="121" t="inlineStr">
        <is>
          <t>계</t>
        </is>
      </c>
      <c r="T24" s="5" t="n">
        <v>135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대동중앙</t>
        </is>
      </c>
      <c r="B26" s="10" t="inlineStr">
        <is>
          <t>'93.09.</t>
        </is>
      </c>
      <c r="C26" s="133" t="n">
        <v>1040</v>
      </c>
      <c r="D26" s="131" t="n">
        <v>69.7</v>
      </c>
      <c r="E26" s="132" t="n">
        <v>21</v>
      </c>
      <c r="F26" s="131" t="n">
        <v>59.9</v>
      </c>
      <c r="G26" s="17" t="n">
        <v>18</v>
      </c>
      <c r="H26" s="133" t="n">
        <v>830</v>
      </c>
      <c r="I26" s="134" t="n">
        <v>25000</v>
      </c>
      <c r="J26" s="134" t="inlineStr">
        <is>
          <t>고</t>
        </is>
      </c>
      <c r="K26" s="134" t="n">
        <v>18000</v>
      </c>
      <c r="L26" s="134" t="inlineStr">
        <is>
          <t>10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계</t>
        </is>
      </c>
      <c r="T26" s="5" t="n">
        <v>69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대동중앙</t>
        </is>
      </c>
      <c r="B27" s="10" t="inlineStr">
        <is>
          <t>'93.09.</t>
        </is>
      </c>
      <c r="C27" s="133" t="n">
        <v>1040</v>
      </c>
      <c r="D27" s="131" t="n">
        <v>69.40000000000001</v>
      </c>
      <c r="E27" s="132" t="n">
        <v>21</v>
      </c>
      <c r="F27" s="131" t="n">
        <v>59.7</v>
      </c>
      <c r="G27" s="17" t="n">
        <v>18</v>
      </c>
      <c r="H27" s="133" t="n">
        <v>120</v>
      </c>
      <c r="I27" s="134" t="n">
        <v>23800</v>
      </c>
      <c r="J27" s="134" t="inlineStr">
        <is>
          <t>8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inlineStr">
        <is>
          <t>69A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대동중앙</t>
        </is>
      </c>
      <c r="B28" s="10" t="inlineStr">
        <is>
          <t>'93.09.</t>
        </is>
      </c>
      <c r="C28" s="133" t="n">
        <v>1040</v>
      </c>
      <c r="D28" s="131" t="n">
        <v>69.7</v>
      </c>
      <c r="E28" s="132" t="n">
        <v>21</v>
      </c>
      <c r="F28" s="131" t="n">
        <v>59.9</v>
      </c>
      <c r="G28" s="17" t="n">
        <v>18</v>
      </c>
      <c r="H28" s="133" t="n">
        <v>90</v>
      </c>
      <c r="I28" s="134" t="n">
        <v>25000</v>
      </c>
      <c r="J28" s="134" t="inlineStr">
        <is>
          <t>고</t>
        </is>
      </c>
      <c r="K28" s="134" t="n">
        <v>18000</v>
      </c>
      <c r="L28" s="134" t="inlineStr">
        <is>
          <t>10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1</v>
      </c>
      <c r="S28" s="121" t="inlineStr">
        <is>
          <t>계</t>
        </is>
      </c>
      <c r="T28" s="5" t="inlineStr">
        <is>
          <t>69B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68" dxfId="23">
      <formula>AV4="X"</formula>
    </cfRule>
    <cfRule type="expression" priority="369" dxfId="22">
      <formula>AV4="후보"</formula>
    </cfRule>
  </conditionalFormatting>
  <conditionalFormatting sqref="AC1:AC2 AC4:AC6 N4:N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N1:N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X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I6">
    <cfRule type="expression" priority="349" dxfId="3">
      <formula>AND(IF(OR($Q6=1,$Q6=2),1,0),IF($X6&lt;=20,1,0))</formula>
    </cfRule>
    <cfRule type="expression" priority="350" dxfId="2">
      <formula>AND(IF($Q6=2,1,0),IF($X6&lt;30,1,0))</formula>
    </cfRule>
    <cfRule type="expression" priority="351" dxfId="1">
      <formula>AND(IF($Q6=3,1,0),IF($X6&lt;30,1,0))</formula>
    </cfRule>
    <cfRule type="expression" priority="352" dxfId="0">
      <formula>AND(IF($Q6=3,1,IF($Q6=4,1,0)),IF($F6&lt;=85,1,0))</formula>
    </cfRule>
  </conditionalFormatting>
  <conditionalFormatting sqref="AV7">
    <cfRule type="expression" priority="347" dxfId="23">
      <formula>AV7="X"</formula>
    </cfRule>
    <cfRule type="expression" priority="348" dxfId="22">
      <formula>AV7="후보"</formula>
    </cfRule>
  </conditionalFormatting>
  <conditionalFormatting sqref="AC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X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I7">
    <cfRule type="expression" priority="330" dxfId="3">
      <formula>AND(IF(OR($Q7=1,$Q7=2),1,0),IF($X7&lt;=20,1,0))</formula>
    </cfRule>
    <cfRule type="expression" priority="331" dxfId="2">
      <formula>AND(IF($Q7=2,1,0),IF($X7&lt;30,1,0))</formula>
    </cfRule>
    <cfRule type="expression" priority="332" dxfId="1">
      <formula>AND(IF($Q7=3,1,0),IF($X7&lt;30,1,0))</formula>
    </cfRule>
    <cfRule type="expression" priority="333" dxfId="0">
      <formula>AND(IF($Q7=3,1,IF($Q7=4,1,0)),IF($F7&lt;=85,1,0))</formula>
    </cfRule>
  </conditionalFormatting>
  <conditionalFormatting sqref="AV8">
    <cfRule type="expression" priority="328" dxfId="23">
      <formula>AV8="X"</formula>
    </cfRule>
    <cfRule type="expression" priority="329" dxfId="22">
      <formula>AV8="후보"</formula>
    </cfRule>
  </conditionalFormatting>
  <conditionalFormatting sqref="AC8 N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9">
    <cfRule type="expression" priority="323" dxfId="23">
      <formula>AV9="X"</formula>
    </cfRule>
    <cfRule type="expression" priority="324" dxfId="22">
      <formula>AV9="후보"</formula>
    </cfRule>
  </conditionalFormatting>
  <conditionalFormatting sqref="AC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X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I9">
    <cfRule type="expression" priority="306" dxfId="3">
      <formula>AND(IF(OR($Q9=1,$Q9=2),1,0),IF($X9&lt;=20,1,0))</formula>
    </cfRule>
    <cfRule type="expression" priority="307" dxfId="2">
      <formula>AND(IF($Q9=2,1,0),IF($X9&lt;30,1,0))</formula>
    </cfRule>
    <cfRule type="expression" priority="308" dxfId="1">
      <formula>AND(IF($Q9=3,1,0),IF($X9&lt;30,1,0))</formula>
    </cfRule>
    <cfRule type="expression" priority="309" dxfId="0">
      <formula>AND(IF($Q9=3,1,IF($Q9=4,1,0)),IF($F9&lt;=85,1,0))</formula>
    </cfRule>
  </conditionalFormatting>
  <conditionalFormatting sqref="AV10">
    <cfRule type="expression" priority="304" dxfId="23">
      <formula>AV10="X"</formula>
    </cfRule>
    <cfRule type="expression" priority="305" dxfId="22">
      <formula>AV10="후보"</formula>
    </cfRule>
  </conditionalFormatting>
  <conditionalFormatting sqref="AC1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0">
    <cfRule type="expression" priority="295" dxfId="3">
      <formula>AND(IF(OR($Q10=1,$Q10=2),1,0),IF($X10&lt;=20,1,0))</formula>
    </cfRule>
    <cfRule type="expression" priority="296" dxfId="2">
      <formula>AND(IF($Q10=2,1,0),IF($X10&lt;30,1,0))</formula>
    </cfRule>
    <cfRule type="expression" priority="297" dxfId="1">
      <formula>AND(IF($Q10=3,1,0),IF($X10&lt;30,1,0))</formula>
    </cfRule>
    <cfRule type="expression" priority="298" dxfId="0">
      <formula>AND(IF($Q10=3,1,IF($Q10=4,1,0)),IF($F10&lt;=85,1,0))</formula>
    </cfRule>
  </conditionalFormatting>
  <conditionalFormatting sqref="X10">
    <cfRule type="expression" priority="291" dxfId="3">
      <formula>AND(IF(OR($Q10=1,$Q10=2),1,0),IF($X10&lt;=20,1,0))</formula>
    </cfRule>
    <cfRule type="expression" priority="292" dxfId="2">
      <formula>AND(IF($Q10=2,1,0),IF($X10&lt;30,1,0))</formula>
    </cfRule>
    <cfRule type="expression" priority="293" dxfId="1">
      <formula>AND(IF($Q10=3,1,0),IF($X10&lt;30,1,0))</formula>
    </cfRule>
    <cfRule type="expression" priority="294" dxfId="0">
      <formula>AND(IF($Q10=3,1,IF($Q10=4,1,0)),IF($F10&lt;=85,1,0))</formula>
    </cfRule>
  </conditionalFormatting>
  <conditionalFormatting sqref="AI10">
    <cfRule type="expression" priority="287" dxfId="3">
      <formula>AND(IF(OR($Q10=1,$Q10=2),1,0),IF($X10&lt;=20,1,0))</formula>
    </cfRule>
    <cfRule type="expression" priority="288" dxfId="2">
      <formula>AND(IF($Q10=2,1,0),IF($X10&lt;30,1,0))</formula>
    </cfRule>
    <cfRule type="expression" priority="289" dxfId="1">
      <formula>AND(IF($Q10=3,1,0),IF($X10&lt;30,1,0))</formula>
    </cfRule>
    <cfRule type="expression" priority="290" dxfId="0">
      <formula>AND(IF($Q10=3,1,IF($Q10=4,1,0)),IF($F10&lt;=85,1,0))</formula>
    </cfRule>
  </conditionalFormatting>
  <conditionalFormatting sqref="AV11">
    <cfRule type="expression" priority="285" dxfId="23">
      <formula>AV11="X"</formula>
    </cfRule>
    <cfRule type="expression" priority="286" dxfId="22">
      <formula>AV11="후보"</formula>
    </cfRule>
  </conditionalFormatting>
  <conditionalFormatting sqref="AC1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1">
    <cfRule type="expression" priority="276" dxfId="3">
      <formula>AND(IF(OR($Q11=1,$Q11=2),1,0),IF($X11&lt;=20,1,0))</formula>
    </cfRule>
    <cfRule type="expression" priority="277" dxfId="2">
      <formula>AND(IF($Q11=2,1,0),IF($X11&lt;30,1,0))</formula>
    </cfRule>
    <cfRule type="expression" priority="278" dxfId="1">
      <formula>AND(IF($Q11=3,1,0),IF($X11&lt;30,1,0))</formula>
    </cfRule>
    <cfRule type="expression" priority="279" dxfId="0">
      <formula>AND(IF($Q11=3,1,IF($Q11=4,1,0)),IF($F11&lt;=85,1,0))</formula>
    </cfRule>
  </conditionalFormatting>
  <conditionalFormatting sqref="X11">
    <cfRule type="expression" priority="272" dxfId="3">
      <formula>AND(IF(OR($Q11=1,$Q11=2),1,0),IF($X11&lt;=20,1,0))</formula>
    </cfRule>
    <cfRule type="expression" priority="273" dxfId="2">
      <formula>AND(IF($Q11=2,1,0),IF($X11&lt;30,1,0))</formula>
    </cfRule>
    <cfRule type="expression" priority="274" dxfId="1">
      <formula>AND(IF($Q11=3,1,0),IF($X11&lt;30,1,0))</formula>
    </cfRule>
    <cfRule type="expression" priority="275" dxfId="0">
      <formula>AND(IF($Q11=3,1,IF($Q11=4,1,0)),IF($F11&lt;=85,1,0))</formula>
    </cfRule>
  </conditionalFormatting>
  <conditionalFormatting sqref="AI11">
    <cfRule type="expression" priority="268" dxfId="3">
      <formula>AND(IF(OR($Q11=1,$Q11=2),1,0),IF($X11&lt;=20,1,0))</formula>
    </cfRule>
    <cfRule type="expression" priority="269" dxfId="2">
      <formula>AND(IF($Q11=2,1,0),IF($X11&lt;30,1,0))</formula>
    </cfRule>
    <cfRule type="expression" priority="270" dxfId="1">
      <formula>AND(IF($Q11=3,1,0),IF($X11&lt;30,1,0))</formula>
    </cfRule>
    <cfRule type="expression" priority="271" dxfId="0">
      <formula>AND(IF($Q11=3,1,IF($Q11=4,1,0)),IF($F11&lt;=85,1,0))</formula>
    </cfRule>
  </conditionalFormatting>
  <conditionalFormatting sqref="AV12">
    <cfRule type="expression" priority="266" dxfId="23">
      <formula>AV12="X"</formula>
    </cfRule>
    <cfRule type="expression" priority="267" dxfId="22">
      <formula>AV12="후보"</formula>
    </cfRule>
  </conditionalFormatting>
  <conditionalFormatting sqref="AC12 N1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3">
    <cfRule type="expression" priority="261" dxfId="23">
      <formula>AV13="X"</formula>
    </cfRule>
    <cfRule type="expression" priority="262" dxfId="22">
      <formula>AV13="후보"</formula>
    </cfRule>
  </conditionalFormatting>
  <conditionalFormatting sqref="AC1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">
    <cfRule type="expression" priority="252" dxfId="3">
      <formula>AND(IF(OR($Q13=1,$Q13=2),1,0),IF($X13&lt;=20,1,0))</formula>
    </cfRule>
    <cfRule type="expression" priority="253" dxfId="2">
      <formula>AND(IF($Q13=2,1,0),IF($X13&lt;30,1,0))</formula>
    </cfRule>
    <cfRule type="expression" priority="254" dxfId="1">
      <formula>AND(IF($Q13=3,1,0),IF($X13&lt;30,1,0))</formula>
    </cfRule>
    <cfRule type="expression" priority="255" dxfId="0">
      <formula>AND(IF($Q13=3,1,IF($Q13=4,1,0)),IF($F13&lt;=85,1,0))</formula>
    </cfRule>
  </conditionalFormatting>
  <conditionalFormatting sqref="X13">
    <cfRule type="expression" priority="248" dxfId="3">
      <formula>AND(IF(OR($Q13=1,$Q13=2),1,0),IF($X13&lt;=20,1,0))</formula>
    </cfRule>
    <cfRule type="expression" priority="249" dxfId="2">
      <formula>AND(IF($Q13=2,1,0),IF($X13&lt;30,1,0))</formula>
    </cfRule>
    <cfRule type="expression" priority="250" dxfId="1">
      <formula>AND(IF($Q13=3,1,0),IF($X13&lt;30,1,0))</formula>
    </cfRule>
    <cfRule type="expression" priority="251" dxfId="0">
      <formula>AND(IF($Q13=3,1,IF($Q13=4,1,0)),IF($F13&lt;=85,1,0))</formula>
    </cfRule>
  </conditionalFormatting>
  <conditionalFormatting sqref="AI13">
    <cfRule type="expression" priority="244" dxfId="3">
      <formula>AND(IF(OR($Q13=1,$Q13=2),1,0),IF($X13&lt;=20,1,0))</formula>
    </cfRule>
    <cfRule type="expression" priority="245" dxfId="2">
      <formula>AND(IF($Q13=2,1,0),IF($X13&lt;30,1,0))</formula>
    </cfRule>
    <cfRule type="expression" priority="246" dxfId="1">
      <formula>AND(IF($Q13=3,1,0),IF($X13&lt;30,1,0))</formula>
    </cfRule>
    <cfRule type="expression" priority="247" dxfId="0">
      <formula>AND(IF($Q13=3,1,IF($Q13=4,1,0)),IF($F13&lt;=85,1,0))</formula>
    </cfRule>
  </conditionalFormatting>
  <conditionalFormatting sqref="AV14">
    <cfRule type="expression" priority="242" dxfId="23">
      <formula>AV14="X"</formula>
    </cfRule>
    <cfRule type="expression" priority="243" dxfId="22">
      <formula>AV14="후보"</formula>
    </cfRule>
  </conditionalFormatting>
  <conditionalFormatting sqref="AC1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4">
    <cfRule type="expression" priority="233" dxfId="3">
      <formula>AND(IF(OR($Q14=1,$Q14=2),1,0),IF($X14&lt;=20,1,0))</formula>
    </cfRule>
    <cfRule type="expression" priority="234" dxfId="2">
      <formula>AND(IF($Q14=2,1,0),IF($X14&lt;30,1,0))</formula>
    </cfRule>
    <cfRule type="expression" priority="235" dxfId="1">
      <formula>AND(IF($Q14=3,1,0),IF($X14&lt;30,1,0))</formula>
    </cfRule>
    <cfRule type="expression" priority="236" dxfId="0">
      <formula>AND(IF($Q14=3,1,IF($Q14=4,1,0)),IF($F14&lt;=85,1,0))</formula>
    </cfRule>
  </conditionalFormatting>
  <conditionalFormatting sqref="X14">
    <cfRule type="expression" priority="229" dxfId="3">
      <formula>AND(IF(OR($Q14=1,$Q14=2),1,0),IF($X14&lt;=20,1,0))</formula>
    </cfRule>
    <cfRule type="expression" priority="230" dxfId="2">
      <formula>AND(IF($Q14=2,1,0),IF($X14&lt;30,1,0))</formula>
    </cfRule>
    <cfRule type="expression" priority="231" dxfId="1">
      <formula>AND(IF($Q14=3,1,0),IF($X14&lt;30,1,0))</formula>
    </cfRule>
    <cfRule type="expression" priority="232" dxfId="0">
      <formula>AND(IF($Q14=3,1,IF($Q14=4,1,0)),IF($F14&lt;=85,1,0))</formula>
    </cfRule>
  </conditionalFormatting>
  <conditionalFormatting sqref="AI14">
    <cfRule type="expression" priority="225" dxfId="3">
      <formula>AND(IF(OR($Q14=1,$Q14=2),1,0),IF($X14&lt;=20,1,0))</formula>
    </cfRule>
    <cfRule type="expression" priority="226" dxfId="2">
      <formula>AND(IF($Q14=2,1,0),IF($X14&lt;30,1,0))</formula>
    </cfRule>
    <cfRule type="expression" priority="227" dxfId="1">
      <formula>AND(IF($Q14=3,1,0),IF($X14&lt;30,1,0))</formula>
    </cfRule>
    <cfRule type="expression" priority="228" dxfId="0">
      <formula>AND(IF($Q14=3,1,IF($Q14=4,1,0)),IF($F14&lt;=85,1,0))</formula>
    </cfRule>
  </conditionalFormatting>
  <conditionalFormatting sqref="AV15">
    <cfRule type="expression" priority="223" dxfId="23">
      <formula>AV15="X"</formula>
    </cfRule>
    <cfRule type="expression" priority="224" dxfId="22">
      <formula>AV15="후보"</formula>
    </cfRule>
  </conditionalFormatting>
  <conditionalFormatting sqref="AC1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5">
    <cfRule type="expression" priority="214" dxfId="3">
      <formula>AND(IF(OR($Q15=1,$Q15=2),1,0),IF($X15&lt;=20,1,0))</formula>
    </cfRule>
    <cfRule type="expression" priority="215" dxfId="2">
      <formula>AND(IF($Q15=2,1,0),IF($X15&lt;30,1,0))</formula>
    </cfRule>
    <cfRule type="expression" priority="216" dxfId="1">
      <formula>AND(IF($Q15=3,1,0),IF($X15&lt;30,1,0))</formula>
    </cfRule>
    <cfRule type="expression" priority="217" dxfId="0">
      <formula>AND(IF($Q15=3,1,IF($Q15=4,1,0)),IF($F15&lt;=85,1,0))</formula>
    </cfRule>
  </conditionalFormatting>
  <conditionalFormatting sqref="X15">
    <cfRule type="expression" priority="210" dxfId="3">
      <formula>AND(IF(OR($Q15=1,$Q15=2),1,0),IF($X15&lt;=20,1,0))</formula>
    </cfRule>
    <cfRule type="expression" priority="211" dxfId="2">
      <formula>AND(IF($Q15=2,1,0),IF($X15&lt;30,1,0))</formula>
    </cfRule>
    <cfRule type="expression" priority="212" dxfId="1">
      <formula>AND(IF($Q15=3,1,0),IF($X15&lt;30,1,0))</formula>
    </cfRule>
    <cfRule type="expression" priority="213" dxfId="0">
      <formula>AND(IF($Q15=3,1,IF($Q15=4,1,0)),IF($F15&lt;=85,1,0))</formula>
    </cfRule>
  </conditionalFormatting>
  <conditionalFormatting sqref="AI15">
    <cfRule type="expression" priority="206" dxfId="3">
      <formula>AND(IF(OR($Q15=1,$Q15=2),1,0),IF($X15&lt;=20,1,0))</formula>
    </cfRule>
    <cfRule type="expression" priority="207" dxfId="2">
      <formula>AND(IF($Q15=2,1,0),IF($X15&lt;30,1,0))</formula>
    </cfRule>
    <cfRule type="expression" priority="208" dxfId="1">
      <formula>AND(IF($Q15=3,1,0),IF($X15&lt;30,1,0))</formula>
    </cfRule>
    <cfRule type="expression" priority="209" dxfId="0">
      <formula>AND(IF($Q15=3,1,IF($Q15=4,1,0)),IF($F15&lt;=85,1,0))</formula>
    </cfRule>
  </conditionalFormatting>
  <conditionalFormatting sqref="AV16">
    <cfRule type="expression" priority="204" dxfId="23">
      <formula>AV16="X"</formula>
    </cfRule>
    <cfRule type="expression" priority="205" dxfId="22">
      <formula>AV16="후보"</formula>
    </cfRule>
  </conditionalFormatting>
  <conditionalFormatting sqref="AC16 N1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7">
    <cfRule type="expression" priority="199" dxfId="23">
      <formula>AV17="X"</formula>
    </cfRule>
    <cfRule type="expression" priority="200" dxfId="22">
      <formula>AV17="후보"</formula>
    </cfRule>
  </conditionalFormatting>
  <conditionalFormatting sqref="AC1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8">
    <cfRule type="expression" priority="171" dxfId="3">
      <formula>AND(IF(OR($Q18=1,$Q18=2),1,0),IF($X18&lt;=20,1,0))</formula>
    </cfRule>
    <cfRule type="expression" priority="172" dxfId="2">
      <formula>AND(IF($Q18=2,1,0),IF($X18&lt;30,1,0))</formula>
    </cfRule>
    <cfRule type="expression" priority="173" dxfId="1">
      <formula>AND(IF($Q18=3,1,0),IF($X18&lt;30,1,0))</formula>
    </cfRule>
    <cfRule type="expression" priority="174" dxfId="0">
      <formula>AND(IF($Q18=3,1,IF($Q18=4,1,0)),IF($F18&lt;=85,1,0))</formula>
    </cfRule>
  </conditionalFormatting>
  <conditionalFormatting sqref="X18">
    <cfRule type="expression" priority="167" dxfId="3">
      <formula>AND(IF(OR($Q18=1,$Q18=2),1,0),IF($X18&lt;=20,1,0))</formula>
    </cfRule>
    <cfRule type="expression" priority="168" dxfId="2">
      <formula>AND(IF($Q18=2,1,0),IF($X18&lt;30,1,0))</formula>
    </cfRule>
    <cfRule type="expression" priority="169" dxfId="1">
      <formula>AND(IF($Q18=3,1,0),IF($X18&lt;30,1,0))</formula>
    </cfRule>
    <cfRule type="expression" priority="170" dxfId="0">
      <formula>AND(IF($Q18=3,1,IF($Q18=4,1,0)),IF($F18&lt;=85,1,0))</formula>
    </cfRule>
  </conditionalFormatting>
  <conditionalFormatting sqref="AI18">
    <cfRule type="expression" priority="163" dxfId="3">
      <formula>AND(IF(OR($Q18=1,$Q18=2),1,0),IF($X18&lt;=20,1,0))</formula>
    </cfRule>
    <cfRule type="expression" priority="164" dxfId="2">
      <formula>AND(IF($Q18=2,1,0),IF($X18&lt;30,1,0))</formula>
    </cfRule>
    <cfRule type="expression" priority="165" dxfId="1">
      <formula>AND(IF($Q18=3,1,0),IF($X18&lt;30,1,0))</formula>
    </cfRule>
    <cfRule type="expression" priority="166" dxfId="0">
      <formula>AND(IF($Q18=3,1,IF($Q18=4,1,0)),IF($F18&lt;=85,1,0))</formula>
    </cfRule>
  </conditionalFormatting>
  <conditionalFormatting sqref="AV19">
    <cfRule type="expression" priority="161" dxfId="23">
      <formula>AV19="X"</formula>
    </cfRule>
    <cfRule type="expression" priority="162" dxfId="22">
      <formula>AV19="후보"</formula>
    </cfRule>
  </conditionalFormatting>
  <conditionalFormatting sqref="AC1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9">
    <cfRule type="expression" priority="152" dxfId="3">
      <formula>AND(IF(OR($Q19=1,$Q19=2),1,0),IF($X19&lt;=20,1,0))</formula>
    </cfRule>
    <cfRule type="expression" priority="153" dxfId="2">
      <formula>AND(IF($Q19=2,1,0),IF($X19&lt;30,1,0))</formula>
    </cfRule>
    <cfRule type="expression" priority="154" dxfId="1">
      <formula>AND(IF($Q19=3,1,0),IF($X19&lt;30,1,0))</formula>
    </cfRule>
    <cfRule type="expression" priority="155" dxfId="0">
      <formula>AND(IF($Q19=3,1,IF($Q19=4,1,0)),IF($F19&lt;=85,1,0))</formula>
    </cfRule>
  </conditionalFormatting>
  <conditionalFormatting sqref="X19">
    <cfRule type="expression" priority="148" dxfId="3">
      <formula>AND(IF(OR($Q19=1,$Q19=2),1,0),IF($X19&lt;=20,1,0))</formula>
    </cfRule>
    <cfRule type="expression" priority="149" dxfId="2">
      <formula>AND(IF($Q19=2,1,0),IF($X19&lt;30,1,0))</formula>
    </cfRule>
    <cfRule type="expression" priority="150" dxfId="1">
      <formula>AND(IF($Q19=3,1,0),IF($X19&lt;30,1,0))</formula>
    </cfRule>
    <cfRule type="expression" priority="151" dxfId="0">
      <formula>AND(IF($Q19=3,1,IF($Q19=4,1,0)),IF($F19&lt;=85,1,0))</formula>
    </cfRule>
  </conditionalFormatting>
  <conditionalFormatting sqref="AI19">
    <cfRule type="expression" priority="144" dxfId="3">
      <formula>AND(IF(OR($Q19=1,$Q19=2),1,0),IF($X19&lt;=20,1,0))</formula>
    </cfRule>
    <cfRule type="expression" priority="145" dxfId="2">
      <formula>AND(IF($Q19=2,1,0),IF($X19&lt;30,1,0))</formula>
    </cfRule>
    <cfRule type="expression" priority="146" dxfId="1">
      <formula>AND(IF($Q19=3,1,0),IF($X19&lt;30,1,0))</formula>
    </cfRule>
    <cfRule type="expression" priority="147" dxfId="0">
      <formula>AND(IF($Q19=3,1,IF($Q19=4,1,0)),IF($F19&lt;=85,1,0))</formula>
    </cfRule>
  </conditionalFormatting>
  <conditionalFormatting sqref="AV20">
    <cfRule type="expression" priority="142" dxfId="23">
      <formula>AV20="X"</formula>
    </cfRule>
    <cfRule type="expression" priority="143" dxfId="22">
      <formula>AV20="후보"</formula>
    </cfRule>
  </conditionalFormatting>
  <conditionalFormatting sqref="AC20 N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23">
      <formula>AV23="X"</formula>
    </cfRule>
    <cfRule type="expression" priority="100" dxfId="22">
      <formula>AV23="후보"</formula>
    </cfRule>
  </conditionalFormatting>
  <conditionalFormatting sqref="AC2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23">
      <formula>AV24="X"</formula>
    </cfRule>
    <cfRule type="expression" priority="81" dxfId="22">
      <formula>AV24="후보"</formula>
    </cfRule>
  </conditionalFormatting>
  <conditionalFormatting sqref="AC2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4">
    <cfRule type="expression" priority="71" dxfId="3">
      <formula>AND(IF(OR($Q24=1,$Q24=2),1,0),IF($X24&lt;=20,1,0))</formula>
    </cfRule>
    <cfRule type="expression" priority="72" dxfId="2">
      <formula>AND(IF($Q24=2,1,0),IF($X24&lt;30,1,0))</formula>
    </cfRule>
    <cfRule type="expression" priority="73" dxfId="1">
      <formula>AND(IF($Q24=3,1,0),IF($X24&lt;30,1,0))</formula>
    </cfRule>
    <cfRule type="expression" priority="74" dxfId="0">
      <formula>AND(IF($Q24=3,1,IF($Q24=4,1,0)),IF($F24&lt;=85,1,0))</formula>
    </cfRule>
  </conditionalFormatting>
  <conditionalFormatting sqref="X24">
    <cfRule type="expression" priority="67" dxfId="3">
      <formula>AND(IF(OR($Q24=1,$Q24=2),1,0),IF($X24&lt;=20,1,0))</formula>
    </cfRule>
    <cfRule type="expression" priority="68" dxfId="2">
      <formula>AND(IF($Q24=2,1,0),IF($X24&lt;30,1,0))</formula>
    </cfRule>
    <cfRule type="expression" priority="69" dxfId="1">
      <formula>AND(IF($Q24=3,1,0),IF($X24&lt;30,1,0))</formula>
    </cfRule>
    <cfRule type="expression" priority="70" dxfId="0">
      <formula>AND(IF($Q24=3,1,IF($Q24=4,1,0)),IF($F24&lt;=85,1,0))</formula>
    </cfRule>
  </conditionalFormatting>
  <conditionalFormatting sqref="AI24">
    <cfRule type="expression" priority="63" dxfId="3">
      <formula>AND(IF(OR($Q24=1,$Q24=2),1,0),IF($X24&lt;=20,1,0))</formula>
    </cfRule>
    <cfRule type="expression" priority="64" dxfId="2">
      <formula>AND(IF($Q24=2,1,0),IF($X24&lt;30,1,0))</formula>
    </cfRule>
    <cfRule type="expression" priority="65" dxfId="1">
      <formula>AND(IF($Q24=3,1,0),IF($X24&lt;30,1,0))</formula>
    </cfRule>
    <cfRule type="expression" priority="66" dxfId="0">
      <formula>AND(IF($Q24=3,1,IF($Q24=4,1,0)),IF($F24&lt;=85,1,0))</formula>
    </cfRule>
  </conditionalFormatting>
  <conditionalFormatting sqref="AV25">
    <cfRule type="expression" priority="61" dxfId="23">
      <formula>AV25="X"</formula>
    </cfRule>
    <cfRule type="expression" priority="62" dxfId="22">
      <formula>AV25="후보"</formula>
    </cfRule>
  </conditionalFormatting>
  <conditionalFormatting sqref="AC25 N2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2022-11-16T15:27:22Z</dcterms:modified>
  <cp:lastModifiedBy>권민수</cp:lastModifiedBy>
  <cp:lastPrinted>2018-04-28T10:52:41Z</cp:lastPrinted>
</cp:coreProperties>
</file>