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도계동" sheetId="6" r:id="rId6"/>
    <sheet name="동읍" sheetId="7" r:id="rId7"/>
    <sheet name="동정동" sheetId="8" r:id="rId8"/>
    <sheet name="명곡동" sheetId="9" r:id="rId9"/>
    <sheet name="명서동" sheetId="10" r:id="rId10"/>
    <sheet name="봉곡동" sheetId="11" r:id="rId11"/>
    <sheet name="봉림동" sheetId="12" r:id="rId12"/>
    <sheet name="북면" sheetId="13" r:id="rId13"/>
    <sheet name="서상동" sheetId="14" r:id="rId14"/>
    <sheet name="소계동" sheetId="15" r:id="rId15"/>
    <sheet name="중동" sheetId="16" r:id="rId16"/>
    <sheet name="팔용동" sheetId="17" r:id="rId17"/>
    <sheet name="양식" sheetId="18" r:id="rId18"/>
  </sheets>
  <definedNames>
    <definedName name="_xlnm._FilterDatabase" localSheetId="1" hidden="1">단지추출_가격표용!$A$3:$U$112</definedName>
    <definedName name="_xlnm.Print_Area" localSheetId="0">단지추출!$A$1:$U$3</definedName>
    <definedName name="_xlnm.Print_Area" localSheetId="1">단지추출_가격표용!$A$1:$U$3</definedName>
    <definedName name="_xlnm.Print_Area" localSheetId="5">도계동!$A$1:$U$6</definedName>
    <definedName name="_xlnm.Print_Area" localSheetId="6">동읍!$A$1:$U$6</definedName>
    <definedName name="_xlnm.Print_Area" localSheetId="7">동정동!$A$1:$U$6</definedName>
    <definedName name="_xlnm.Print_Area" localSheetId="8">명곡동!$A$1:$U$6</definedName>
    <definedName name="_xlnm.Print_Area" localSheetId="9">명서동!$A$1:$U$6</definedName>
    <definedName name="_xlnm.Print_Area" localSheetId="10">봉곡동!$A$1:$U$6</definedName>
    <definedName name="_xlnm.Print_Area" localSheetId="11">봉림동!$A$1:$U$6</definedName>
    <definedName name="_xlnm.Print_Area" localSheetId="12">북면!$A$1:$U$6</definedName>
    <definedName name="_xlnm.Print_Area" localSheetId="13">서상동!$A$1:$U$6</definedName>
    <definedName name="_xlnm.Print_Area" localSheetId="14">소계동!$A$1:$U$6</definedName>
    <definedName name="_xlnm.Print_Area" localSheetId="17">양식!$A$1:$U$6</definedName>
    <definedName name="_xlnm.Print_Area" localSheetId="15">중동!$A$1:$U$6</definedName>
    <definedName name="_xlnm.Print_Area" localSheetId="16">팔용동!$A$1:$U$6</definedName>
    <definedName name="_xlnm.Print_Titles" localSheetId="0">단지추출!$1:$3</definedName>
    <definedName name="_xlnm.Print_Titles" localSheetId="1">단지추출_가격표용!$1:$3</definedName>
    <definedName name="_xlnm.Print_Titles" localSheetId="5">도계동!$1:$3</definedName>
    <definedName name="_xlnm.Print_Titles" localSheetId="6">동읍!$1:$3</definedName>
    <definedName name="_xlnm.Print_Titles" localSheetId="7">동정동!$1:$3</definedName>
    <definedName name="_xlnm.Print_Titles" localSheetId="8">명곡동!$1:$3</definedName>
    <definedName name="_xlnm.Print_Titles" localSheetId="9">명서동!$1:$3</definedName>
    <definedName name="_xlnm.Print_Titles" localSheetId="10">봉곡동!$1:$3</definedName>
    <definedName name="_xlnm.Print_Titles" localSheetId="11">봉림동!$1:$3</definedName>
    <definedName name="_xlnm.Print_Titles" localSheetId="12">북면!$1:$3</definedName>
    <definedName name="_xlnm.Print_Titles" localSheetId="13">서상동!$1:$3</definedName>
    <definedName name="_xlnm.Print_Titles" localSheetId="14">소계동!$1:$3</definedName>
    <definedName name="_xlnm.Print_Titles" localSheetId="17">양식!$1:$3</definedName>
    <definedName name="_xlnm.Print_Titles" localSheetId="15">중동!$1:$3</definedName>
    <definedName name="_xlnm.Print_Titles" localSheetId="16">팔용동!$1:$3</definedName>
  </definedNames>
  <calcPr calcId="162913"/>
</workbook>
</file>

<file path=xl/calcChain.xml><?xml version="1.0" encoding="utf-8"?>
<calcChain xmlns="http://schemas.openxmlformats.org/spreadsheetml/2006/main">
  <c r="P108" i="2" l="1"/>
  <c r="O108" i="2"/>
  <c r="N108" i="2"/>
  <c r="M108" i="2"/>
  <c r="P55" i="2"/>
  <c r="O55" i="2"/>
  <c r="N55" i="2"/>
  <c r="M55" i="2"/>
  <c r="P102" i="2"/>
  <c r="O102" i="2"/>
  <c r="N102" i="2"/>
  <c r="M102" i="2"/>
  <c r="P53" i="2"/>
  <c r="O53" i="2"/>
  <c r="N53" i="2"/>
  <c r="M53" i="2"/>
  <c r="P111" i="2"/>
  <c r="O111" i="2"/>
  <c r="N111" i="2"/>
  <c r="M111" i="2"/>
  <c r="P42" i="2"/>
  <c r="O42" i="2"/>
  <c r="N42" i="2"/>
  <c r="M42" i="2"/>
  <c r="P48" i="2"/>
  <c r="O48" i="2"/>
  <c r="N48" i="2"/>
  <c r="M48" i="2"/>
  <c r="P41" i="2"/>
  <c r="O41" i="2"/>
  <c r="N41" i="2"/>
  <c r="M41" i="2"/>
  <c r="P106" i="2"/>
  <c r="O106" i="2"/>
  <c r="N106" i="2"/>
  <c r="M106" i="2"/>
  <c r="P96" i="2"/>
  <c r="O96" i="2"/>
  <c r="N96" i="2"/>
  <c r="M96" i="2"/>
  <c r="P40" i="2"/>
  <c r="O40" i="2"/>
  <c r="N40" i="2"/>
  <c r="M40" i="2"/>
  <c r="P65" i="2"/>
  <c r="O65" i="2"/>
  <c r="N65" i="2"/>
  <c r="M65" i="2"/>
  <c r="P93" i="2"/>
  <c r="O93" i="2"/>
  <c r="N93" i="2"/>
  <c r="M93" i="2"/>
  <c r="P62" i="2"/>
  <c r="O62" i="2"/>
  <c r="N62" i="2"/>
  <c r="M62" i="2"/>
  <c r="P83" i="2"/>
  <c r="O83" i="2"/>
  <c r="N83" i="2"/>
  <c r="M83" i="2"/>
  <c r="P73" i="2"/>
  <c r="O73" i="2"/>
  <c r="N73" i="2"/>
  <c r="M73" i="2"/>
  <c r="P70" i="2"/>
  <c r="O70" i="2"/>
  <c r="N70" i="2"/>
  <c r="M70" i="2"/>
  <c r="P67" i="2"/>
  <c r="O67" i="2"/>
  <c r="N67" i="2"/>
  <c r="M67" i="2"/>
  <c r="P84" i="2"/>
  <c r="O84" i="2"/>
  <c r="N84" i="2"/>
  <c r="M84" i="2"/>
  <c r="P75" i="2"/>
  <c r="O75" i="2"/>
  <c r="N75" i="2"/>
  <c r="M75" i="2"/>
  <c r="P71" i="2"/>
  <c r="O71" i="2"/>
  <c r="N71" i="2"/>
  <c r="M71" i="2"/>
  <c r="P69" i="2"/>
  <c r="O69" i="2"/>
  <c r="N69" i="2"/>
  <c r="M69" i="2"/>
  <c r="P81" i="2"/>
  <c r="O81" i="2"/>
  <c r="N81" i="2"/>
  <c r="M81" i="2"/>
  <c r="P76" i="2"/>
  <c r="O76" i="2"/>
  <c r="N76" i="2"/>
  <c r="M76" i="2"/>
  <c r="P80" i="2"/>
  <c r="O80" i="2"/>
  <c r="N80" i="2"/>
  <c r="M80" i="2"/>
  <c r="P77" i="2"/>
  <c r="O77" i="2"/>
  <c r="N77" i="2"/>
  <c r="M77" i="2"/>
  <c r="P85" i="2"/>
  <c r="O85" i="2"/>
  <c r="N85" i="2"/>
  <c r="M85" i="2"/>
  <c r="P72" i="2"/>
  <c r="O72" i="2"/>
  <c r="N72" i="2"/>
  <c r="M72" i="2"/>
  <c r="P39" i="2"/>
  <c r="O39" i="2"/>
  <c r="N39" i="2"/>
  <c r="M39" i="2"/>
  <c r="P82" i="2"/>
  <c r="O82" i="2"/>
  <c r="N82" i="2"/>
  <c r="M82" i="2"/>
  <c r="P78" i="2"/>
  <c r="O78" i="2"/>
  <c r="N78" i="2"/>
  <c r="M78" i="2"/>
  <c r="P79" i="2"/>
  <c r="O79" i="2"/>
  <c r="N79" i="2"/>
  <c r="M79" i="2"/>
  <c r="P74" i="2"/>
  <c r="O74" i="2"/>
  <c r="N74" i="2"/>
  <c r="M74" i="2"/>
  <c r="P89" i="2"/>
  <c r="O89" i="2"/>
  <c r="N89" i="2"/>
  <c r="M89" i="2"/>
  <c r="P38" i="2"/>
  <c r="O38" i="2"/>
  <c r="N38" i="2"/>
  <c r="M38" i="2"/>
  <c r="P37" i="2"/>
  <c r="O37" i="2"/>
  <c r="N37" i="2"/>
  <c r="M37" i="2"/>
  <c r="P92" i="2"/>
  <c r="O92" i="2"/>
  <c r="N92" i="2"/>
  <c r="M92" i="2"/>
  <c r="P98" i="2"/>
  <c r="O98" i="2"/>
  <c r="N98" i="2"/>
  <c r="M98" i="2"/>
  <c r="P97" i="2"/>
  <c r="O97" i="2"/>
  <c r="N97" i="2"/>
  <c r="M97" i="2"/>
  <c r="P100" i="2"/>
  <c r="O100" i="2"/>
  <c r="N100" i="2"/>
  <c r="M100" i="2"/>
  <c r="P44" i="2"/>
  <c r="O44" i="2"/>
  <c r="N44" i="2"/>
  <c r="M44" i="2"/>
  <c r="P64" i="2"/>
  <c r="O64" i="2"/>
  <c r="N64" i="2"/>
  <c r="M64" i="2"/>
  <c r="P36" i="2"/>
  <c r="O36" i="2"/>
  <c r="N36" i="2"/>
  <c r="M36" i="2"/>
  <c r="P52" i="2"/>
  <c r="O52" i="2"/>
  <c r="N52" i="2"/>
  <c r="M52" i="2"/>
  <c r="P47" i="2"/>
  <c r="O47" i="2"/>
  <c r="N47" i="2"/>
  <c r="M47" i="2"/>
  <c r="P46" i="2"/>
  <c r="O46" i="2"/>
  <c r="N46" i="2"/>
  <c r="M46" i="2"/>
  <c r="P35" i="2"/>
  <c r="O35" i="2"/>
  <c r="N35" i="2"/>
  <c r="M35" i="2"/>
  <c r="P54" i="2"/>
  <c r="O54" i="2"/>
  <c r="N54" i="2"/>
  <c r="M54" i="2"/>
  <c r="P45" i="2"/>
  <c r="O45" i="2"/>
  <c r="N45" i="2"/>
  <c r="M45" i="2"/>
  <c r="P57" i="2"/>
  <c r="O57" i="2"/>
  <c r="N57" i="2"/>
  <c r="M57" i="2"/>
  <c r="P34" i="2"/>
  <c r="O34" i="2"/>
  <c r="N34" i="2"/>
  <c r="M34" i="2"/>
  <c r="P43" i="2"/>
  <c r="O43" i="2"/>
  <c r="N43" i="2"/>
  <c r="M43" i="2"/>
  <c r="P110" i="2"/>
  <c r="O110" i="2"/>
  <c r="N110" i="2"/>
  <c r="M110" i="2"/>
  <c r="P94" i="2"/>
  <c r="O94" i="2"/>
  <c r="N94" i="2"/>
  <c r="M94" i="2"/>
  <c r="P50" i="2"/>
  <c r="O50" i="2"/>
  <c r="N50" i="2"/>
  <c r="M50" i="2"/>
  <c r="P99" i="2"/>
  <c r="O99" i="2"/>
  <c r="N99" i="2"/>
  <c r="M99" i="2"/>
  <c r="P33" i="2"/>
  <c r="O33" i="2"/>
  <c r="N33" i="2"/>
  <c r="M33" i="2"/>
  <c r="P107" i="2"/>
  <c r="O107" i="2"/>
  <c r="N107" i="2"/>
  <c r="M107" i="2"/>
  <c r="P32" i="2"/>
  <c r="O32" i="2"/>
  <c r="N32" i="2"/>
  <c r="M32" i="2"/>
  <c r="P60" i="2"/>
  <c r="O60" i="2"/>
  <c r="N60" i="2"/>
  <c r="M60" i="2"/>
  <c r="P31" i="2"/>
  <c r="O31" i="2"/>
  <c r="N31" i="2"/>
  <c r="M31" i="2"/>
  <c r="P68" i="2"/>
  <c r="O68" i="2"/>
  <c r="N68" i="2"/>
  <c r="M68" i="2"/>
  <c r="P56" i="2"/>
  <c r="O56" i="2"/>
  <c r="N56" i="2"/>
  <c r="M56" i="2"/>
  <c r="P30" i="2"/>
  <c r="O30" i="2"/>
  <c r="N30" i="2"/>
  <c r="M30" i="2"/>
  <c r="P29" i="2"/>
  <c r="O29" i="2"/>
  <c r="N29" i="2"/>
  <c r="M29" i="2"/>
  <c r="P28" i="2"/>
  <c r="O28" i="2"/>
  <c r="N28" i="2"/>
  <c r="M28" i="2"/>
  <c r="P27" i="2"/>
  <c r="O27" i="2"/>
  <c r="N27" i="2"/>
  <c r="M27" i="2"/>
  <c r="P26" i="2"/>
  <c r="O26" i="2"/>
  <c r="N26" i="2"/>
  <c r="M26" i="2"/>
  <c r="P25" i="2"/>
  <c r="O25" i="2"/>
  <c r="N25" i="2"/>
  <c r="M25" i="2"/>
  <c r="P49" i="2"/>
  <c r="O49" i="2"/>
  <c r="N49" i="2"/>
  <c r="M49" i="2"/>
  <c r="P105" i="2"/>
  <c r="O105" i="2"/>
  <c r="N105" i="2"/>
  <c r="M105" i="2"/>
  <c r="P24" i="2"/>
  <c r="O24" i="2"/>
  <c r="N24" i="2"/>
  <c r="M24" i="2"/>
  <c r="P104" i="2"/>
  <c r="O104" i="2"/>
  <c r="N104" i="2"/>
  <c r="M104" i="2"/>
  <c r="P58" i="2"/>
  <c r="O58" i="2"/>
  <c r="N58" i="2"/>
  <c r="M58" i="2"/>
  <c r="P51" i="2"/>
  <c r="O51" i="2"/>
  <c r="N51" i="2"/>
  <c r="M51" i="2"/>
  <c r="P59" i="2"/>
  <c r="O59" i="2"/>
  <c r="N59" i="2"/>
  <c r="M59" i="2"/>
  <c r="P23" i="2"/>
  <c r="O23" i="2"/>
  <c r="N23" i="2"/>
  <c r="M23" i="2"/>
  <c r="P22" i="2"/>
  <c r="O22" i="2"/>
  <c r="N22" i="2"/>
  <c r="M22" i="2"/>
  <c r="P21" i="2"/>
  <c r="O21" i="2"/>
  <c r="N21" i="2"/>
  <c r="M21" i="2"/>
  <c r="P87" i="2"/>
  <c r="O87" i="2"/>
  <c r="N87" i="2"/>
  <c r="M87" i="2"/>
  <c r="P90" i="2"/>
  <c r="O90" i="2"/>
  <c r="N90" i="2"/>
  <c r="M90" i="2"/>
  <c r="P63" i="2"/>
  <c r="O63" i="2"/>
  <c r="N63" i="2"/>
  <c r="M63" i="2"/>
  <c r="P61" i="2"/>
  <c r="O61" i="2"/>
  <c r="N61" i="2"/>
  <c r="M61" i="2"/>
  <c r="P103" i="2"/>
  <c r="O103" i="2"/>
  <c r="N103" i="2"/>
  <c r="M103" i="2"/>
  <c r="P109" i="2"/>
  <c r="O109" i="2"/>
  <c r="N109" i="2"/>
  <c r="M109" i="2"/>
  <c r="P20" i="2"/>
  <c r="O20" i="2"/>
  <c r="N20" i="2"/>
  <c r="M20" i="2"/>
  <c r="P19" i="2"/>
  <c r="O19" i="2"/>
  <c r="N19" i="2"/>
  <c r="M19" i="2"/>
  <c r="P88" i="2"/>
  <c r="O88" i="2"/>
  <c r="N88" i="2"/>
  <c r="M88" i="2"/>
  <c r="P86" i="2"/>
  <c r="O86" i="2"/>
  <c r="N86" i="2"/>
  <c r="M86" i="2"/>
  <c r="P18" i="2"/>
  <c r="O18" i="2"/>
  <c r="N18" i="2"/>
  <c r="M18" i="2"/>
  <c r="P66" i="2"/>
  <c r="O66" i="2"/>
  <c r="N66" i="2"/>
  <c r="M66" i="2"/>
  <c r="P91" i="2"/>
  <c r="O91" i="2"/>
  <c r="N91" i="2"/>
  <c r="M91" i="2"/>
  <c r="P17" i="2"/>
  <c r="O17" i="2"/>
  <c r="N17" i="2"/>
  <c r="M17" i="2"/>
  <c r="P95" i="2"/>
  <c r="O95" i="2"/>
  <c r="N95" i="2"/>
  <c r="M95" i="2"/>
  <c r="P101" i="2"/>
  <c r="O101" i="2"/>
  <c r="N101" i="2"/>
  <c r="M101" i="2"/>
  <c r="P16" i="2"/>
  <c r="O16" i="2"/>
  <c r="N16" i="2"/>
  <c r="M16" i="2"/>
  <c r="P15" i="2"/>
  <c r="O15" i="2"/>
  <c r="N15" i="2"/>
  <c r="M15" i="2"/>
  <c r="P14" i="2"/>
  <c r="O14" i="2"/>
  <c r="N14" i="2"/>
  <c r="M14" i="2"/>
  <c r="P13" i="2"/>
  <c r="O13" i="2"/>
  <c r="N13" i="2"/>
  <c r="M13" i="2"/>
  <c r="P12" i="2"/>
  <c r="O12" i="2"/>
  <c r="N12" i="2"/>
  <c r="M12" i="2"/>
  <c r="P11" i="2"/>
  <c r="O11" i="2"/>
  <c r="N11" i="2"/>
  <c r="M11" i="2"/>
  <c r="P10" i="2"/>
  <c r="O10" i="2"/>
  <c r="N10" i="2"/>
  <c r="M10" i="2"/>
  <c r="P9" i="2"/>
  <c r="O9" i="2"/>
  <c r="N9" i="2"/>
  <c r="M9" i="2"/>
  <c r="P8" i="2"/>
  <c r="O8" i="2"/>
  <c r="N8" i="2"/>
  <c r="M8" i="2"/>
  <c r="P112" i="2"/>
  <c r="O112" i="2"/>
  <c r="N112" i="2"/>
  <c r="M112" i="2"/>
  <c r="P7" i="2"/>
  <c r="O7" i="2"/>
  <c r="N7" i="2"/>
  <c r="M7" i="2"/>
  <c r="P6" i="2"/>
  <c r="O6" i="2"/>
  <c r="N6" i="2"/>
  <c r="M6" i="2"/>
  <c r="P5" i="2"/>
  <c r="O5" i="2"/>
  <c r="N5" i="2"/>
  <c r="M5" i="2"/>
  <c r="P4" i="2"/>
  <c r="O4" i="2"/>
  <c r="N4" i="2"/>
  <c r="M4" i="2"/>
  <c r="AU180" i="1"/>
  <c r="AR180" i="1"/>
  <c r="AP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O180" i="1" s="1"/>
  <c r="M180" i="1"/>
  <c r="AU179" i="1"/>
  <c r="AT179" i="1"/>
  <c r="AP179" i="1"/>
  <c r="AN179" i="1"/>
  <c r="AJ179" i="1"/>
  <c r="AI179" i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AO179" i="1" s="1"/>
  <c r="M179" i="1"/>
  <c r="AR179" i="1" s="1"/>
  <c r="AU178" i="1"/>
  <c r="AR178" i="1"/>
  <c r="AP178" i="1"/>
  <c r="AN178" i="1"/>
  <c r="AI178" i="1"/>
  <c r="AT178" i="1" s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T177" i="1"/>
  <c r="AP177" i="1"/>
  <c r="AO177" i="1"/>
  <c r="AJ177" i="1"/>
  <c r="AI177" i="1"/>
  <c r="AN177" i="1" s="1"/>
  <c r="AH177" i="1"/>
  <c r="AF177" i="1"/>
  <c r="AE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R176" i="1"/>
  <c r="AP176" i="1"/>
  <c r="AN176" i="1"/>
  <c r="AI176" i="1"/>
  <c r="AT176" i="1" s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M176" i="1"/>
  <c r="AU175" i="1"/>
  <c r="AT175" i="1"/>
  <c r="AP175" i="1"/>
  <c r="AO175" i="1"/>
  <c r="AJ175" i="1"/>
  <c r="AI175" i="1"/>
  <c r="AN175" i="1" s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P174" i="1"/>
  <c r="AI174" i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AO174" i="1" s="1"/>
  <c r="M174" i="1"/>
  <c r="AU173" i="1"/>
  <c r="AT173" i="1"/>
  <c r="AP173" i="1"/>
  <c r="AO173" i="1"/>
  <c r="AV173" i="1" s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R173" i="1" s="1"/>
  <c r="AU172" i="1"/>
  <c r="AR172" i="1"/>
  <c r="AP172" i="1"/>
  <c r="AN172" i="1"/>
  <c r="AI172" i="1"/>
  <c r="AT172" i="1" s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V171" i="1"/>
  <c r="AU171" i="1"/>
  <c r="AT171" i="1"/>
  <c r="AP171" i="1"/>
  <c r="AO171" i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R170" i="1"/>
  <c r="AP170" i="1"/>
  <c r="AN170" i="1"/>
  <c r="AI170" i="1"/>
  <c r="AT170" i="1" s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M170" i="1"/>
  <c r="AU169" i="1"/>
  <c r="AT169" i="1"/>
  <c r="AQ169" i="1"/>
  <c r="AP169" i="1"/>
  <c r="AO169" i="1"/>
  <c r="AV169" i="1" s="1"/>
  <c r="AJ169" i="1"/>
  <c r="AI169" i="1"/>
  <c r="AN169" i="1" s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R169" i="1" s="1"/>
  <c r="AU168" i="1"/>
  <c r="AR168" i="1"/>
  <c r="AP168" i="1"/>
  <c r="AI168" i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M168" i="1"/>
  <c r="AU167" i="1"/>
  <c r="AT167" i="1"/>
  <c r="AQ167" i="1"/>
  <c r="AP167" i="1"/>
  <c r="AO167" i="1"/>
  <c r="AV167" i="1" s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R167" i="1" s="1"/>
  <c r="AU166" i="1"/>
  <c r="AR166" i="1"/>
  <c r="AP166" i="1"/>
  <c r="AN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U165" i="1"/>
  <c r="AT165" i="1"/>
  <c r="AP165" i="1"/>
  <c r="AO165" i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N164" i="1"/>
  <c r="AI164" i="1"/>
  <c r="AT164" i="1" s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M164" i="1"/>
  <c r="AU163" i="1"/>
  <c r="AT163" i="1"/>
  <c r="AP163" i="1"/>
  <c r="AO163" i="1"/>
  <c r="AN163" i="1"/>
  <c r="AJ163" i="1"/>
  <c r="AI163" i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T161" i="1"/>
  <c r="AQ161" i="1"/>
  <c r="AP161" i="1"/>
  <c r="AO161" i="1"/>
  <c r="AV161" i="1" s="1"/>
  <c r="AJ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R161" i="1" s="1"/>
  <c r="AU160" i="1"/>
  <c r="AR160" i="1"/>
  <c r="AP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AO160" i="1" s="1"/>
  <c r="M160" i="1"/>
  <c r="AU159" i="1"/>
  <c r="AT159" i="1"/>
  <c r="AP159" i="1"/>
  <c r="AO159" i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Q159" i="1" s="1"/>
  <c r="N159" i="1"/>
  <c r="M159" i="1"/>
  <c r="AU158" i="1"/>
  <c r="AR158" i="1"/>
  <c r="AP158" i="1"/>
  <c r="AN158" i="1"/>
  <c r="AI158" i="1"/>
  <c r="AT158" i="1" s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Q157" i="1"/>
  <c r="AP157" i="1"/>
  <c r="AO157" i="1"/>
  <c r="AN157" i="1"/>
  <c r="AJ157" i="1"/>
  <c r="AI157" i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Q155" i="1"/>
  <c r="AP155" i="1"/>
  <c r="AO155" i="1"/>
  <c r="AV155" i="1" s="1"/>
  <c r="AJ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R155" i="1" s="1"/>
  <c r="AU154" i="1"/>
  <c r="AR154" i="1"/>
  <c r="AP154" i="1"/>
  <c r="AN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AO154" i="1" s="1"/>
  <c r="M154" i="1"/>
  <c r="AU153" i="1"/>
  <c r="AT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AQ153" i="1" s="1"/>
  <c r="N153" i="1"/>
  <c r="M153" i="1"/>
  <c r="AU152" i="1"/>
  <c r="AR152" i="1"/>
  <c r="AP152" i="1"/>
  <c r="AN152" i="1"/>
  <c r="AI152" i="1"/>
  <c r="AT152" i="1" s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Q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N149" i="1"/>
  <c r="M149" i="1"/>
  <c r="AR149" i="1" s="1"/>
  <c r="AU148" i="1"/>
  <c r="AR148" i="1"/>
  <c r="AP148" i="1"/>
  <c r="AN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AO148" i="1" s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Q147" i="1" s="1"/>
  <c r="N147" i="1"/>
  <c r="M147" i="1"/>
  <c r="AU146" i="1"/>
  <c r="AR146" i="1"/>
  <c r="AP146" i="1"/>
  <c r="AN146" i="1"/>
  <c r="AI146" i="1"/>
  <c r="AT146" i="1" s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P145" i="1"/>
  <c r="AO145" i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M145" i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M144" i="1"/>
  <c r="AU143" i="1"/>
  <c r="AT143" i="1"/>
  <c r="AQ143" i="1"/>
  <c r="AP143" i="1"/>
  <c r="AO143" i="1"/>
  <c r="AV143" i="1" s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R143" i="1" s="1"/>
  <c r="AU142" i="1"/>
  <c r="AR142" i="1"/>
  <c r="AP142" i="1"/>
  <c r="AN142" i="1"/>
  <c r="AI142" i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AO142" i="1" s="1"/>
  <c r="M142" i="1"/>
  <c r="AU141" i="1"/>
  <c r="AT141" i="1"/>
  <c r="AP141" i="1"/>
  <c r="AO141" i="1"/>
  <c r="AJ141" i="1"/>
  <c r="AI141" i="1"/>
  <c r="AN141" i="1" s="1"/>
  <c r="AH141" i="1"/>
  <c r="AF141" i="1"/>
  <c r="AE141" i="1"/>
  <c r="AC141" i="1"/>
  <c r="AA141" i="1"/>
  <c r="Z141" i="1"/>
  <c r="Y141" i="1"/>
  <c r="X141" i="1"/>
  <c r="W141" i="1"/>
  <c r="P141" i="1"/>
  <c r="O141" i="1"/>
  <c r="AQ141" i="1" s="1"/>
  <c r="N141" i="1"/>
  <c r="M141" i="1"/>
  <c r="AU140" i="1"/>
  <c r="AR140" i="1"/>
  <c r="AP140" i="1"/>
  <c r="AN140" i="1"/>
  <c r="AI140" i="1"/>
  <c r="AT140" i="1" s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M140" i="1"/>
  <c r="AU139" i="1"/>
  <c r="AT139" i="1"/>
  <c r="AQ139" i="1"/>
  <c r="AP139" i="1"/>
  <c r="AO139" i="1"/>
  <c r="AJ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M139" i="1"/>
  <c r="AU138" i="1"/>
  <c r="AR138" i="1"/>
  <c r="AP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M138" i="1"/>
  <c r="AU137" i="1"/>
  <c r="AT137" i="1"/>
  <c r="AQ137" i="1"/>
  <c r="AP137" i="1"/>
  <c r="AO137" i="1"/>
  <c r="AN137" i="1"/>
  <c r="AJ137" i="1"/>
  <c r="AI137" i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R137" i="1" s="1"/>
  <c r="AU136" i="1"/>
  <c r="AR136" i="1"/>
  <c r="AP136" i="1"/>
  <c r="AN136" i="1"/>
  <c r="AI136" i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O136" i="1" s="1"/>
  <c r="AV136" i="1" s="1"/>
  <c r="M136" i="1"/>
  <c r="AU135" i="1"/>
  <c r="AT135" i="1"/>
  <c r="AQ135" i="1"/>
  <c r="AP135" i="1"/>
  <c r="AO135" i="1"/>
  <c r="AV135" i="1" s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V133" i="1"/>
  <c r="AU133" i="1"/>
  <c r="AT133" i="1"/>
  <c r="AQ133" i="1"/>
  <c r="AP133" i="1"/>
  <c r="AO133" i="1"/>
  <c r="AJ133" i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U132" i="1"/>
  <c r="AR132" i="1"/>
  <c r="AP132" i="1"/>
  <c r="AN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M132" i="1"/>
  <c r="AU131" i="1"/>
  <c r="AT131" i="1"/>
  <c r="AP131" i="1"/>
  <c r="AO131" i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U130" i="1"/>
  <c r="AP130" i="1"/>
  <c r="AN130" i="1"/>
  <c r="AI130" i="1"/>
  <c r="AH130" i="1"/>
  <c r="AF130" i="1"/>
  <c r="AE130" i="1"/>
  <c r="AD130" i="1"/>
  <c r="AC130" i="1"/>
  <c r="AB130" i="1"/>
  <c r="AA130" i="1"/>
  <c r="Z130" i="1"/>
  <c r="Y130" i="1"/>
  <c r="X130" i="1"/>
  <c r="W130" i="1"/>
  <c r="P130" i="1"/>
  <c r="O130" i="1"/>
  <c r="AQ130" i="1" s="1"/>
  <c r="N130" i="1"/>
  <c r="AO130" i="1" s="1"/>
  <c r="M130" i="1"/>
  <c r="AR130" i="1" s="1"/>
  <c r="AU129" i="1"/>
  <c r="AP129" i="1"/>
  <c r="AO129" i="1"/>
  <c r="AI129" i="1"/>
  <c r="AN129" i="1" s="1"/>
  <c r="AH129" i="1"/>
  <c r="AF129" i="1"/>
  <c r="AE129" i="1"/>
  <c r="AD129" i="1"/>
  <c r="AC129" i="1"/>
  <c r="AA129" i="1"/>
  <c r="Z129" i="1"/>
  <c r="Y129" i="1"/>
  <c r="X129" i="1"/>
  <c r="W129" i="1"/>
  <c r="P129" i="1"/>
  <c r="O129" i="1"/>
  <c r="AQ129" i="1" s="1"/>
  <c r="N129" i="1"/>
  <c r="M129" i="1"/>
  <c r="AU128" i="1"/>
  <c r="AT128" i="1"/>
  <c r="AP128" i="1"/>
  <c r="AN128" i="1"/>
  <c r="AJ128" i="1"/>
  <c r="AI128" i="1"/>
  <c r="AH128" i="1"/>
  <c r="AF128" i="1"/>
  <c r="AE128" i="1"/>
  <c r="AD128" i="1"/>
  <c r="AA128" i="1"/>
  <c r="Z128" i="1"/>
  <c r="Y128" i="1"/>
  <c r="X128" i="1"/>
  <c r="W128" i="1"/>
  <c r="P128" i="1"/>
  <c r="O128" i="1"/>
  <c r="AQ128" i="1" s="1"/>
  <c r="N128" i="1"/>
  <c r="M128" i="1"/>
  <c r="AR128" i="1" s="1"/>
  <c r="AU127" i="1"/>
  <c r="AT127" i="1"/>
  <c r="AQ127" i="1"/>
  <c r="AP127" i="1"/>
  <c r="AN127" i="1"/>
  <c r="AJ127" i="1"/>
  <c r="AI127" i="1"/>
  <c r="AH127" i="1"/>
  <c r="AF127" i="1"/>
  <c r="AE127" i="1"/>
  <c r="AA127" i="1"/>
  <c r="Z127" i="1"/>
  <c r="Y127" i="1"/>
  <c r="X127" i="1"/>
  <c r="W127" i="1"/>
  <c r="P127" i="1"/>
  <c r="O127" i="1"/>
  <c r="AD127" i="1" s="1"/>
  <c r="N127" i="1"/>
  <c r="AO127" i="1" s="1"/>
  <c r="M127" i="1"/>
  <c r="AR127" i="1" s="1"/>
  <c r="AU126" i="1"/>
  <c r="AR126" i="1"/>
  <c r="AP126" i="1"/>
  <c r="AO126" i="1"/>
  <c r="AI126" i="1"/>
  <c r="AH126" i="1"/>
  <c r="AF126" i="1"/>
  <c r="AE126" i="1"/>
  <c r="AB126" i="1"/>
  <c r="AA126" i="1"/>
  <c r="Z126" i="1"/>
  <c r="Y126" i="1"/>
  <c r="X126" i="1"/>
  <c r="W126" i="1"/>
  <c r="P126" i="1"/>
  <c r="O126" i="1"/>
  <c r="AQ126" i="1" s="1"/>
  <c r="N126" i="1"/>
  <c r="AC126" i="1" s="1"/>
  <c r="M126" i="1"/>
  <c r="AU125" i="1"/>
  <c r="AT125" i="1"/>
  <c r="AR125" i="1"/>
  <c r="AP125" i="1"/>
  <c r="AJ125" i="1"/>
  <c r="AI125" i="1"/>
  <c r="AN125" i="1" s="1"/>
  <c r="AH125" i="1"/>
  <c r="AF125" i="1"/>
  <c r="AE125" i="1"/>
  <c r="AC125" i="1"/>
  <c r="AB125" i="1"/>
  <c r="AA125" i="1"/>
  <c r="Z125" i="1"/>
  <c r="Y125" i="1"/>
  <c r="X125" i="1"/>
  <c r="W125" i="1"/>
  <c r="P125" i="1"/>
  <c r="O125" i="1"/>
  <c r="AQ125" i="1" s="1"/>
  <c r="N125" i="1"/>
  <c r="AO125" i="1" s="1"/>
  <c r="M125" i="1"/>
  <c r="AU124" i="1"/>
  <c r="AT124" i="1"/>
  <c r="AR124" i="1"/>
  <c r="AP124" i="1"/>
  <c r="AN124" i="1"/>
  <c r="AJ124" i="1"/>
  <c r="AI124" i="1"/>
  <c r="AH124" i="1"/>
  <c r="AF124" i="1"/>
  <c r="AE124" i="1"/>
  <c r="AD124" i="1"/>
  <c r="AC124" i="1"/>
  <c r="AB124" i="1"/>
  <c r="AA124" i="1"/>
  <c r="Z124" i="1"/>
  <c r="Y124" i="1"/>
  <c r="X124" i="1"/>
  <c r="W124" i="1"/>
  <c r="P124" i="1"/>
  <c r="O124" i="1"/>
  <c r="AQ124" i="1" s="1"/>
  <c r="N124" i="1"/>
  <c r="AO124" i="1" s="1"/>
  <c r="M124" i="1"/>
  <c r="AU123" i="1"/>
  <c r="AP123" i="1"/>
  <c r="AO123" i="1"/>
  <c r="AI123" i="1"/>
  <c r="AN123" i="1" s="1"/>
  <c r="AH123" i="1"/>
  <c r="AF123" i="1"/>
  <c r="AE123" i="1"/>
  <c r="AD123" i="1"/>
  <c r="AC123" i="1"/>
  <c r="AA123" i="1"/>
  <c r="Z123" i="1"/>
  <c r="Y123" i="1"/>
  <c r="X123" i="1"/>
  <c r="W123" i="1"/>
  <c r="P123" i="1"/>
  <c r="O123" i="1"/>
  <c r="AQ123" i="1" s="1"/>
  <c r="N123" i="1"/>
  <c r="M123" i="1"/>
  <c r="AU122" i="1"/>
  <c r="AT122" i="1"/>
  <c r="AP122" i="1"/>
  <c r="AJ122" i="1"/>
  <c r="AI122" i="1"/>
  <c r="AN122" i="1" s="1"/>
  <c r="AH122" i="1"/>
  <c r="AF122" i="1"/>
  <c r="AE122" i="1"/>
  <c r="AD122" i="1"/>
  <c r="AA122" i="1"/>
  <c r="Z122" i="1"/>
  <c r="Y122" i="1"/>
  <c r="X122" i="1"/>
  <c r="W122" i="1"/>
  <c r="P122" i="1"/>
  <c r="O122" i="1"/>
  <c r="AQ122" i="1" s="1"/>
  <c r="N122" i="1"/>
  <c r="M122" i="1"/>
  <c r="AR122" i="1" s="1"/>
  <c r="AU121" i="1"/>
  <c r="AT121" i="1"/>
  <c r="AP121" i="1"/>
  <c r="AN121" i="1"/>
  <c r="AJ121" i="1"/>
  <c r="AI121" i="1"/>
  <c r="AH121" i="1"/>
  <c r="AF121" i="1"/>
  <c r="AE121" i="1"/>
  <c r="AA121" i="1"/>
  <c r="Z121" i="1"/>
  <c r="Y121" i="1"/>
  <c r="X121" i="1"/>
  <c r="W121" i="1"/>
  <c r="P121" i="1"/>
  <c r="O121" i="1"/>
  <c r="AD121" i="1" s="1"/>
  <c r="N121" i="1"/>
  <c r="AO121" i="1" s="1"/>
  <c r="AV121" i="1" s="1"/>
  <c r="M121" i="1"/>
  <c r="AR121" i="1" s="1"/>
  <c r="AU120" i="1"/>
  <c r="AR120" i="1"/>
  <c r="AP120" i="1"/>
  <c r="AO120" i="1"/>
  <c r="AI120" i="1"/>
  <c r="AH120" i="1"/>
  <c r="AF120" i="1"/>
  <c r="AE120" i="1"/>
  <c r="AB120" i="1"/>
  <c r="AA120" i="1"/>
  <c r="Z120" i="1"/>
  <c r="Y120" i="1"/>
  <c r="X120" i="1"/>
  <c r="W120" i="1"/>
  <c r="P120" i="1"/>
  <c r="O120" i="1"/>
  <c r="AQ120" i="1" s="1"/>
  <c r="N120" i="1"/>
  <c r="AC120" i="1" s="1"/>
  <c r="M120" i="1"/>
  <c r="AU119" i="1"/>
  <c r="AT119" i="1"/>
  <c r="AR119" i="1"/>
  <c r="AP119" i="1"/>
  <c r="AJ119" i="1"/>
  <c r="AI119" i="1"/>
  <c r="AN119" i="1" s="1"/>
  <c r="AH119" i="1"/>
  <c r="AF119" i="1"/>
  <c r="AE119" i="1"/>
  <c r="AC119" i="1"/>
  <c r="AB119" i="1"/>
  <c r="AA119" i="1"/>
  <c r="Z119" i="1"/>
  <c r="Y119" i="1"/>
  <c r="X119" i="1"/>
  <c r="W119" i="1"/>
  <c r="P119" i="1"/>
  <c r="O119" i="1"/>
  <c r="AQ119" i="1" s="1"/>
  <c r="N119" i="1"/>
  <c r="AO119" i="1" s="1"/>
  <c r="AV119" i="1" s="1"/>
  <c r="M119" i="1"/>
  <c r="AU118" i="1"/>
  <c r="AT118" i="1"/>
  <c r="AR118" i="1"/>
  <c r="AP118" i="1"/>
  <c r="AN118" i="1"/>
  <c r="AJ118" i="1"/>
  <c r="AI118" i="1"/>
  <c r="AH118" i="1"/>
  <c r="AF118" i="1"/>
  <c r="AE118" i="1"/>
  <c r="AD118" i="1"/>
  <c r="AC118" i="1"/>
  <c r="AB118" i="1"/>
  <c r="AA118" i="1"/>
  <c r="Z118" i="1"/>
  <c r="Y118" i="1"/>
  <c r="X118" i="1"/>
  <c r="W118" i="1"/>
  <c r="P118" i="1"/>
  <c r="O118" i="1"/>
  <c r="AQ118" i="1" s="1"/>
  <c r="N118" i="1"/>
  <c r="AO118" i="1" s="1"/>
  <c r="AV118" i="1" s="1"/>
  <c r="M118" i="1"/>
  <c r="AU117" i="1"/>
  <c r="AP117" i="1"/>
  <c r="AO117" i="1"/>
  <c r="AI117" i="1"/>
  <c r="AN117" i="1" s="1"/>
  <c r="AH117" i="1"/>
  <c r="AF117" i="1"/>
  <c r="AE117" i="1"/>
  <c r="AD117" i="1"/>
  <c r="AC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J116" i="1"/>
  <c r="AI116" i="1"/>
  <c r="AN116" i="1" s="1"/>
  <c r="AH116" i="1"/>
  <c r="AF116" i="1"/>
  <c r="AE116" i="1"/>
  <c r="AD116" i="1"/>
  <c r="AA116" i="1"/>
  <c r="Z116" i="1"/>
  <c r="Y116" i="1"/>
  <c r="X116" i="1"/>
  <c r="W116" i="1"/>
  <c r="P116" i="1"/>
  <c r="O116" i="1"/>
  <c r="AQ116" i="1" s="1"/>
  <c r="N116" i="1"/>
  <c r="M116" i="1"/>
  <c r="AR116" i="1" s="1"/>
  <c r="AU115" i="1"/>
  <c r="AT115" i="1"/>
  <c r="AQ115" i="1"/>
  <c r="AP115" i="1"/>
  <c r="AN115" i="1"/>
  <c r="AJ115" i="1"/>
  <c r="AI115" i="1"/>
  <c r="AH115" i="1"/>
  <c r="AF115" i="1"/>
  <c r="AE115" i="1"/>
  <c r="AA115" i="1"/>
  <c r="Z115" i="1"/>
  <c r="Y115" i="1"/>
  <c r="X115" i="1"/>
  <c r="W115" i="1"/>
  <c r="P115" i="1"/>
  <c r="O115" i="1"/>
  <c r="AD115" i="1" s="1"/>
  <c r="N115" i="1"/>
  <c r="AO115" i="1" s="1"/>
  <c r="AV115" i="1" s="1"/>
  <c r="M115" i="1"/>
  <c r="AR115" i="1" s="1"/>
  <c r="AU114" i="1"/>
  <c r="AR114" i="1"/>
  <c r="AP114" i="1"/>
  <c r="AO114" i="1"/>
  <c r="AI114" i="1"/>
  <c r="AH114" i="1"/>
  <c r="AF114" i="1"/>
  <c r="AE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T113" i="1"/>
  <c r="AR113" i="1"/>
  <c r="AP113" i="1"/>
  <c r="AJ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M113" i="1"/>
  <c r="AU112" i="1"/>
  <c r="AT112" i="1"/>
  <c r="AR112" i="1"/>
  <c r="AP112" i="1"/>
  <c r="AN112" i="1"/>
  <c r="AJ112" i="1"/>
  <c r="AI112" i="1"/>
  <c r="AH112" i="1"/>
  <c r="AF112" i="1"/>
  <c r="AE112" i="1"/>
  <c r="AD112" i="1"/>
  <c r="AC112" i="1"/>
  <c r="AB112" i="1"/>
  <c r="AA112" i="1"/>
  <c r="Z112" i="1"/>
  <c r="Y112" i="1"/>
  <c r="X112" i="1"/>
  <c r="W112" i="1"/>
  <c r="P112" i="1"/>
  <c r="O112" i="1"/>
  <c r="AQ112" i="1" s="1"/>
  <c r="N112" i="1"/>
  <c r="AO112" i="1" s="1"/>
  <c r="AV112" i="1" s="1"/>
  <c r="M112" i="1"/>
  <c r="AU111" i="1"/>
  <c r="AP111" i="1"/>
  <c r="AO111" i="1"/>
  <c r="AI111" i="1"/>
  <c r="AN111" i="1" s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U110" i="1"/>
  <c r="AT110" i="1"/>
  <c r="AP110" i="1"/>
  <c r="AJ110" i="1"/>
  <c r="AI110" i="1"/>
  <c r="AN110" i="1" s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M110" i="1"/>
  <c r="AR110" i="1" s="1"/>
  <c r="AU109" i="1"/>
  <c r="AT109" i="1"/>
  <c r="AQ109" i="1"/>
  <c r="AP109" i="1"/>
  <c r="AN109" i="1"/>
  <c r="AJ109" i="1"/>
  <c r="AI109" i="1"/>
  <c r="AH109" i="1"/>
  <c r="AF109" i="1"/>
  <c r="AE109" i="1"/>
  <c r="AA109" i="1"/>
  <c r="Z109" i="1"/>
  <c r="Y109" i="1"/>
  <c r="X109" i="1"/>
  <c r="W109" i="1"/>
  <c r="P109" i="1"/>
  <c r="O109" i="1"/>
  <c r="AD109" i="1" s="1"/>
  <c r="N109" i="1"/>
  <c r="AO109" i="1" s="1"/>
  <c r="AV109" i="1" s="1"/>
  <c r="M109" i="1"/>
  <c r="AR109" i="1" s="1"/>
  <c r="AU108" i="1"/>
  <c r="AR108" i="1"/>
  <c r="AP108" i="1"/>
  <c r="AO108" i="1"/>
  <c r="AI108" i="1"/>
  <c r="AH108" i="1"/>
  <c r="AF108" i="1"/>
  <c r="AE108" i="1"/>
  <c r="AB108" i="1"/>
  <c r="AA108" i="1"/>
  <c r="Z108" i="1"/>
  <c r="Y108" i="1"/>
  <c r="X108" i="1"/>
  <c r="W108" i="1"/>
  <c r="P108" i="1"/>
  <c r="O108" i="1"/>
  <c r="AQ108" i="1" s="1"/>
  <c r="N108" i="1"/>
  <c r="AC108" i="1" s="1"/>
  <c r="M108" i="1"/>
  <c r="AU107" i="1"/>
  <c r="AT107" i="1"/>
  <c r="AR107" i="1"/>
  <c r="AP107" i="1"/>
  <c r="AJ107" i="1"/>
  <c r="AI107" i="1"/>
  <c r="AN107" i="1" s="1"/>
  <c r="AH107" i="1"/>
  <c r="AF107" i="1"/>
  <c r="AE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M107" i="1"/>
  <c r="AU106" i="1"/>
  <c r="AT106" i="1"/>
  <c r="AR106" i="1"/>
  <c r="AP106" i="1"/>
  <c r="AN106" i="1"/>
  <c r="AJ106" i="1"/>
  <c r="AI106" i="1"/>
  <c r="AH106" i="1"/>
  <c r="AF106" i="1"/>
  <c r="AE106" i="1"/>
  <c r="AD106" i="1"/>
  <c r="AC106" i="1"/>
  <c r="AB106" i="1"/>
  <c r="AA106" i="1"/>
  <c r="Z106" i="1"/>
  <c r="Y106" i="1"/>
  <c r="X106" i="1"/>
  <c r="W106" i="1"/>
  <c r="P106" i="1"/>
  <c r="O106" i="1"/>
  <c r="AQ106" i="1" s="1"/>
  <c r="N106" i="1"/>
  <c r="AO106" i="1" s="1"/>
  <c r="M106" i="1"/>
  <c r="AU105" i="1"/>
  <c r="AP105" i="1"/>
  <c r="AO105" i="1"/>
  <c r="AI105" i="1"/>
  <c r="AN105" i="1" s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U104" i="1"/>
  <c r="AT104" i="1"/>
  <c r="AP104" i="1"/>
  <c r="AJ104" i="1"/>
  <c r="AI104" i="1"/>
  <c r="AN104" i="1" s="1"/>
  <c r="AH104" i="1"/>
  <c r="AF104" i="1"/>
  <c r="AE104" i="1"/>
  <c r="AD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T103" i="1"/>
  <c r="AP103" i="1"/>
  <c r="AN103" i="1"/>
  <c r="AJ103" i="1"/>
  <c r="AI103" i="1"/>
  <c r="AH103" i="1"/>
  <c r="AF103" i="1"/>
  <c r="AE103" i="1"/>
  <c r="AA103" i="1"/>
  <c r="Z103" i="1"/>
  <c r="Y103" i="1"/>
  <c r="X103" i="1"/>
  <c r="W103" i="1"/>
  <c r="P103" i="1"/>
  <c r="O103" i="1"/>
  <c r="AD103" i="1" s="1"/>
  <c r="N103" i="1"/>
  <c r="AO103" i="1" s="1"/>
  <c r="M103" i="1"/>
  <c r="AR103" i="1" s="1"/>
  <c r="AU102" i="1"/>
  <c r="AR102" i="1"/>
  <c r="AP102" i="1"/>
  <c r="AO102" i="1"/>
  <c r="AI102" i="1"/>
  <c r="AH102" i="1"/>
  <c r="AF102" i="1"/>
  <c r="AE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T101" i="1"/>
  <c r="AR101" i="1"/>
  <c r="AP101" i="1"/>
  <c r="AJ101" i="1"/>
  <c r="AI101" i="1"/>
  <c r="AN101" i="1" s="1"/>
  <c r="AH101" i="1"/>
  <c r="AF101" i="1"/>
  <c r="AE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U100" i="1"/>
  <c r="AT100" i="1"/>
  <c r="AR100" i="1"/>
  <c r="AP100" i="1"/>
  <c r="AN100" i="1"/>
  <c r="AJ100" i="1"/>
  <c r="AI100" i="1"/>
  <c r="AH100" i="1"/>
  <c r="AF100" i="1"/>
  <c r="AE100" i="1"/>
  <c r="AD100" i="1"/>
  <c r="AC100" i="1"/>
  <c r="AB100" i="1"/>
  <c r="AA100" i="1"/>
  <c r="Z100" i="1"/>
  <c r="Y100" i="1"/>
  <c r="X100" i="1"/>
  <c r="W100" i="1"/>
  <c r="P100" i="1"/>
  <c r="O100" i="1"/>
  <c r="AQ100" i="1" s="1"/>
  <c r="N100" i="1"/>
  <c r="AO100" i="1" s="1"/>
  <c r="AV100" i="1" s="1"/>
  <c r="M100" i="1"/>
  <c r="AU99" i="1"/>
  <c r="AP99" i="1"/>
  <c r="AO99" i="1"/>
  <c r="AI99" i="1"/>
  <c r="AN99" i="1" s="1"/>
  <c r="AH99" i="1"/>
  <c r="AF99" i="1"/>
  <c r="AE99" i="1"/>
  <c r="AD99" i="1"/>
  <c r="AC99" i="1"/>
  <c r="AA99" i="1"/>
  <c r="Z99" i="1"/>
  <c r="Y99" i="1"/>
  <c r="X99" i="1"/>
  <c r="W99" i="1"/>
  <c r="P99" i="1"/>
  <c r="O99" i="1"/>
  <c r="AQ99" i="1" s="1"/>
  <c r="N99" i="1"/>
  <c r="M99" i="1"/>
  <c r="AU98" i="1"/>
  <c r="AT98" i="1"/>
  <c r="AP98" i="1"/>
  <c r="AJ98" i="1"/>
  <c r="AI98" i="1"/>
  <c r="AN98" i="1" s="1"/>
  <c r="AH98" i="1"/>
  <c r="AF98" i="1"/>
  <c r="AE98" i="1"/>
  <c r="AD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T97" i="1"/>
  <c r="AQ97" i="1"/>
  <c r="AP97" i="1"/>
  <c r="AN97" i="1"/>
  <c r="AJ97" i="1"/>
  <c r="AI97" i="1"/>
  <c r="AH97" i="1"/>
  <c r="AF97" i="1"/>
  <c r="AE97" i="1"/>
  <c r="AA97" i="1"/>
  <c r="Z97" i="1"/>
  <c r="Y97" i="1"/>
  <c r="X97" i="1"/>
  <c r="W97" i="1"/>
  <c r="P97" i="1"/>
  <c r="O97" i="1"/>
  <c r="AD97" i="1" s="1"/>
  <c r="N97" i="1"/>
  <c r="AO97" i="1" s="1"/>
  <c r="AV97" i="1" s="1"/>
  <c r="M97" i="1"/>
  <c r="AR97" i="1" s="1"/>
  <c r="AU96" i="1"/>
  <c r="AR96" i="1"/>
  <c r="AP96" i="1"/>
  <c r="AO96" i="1"/>
  <c r="AV96" i="1" s="1"/>
  <c r="AI96" i="1"/>
  <c r="AH96" i="1"/>
  <c r="AF96" i="1"/>
  <c r="AE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T95" i="1"/>
  <c r="AR95" i="1"/>
  <c r="AP95" i="1"/>
  <c r="AJ95" i="1"/>
  <c r="AI95" i="1"/>
  <c r="AN95" i="1" s="1"/>
  <c r="AH95" i="1"/>
  <c r="AF95" i="1"/>
  <c r="AE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T94" i="1"/>
  <c r="AR94" i="1"/>
  <c r="AP94" i="1"/>
  <c r="AN94" i="1"/>
  <c r="AJ94" i="1"/>
  <c r="AI94" i="1"/>
  <c r="AH94" i="1"/>
  <c r="AF94" i="1"/>
  <c r="AE94" i="1"/>
  <c r="AD94" i="1"/>
  <c r="AC94" i="1"/>
  <c r="AB94" i="1"/>
  <c r="AA94" i="1"/>
  <c r="Z94" i="1"/>
  <c r="Y94" i="1"/>
  <c r="X94" i="1"/>
  <c r="W94" i="1"/>
  <c r="P94" i="1"/>
  <c r="O94" i="1"/>
  <c r="AQ94" i="1" s="1"/>
  <c r="N94" i="1"/>
  <c r="AO94" i="1" s="1"/>
  <c r="AV94" i="1" s="1"/>
  <c r="M94" i="1"/>
  <c r="AU93" i="1"/>
  <c r="AP93" i="1"/>
  <c r="AO93" i="1"/>
  <c r="AI93" i="1"/>
  <c r="AN93" i="1" s="1"/>
  <c r="AH93" i="1"/>
  <c r="AF93" i="1"/>
  <c r="AE93" i="1"/>
  <c r="AD93" i="1"/>
  <c r="AC93" i="1"/>
  <c r="AA93" i="1"/>
  <c r="Z93" i="1"/>
  <c r="Y93" i="1"/>
  <c r="X93" i="1"/>
  <c r="W93" i="1"/>
  <c r="P93" i="1"/>
  <c r="O93" i="1"/>
  <c r="AQ93" i="1" s="1"/>
  <c r="N93" i="1"/>
  <c r="M93" i="1"/>
  <c r="AU92" i="1"/>
  <c r="AT92" i="1"/>
  <c r="AP92" i="1"/>
  <c r="AJ92" i="1"/>
  <c r="AI92" i="1"/>
  <c r="AN92" i="1" s="1"/>
  <c r="AH92" i="1"/>
  <c r="AF92" i="1"/>
  <c r="AE92" i="1"/>
  <c r="AD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T91" i="1"/>
  <c r="AQ91" i="1"/>
  <c r="AP91" i="1"/>
  <c r="AN91" i="1"/>
  <c r="AJ91" i="1"/>
  <c r="AI91" i="1"/>
  <c r="AH91" i="1"/>
  <c r="AF91" i="1"/>
  <c r="AE91" i="1"/>
  <c r="AA91" i="1"/>
  <c r="Z91" i="1"/>
  <c r="Y91" i="1"/>
  <c r="X91" i="1"/>
  <c r="W91" i="1"/>
  <c r="P91" i="1"/>
  <c r="O91" i="1"/>
  <c r="AD91" i="1" s="1"/>
  <c r="N91" i="1"/>
  <c r="AO91" i="1" s="1"/>
  <c r="AV91" i="1" s="1"/>
  <c r="M91" i="1"/>
  <c r="AR91" i="1" s="1"/>
  <c r="AU90" i="1"/>
  <c r="AP90" i="1"/>
  <c r="AO90" i="1"/>
  <c r="AI90" i="1"/>
  <c r="AH90" i="1"/>
  <c r="AF90" i="1"/>
  <c r="AE90" i="1"/>
  <c r="AA90" i="1"/>
  <c r="Z90" i="1"/>
  <c r="Y90" i="1"/>
  <c r="X90" i="1"/>
  <c r="W90" i="1"/>
  <c r="P90" i="1"/>
  <c r="O90" i="1"/>
  <c r="AQ90" i="1" s="1"/>
  <c r="N90" i="1"/>
  <c r="AC90" i="1" s="1"/>
  <c r="M90" i="1"/>
  <c r="AR90" i="1" s="1"/>
  <c r="AU89" i="1"/>
  <c r="AT89" i="1"/>
  <c r="AR89" i="1"/>
  <c r="AP89" i="1"/>
  <c r="AJ89" i="1"/>
  <c r="AI89" i="1"/>
  <c r="AN89" i="1" s="1"/>
  <c r="AH89" i="1"/>
  <c r="AF89" i="1"/>
  <c r="AE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M89" i="1"/>
  <c r="AU88" i="1"/>
  <c r="AT88" i="1"/>
  <c r="AR88" i="1"/>
  <c r="AQ88" i="1"/>
  <c r="AP88" i="1"/>
  <c r="AN88" i="1"/>
  <c r="AJ88" i="1"/>
  <c r="AI88" i="1"/>
  <c r="AH88" i="1"/>
  <c r="AF88" i="1"/>
  <c r="AE88" i="1"/>
  <c r="AC88" i="1"/>
  <c r="AB88" i="1"/>
  <c r="AA88" i="1"/>
  <c r="Z88" i="1"/>
  <c r="Y88" i="1"/>
  <c r="X88" i="1"/>
  <c r="W88" i="1"/>
  <c r="P88" i="1"/>
  <c r="O88" i="1"/>
  <c r="AD88" i="1" s="1"/>
  <c r="N88" i="1"/>
  <c r="AO88" i="1" s="1"/>
  <c r="AV88" i="1" s="1"/>
  <c r="M88" i="1"/>
  <c r="AU87" i="1"/>
  <c r="AP87" i="1"/>
  <c r="AO87" i="1"/>
  <c r="AV87" i="1" s="1"/>
  <c r="AI87" i="1"/>
  <c r="AH87" i="1"/>
  <c r="AF87" i="1"/>
  <c r="AE87" i="1"/>
  <c r="AD87" i="1"/>
  <c r="AC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T86" i="1"/>
  <c r="AP86" i="1"/>
  <c r="AJ86" i="1"/>
  <c r="AI86" i="1"/>
  <c r="AN86" i="1" s="1"/>
  <c r="AH86" i="1"/>
  <c r="AF86" i="1"/>
  <c r="AE86" i="1"/>
  <c r="AD86" i="1"/>
  <c r="AA86" i="1"/>
  <c r="Z86" i="1"/>
  <c r="Y86" i="1"/>
  <c r="X86" i="1"/>
  <c r="W86" i="1"/>
  <c r="P86" i="1"/>
  <c r="O86" i="1"/>
  <c r="AQ86" i="1" s="1"/>
  <c r="N86" i="1"/>
  <c r="AO86" i="1" s="1"/>
  <c r="AV86" i="1" s="1"/>
  <c r="M86" i="1"/>
  <c r="AR86" i="1" s="1"/>
  <c r="AU85" i="1"/>
  <c r="AT85" i="1"/>
  <c r="AP85" i="1"/>
  <c r="AN85" i="1"/>
  <c r="AJ85" i="1"/>
  <c r="AI85" i="1"/>
  <c r="AH85" i="1"/>
  <c r="AF85" i="1"/>
  <c r="AE85" i="1"/>
  <c r="AD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R85" i="1" s="1"/>
  <c r="AU84" i="1"/>
  <c r="AR84" i="1"/>
  <c r="AP84" i="1"/>
  <c r="AO84" i="1"/>
  <c r="AI84" i="1"/>
  <c r="AH84" i="1"/>
  <c r="AF84" i="1"/>
  <c r="AE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T83" i="1"/>
  <c r="AR83" i="1"/>
  <c r="AP83" i="1"/>
  <c r="AJ83" i="1"/>
  <c r="AI83" i="1"/>
  <c r="AN83" i="1" s="1"/>
  <c r="AH83" i="1"/>
  <c r="AF83" i="1"/>
  <c r="AE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T82" i="1"/>
  <c r="AR82" i="1"/>
  <c r="AP82" i="1"/>
  <c r="AN82" i="1"/>
  <c r="AJ82" i="1"/>
  <c r="AI82" i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AQ82" i="1" s="1"/>
  <c r="N82" i="1"/>
  <c r="AO82" i="1" s="1"/>
  <c r="AV82" i="1" s="1"/>
  <c r="M82" i="1"/>
  <c r="AV81" i="1"/>
  <c r="AU81" i="1"/>
  <c r="AP81" i="1"/>
  <c r="AO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R81" i="1" s="1"/>
  <c r="AU80" i="1"/>
  <c r="AT80" i="1"/>
  <c r="AP80" i="1"/>
  <c r="AJ80" i="1"/>
  <c r="AI80" i="1"/>
  <c r="AN80" i="1" s="1"/>
  <c r="AH80" i="1"/>
  <c r="AF80" i="1"/>
  <c r="AE80" i="1"/>
  <c r="AD80" i="1"/>
  <c r="AC80" i="1"/>
  <c r="AA80" i="1"/>
  <c r="Z80" i="1"/>
  <c r="Y80" i="1"/>
  <c r="X80" i="1"/>
  <c r="W80" i="1"/>
  <c r="P80" i="1"/>
  <c r="O80" i="1"/>
  <c r="AQ80" i="1" s="1"/>
  <c r="N80" i="1"/>
  <c r="AO80" i="1" s="1"/>
  <c r="AV80" i="1" s="1"/>
  <c r="M80" i="1"/>
  <c r="AR80" i="1" s="1"/>
  <c r="AU79" i="1"/>
  <c r="AT79" i="1"/>
  <c r="AQ79" i="1"/>
  <c r="AP79" i="1"/>
  <c r="AN79" i="1"/>
  <c r="AJ79" i="1"/>
  <c r="AI79" i="1"/>
  <c r="AH79" i="1"/>
  <c r="AF79" i="1"/>
  <c r="AE79" i="1"/>
  <c r="AD79" i="1"/>
  <c r="AA79" i="1"/>
  <c r="Z79" i="1"/>
  <c r="Y79" i="1"/>
  <c r="X79" i="1"/>
  <c r="W79" i="1"/>
  <c r="P79" i="1"/>
  <c r="O79" i="1"/>
  <c r="N79" i="1"/>
  <c r="M79" i="1"/>
  <c r="AR79" i="1" s="1"/>
  <c r="AV78" i="1"/>
  <c r="AU78" i="1"/>
  <c r="AR78" i="1"/>
  <c r="AQ78" i="1"/>
  <c r="AP78" i="1"/>
  <c r="AO78" i="1"/>
  <c r="AI78" i="1"/>
  <c r="AH78" i="1"/>
  <c r="AF78" i="1"/>
  <c r="AE78" i="1"/>
  <c r="AA78" i="1"/>
  <c r="Z78" i="1"/>
  <c r="Y78" i="1"/>
  <c r="X78" i="1"/>
  <c r="W78" i="1"/>
  <c r="P78" i="1"/>
  <c r="O78" i="1"/>
  <c r="AD78" i="1" s="1"/>
  <c r="N78" i="1"/>
  <c r="AC78" i="1" s="1"/>
  <c r="M78" i="1"/>
  <c r="AB78" i="1" s="1"/>
  <c r="AU77" i="1"/>
  <c r="AT77" i="1"/>
  <c r="AR77" i="1"/>
  <c r="AP77" i="1"/>
  <c r="AJ77" i="1"/>
  <c r="AI77" i="1"/>
  <c r="AN77" i="1" s="1"/>
  <c r="AH77" i="1"/>
  <c r="AF77" i="1"/>
  <c r="AE77" i="1"/>
  <c r="AB77" i="1"/>
  <c r="AA77" i="1"/>
  <c r="Z77" i="1"/>
  <c r="Y77" i="1"/>
  <c r="X77" i="1"/>
  <c r="W77" i="1"/>
  <c r="P77" i="1"/>
  <c r="O77" i="1"/>
  <c r="AQ77" i="1" s="1"/>
  <c r="N77" i="1"/>
  <c r="AO77" i="1" s="1"/>
  <c r="AV77" i="1" s="1"/>
  <c r="M77" i="1"/>
  <c r="AU76" i="1"/>
  <c r="AT76" i="1"/>
  <c r="AR76" i="1"/>
  <c r="AP76" i="1"/>
  <c r="AN76" i="1"/>
  <c r="AJ76" i="1"/>
  <c r="AI76" i="1"/>
  <c r="AH76" i="1"/>
  <c r="AF76" i="1"/>
  <c r="AE76" i="1"/>
  <c r="AC76" i="1"/>
  <c r="AB76" i="1"/>
  <c r="AA76" i="1"/>
  <c r="Z76" i="1"/>
  <c r="Y76" i="1"/>
  <c r="X76" i="1"/>
  <c r="W76" i="1"/>
  <c r="P76" i="1"/>
  <c r="O76" i="1"/>
  <c r="AQ76" i="1" s="1"/>
  <c r="N76" i="1"/>
  <c r="AO76" i="1" s="1"/>
  <c r="AV76" i="1" s="1"/>
  <c r="M76" i="1"/>
  <c r="AU75" i="1"/>
  <c r="AP75" i="1"/>
  <c r="AO75" i="1"/>
  <c r="AN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B75" i="1" s="1"/>
  <c r="AU74" i="1"/>
  <c r="AT74" i="1"/>
  <c r="AP74" i="1"/>
  <c r="AJ74" i="1"/>
  <c r="AI74" i="1"/>
  <c r="AN74" i="1" s="1"/>
  <c r="AH74" i="1"/>
  <c r="AF74" i="1"/>
  <c r="AE74" i="1"/>
  <c r="AD74" i="1"/>
  <c r="AC74" i="1"/>
  <c r="AB74" i="1"/>
  <c r="AA74" i="1"/>
  <c r="Z74" i="1"/>
  <c r="Y74" i="1"/>
  <c r="X74" i="1"/>
  <c r="W74" i="1"/>
  <c r="P74" i="1"/>
  <c r="O74" i="1"/>
  <c r="AQ74" i="1" s="1"/>
  <c r="N74" i="1"/>
  <c r="AO74" i="1" s="1"/>
  <c r="AV74" i="1" s="1"/>
  <c r="M74" i="1"/>
  <c r="AR74" i="1" s="1"/>
  <c r="AU73" i="1"/>
  <c r="AT73" i="1"/>
  <c r="AP73" i="1"/>
  <c r="AO73" i="1"/>
  <c r="AN73" i="1"/>
  <c r="AJ73" i="1"/>
  <c r="AI73" i="1"/>
  <c r="AH73" i="1"/>
  <c r="AF73" i="1"/>
  <c r="AE73" i="1"/>
  <c r="AA73" i="1"/>
  <c r="Z73" i="1"/>
  <c r="Y73" i="1"/>
  <c r="X73" i="1"/>
  <c r="W73" i="1"/>
  <c r="P73" i="1"/>
  <c r="O73" i="1"/>
  <c r="AQ73" i="1" s="1"/>
  <c r="N73" i="1"/>
  <c r="AC73" i="1" s="1"/>
  <c r="M73" i="1"/>
  <c r="AV72" i="1"/>
  <c r="AU72" i="1"/>
  <c r="AQ72" i="1"/>
  <c r="AP72" i="1"/>
  <c r="AO72" i="1"/>
  <c r="AN72" i="1"/>
  <c r="AI72" i="1"/>
  <c r="AH72" i="1"/>
  <c r="AF72" i="1"/>
  <c r="AE72" i="1"/>
  <c r="AD72" i="1"/>
  <c r="AA72" i="1"/>
  <c r="Z72" i="1"/>
  <c r="Y72" i="1"/>
  <c r="X72" i="1"/>
  <c r="W72" i="1"/>
  <c r="P72" i="1"/>
  <c r="O72" i="1"/>
  <c r="N72" i="1"/>
  <c r="AC72" i="1" s="1"/>
  <c r="M72" i="1"/>
  <c r="AB72" i="1" s="1"/>
  <c r="AU71" i="1"/>
  <c r="AP71" i="1"/>
  <c r="AO71" i="1"/>
  <c r="AV71" i="1" s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M71" i="1"/>
  <c r="AR71" i="1" s="1"/>
  <c r="AU70" i="1"/>
  <c r="AR70" i="1"/>
  <c r="AQ70" i="1"/>
  <c r="AP70" i="1"/>
  <c r="AJ70" i="1"/>
  <c r="AI70" i="1"/>
  <c r="AT70" i="1" s="1"/>
  <c r="AH70" i="1"/>
  <c r="AF70" i="1"/>
  <c r="AE70" i="1"/>
  <c r="AC70" i="1"/>
  <c r="AB70" i="1"/>
  <c r="AA70" i="1"/>
  <c r="Z70" i="1"/>
  <c r="Y70" i="1"/>
  <c r="X70" i="1"/>
  <c r="W70" i="1"/>
  <c r="P70" i="1"/>
  <c r="O70" i="1"/>
  <c r="AD70" i="1" s="1"/>
  <c r="N70" i="1"/>
  <c r="AO70" i="1" s="1"/>
  <c r="AV70" i="1" s="1"/>
  <c r="M70" i="1"/>
  <c r="AU69" i="1"/>
  <c r="AR69" i="1"/>
  <c r="AP69" i="1"/>
  <c r="AO69" i="1"/>
  <c r="AN69" i="1"/>
  <c r="AI69" i="1"/>
  <c r="AT69" i="1" s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AQ69" i="1" s="1"/>
  <c r="N69" i="1"/>
  <c r="M69" i="1"/>
  <c r="AU68" i="1"/>
  <c r="AR68" i="1"/>
  <c r="AP68" i="1"/>
  <c r="AN68" i="1"/>
  <c r="AI68" i="1"/>
  <c r="AJ68" i="1" s="1"/>
  <c r="AH68" i="1"/>
  <c r="AF68" i="1"/>
  <c r="AE68" i="1"/>
  <c r="AD68" i="1"/>
  <c r="AC68" i="1"/>
  <c r="AB68" i="1"/>
  <c r="AA68" i="1"/>
  <c r="Z68" i="1"/>
  <c r="Y68" i="1"/>
  <c r="X68" i="1"/>
  <c r="W68" i="1"/>
  <c r="P68" i="1"/>
  <c r="O68" i="1"/>
  <c r="AQ68" i="1" s="1"/>
  <c r="N68" i="1"/>
  <c r="AO68" i="1" s="1"/>
  <c r="M68" i="1"/>
  <c r="AU67" i="1"/>
  <c r="AT67" i="1"/>
  <c r="AQ67" i="1"/>
  <c r="AP67" i="1"/>
  <c r="AN67" i="1"/>
  <c r="AJ67" i="1"/>
  <c r="AI67" i="1"/>
  <c r="AH67" i="1"/>
  <c r="AF67" i="1"/>
  <c r="AE67" i="1"/>
  <c r="AD67" i="1"/>
  <c r="AA67" i="1"/>
  <c r="Z67" i="1"/>
  <c r="Y67" i="1"/>
  <c r="X67" i="1"/>
  <c r="W67" i="1"/>
  <c r="P67" i="1"/>
  <c r="O67" i="1"/>
  <c r="N67" i="1"/>
  <c r="AC67" i="1" s="1"/>
  <c r="M67" i="1"/>
  <c r="AU66" i="1"/>
  <c r="AP66" i="1"/>
  <c r="AI66" i="1"/>
  <c r="AN66" i="1" s="1"/>
  <c r="AH66" i="1"/>
  <c r="AF66" i="1"/>
  <c r="AE66" i="1"/>
  <c r="AA66" i="1"/>
  <c r="Z66" i="1"/>
  <c r="Y66" i="1"/>
  <c r="X66" i="1"/>
  <c r="W66" i="1"/>
  <c r="P66" i="1"/>
  <c r="O66" i="1"/>
  <c r="AQ66" i="1" s="1"/>
  <c r="N66" i="1"/>
  <c r="AC66" i="1" s="1"/>
  <c r="M66" i="1"/>
  <c r="AR66" i="1" s="1"/>
  <c r="AU65" i="1"/>
  <c r="AR65" i="1"/>
  <c r="AQ65" i="1"/>
  <c r="AP65" i="1"/>
  <c r="AJ65" i="1"/>
  <c r="AI65" i="1"/>
  <c r="AN65" i="1" s="1"/>
  <c r="AH65" i="1"/>
  <c r="AF65" i="1"/>
  <c r="AE65" i="1"/>
  <c r="AA65" i="1"/>
  <c r="Z65" i="1"/>
  <c r="Y65" i="1"/>
  <c r="X65" i="1"/>
  <c r="W65" i="1"/>
  <c r="P65" i="1"/>
  <c r="O65" i="1"/>
  <c r="AD65" i="1" s="1"/>
  <c r="N65" i="1"/>
  <c r="AO65" i="1" s="1"/>
  <c r="M65" i="1"/>
  <c r="AB65" i="1" s="1"/>
  <c r="AU64" i="1"/>
  <c r="AP64" i="1"/>
  <c r="AI64" i="1"/>
  <c r="AN64" i="1" s="1"/>
  <c r="AH64" i="1"/>
  <c r="AF64" i="1"/>
  <c r="AE64" i="1"/>
  <c r="AD64" i="1"/>
  <c r="AC64" i="1"/>
  <c r="AA64" i="1"/>
  <c r="Z64" i="1"/>
  <c r="Y64" i="1"/>
  <c r="X64" i="1"/>
  <c r="W64" i="1"/>
  <c r="P64" i="1"/>
  <c r="O64" i="1"/>
  <c r="AQ64" i="1" s="1"/>
  <c r="N64" i="1"/>
  <c r="AO64" i="1" s="1"/>
  <c r="M64" i="1"/>
  <c r="AB64" i="1" s="1"/>
  <c r="AU63" i="1"/>
  <c r="AT63" i="1"/>
  <c r="AP63" i="1"/>
  <c r="AN63" i="1"/>
  <c r="AJ63" i="1"/>
  <c r="AI63" i="1"/>
  <c r="AH63" i="1"/>
  <c r="AF63" i="1"/>
  <c r="AE63" i="1"/>
  <c r="AD63" i="1"/>
  <c r="AA63" i="1"/>
  <c r="Z63" i="1"/>
  <c r="Y63" i="1"/>
  <c r="X63" i="1"/>
  <c r="W63" i="1"/>
  <c r="P63" i="1"/>
  <c r="O63" i="1"/>
  <c r="AQ63" i="1" s="1"/>
  <c r="N63" i="1"/>
  <c r="AO63" i="1" s="1"/>
  <c r="M63" i="1"/>
  <c r="AR63" i="1" s="1"/>
  <c r="AU62" i="1"/>
  <c r="AP62" i="1"/>
  <c r="AO62" i="1"/>
  <c r="AV62" i="1" s="1"/>
  <c r="AN62" i="1"/>
  <c r="AI62" i="1"/>
  <c r="AT62" i="1" s="1"/>
  <c r="AH62" i="1"/>
  <c r="AF62" i="1"/>
  <c r="AE62" i="1"/>
  <c r="AA62" i="1"/>
  <c r="Z62" i="1"/>
  <c r="Y62" i="1"/>
  <c r="X62" i="1"/>
  <c r="W62" i="1"/>
  <c r="P62" i="1"/>
  <c r="O62" i="1"/>
  <c r="AQ62" i="1" s="1"/>
  <c r="N62" i="1"/>
  <c r="AC62" i="1" s="1"/>
  <c r="M62" i="1"/>
  <c r="AR62" i="1" s="1"/>
  <c r="AU61" i="1"/>
  <c r="AR61" i="1"/>
  <c r="AP61" i="1"/>
  <c r="AO61" i="1"/>
  <c r="AV61" i="1" s="1"/>
  <c r="AI61" i="1"/>
  <c r="AN61" i="1" s="1"/>
  <c r="AH61" i="1"/>
  <c r="AF61" i="1"/>
  <c r="AE61" i="1"/>
  <c r="AB61" i="1"/>
  <c r="AA61" i="1"/>
  <c r="Z61" i="1"/>
  <c r="Y61" i="1"/>
  <c r="X61" i="1"/>
  <c r="W61" i="1"/>
  <c r="P61" i="1"/>
  <c r="O61" i="1"/>
  <c r="AQ61" i="1" s="1"/>
  <c r="N61" i="1"/>
  <c r="AC61" i="1" s="1"/>
  <c r="M61" i="1"/>
  <c r="AU60" i="1"/>
  <c r="AT60" i="1"/>
  <c r="AR60" i="1"/>
  <c r="AP60" i="1"/>
  <c r="AJ60" i="1"/>
  <c r="AI60" i="1"/>
  <c r="AN60" i="1" s="1"/>
  <c r="AH60" i="1"/>
  <c r="AF60" i="1"/>
  <c r="AE60" i="1"/>
  <c r="AC60" i="1"/>
  <c r="AB60" i="1"/>
  <c r="AA60" i="1"/>
  <c r="Z60" i="1"/>
  <c r="Y60" i="1"/>
  <c r="X60" i="1"/>
  <c r="W60" i="1"/>
  <c r="P60" i="1"/>
  <c r="O60" i="1"/>
  <c r="AQ60" i="1" s="1"/>
  <c r="N60" i="1"/>
  <c r="AO60" i="1" s="1"/>
  <c r="AV60" i="1" s="1"/>
  <c r="M60" i="1"/>
  <c r="AU59" i="1"/>
  <c r="AR59" i="1"/>
  <c r="AP59" i="1"/>
  <c r="AN59" i="1"/>
  <c r="AI59" i="1"/>
  <c r="AT59" i="1" s="1"/>
  <c r="AH59" i="1"/>
  <c r="AF59" i="1"/>
  <c r="AE59" i="1"/>
  <c r="AD59" i="1"/>
  <c r="AC59" i="1"/>
  <c r="AB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U58" i="1"/>
  <c r="AP58" i="1"/>
  <c r="AO58" i="1"/>
  <c r="AI58" i="1"/>
  <c r="AN58" i="1" s="1"/>
  <c r="AH58" i="1"/>
  <c r="AF58" i="1"/>
  <c r="AE58" i="1"/>
  <c r="AD58" i="1"/>
  <c r="AC58" i="1"/>
  <c r="AA58" i="1"/>
  <c r="Z58" i="1"/>
  <c r="Y58" i="1"/>
  <c r="X58" i="1"/>
  <c r="W58" i="1"/>
  <c r="P58" i="1"/>
  <c r="O58" i="1"/>
  <c r="AQ58" i="1" s="1"/>
  <c r="N58" i="1"/>
  <c r="M58" i="1"/>
  <c r="AR58" i="1" s="1"/>
  <c r="AU57" i="1"/>
  <c r="AT57" i="1"/>
  <c r="AP57" i="1"/>
  <c r="AN57" i="1"/>
  <c r="AJ57" i="1"/>
  <c r="AI57" i="1"/>
  <c r="AH57" i="1"/>
  <c r="AF57" i="1"/>
  <c r="AE57" i="1"/>
  <c r="AD57" i="1"/>
  <c r="AA57" i="1"/>
  <c r="Z57" i="1"/>
  <c r="Y57" i="1"/>
  <c r="X57" i="1"/>
  <c r="W57" i="1"/>
  <c r="P57" i="1"/>
  <c r="O57" i="1"/>
  <c r="AQ57" i="1" s="1"/>
  <c r="N57" i="1"/>
  <c r="AO57" i="1" s="1"/>
  <c r="M57" i="1"/>
  <c r="AR57" i="1" s="1"/>
  <c r="AU56" i="1"/>
  <c r="AQ56" i="1"/>
  <c r="AP56" i="1"/>
  <c r="AO56" i="1"/>
  <c r="AV56" i="1" s="1"/>
  <c r="AN56" i="1"/>
  <c r="AI56" i="1"/>
  <c r="AT56" i="1" s="1"/>
  <c r="AH56" i="1"/>
  <c r="AF56" i="1"/>
  <c r="AE56" i="1"/>
  <c r="AA56" i="1"/>
  <c r="Z56" i="1"/>
  <c r="Y56" i="1"/>
  <c r="X56" i="1"/>
  <c r="W56" i="1"/>
  <c r="P56" i="1"/>
  <c r="O56" i="1"/>
  <c r="AD56" i="1" s="1"/>
  <c r="N56" i="1"/>
  <c r="AC56" i="1" s="1"/>
  <c r="M56" i="1"/>
  <c r="AR56" i="1" s="1"/>
  <c r="AU55" i="1"/>
  <c r="AR55" i="1"/>
  <c r="AP55" i="1"/>
  <c r="AO55" i="1"/>
  <c r="AV55" i="1" s="1"/>
  <c r="AI55" i="1"/>
  <c r="AN55" i="1" s="1"/>
  <c r="AH55" i="1"/>
  <c r="AF55" i="1"/>
  <c r="AE55" i="1"/>
  <c r="AB55" i="1"/>
  <c r="AA55" i="1"/>
  <c r="Z55" i="1"/>
  <c r="Y55" i="1"/>
  <c r="X55" i="1"/>
  <c r="W55" i="1"/>
  <c r="P55" i="1"/>
  <c r="O55" i="1"/>
  <c r="AQ55" i="1" s="1"/>
  <c r="N55" i="1"/>
  <c r="AC55" i="1" s="1"/>
  <c r="M55" i="1"/>
  <c r="AU54" i="1"/>
  <c r="AT54" i="1"/>
  <c r="AR54" i="1"/>
  <c r="AP54" i="1"/>
  <c r="AJ54" i="1"/>
  <c r="AI54" i="1"/>
  <c r="AN54" i="1" s="1"/>
  <c r="AH54" i="1"/>
  <c r="AF54" i="1"/>
  <c r="AE54" i="1"/>
  <c r="AC54" i="1"/>
  <c r="AB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U53" i="1"/>
  <c r="AR53" i="1"/>
  <c r="AP53" i="1"/>
  <c r="AN53" i="1"/>
  <c r="AI53" i="1"/>
  <c r="AT53" i="1" s="1"/>
  <c r="AH53" i="1"/>
  <c r="AF53" i="1"/>
  <c r="AE53" i="1"/>
  <c r="AD53" i="1"/>
  <c r="AC53" i="1"/>
  <c r="AB53" i="1"/>
  <c r="AA53" i="1"/>
  <c r="Z53" i="1"/>
  <c r="Y53" i="1"/>
  <c r="X53" i="1"/>
  <c r="W53" i="1"/>
  <c r="P53" i="1"/>
  <c r="O53" i="1"/>
  <c r="AQ53" i="1" s="1"/>
  <c r="N53" i="1"/>
  <c r="AO53" i="1" s="1"/>
  <c r="M53" i="1"/>
  <c r="AU52" i="1"/>
  <c r="AP52" i="1"/>
  <c r="AO52" i="1"/>
  <c r="AI52" i="1"/>
  <c r="AN52" i="1" s="1"/>
  <c r="AH52" i="1"/>
  <c r="AF52" i="1"/>
  <c r="AE52" i="1"/>
  <c r="AD52" i="1"/>
  <c r="AC52" i="1"/>
  <c r="AA52" i="1"/>
  <c r="Z52" i="1"/>
  <c r="Y52" i="1"/>
  <c r="X52" i="1"/>
  <c r="W52" i="1"/>
  <c r="P52" i="1"/>
  <c r="O52" i="1"/>
  <c r="AQ52" i="1" s="1"/>
  <c r="N52" i="1"/>
  <c r="M52" i="1"/>
  <c r="AR52" i="1" s="1"/>
  <c r="AU51" i="1"/>
  <c r="AT51" i="1"/>
  <c r="AP51" i="1"/>
  <c r="AN51" i="1"/>
  <c r="AJ51" i="1"/>
  <c r="AI51" i="1"/>
  <c r="AH51" i="1"/>
  <c r="AF51" i="1"/>
  <c r="AE51" i="1"/>
  <c r="AD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R51" i="1" s="1"/>
  <c r="AU50" i="1"/>
  <c r="AT50" i="1"/>
  <c r="AP50" i="1"/>
  <c r="AO50" i="1"/>
  <c r="AN50" i="1"/>
  <c r="AJ50" i="1"/>
  <c r="AI50" i="1"/>
  <c r="AH50" i="1"/>
  <c r="AF50" i="1"/>
  <c r="AE50" i="1"/>
  <c r="AA50" i="1"/>
  <c r="Z50" i="1"/>
  <c r="Y50" i="1"/>
  <c r="X50" i="1"/>
  <c r="W50" i="1"/>
  <c r="P50" i="1"/>
  <c r="O50" i="1"/>
  <c r="AD50" i="1" s="1"/>
  <c r="N50" i="1"/>
  <c r="AC50" i="1" s="1"/>
  <c r="M50" i="1"/>
  <c r="AR50" i="1" s="1"/>
  <c r="AU49" i="1"/>
  <c r="AR49" i="1"/>
  <c r="AP49" i="1"/>
  <c r="AO49" i="1"/>
  <c r="AI49" i="1"/>
  <c r="AN49" i="1" s="1"/>
  <c r="AH49" i="1"/>
  <c r="AF49" i="1"/>
  <c r="AE49" i="1"/>
  <c r="AB49" i="1"/>
  <c r="AA49" i="1"/>
  <c r="Z49" i="1"/>
  <c r="Y49" i="1"/>
  <c r="X49" i="1"/>
  <c r="W49" i="1"/>
  <c r="P49" i="1"/>
  <c r="O49" i="1"/>
  <c r="AQ49" i="1" s="1"/>
  <c r="N49" i="1"/>
  <c r="AC49" i="1" s="1"/>
  <c r="M49" i="1"/>
  <c r="AU48" i="1"/>
  <c r="AT48" i="1"/>
  <c r="AR48" i="1"/>
  <c r="AP48" i="1"/>
  <c r="AJ48" i="1"/>
  <c r="AI48" i="1"/>
  <c r="AN48" i="1" s="1"/>
  <c r="AH48" i="1"/>
  <c r="AF48" i="1"/>
  <c r="AE48" i="1"/>
  <c r="AC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R47" i="1"/>
  <c r="AP47" i="1"/>
  <c r="AN47" i="1"/>
  <c r="AI47" i="1"/>
  <c r="AT47" i="1" s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AQ47" i="1" s="1"/>
  <c r="N47" i="1"/>
  <c r="AO47" i="1" s="1"/>
  <c r="AV47" i="1" s="1"/>
  <c r="M47" i="1"/>
  <c r="AU46" i="1"/>
  <c r="AP46" i="1"/>
  <c r="AO46" i="1"/>
  <c r="AI46" i="1"/>
  <c r="AN46" i="1" s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T45" i="1"/>
  <c r="AP45" i="1"/>
  <c r="AN45" i="1"/>
  <c r="AJ45" i="1"/>
  <c r="AI45" i="1"/>
  <c r="AH45" i="1"/>
  <c r="AF45" i="1"/>
  <c r="AE45" i="1"/>
  <c r="AD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R45" i="1" s="1"/>
  <c r="AU44" i="1"/>
  <c r="AT44" i="1"/>
  <c r="AP44" i="1"/>
  <c r="AO44" i="1"/>
  <c r="AN44" i="1"/>
  <c r="AJ44" i="1"/>
  <c r="AI44" i="1"/>
  <c r="AH44" i="1"/>
  <c r="AF44" i="1"/>
  <c r="AE44" i="1"/>
  <c r="AA44" i="1"/>
  <c r="Z44" i="1"/>
  <c r="Y44" i="1"/>
  <c r="X44" i="1"/>
  <c r="W44" i="1"/>
  <c r="P44" i="1"/>
  <c r="O44" i="1"/>
  <c r="AD44" i="1" s="1"/>
  <c r="N44" i="1"/>
  <c r="AC44" i="1" s="1"/>
  <c r="M44" i="1"/>
  <c r="AR44" i="1" s="1"/>
  <c r="AU43" i="1"/>
  <c r="AR43" i="1"/>
  <c r="AP43" i="1"/>
  <c r="AO43" i="1"/>
  <c r="AV43" i="1" s="1"/>
  <c r="AI43" i="1"/>
  <c r="AN43" i="1" s="1"/>
  <c r="AH43" i="1"/>
  <c r="AF43" i="1"/>
  <c r="AE43" i="1"/>
  <c r="AB43" i="1"/>
  <c r="AA43" i="1"/>
  <c r="Z43" i="1"/>
  <c r="Y43" i="1"/>
  <c r="X43" i="1"/>
  <c r="W43" i="1"/>
  <c r="P43" i="1"/>
  <c r="O43" i="1"/>
  <c r="AQ43" i="1" s="1"/>
  <c r="N43" i="1"/>
  <c r="AC43" i="1" s="1"/>
  <c r="M43" i="1"/>
  <c r="AU42" i="1"/>
  <c r="AT42" i="1"/>
  <c r="AR42" i="1"/>
  <c r="AP42" i="1"/>
  <c r="AJ42" i="1"/>
  <c r="AI42" i="1"/>
  <c r="AN42" i="1" s="1"/>
  <c r="AH42" i="1"/>
  <c r="AF42" i="1"/>
  <c r="AE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U41" i="1"/>
  <c r="AR41" i="1"/>
  <c r="AP41" i="1"/>
  <c r="AN41" i="1"/>
  <c r="AI41" i="1"/>
  <c r="AT41" i="1" s="1"/>
  <c r="AH41" i="1"/>
  <c r="AF41" i="1"/>
  <c r="AE41" i="1"/>
  <c r="AD41" i="1"/>
  <c r="AC41" i="1"/>
  <c r="AB41" i="1"/>
  <c r="AA41" i="1"/>
  <c r="Z41" i="1"/>
  <c r="Y41" i="1"/>
  <c r="X41" i="1"/>
  <c r="W41" i="1"/>
  <c r="P41" i="1"/>
  <c r="O41" i="1"/>
  <c r="AQ41" i="1" s="1"/>
  <c r="N41" i="1"/>
  <c r="AO41" i="1" s="1"/>
  <c r="M41" i="1"/>
  <c r="AU40" i="1"/>
  <c r="AP40" i="1"/>
  <c r="AO40" i="1"/>
  <c r="AI40" i="1"/>
  <c r="AN40" i="1" s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T39" i="1"/>
  <c r="AP39" i="1"/>
  <c r="AN39" i="1"/>
  <c r="AJ39" i="1"/>
  <c r="AI39" i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R39" i="1" s="1"/>
  <c r="AU38" i="1"/>
  <c r="AT38" i="1"/>
  <c r="AP38" i="1"/>
  <c r="AO38" i="1"/>
  <c r="AV38" i="1" s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D38" i="1" s="1"/>
  <c r="N38" i="1"/>
  <c r="AC38" i="1" s="1"/>
  <c r="M38" i="1"/>
  <c r="AR38" i="1" s="1"/>
  <c r="AU37" i="1"/>
  <c r="AR37" i="1"/>
  <c r="AP37" i="1"/>
  <c r="AO37" i="1"/>
  <c r="AV37" i="1" s="1"/>
  <c r="AI37" i="1"/>
  <c r="AN37" i="1" s="1"/>
  <c r="AH37" i="1"/>
  <c r="AF37" i="1"/>
  <c r="AE37" i="1"/>
  <c r="AB37" i="1"/>
  <c r="AA37" i="1"/>
  <c r="Z37" i="1"/>
  <c r="Y37" i="1"/>
  <c r="X37" i="1"/>
  <c r="W37" i="1"/>
  <c r="P37" i="1"/>
  <c r="O37" i="1"/>
  <c r="AQ37" i="1" s="1"/>
  <c r="N37" i="1"/>
  <c r="AC37" i="1" s="1"/>
  <c r="M37" i="1"/>
  <c r="AU36" i="1"/>
  <c r="AT36" i="1"/>
  <c r="AR36" i="1"/>
  <c r="AP36" i="1"/>
  <c r="AJ36" i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R35" i="1"/>
  <c r="AP35" i="1"/>
  <c r="AN35" i="1"/>
  <c r="AI35" i="1"/>
  <c r="AT35" i="1" s="1"/>
  <c r="AH35" i="1"/>
  <c r="AF35" i="1"/>
  <c r="AE35" i="1"/>
  <c r="AD35" i="1"/>
  <c r="AC35" i="1"/>
  <c r="AB35" i="1"/>
  <c r="AA35" i="1"/>
  <c r="Z35" i="1"/>
  <c r="Y35" i="1"/>
  <c r="X35" i="1"/>
  <c r="W35" i="1"/>
  <c r="P35" i="1"/>
  <c r="O35" i="1"/>
  <c r="AQ35" i="1" s="1"/>
  <c r="N35" i="1"/>
  <c r="AO35" i="1" s="1"/>
  <c r="AV35" i="1" s="1"/>
  <c r="M35" i="1"/>
  <c r="AU34" i="1"/>
  <c r="AP34" i="1"/>
  <c r="AO34" i="1"/>
  <c r="AI34" i="1"/>
  <c r="AN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R34" i="1" s="1"/>
  <c r="AU33" i="1"/>
  <c r="AT33" i="1"/>
  <c r="AP33" i="1"/>
  <c r="AN33" i="1"/>
  <c r="AJ33" i="1"/>
  <c r="AI33" i="1"/>
  <c r="AH33" i="1"/>
  <c r="AF33" i="1"/>
  <c r="AE33" i="1"/>
  <c r="AD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R33" i="1" s="1"/>
  <c r="AU32" i="1"/>
  <c r="AP32" i="1"/>
  <c r="AO32" i="1"/>
  <c r="AV32" i="1" s="1"/>
  <c r="AN32" i="1"/>
  <c r="AI32" i="1"/>
  <c r="AT32" i="1" s="1"/>
  <c r="AH32" i="1"/>
  <c r="AF32" i="1"/>
  <c r="AE32" i="1"/>
  <c r="AA32" i="1"/>
  <c r="Z32" i="1"/>
  <c r="Y32" i="1"/>
  <c r="X32" i="1"/>
  <c r="W32" i="1"/>
  <c r="P32" i="1"/>
  <c r="O32" i="1"/>
  <c r="AD32" i="1" s="1"/>
  <c r="N32" i="1"/>
  <c r="AC32" i="1" s="1"/>
  <c r="M32" i="1"/>
  <c r="AR32" i="1" s="1"/>
  <c r="AU31" i="1"/>
  <c r="AR31" i="1"/>
  <c r="AP31" i="1"/>
  <c r="AO31" i="1"/>
  <c r="AV31" i="1" s="1"/>
  <c r="AI31" i="1"/>
  <c r="AN31" i="1" s="1"/>
  <c r="AH31" i="1"/>
  <c r="AF31" i="1"/>
  <c r="AE31" i="1"/>
  <c r="AB31" i="1"/>
  <c r="AA31" i="1"/>
  <c r="Z31" i="1"/>
  <c r="Y31" i="1"/>
  <c r="X31" i="1"/>
  <c r="W31" i="1"/>
  <c r="P31" i="1"/>
  <c r="O31" i="1"/>
  <c r="AQ31" i="1" s="1"/>
  <c r="N31" i="1"/>
  <c r="AC31" i="1" s="1"/>
  <c r="M31" i="1"/>
  <c r="AU30" i="1"/>
  <c r="AT30" i="1"/>
  <c r="AR30" i="1"/>
  <c r="AP30" i="1"/>
  <c r="AJ30" i="1"/>
  <c r="AI30" i="1"/>
  <c r="AN30" i="1" s="1"/>
  <c r="AH30" i="1"/>
  <c r="AF30" i="1"/>
  <c r="AE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U29" i="1"/>
  <c r="AR29" i="1"/>
  <c r="AP29" i="1"/>
  <c r="AN29" i="1"/>
  <c r="AI29" i="1"/>
  <c r="AT29" i="1" s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U28" i="1"/>
  <c r="AP28" i="1"/>
  <c r="AO28" i="1"/>
  <c r="AI28" i="1"/>
  <c r="AN28" i="1" s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T27" i="1"/>
  <c r="AP27" i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P26" i="1"/>
  <c r="AO26" i="1"/>
  <c r="AV26" i="1" s="1"/>
  <c r="AN26" i="1"/>
  <c r="AJ26" i="1"/>
  <c r="AI26" i="1"/>
  <c r="AT26" i="1" s="1"/>
  <c r="AH26" i="1"/>
  <c r="AF26" i="1"/>
  <c r="AE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R25" i="1"/>
  <c r="AP25" i="1"/>
  <c r="AO25" i="1"/>
  <c r="AV25" i="1" s="1"/>
  <c r="AI25" i="1"/>
  <c r="AN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R24" i="1"/>
  <c r="AP24" i="1"/>
  <c r="AJ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R23" i="1"/>
  <c r="AP23" i="1"/>
  <c r="AN23" i="1"/>
  <c r="AI23" i="1"/>
  <c r="AT23" i="1" s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U22" i="1"/>
  <c r="AP22" i="1"/>
  <c r="AO22" i="1"/>
  <c r="AV22" i="1" s="1"/>
  <c r="AI22" i="1"/>
  <c r="AN22" i="1" s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T21" i="1"/>
  <c r="AP21" i="1"/>
  <c r="AN21" i="1"/>
  <c r="AJ21" i="1"/>
  <c r="AI21" i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R21" i="1" s="1"/>
  <c r="AU20" i="1"/>
  <c r="AP20" i="1"/>
  <c r="AO20" i="1"/>
  <c r="AV20" i="1" s="1"/>
  <c r="AN20" i="1"/>
  <c r="AJ20" i="1"/>
  <c r="AI20" i="1"/>
  <c r="AT20" i="1" s="1"/>
  <c r="AH20" i="1"/>
  <c r="AF20" i="1"/>
  <c r="AE20" i="1"/>
  <c r="AA20" i="1"/>
  <c r="Z20" i="1"/>
  <c r="Y20" i="1"/>
  <c r="X20" i="1"/>
  <c r="W20" i="1"/>
  <c r="P20" i="1"/>
  <c r="O20" i="1"/>
  <c r="AD20" i="1" s="1"/>
  <c r="N20" i="1"/>
  <c r="AC20" i="1" s="1"/>
  <c r="M20" i="1"/>
  <c r="AR20" i="1" s="1"/>
  <c r="AU19" i="1"/>
  <c r="AR19" i="1"/>
  <c r="AP19" i="1"/>
  <c r="AO19" i="1"/>
  <c r="AV19" i="1" s="1"/>
  <c r="AI19" i="1"/>
  <c r="AN19" i="1" s="1"/>
  <c r="AH19" i="1"/>
  <c r="AF19" i="1"/>
  <c r="AE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R18" i="1"/>
  <c r="AP18" i="1"/>
  <c r="AJ18" i="1"/>
  <c r="AI18" i="1"/>
  <c r="AN18" i="1" s="1"/>
  <c r="AH18" i="1"/>
  <c r="AF18" i="1"/>
  <c r="AE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R17" i="1"/>
  <c r="AP17" i="1"/>
  <c r="AN17" i="1"/>
  <c r="AI17" i="1"/>
  <c r="AT17" i="1" s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U16" i="1"/>
  <c r="AP16" i="1"/>
  <c r="AO16" i="1"/>
  <c r="AV16" i="1" s="1"/>
  <c r="AI16" i="1"/>
  <c r="AN16" i="1" s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T15" i="1"/>
  <c r="AP15" i="1"/>
  <c r="AN15" i="1"/>
  <c r="AJ15" i="1"/>
  <c r="AI15" i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R15" i="1" s="1"/>
  <c r="AU14" i="1"/>
  <c r="AT14" i="1"/>
  <c r="AP14" i="1"/>
  <c r="AO14" i="1"/>
  <c r="AV14" i="1" s="1"/>
  <c r="AN14" i="1"/>
  <c r="AJ14" i="1"/>
  <c r="AI14" i="1"/>
  <c r="AH14" i="1"/>
  <c r="AF14" i="1"/>
  <c r="AE14" i="1"/>
  <c r="AA14" i="1"/>
  <c r="Z14" i="1"/>
  <c r="Y14" i="1"/>
  <c r="X14" i="1"/>
  <c r="W14" i="1"/>
  <c r="P14" i="1"/>
  <c r="O14" i="1"/>
  <c r="N14" i="1"/>
  <c r="AC14" i="1" s="1"/>
  <c r="M14" i="1"/>
  <c r="AR14" i="1" s="1"/>
  <c r="AU13" i="1"/>
  <c r="AR13" i="1"/>
  <c r="AP13" i="1"/>
  <c r="AO13" i="1"/>
  <c r="AV13" i="1" s="1"/>
  <c r="AI13" i="1"/>
  <c r="AH13" i="1"/>
  <c r="AF13" i="1"/>
  <c r="AE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T12" i="1"/>
  <c r="AR12" i="1"/>
  <c r="AP12" i="1"/>
  <c r="AJ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R11" i="1"/>
  <c r="AP11" i="1"/>
  <c r="AN11" i="1"/>
  <c r="AI11" i="1"/>
  <c r="AT11" i="1" s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AO11" i="1" s="1"/>
  <c r="AV11" i="1" s="1"/>
  <c r="M11" i="1"/>
  <c r="AU10" i="1"/>
  <c r="AP10" i="1"/>
  <c r="AO10" i="1"/>
  <c r="AV10" i="1" s="1"/>
  <c r="AI10" i="1"/>
  <c r="AN10" i="1" s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U9" i="1"/>
  <c r="AT9" i="1"/>
  <c r="AP9" i="1"/>
  <c r="AN9" i="1"/>
  <c r="AJ9" i="1"/>
  <c r="AI9" i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M9" i="1"/>
  <c r="AR9" i="1" s="1"/>
  <c r="AU8" i="1"/>
  <c r="AQ8" i="1"/>
  <c r="AP8" i="1"/>
  <c r="AO8" i="1"/>
  <c r="AV8" i="1" s="1"/>
  <c r="AN8" i="1"/>
  <c r="AI8" i="1"/>
  <c r="AT8" i="1" s="1"/>
  <c r="AH8" i="1"/>
  <c r="AF8" i="1"/>
  <c r="AE8" i="1"/>
  <c r="AA8" i="1"/>
  <c r="Z8" i="1"/>
  <c r="Y8" i="1"/>
  <c r="X8" i="1"/>
  <c r="W8" i="1"/>
  <c r="P8" i="1"/>
  <c r="O8" i="1"/>
  <c r="AD8" i="1" s="1"/>
  <c r="N8" i="1"/>
  <c r="AC8" i="1" s="1"/>
  <c r="M8" i="1"/>
  <c r="AR8" i="1" s="1"/>
  <c r="AU7" i="1"/>
  <c r="AR7" i="1"/>
  <c r="AP7" i="1"/>
  <c r="AO7" i="1"/>
  <c r="AV7" i="1" s="1"/>
  <c r="AI7" i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R6" i="1"/>
  <c r="AP6" i="1"/>
  <c r="AJ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R5" i="1"/>
  <c r="AP5" i="1"/>
  <c r="AO5" i="1"/>
  <c r="AV5" i="1" s="1"/>
  <c r="AN5" i="1"/>
  <c r="AI5" i="1"/>
  <c r="AT5" i="1" s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M5" i="1"/>
  <c r="AV4" i="1"/>
  <c r="AU4" i="1"/>
  <c r="AP4" i="1"/>
  <c r="AO4" i="1"/>
  <c r="AI4" i="1"/>
  <c r="AN4" i="1" s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P6" i="18"/>
  <c r="AI6" i="18"/>
  <c r="AT6" i="18" s="1"/>
  <c r="AH6" i="18"/>
  <c r="AF6" i="18"/>
  <c r="AE6" i="18"/>
  <c r="AD6" i="18"/>
  <c r="AB6" i="18"/>
  <c r="AA6" i="18"/>
  <c r="Z6" i="18"/>
  <c r="Y6" i="18"/>
  <c r="X6" i="18"/>
  <c r="W6" i="18"/>
  <c r="P6" i="18"/>
  <c r="O6" i="18"/>
  <c r="AQ6" i="18" s="1"/>
  <c r="N6" i="18"/>
  <c r="M6" i="18"/>
  <c r="AR6" i="18" s="1"/>
  <c r="AI5" i="18"/>
  <c r="AH5" i="18"/>
  <c r="W5" i="18"/>
  <c r="AI4" i="18"/>
  <c r="AU3" i="18"/>
  <c r="AO3" i="18"/>
  <c r="AI3" i="18"/>
  <c r="AH3" i="18"/>
  <c r="AN2" i="18"/>
  <c r="AN6" i="18" s="1"/>
  <c r="AM2" i="18"/>
  <c r="AL2" i="18"/>
  <c r="AK2" i="18"/>
  <c r="AJ2" i="18"/>
  <c r="AH2" i="18"/>
  <c r="AA2" i="18"/>
  <c r="A2" i="18"/>
  <c r="AU1" i="18"/>
  <c r="AU6" i="18" s="1"/>
  <c r="AR1" i="18"/>
  <c r="AR3" i="18" s="1"/>
  <c r="AQ1" i="18"/>
  <c r="AQ3" i="18" s="1"/>
  <c r="AP1" i="18"/>
  <c r="AP3" i="18" s="1"/>
  <c r="AO1" i="18"/>
  <c r="AJ1" i="18"/>
  <c r="AA1" i="18"/>
  <c r="A1" i="18"/>
  <c r="AH1" i="18" s="1"/>
  <c r="AT28" i="17"/>
  <c r="AO28" i="17"/>
  <c r="AI28" i="17"/>
  <c r="AN28" i="17" s="1"/>
  <c r="AH28" i="17"/>
  <c r="AF28" i="17"/>
  <c r="AE28" i="17"/>
  <c r="AC28" i="17"/>
  <c r="AA28" i="17"/>
  <c r="Z28" i="17"/>
  <c r="Y28" i="17"/>
  <c r="X28" i="17"/>
  <c r="W28" i="17"/>
  <c r="P28" i="17"/>
  <c r="O28" i="17"/>
  <c r="AD28" i="17" s="1"/>
  <c r="N28" i="17"/>
  <c r="M28" i="17"/>
  <c r="AP27" i="17"/>
  <c r="AI27" i="17"/>
  <c r="AT27" i="17" s="1"/>
  <c r="AH27" i="17"/>
  <c r="AF27" i="17"/>
  <c r="AE27" i="17"/>
  <c r="AD27" i="17"/>
  <c r="AB27" i="17"/>
  <c r="AA27" i="17"/>
  <c r="Z27" i="17"/>
  <c r="Y27" i="17"/>
  <c r="X27" i="17"/>
  <c r="W27" i="17"/>
  <c r="P27" i="17"/>
  <c r="O27" i="17"/>
  <c r="N27" i="17"/>
  <c r="M27" i="17"/>
  <c r="AT26" i="17"/>
  <c r="AI26" i="17"/>
  <c r="AN26" i="17" s="1"/>
  <c r="AH26" i="17"/>
  <c r="AF26" i="17"/>
  <c r="AE26" i="17"/>
  <c r="AC26" i="17"/>
  <c r="AA26" i="17"/>
  <c r="Z26" i="17"/>
  <c r="Y26" i="17"/>
  <c r="X26" i="17"/>
  <c r="W26" i="17"/>
  <c r="P26" i="17"/>
  <c r="O26" i="17"/>
  <c r="AD26" i="17" s="1"/>
  <c r="N26" i="17"/>
  <c r="M26" i="17"/>
  <c r="AR26" i="17" s="1"/>
  <c r="AI25" i="17"/>
  <c r="AH25" i="17"/>
  <c r="W25" i="17"/>
  <c r="AT24" i="17"/>
  <c r="AO24" i="17"/>
  <c r="AI24" i="17"/>
  <c r="AH24" i="17"/>
  <c r="AF24" i="17"/>
  <c r="AE24" i="17"/>
  <c r="AC24" i="17"/>
  <c r="AA24" i="17"/>
  <c r="Z24" i="17"/>
  <c r="Y24" i="17"/>
  <c r="X24" i="17"/>
  <c r="W24" i="17"/>
  <c r="P24" i="17"/>
  <c r="O24" i="17"/>
  <c r="AD24" i="17" s="1"/>
  <c r="N24" i="17"/>
  <c r="M24" i="17"/>
  <c r="AP23" i="17"/>
  <c r="AI23" i="17"/>
  <c r="AT23" i="17" s="1"/>
  <c r="AH23" i="17"/>
  <c r="AF23" i="17"/>
  <c r="AE23" i="17"/>
  <c r="AD23" i="17"/>
  <c r="AB23" i="17"/>
  <c r="AA23" i="17"/>
  <c r="Z23" i="17"/>
  <c r="Y23" i="17"/>
  <c r="X23" i="17"/>
  <c r="W23" i="17"/>
  <c r="P23" i="17"/>
  <c r="O23" i="17"/>
  <c r="N23" i="17"/>
  <c r="M23" i="17"/>
  <c r="AT22" i="17"/>
  <c r="AI22" i="17"/>
  <c r="AN22" i="17" s="1"/>
  <c r="AH22" i="17"/>
  <c r="AF22" i="17"/>
  <c r="AE22" i="17"/>
  <c r="AC22" i="17"/>
  <c r="AA22" i="17"/>
  <c r="Z22" i="17"/>
  <c r="Y22" i="17"/>
  <c r="X22" i="17"/>
  <c r="W22" i="17"/>
  <c r="P22" i="17"/>
  <c r="O22" i="17"/>
  <c r="AD22" i="17" s="1"/>
  <c r="N22" i="17"/>
  <c r="M22" i="17"/>
  <c r="AR22" i="17" s="1"/>
  <c r="AR21" i="17"/>
  <c r="AI21" i="17"/>
  <c r="AH21" i="17"/>
  <c r="AF21" i="17"/>
  <c r="AE21" i="17"/>
  <c r="AD21" i="17"/>
  <c r="AB21" i="17"/>
  <c r="AA21" i="17"/>
  <c r="Z21" i="17"/>
  <c r="Y21" i="17"/>
  <c r="X21" i="17"/>
  <c r="W21" i="17"/>
  <c r="P21" i="17"/>
  <c r="O21" i="17"/>
  <c r="N21" i="17"/>
  <c r="AO21" i="17" s="1"/>
  <c r="M21" i="17"/>
  <c r="AI20" i="17"/>
  <c r="AH20" i="17"/>
  <c r="W20" i="17"/>
  <c r="AP19" i="17"/>
  <c r="AI19" i="17"/>
  <c r="AT19" i="17" s="1"/>
  <c r="AH19" i="17"/>
  <c r="AF19" i="17"/>
  <c r="AE19" i="17"/>
  <c r="AD19" i="17"/>
  <c r="AB19" i="17"/>
  <c r="AA19" i="17"/>
  <c r="Z19" i="17"/>
  <c r="Y19" i="17"/>
  <c r="X19" i="17"/>
  <c r="W19" i="17"/>
  <c r="P19" i="17"/>
  <c r="O19" i="17"/>
  <c r="AQ19" i="17" s="1"/>
  <c r="N19" i="17"/>
  <c r="M19" i="17"/>
  <c r="AT18" i="17"/>
  <c r="AP18" i="17"/>
  <c r="AO18" i="17"/>
  <c r="AV18" i="17" s="1"/>
  <c r="AI18" i="17"/>
  <c r="AN18" i="17" s="1"/>
  <c r="AH18" i="17"/>
  <c r="AF18" i="17"/>
  <c r="AE18" i="17"/>
  <c r="AC18" i="17"/>
  <c r="AA18" i="17"/>
  <c r="Z18" i="17"/>
  <c r="Y18" i="17"/>
  <c r="X18" i="17"/>
  <c r="W18" i="17"/>
  <c r="P18" i="17"/>
  <c r="O18" i="17"/>
  <c r="N18" i="17"/>
  <c r="M18" i="17"/>
  <c r="AR18" i="17" s="1"/>
  <c r="AR17" i="17"/>
  <c r="AP17" i="17"/>
  <c r="AI17" i="17"/>
  <c r="AH17" i="17"/>
  <c r="AF17" i="17"/>
  <c r="AE17" i="17"/>
  <c r="AD17" i="17"/>
  <c r="AB17" i="17"/>
  <c r="AA17" i="17"/>
  <c r="Z17" i="17"/>
  <c r="Y17" i="17"/>
  <c r="X17" i="17"/>
  <c r="W17" i="17"/>
  <c r="P17" i="17"/>
  <c r="O17" i="17"/>
  <c r="N17" i="17"/>
  <c r="AO17" i="17" s="1"/>
  <c r="AV17" i="17" s="1"/>
  <c r="M17" i="17"/>
  <c r="AI16" i="17"/>
  <c r="AH16" i="17"/>
  <c r="W16" i="17"/>
  <c r="AP15" i="17"/>
  <c r="AI15" i="17"/>
  <c r="AT15" i="17" s="1"/>
  <c r="AH15" i="17"/>
  <c r="AF15" i="17"/>
  <c r="AE15" i="17"/>
  <c r="AD15" i="17"/>
  <c r="AB15" i="17"/>
  <c r="AA15" i="17"/>
  <c r="Z15" i="17"/>
  <c r="Y15" i="17"/>
  <c r="X15" i="17"/>
  <c r="W15" i="17"/>
  <c r="P15" i="17"/>
  <c r="O15" i="17"/>
  <c r="N15" i="17"/>
  <c r="M15" i="17"/>
  <c r="AT14" i="17"/>
  <c r="AP14" i="17"/>
  <c r="AO14" i="17"/>
  <c r="AV14" i="17" s="1"/>
  <c r="AI14" i="17"/>
  <c r="AN14" i="17" s="1"/>
  <c r="AH14" i="17"/>
  <c r="AF14" i="17"/>
  <c r="AE14" i="17"/>
  <c r="AC14" i="17"/>
  <c r="AA14" i="17"/>
  <c r="Z14" i="17"/>
  <c r="Y14" i="17"/>
  <c r="X14" i="17"/>
  <c r="W14" i="17"/>
  <c r="P14" i="17"/>
  <c r="O14" i="17"/>
  <c r="N14" i="17"/>
  <c r="M14" i="17"/>
  <c r="AR14" i="17" s="1"/>
  <c r="AR13" i="17"/>
  <c r="AI13" i="17"/>
  <c r="AH13" i="17"/>
  <c r="AF13" i="17"/>
  <c r="AE13" i="17"/>
  <c r="AD13" i="17"/>
  <c r="AB13" i="17"/>
  <c r="AA13" i="17"/>
  <c r="Z13" i="17"/>
  <c r="Y13" i="17"/>
  <c r="X13" i="17"/>
  <c r="W13" i="17"/>
  <c r="P13" i="17"/>
  <c r="O13" i="17"/>
  <c r="N13" i="17"/>
  <c r="AO13" i="17" s="1"/>
  <c r="M13" i="17"/>
  <c r="AI12" i="17"/>
  <c r="AH12" i="17"/>
  <c r="W12" i="17"/>
  <c r="AP11" i="17"/>
  <c r="AI11" i="17"/>
  <c r="AT11" i="17" s="1"/>
  <c r="AH11" i="17"/>
  <c r="AF11" i="17"/>
  <c r="AE11" i="17"/>
  <c r="AD11" i="17"/>
  <c r="AB11" i="17"/>
  <c r="AA11" i="17"/>
  <c r="Z11" i="17"/>
  <c r="Y11" i="17"/>
  <c r="X11" i="17"/>
  <c r="W11" i="17"/>
  <c r="P11" i="17"/>
  <c r="O11" i="17"/>
  <c r="N11" i="17"/>
  <c r="M11" i="17"/>
  <c r="AT10" i="17"/>
  <c r="AP10" i="17"/>
  <c r="AO10" i="17"/>
  <c r="AV10" i="17" s="1"/>
  <c r="AI10" i="17"/>
  <c r="AN10" i="17" s="1"/>
  <c r="AH10" i="17"/>
  <c r="AF10" i="17"/>
  <c r="AE10" i="17"/>
  <c r="AC10" i="17"/>
  <c r="AA10" i="17"/>
  <c r="Z10" i="17"/>
  <c r="Y10" i="17"/>
  <c r="X10" i="17"/>
  <c r="W10" i="17"/>
  <c r="P10" i="17"/>
  <c r="O10" i="17"/>
  <c r="AD10" i="17" s="1"/>
  <c r="N10" i="17"/>
  <c r="M10" i="17"/>
  <c r="AR10" i="17" s="1"/>
  <c r="AR9" i="17"/>
  <c r="AP9" i="17"/>
  <c r="AI9" i="17"/>
  <c r="AH9" i="17"/>
  <c r="AF9" i="17"/>
  <c r="AE9" i="17"/>
  <c r="AD9" i="17"/>
  <c r="AB9" i="17"/>
  <c r="AA9" i="17"/>
  <c r="Z9" i="17"/>
  <c r="Y9" i="17"/>
  <c r="X9" i="17"/>
  <c r="W9" i="17"/>
  <c r="P9" i="17"/>
  <c r="O9" i="17"/>
  <c r="N9" i="17"/>
  <c r="AO9" i="17" s="1"/>
  <c r="M9" i="17"/>
  <c r="AI8" i="17"/>
  <c r="AH8" i="17"/>
  <c r="W8" i="17"/>
  <c r="AR7" i="17"/>
  <c r="AP7" i="17"/>
  <c r="AI7" i="17"/>
  <c r="AT7" i="17" s="1"/>
  <c r="AH7" i="17"/>
  <c r="AF7" i="17"/>
  <c r="AE7" i="17"/>
  <c r="AD7" i="17"/>
  <c r="AB7" i="17"/>
  <c r="AA7" i="17"/>
  <c r="Z7" i="17"/>
  <c r="Y7" i="17"/>
  <c r="X7" i="17"/>
  <c r="W7" i="17"/>
  <c r="P7" i="17"/>
  <c r="O7" i="17"/>
  <c r="AQ7" i="17" s="1"/>
  <c r="N7" i="17"/>
  <c r="M7" i="17"/>
  <c r="AT6" i="17"/>
  <c r="AI6" i="17"/>
  <c r="AN6" i="17" s="1"/>
  <c r="AH6" i="17"/>
  <c r="AF6" i="17"/>
  <c r="AE6" i="17"/>
  <c r="AC6" i="17"/>
  <c r="AA6" i="17"/>
  <c r="Z6" i="17"/>
  <c r="Y6" i="17"/>
  <c r="X6" i="17"/>
  <c r="W6" i="17"/>
  <c r="P6" i="17"/>
  <c r="O6" i="17"/>
  <c r="AD6" i="17" s="1"/>
  <c r="N6" i="17"/>
  <c r="M6" i="17"/>
  <c r="AR6" i="17" s="1"/>
  <c r="AI5" i="17"/>
  <c r="AH5" i="17"/>
  <c r="W5" i="17"/>
  <c r="AI4" i="17"/>
  <c r="AR3" i="17"/>
  <c r="AP3" i="17"/>
  <c r="AI3" i="17"/>
  <c r="AH3" i="17"/>
  <c r="AN2" i="17"/>
  <c r="AN24" i="17" s="1"/>
  <c r="AM2" i="17"/>
  <c r="AL2" i="17"/>
  <c r="AK2" i="17"/>
  <c r="AJ2" i="17"/>
  <c r="AA2" i="17"/>
  <c r="A2" i="17"/>
  <c r="AU1" i="17"/>
  <c r="AU28" i="17" s="1"/>
  <c r="AR1" i="17"/>
  <c r="AR27" i="17" s="1"/>
  <c r="AQ1" i="17"/>
  <c r="AQ3" i="17" s="1"/>
  <c r="AP1" i="17"/>
  <c r="AP26" i="17" s="1"/>
  <c r="AO1" i="17"/>
  <c r="AO26" i="17" s="1"/>
  <c r="AA1" i="17"/>
  <c r="A1" i="17"/>
  <c r="AI34" i="16"/>
  <c r="AT34" i="16" s="1"/>
  <c r="AH34" i="16"/>
  <c r="AF34" i="16"/>
  <c r="AE34" i="16"/>
  <c r="AD34" i="16"/>
  <c r="AB34" i="16"/>
  <c r="AA34" i="16"/>
  <c r="Z34" i="16"/>
  <c r="Y34" i="16"/>
  <c r="X34" i="16"/>
  <c r="W34" i="16"/>
  <c r="P34" i="16"/>
  <c r="O34" i="16"/>
  <c r="AQ34" i="16" s="1"/>
  <c r="N34" i="16"/>
  <c r="M34" i="16"/>
  <c r="AT33" i="16"/>
  <c r="AI33" i="16"/>
  <c r="AH33" i="16"/>
  <c r="AF33" i="16"/>
  <c r="AE33" i="16"/>
  <c r="AC33" i="16"/>
  <c r="AA33" i="16"/>
  <c r="Z33" i="16"/>
  <c r="Y33" i="16"/>
  <c r="X33" i="16"/>
  <c r="W33" i="16"/>
  <c r="P33" i="16"/>
  <c r="O33" i="16"/>
  <c r="AD33" i="16" s="1"/>
  <c r="N33" i="16"/>
  <c r="M33" i="16"/>
  <c r="AR33" i="16" s="1"/>
  <c r="AI32" i="16"/>
  <c r="AH32" i="16"/>
  <c r="AF32" i="16"/>
  <c r="AE32" i="16"/>
  <c r="AD32" i="16"/>
  <c r="AB32" i="16"/>
  <c r="AA32" i="16"/>
  <c r="Z32" i="16"/>
  <c r="Y32" i="16"/>
  <c r="X32" i="16"/>
  <c r="W32" i="16"/>
  <c r="P32" i="16"/>
  <c r="O32" i="16"/>
  <c r="N32" i="16"/>
  <c r="M32" i="16"/>
  <c r="AT31" i="16"/>
  <c r="AJ31" i="16"/>
  <c r="AI31" i="16"/>
  <c r="AH31" i="16"/>
  <c r="AF31" i="16"/>
  <c r="AE31" i="16"/>
  <c r="AC31" i="16"/>
  <c r="AA31" i="16"/>
  <c r="Z31" i="16"/>
  <c r="Y31" i="16"/>
  <c r="X31" i="16"/>
  <c r="W31" i="16"/>
  <c r="P31" i="16"/>
  <c r="O31" i="16"/>
  <c r="AQ31" i="16" s="1"/>
  <c r="N31" i="16"/>
  <c r="M31" i="16"/>
  <c r="AI30" i="16"/>
  <c r="AT30" i="16" s="1"/>
  <c r="AH30" i="16"/>
  <c r="AF30" i="16"/>
  <c r="AE30" i="16"/>
  <c r="AD30" i="16"/>
  <c r="AB30" i="16"/>
  <c r="AA30" i="16"/>
  <c r="Z30" i="16"/>
  <c r="Y30" i="16"/>
  <c r="X30" i="16"/>
  <c r="W30" i="16"/>
  <c r="P30" i="16"/>
  <c r="O30" i="16"/>
  <c r="N30" i="16"/>
  <c r="AC30" i="16" s="1"/>
  <c r="M30" i="16"/>
  <c r="AI29" i="16"/>
  <c r="AH29" i="16"/>
  <c r="W29" i="16"/>
  <c r="AP28" i="16"/>
  <c r="AI28" i="16"/>
  <c r="AH28" i="16"/>
  <c r="AF28" i="16"/>
  <c r="AE28" i="16"/>
  <c r="AD28" i="16"/>
  <c r="AB28" i="16"/>
  <c r="AA28" i="16"/>
  <c r="Z28" i="16"/>
  <c r="Y28" i="16"/>
  <c r="X28" i="16"/>
  <c r="W28" i="16"/>
  <c r="P28" i="16"/>
  <c r="O28" i="16"/>
  <c r="N28" i="16"/>
  <c r="M28" i="16"/>
  <c r="AT27" i="16"/>
  <c r="AJ27" i="16"/>
  <c r="AI27" i="16"/>
  <c r="AH27" i="16"/>
  <c r="AF27" i="16"/>
  <c r="AE27" i="16"/>
  <c r="AC27" i="16"/>
  <c r="AA27" i="16"/>
  <c r="Z27" i="16"/>
  <c r="Y27" i="16"/>
  <c r="X27" i="16"/>
  <c r="W27" i="16"/>
  <c r="P27" i="16"/>
  <c r="O27" i="16"/>
  <c r="N27" i="16"/>
  <c r="M27" i="16"/>
  <c r="AN26" i="16"/>
  <c r="AI26" i="16"/>
  <c r="AH26" i="16"/>
  <c r="AF26" i="16"/>
  <c r="AE26" i="16"/>
  <c r="AD26" i="16"/>
  <c r="AB26" i="16"/>
  <c r="AA26" i="16"/>
  <c r="Z26" i="16"/>
  <c r="Y26" i="16"/>
  <c r="X26" i="16"/>
  <c r="W26" i="16"/>
  <c r="P26" i="16"/>
  <c r="O26" i="16"/>
  <c r="N26" i="16"/>
  <c r="M26" i="16"/>
  <c r="AT25" i="16"/>
  <c r="AQ25" i="16"/>
  <c r="AI25" i="16"/>
  <c r="AH25" i="16"/>
  <c r="AF25" i="16"/>
  <c r="AE25" i="16"/>
  <c r="AC25" i="16"/>
  <c r="AA25" i="16"/>
  <c r="Z25" i="16"/>
  <c r="Y25" i="16"/>
  <c r="X25" i="16"/>
  <c r="W25" i="16"/>
  <c r="P25" i="16"/>
  <c r="O25" i="16"/>
  <c r="AD25" i="16" s="1"/>
  <c r="N25" i="16"/>
  <c r="M25" i="16"/>
  <c r="AR24" i="16"/>
  <c r="AI24" i="16"/>
  <c r="AH24" i="16"/>
  <c r="AF24" i="16"/>
  <c r="AE24" i="16"/>
  <c r="AD24" i="16"/>
  <c r="AB24" i="16"/>
  <c r="AA24" i="16"/>
  <c r="Z24" i="16"/>
  <c r="Y24" i="16"/>
  <c r="X24" i="16"/>
  <c r="W24" i="16"/>
  <c r="P24" i="16"/>
  <c r="O24" i="16"/>
  <c r="N24" i="16"/>
  <c r="M24" i="16"/>
  <c r="AI23" i="16"/>
  <c r="AH23" i="16"/>
  <c r="W23" i="16"/>
  <c r="AN22" i="16"/>
  <c r="AI22" i="16"/>
  <c r="AH22" i="16"/>
  <c r="AF22" i="16"/>
  <c r="AE22" i="16"/>
  <c r="AD22" i="16"/>
  <c r="AB22" i="16"/>
  <c r="AA22" i="16"/>
  <c r="Z22" i="16"/>
  <c r="Y22" i="16"/>
  <c r="X22" i="16"/>
  <c r="W22" i="16"/>
  <c r="P22" i="16"/>
  <c r="O22" i="16"/>
  <c r="N22" i="16"/>
  <c r="M22" i="16"/>
  <c r="AT21" i="16"/>
  <c r="AQ21" i="16"/>
  <c r="AI21" i="16"/>
  <c r="AH21" i="16"/>
  <c r="AF21" i="16"/>
  <c r="AE21" i="16"/>
  <c r="AC21" i="16"/>
  <c r="AA21" i="16"/>
  <c r="Z21" i="16"/>
  <c r="Y21" i="16"/>
  <c r="X21" i="16"/>
  <c r="W21" i="16"/>
  <c r="P21" i="16"/>
  <c r="O21" i="16"/>
  <c r="AD21" i="16" s="1"/>
  <c r="N21" i="16"/>
  <c r="M21" i="16"/>
  <c r="AR20" i="16"/>
  <c r="AI20" i="16"/>
  <c r="AH20" i="16"/>
  <c r="AF20" i="16"/>
  <c r="AE20" i="16"/>
  <c r="AB20" i="16"/>
  <c r="AA20" i="16"/>
  <c r="Z20" i="16"/>
  <c r="Y20" i="16"/>
  <c r="X20" i="16"/>
  <c r="W20" i="16"/>
  <c r="P20" i="16"/>
  <c r="O20" i="16"/>
  <c r="AQ20" i="16" s="1"/>
  <c r="N20" i="16"/>
  <c r="M20" i="16"/>
  <c r="AT19" i="16"/>
  <c r="AJ19" i="16"/>
  <c r="AI19" i="16"/>
  <c r="AH19" i="16"/>
  <c r="AF19" i="16"/>
  <c r="AE19" i="16"/>
  <c r="AC19" i="16"/>
  <c r="AB19" i="16"/>
  <c r="AA19" i="16"/>
  <c r="Z19" i="16"/>
  <c r="Y19" i="16"/>
  <c r="X19" i="16"/>
  <c r="W19" i="16"/>
  <c r="P19" i="16"/>
  <c r="O19" i="16"/>
  <c r="AD19" i="16" s="1"/>
  <c r="N19" i="16"/>
  <c r="M19" i="16"/>
  <c r="AR19" i="16" s="1"/>
  <c r="AR18" i="16"/>
  <c r="AI18" i="16"/>
  <c r="AN18" i="16" s="1"/>
  <c r="AH18" i="16"/>
  <c r="AF18" i="16"/>
  <c r="AE18" i="16"/>
  <c r="AC18" i="16"/>
  <c r="AB18" i="16"/>
  <c r="AA18" i="16"/>
  <c r="Z18" i="16"/>
  <c r="Y18" i="16"/>
  <c r="X18" i="16"/>
  <c r="W18" i="16"/>
  <c r="P18" i="16"/>
  <c r="O18" i="16"/>
  <c r="N18" i="16"/>
  <c r="M18" i="16"/>
  <c r="AR17" i="16"/>
  <c r="AI17" i="16"/>
  <c r="AH17" i="16"/>
  <c r="AF17" i="16"/>
  <c r="AE17" i="16"/>
  <c r="AD17" i="16"/>
  <c r="AC17" i="16"/>
  <c r="AB17" i="16"/>
  <c r="AA17" i="16"/>
  <c r="Z17" i="16"/>
  <c r="Y17" i="16"/>
  <c r="X17" i="16"/>
  <c r="W17" i="16"/>
  <c r="P17" i="16"/>
  <c r="O17" i="16"/>
  <c r="AQ17" i="16" s="1"/>
  <c r="N17" i="16"/>
  <c r="AO17" i="16" s="1"/>
  <c r="M17" i="16"/>
  <c r="AT16" i="16"/>
  <c r="AJ16" i="16"/>
  <c r="AI16" i="16"/>
  <c r="AH16" i="16"/>
  <c r="AF16" i="16"/>
  <c r="AE16" i="16"/>
  <c r="AC16" i="16"/>
  <c r="AA16" i="16"/>
  <c r="Z16" i="16"/>
  <c r="Y16" i="16"/>
  <c r="X16" i="16"/>
  <c r="W16" i="16"/>
  <c r="P16" i="16"/>
  <c r="O16" i="16"/>
  <c r="AQ16" i="16" s="1"/>
  <c r="N16" i="16"/>
  <c r="M16" i="16"/>
  <c r="AR16" i="16" s="1"/>
  <c r="AN15" i="16"/>
  <c r="AI15" i="16"/>
  <c r="AT15" i="16" s="1"/>
  <c r="AH15" i="16"/>
  <c r="AF15" i="16"/>
  <c r="AE15" i="16"/>
  <c r="AD15" i="16"/>
  <c r="AA15" i="16"/>
  <c r="Z15" i="16"/>
  <c r="Y15" i="16"/>
  <c r="X15" i="16"/>
  <c r="W15" i="16"/>
  <c r="P15" i="16"/>
  <c r="O15" i="16"/>
  <c r="AQ15" i="16" s="1"/>
  <c r="N15" i="16"/>
  <c r="AC15" i="16" s="1"/>
  <c r="M15" i="16"/>
  <c r="AR15" i="16" s="1"/>
  <c r="AI14" i="16"/>
  <c r="AH14" i="16"/>
  <c r="W14" i="16"/>
  <c r="AR13" i="16"/>
  <c r="AP13" i="16"/>
  <c r="AI13" i="16"/>
  <c r="AH13" i="16"/>
  <c r="AF13" i="16"/>
  <c r="AE13" i="16"/>
  <c r="AD13" i="16"/>
  <c r="AB13" i="16"/>
  <c r="AA13" i="16"/>
  <c r="Z13" i="16"/>
  <c r="Y13" i="16"/>
  <c r="X13" i="16"/>
  <c r="W13" i="16"/>
  <c r="P13" i="16"/>
  <c r="O13" i="16"/>
  <c r="AQ13" i="16" s="1"/>
  <c r="N13" i="16"/>
  <c r="AO13" i="16" s="1"/>
  <c r="AV13" i="16" s="1"/>
  <c r="M13" i="16"/>
  <c r="AT12" i="16"/>
  <c r="AP12" i="16"/>
  <c r="AO12" i="16"/>
  <c r="AV12" i="16" s="1"/>
  <c r="AJ12" i="16"/>
  <c r="AI12" i="16"/>
  <c r="AH12" i="16"/>
  <c r="AF12" i="16"/>
  <c r="AE12" i="16"/>
  <c r="AC12" i="16"/>
  <c r="AA12" i="16"/>
  <c r="Z12" i="16"/>
  <c r="Y12" i="16"/>
  <c r="X12" i="16"/>
  <c r="W12" i="16"/>
  <c r="P12" i="16"/>
  <c r="O12" i="16"/>
  <c r="AQ12" i="16" s="1"/>
  <c r="N12" i="16"/>
  <c r="M12" i="16"/>
  <c r="AR12" i="16" s="1"/>
  <c r="AR11" i="16"/>
  <c r="AN11" i="16"/>
  <c r="AI11" i="16"/>
  <c r="AT11" i="16" s="1"/>
  <c r="AH11" i="16"/>
  <c r="AF11" i="16"/>
  <c r="AE11" i="16"/>
  <c r="AD11" i="16"/>
  <c r="AB11" i="16"/>
  <c r="AA11" i="16"/>
  <c r="Z11" i="16"/>
  <c r="Y11" i="16"/>
  <c r="X11" i="16"/>
  <c r="W11" i="16"/>
  <c r="P11" i="16"/>
  <c r="O11" i="16"/>
  <c r="AQ11" i="16" s="1"/>
  <c r="N11" i="16"/>
  <c r="AC11" i="16" s="1"/>
  <c r="M11" i="16"/>
  <c r="AT10" i="16"/>
  <c r="AO10" i="16"/>
  <c r="AI10" i="16"/>
  <c r="AN10" i="16" s="1"/>
  <c r="AH10" i="16"/>
  <c r="AF10" i="16"/>
  <c r="AE10" i="16"/>
  <c r="AC10" i="16"/>
  <c r="AA10" i="16"/>
  <c r="Z10" i="16"/>
  <c r="Y10" i="16"/>
  <c r="X10" i="16"/>
  <c r="W10" i="16"/>
  <c r="P10" i="16"/>
  <c r="O10" i="16"/>
  <c r="AD10" i="16" s="1"/>
  <c r="N10" i="16"/>
  <c r="M10" i="16"/>
  <c r="AR9" i="16"/>
  <c r="AP9" i="16"/>
  <c r="AI9" i="16"/>
  <c r="AT9" i="16" s="1"/>
  <c r="AH9" i="16"/>
  <c r="AF9" i="16"/>
  <c r="AE9" i="16"/>
  <c r="AD9" i="16"/>
  <c r="AB9" i="16"/>
  <c r="AA9" i="16"/>
  <c r="Z9" i="16"/>
  <c r="Y9" i="16"/>
  <c r="X9" i="16"/>
  <c r="W9" i="16"/>
  <c r="P9" i="16"/>
  <c r="O9" i="16"/>
  <c r="AQ9" i="16" s="1"/>
  <c r="N9" i="16"/>
  <c r="M9" i="16"/>
  <c r="AQ8" i="16"/>
  <c r="AI8" i="16"/>
  <c r="AN8" i="16" s="1"/>
  <c r="AH8" i="16"/>
  <c r="AF8" i="16"/>
  <c r="AE8" i="16"/>
  <c r="AC8" i="16"/>
  <c r="AB8" i="16"/>
  <c r="AA8" i="16"/>
  <c r="Z8" i="16"/>
  <c r="Y8" i="16"/>
  <c r="X8" i="16"/>
  <c r="W8" i="16"/>
  <c r="P8" i="16"/>
  <c r="O8" i="16"/>
  <c r="AD8" i="16" s="1"/>
  <c r="N8" i="16"/>
  <c r="M8" i="16"/>
  <c r="AR8" i="16" s="1"/>
  <c r="AR7" i="16"/>
  <c r="AP7" i="16"/>
  <c r="AI7" i="16"/>
  <c r="AH7" i="16"/>
  <c r="AF7" i="16"/>
  <c r="AE7" i="16"/>
  <c r="AD7" i="16"/>
  <c r="AC7" i="16"/>
  <c r="AB7" i="16"/>
  <c r="AA7" i="16"/>
  <c r="Z7" i="16"/>
  <c r="Y7" i="16"/>
  <c r="X7" i="16"/>
  <c r="W7" i="16"/>
  <c r="P7" i="16"/>
  <c r="O7" i="16"/>
  <c r="AQ7" i="16" s="1"/>
  <c r="N7" i="16"/>
  <c r="AO7" i="16" s="1"/>
  <c r="M7" i="16"/>
  <c r="AT6" i="16"/>
  <c r="AN6" i="16"/>
  <c r="AJ6" i="16"/>
  <c r="AI6" i="16"/>
  <c r="AH6" i="16"/>
  <c r="AF6" i="16"/>
  <c r="AE6" i="16"/>
  <c r="AC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R3" i="16"/>
  <c r="AP3" i="16"/>
  <c r="AI3" i="16"/>
  <c r="AH3" i="16"/>
  <c r="AN2" i="16"/>
  <c r="AN16" i="16" s="1"/>
  <c r="AM2" i="16"/>
  <c r="AL2" i="16"/>
  <c r="AK2" i="16"/>
  <c r="AJ2" i="16"/>
  <c r="AJ33" i="16" s="1"/>
  <c r="AA2" i="16"/>
  <c r="A2" i="16"/>
  <c r="AU1" i="16"/>
  <c r="AR1" i="16"/>
  <c r="AR26" i="16" s="1"/>
  <c r="AQ1" i="16"/>
  <c r="AQ19" i="16" s="1"/>
  <c r="AP1" i="16"/>
  <c r="AP15" i="16" s="1"/>
  <c r="AO1" i="16"/>
  <c r="AO19" i="16" s="1"/>
  <c r="AH1" i="16"/>
  <c r="AH2" i="16" s="1"/>
  <c r="AA1" i="16"/>
  <c r="A1" i="16"/>
  <c r="AJ1" i="16" s="1"/>
  <c r="AU8" i="15"/>
  <c r="AR8" i="15"/>
  <c r="AP8" i="15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AO8" i="15" s="1"/>
  <c r="AV8" i="15" s="1"/>
  <c r="M8" i="15"/>
  <c r="AU7" i="15"/>
  <c r="AT7" i="15"/>
  <c r="AP7" i="15"/>
  <c r="AO7" i="15"/>
  <c r="AV7" i="15" s="1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Q7" i="15" s="1"/>
  <c r="N7" i="15"/>
  <c r="M7" i="15"/>
  <c r="AR7" i="15" s="1"/>
  <c r="AU6" i="15"/>
  <c r="AP6" i="15"/>
  <c r="AO6" i="15"/>
  <c r="AV6" i="15" s="1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C6" i="15" s="1"/>
  <c r="M6" i="15"/>
  <c r="AI5" i="15"/>
  <c r="AH5" i="15"/>
  <c r="W5" i="15"/>
  <c r="AI4" i="15"/>
  <c r="AU3" i="15"/>
  <c r="AQ3" i="15"/>
  <c r="AO3" i="15"/>
  <c r="AI3" i="15"/>
  <c r="AH3" i="15"/>
  <c r="AN2" i="15"/>
  <c r="AN7" i="15" s="1"/>
  <c r="AM2" i="15"/>
  <c r="AL2" i="15"/>
  <c r="AK2" i="15"/>
  <c r="AJ2" i="15"/>
  <c r="AA2" i="15"/>
  <c r="A2" i="15"/>
  <c r="AU1" i="15"/>
  <c r="AR1" i="15"/>
  <c r="AR6" i="15" s="1"/>
  <c r="AQ1" i="15"/>
  <c r="AP1" i="15"/>
  <c r="AP3" i="15" s="1"/>
  <c r="AO1" i="15"/>
  <c r="AJ1" i="15"/>
  <c r="AA1" i="15"/>
  <c r="A1" i="15"/>
  <c r="AH1" i="15" s="1"/>
  <c r="AH2" i="15" s="1"/>
  <c r="AT10" i="14"/>
  <c r="AP10" i="14"/>
  <c r="AO10" i="14"/>
  <c r="AV10" i="14" s="1"/>
  <c r="AI10" i="14"/>
  <c r="AH10" i="14"/>
  <c r="AF10" i="14"/>
  <c r="AE10" i="14"/>
  <c r="AC10" i="14"/>
  <c r="AA10" i="14"/>
  <c r="Z10" i="14"/>
  <c r="Y10" i="14"/>
  <c r="X10" i="14"/>
  <c r="W10" i="14"/>
  <c r="P10" i="14"/>
  <c r="O10" i="14"/>
  <c r="N10" i="14"/>
  <c r="M10" i="14"/>
  <c r="AU9" i="14"/>
  <c r="AP9" i="14"/>
  <c r="AN9" i="14"/>
  <c r="AI9" i="14"/>
  <c r="AT9" i="14" s="1"/>
  <c r="AH9" i="14"/>
  <c r="AF9" i="14"/>
  <c r="AE9" i="14"/>
  <c r="AD9" i="14"/>
  <c r="AB9" i="14"/>
  <c r="AA9" i="14"/>
  <c r="Z9" i="14"/>
  <c r="Y9" i="14"/>
  <c r="X9" i="14"/>
  <c r="W9" i="14"/>
  <c r="P9" i="14"/>
  <c r="O9" i="14"/>
  <c r="N9" i="14"/>
  <c r="AC9" i="14" s="1"/>
  <c r="M9" i="14"/>
  <c r="AT8" i="14"/>
  <c r="AP8" i="14"/>
  <c r="AI8" i="14"/>
  <c r="AN8" i="14" s="1"/>
  <c r="AH8" i="14"/>
  <c r="AF8" i="14"/>
  <c r="AE8" i="14"/>
  <c r="AC8" i="14"/>
  <c r="AA8" i="14"/>
  <c r="Z8" i="14"/>
  <c r="Y8" i="14"/>
  <c r="X8" i="14"/>
  <c r="W8" i="14"/>
  <c r="P8" i="14"/>
  <c r="O8" i="14"/>
  <c r="AD8" i="14" s="1"/>
  <c r="N8" i="14"/>
  <c r="M8" i="14"/>
  <c r="AU7" i="14"/>
  <c r="AP7" i="14"/>
  <c r="AI7" i="14"/>
  <c r="AT7" i="14" s="1"/>
  <c r="AH7" i="14"/>
  <c r="AF7" i="14"/>
  <c r="AE7" i="14"/>
  <c r="AD7" i="14"/>
  <c r="AB7" i="14"/>
  <c r="AA7" i="14"/>
  <c r="Z7" i="14"/>
  <c r="Y7" i="14"/>
  <c r="X7" i="14"/>
  <c r="W7" i="14"/>
  <c r="P7" i="14"/>
  <c r="O7" i="14"/>
  <c r="N7" i="14"/>
  <c r="M7" i="14"/>
  <c r="AQ6" i="14"/>
  <c r="AI6" i="14"/>
  <c r="AN6" i="14" s="1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P3" i="14"/>
  <c r="AI3" i="14"/>
  <c r="AH3" i="14"/>
  <c r="AN2" i="14"/>
  <c r="AN10" i="14" s="1"/>
  <c r="AM2" i="14"/>
  <c r="AL2" i="14"/>
  <c r="AK2" i="14"/>
  <c r="AJ2" i="14"/>
  <c r="AJ10" i="14" s="1"/>
  <c r="AA2" i="14"/>
  <c r="A2" i="14"/>
  <c r="AU1" i="14"/>
  <c r="AU8" i="14" s="1"/>
  <c r="AR1" i="14"/>
  <c r="AQ1" i="14"/>
  <c r="AQ3" i="14" s="1"/>
  <c r="AP1" i="14"/>
  <c r="AP6" i="14" s="1"/>
  <c r="AO1" i="14"/>
  <c r="AA1" i="14"/>
  <c r="A1" i="14"/>
  <c r="AI93" i="13"/>
  <c r="AH93" i="13"/>
  <c r="AF93" i="13"/>
  <c r="AE93" i="13"/>
  <c r="AD93" i="13"/>
  <c r="AB93" i="13"/>
  <c r="AA93" i="13"/>
  <c r="Z93" i="13"/>
  <c r="Y93" i="13"/>
  <c r="X93" i="13"/>
  <c r="W93" i="13"/>
  <c r="P93" i="13"/>
  <c r="O93" i="13"/>
  <c r="N93" i="13"/>
  <c r="M93" i="13"/>
  <c r="AT92" i="13"/>
  <c r="AI92" i="13"/>
  <c r="AH92" i="13"/>
  <c r="AF92" i="13"/>
  <c r="AE92" i="13"/>
  <c r="AC92" i="13"/>
  <c r="AA92" i="13"/>
  <c r="Z92" i="13"/>
  <c r="Y92" i="13"/>
  <c r="X92" i="13"/>
  <c r="W92" i="13"/>
  <c r="P92" i="13"/>
  <c r="O92" i="13"/>
  <c r="AD92" i="13" s="1"/>
  <c r="N92" i="13"/>
  <c r="M92" i="13"/>
  <c r="AB92" i="13" s="1"/>
  <c r="AT91" i="13"/>
  <c r="AI91" i="13"/>
  <c r="AH91" i="13"/>
  <c r="AF91" i="13"/>
  <c r="AE91" i="13"/>
  <c r="AD91" i="13"/>
  <c r="AC91" i="13"/>
  <c r="AB91" i="13"/>
  <c r="AA91" i="13"/>
  <c r="Z91" i="13"/>
  <c r="Y91" i="13"/>
  <c r="X91" i="13"/>
  <c r="W91" i="13"/>
  <c r="P91" i="13"/>
  <c r="O91" i="13"/>
  <c r="N91" i="13"/>
  <c r="M91" i="13"/>
  <c r="AT90" i="13"/>
  <c r="AI90" i="13"/>
  <c r="AH90" i="13"/>
  <c r="AF90" i="13"/>
  <c r="AE90" i="13"/>
  <c r="AC90" i="13"/>
  <c r="AA90" i="13"/>
  <c r="Z90" i="13"/>
  <c r="Y90" i="13"/>
  <c r="X90" i="13"/>
  <c r="W90" i="13"/>
  <c r="P90" i="13"/>
  <c r="O90" i="13"/>
  <c r="N90" i="13"/>
  <c r="M90" i="13"/>
  <c r="AI89" i="13"/>
  <c r="AH89" i="13"/>
  <c r="AF89" i="13"/>
  <c r="AE89" i="13"/>
  <c r="AA89" i="13"/>
  <c r="Z89" i="13"/>
  <c r="Y89" i="13"/>
  <c r="X89" i="13"/>
  <c r="W89" i="13"/>
  <c r="P89" i="13"/>
  <c r="O89" i="13"/>
  <c r="N89" i="13"/>
  <c r="AC89" i="13" s="1"/>
  <c r="M89" i="13"/>
  <c r="AB89" i="13" s="1"/>
  <c r="AI88" i="13"/>
  <c r="AH88" i="13"/>
  <c r="W88" i="13"/>
  <c r="AI87" i="13"/>
  <c r="AH87" i="13"/>
  <c r="AF87" i="13"/>
  <c r="AE87" i="13"/>
  <c r="AD87" i="13"/>
  <c r="AC87" i="13"/>
  <c r="AA87" i="13"/>
  <c r="Z87" i="13"/>
  <c r="Y87" i="13"/>
  <c r="X87" i="13"/>
  <c r="W87" i="13"/>
  <c r="P87" i="13"/>
  <c r="O87" i="13"/>
  <c r="N87" i="13"/>
  <c r="M87" i="13"/>
  <c r="AB87" i="13" s="1"/>
  <c r="AT86" i="13"/>
  <c r="AI86" i="13"/>
  <c r="AH86" i="13"/>
  <c r="AF86" i="13"/>
  <c r="AE86" i="13"/>
  <c r="AA86" i="13"/>
  <c r="Z86" i="13"/>
  <c r="Y86" i="13"/>
  <c r="X86" i="13"/>
  <c r="W86" i="13"/>
  <c r="P86" i="13"/>
  <c r="O86" i="13"/>
  <c r="AD86" i="13" s="1"/>
  <c r="N86" i="13"/>
  <c r="M86" i="13"/>
  <c r="AP85" i="13"/>
  <c r="AI85" i="13"/>
  <c r="AH85" i="13"/>
  <c r="AF85" i="13"/>
  <c r="AE85" i="13"/>
  <c r="AA85" i="13"/>
  <c r="Z85" i="13"/>
  <c r="Y85" i="13"/>
  <c r="X85" i="13"/>
  <c r="W85" i="13"/>
  <c r="P85" i="13"/>
  <c r="O85" i="13"/>
  <c r="AD85" i="13" s="1"/>
  <c r="N85" i="13"/>
  <c r="AC85" i="13" s="1"/>
  <c r="M85" i="13"/>
  <c r="AB85" i="13" s="1"/>
  <c r="AI84" i="13"/>
  <c r="AH84" i="13"/>
  <c r="AF84" i="13"/>
  <c r="AE84" i="13"/>
  <c r="AC84" i="13"/>
  <c r="AB84" i="13"/>
  <c r="AA84" i="13"/>
  <c r="Z84" i="13"/>
  <c r="Y84" i="13"/>
  <c r="X84" i="13"/>
  <c r="W84" i="13"/>
  <c r="P84" i="13"/>
  <c r="O84" i="13"/>
  <c r="AD84" i="13" s="1"/>
  <c r="N84" i="13"/>
  <c r="M84" i="13"/>
  <c r="AI83" i="13"/>
  <c r="AH83" i="13"/>
  <c r="AF83" i="13"/>
  <c r="AE83" i="13"/>
  <c r="AC83" i="13"/>
  <c r="AB83" i="13"/>
  <c r="AA83" i="13"/>
  <c r="Z83" i="13"/>
  <c r="Y83" i="13"/>
  <c r="X83" i="13"/>
  <c r="W83" i="13"/>
  <c r="P83" i="13"/>
  <c r="O83" i="13"/>
  <c r="N83" i="13"/>
  <c r="M83" i="13"/>
  <c r="AI82" i="13"/>
  <c r="AH82" i="13"/>
  <c r="W82" i="13"/>
  <c r="AI81" i="13"/>
  <c r="AH81" i="13"/>
  <c r="AF81" i="13"/>
  <c r="AE81" i="13"/>
  <c r="AD81" i="13"/>
  <c r="AB81" i="13"/>
  <c r="AA81" i="13"/>
  <c r="Z81" i="13"/>
  <c r="Y81" i="13"/>
  <c r="X81" i="13"/>
  <c r="W81" i="13"/>
  <c r="P81" i="13"/>
  <c r="O81" i="13"/>
  <c r="N81" i="13"/>
  <c r="AC81" i="13" s="1"/>
  <c r="M81" i="13"/>
  <c r="AI80" i="13"/>
  <c r="AH80" i="13"/>
  <c r="AF80" i="13"/>
  <c r="AE80" i="13"/>
  <c r="AB80" i="13"/>
  <c r="AA80" i="13"/>
  <c r="Z80" i="13"/>
  <c r="Y80" i="13"/>
  <c r="X80" i="13"/>
  <c r="W80" i="13"/>
  <c r="P80" i="13"/>
  <c r="O80" i="13"/>
  <c r="AD80" i="13" s="1"/>
  <c r="N80" i="13"/>
  <c r="M80" i="13"/>
  <c r="AP79" i="13"/>
  <c r="AO79" i="13"/>
  <c r="AV79" i="13" s="1"/>
  <c r="AI79" i="13"/>
  <c r="AH79" i="13"/>
  <c r="AF79" i="13"/>
  <c r="AE79" i="13"/>
  <c r="AB79" i="13"/>
  <c r="AA79" i="13"/>
  <c r="Z79" i="13"/>
  <c r="Y79" i="13"/>
  <c r="X79" i="13"/>
  <c r="W79" i="13"/>
  <c r="P79" i="13"/>
  <c r="O79" i="13"/>
  <c r="AD79" i="13" s="1"/>
  <c r="N79" i="13"/>
  <c r="AC79" i="13" s="1"/>
  <c r="M79" i="13"/>
  <c r="AR78" i="13"/>
  <c r="AP78" i="13"/>
  <c r="AI78" i="13"/>
  <c r="AH78" i="13"/>
  <c r="AF78" i="13"/>
  <c r="AE78" i="13"/>
  <c r="AB78" i="13"/>
  <c r="AA78" i="13"/>
  <c r="Z78" i="13"/>
  <c r="Y78" i="13"/>
  <c r="X78" i="13"/>
  <c r="W78" i="13"/>
  <c r="P78" i="13"/>
  <c r="O78" i="13"/>
  <c r="N78" i="13"/>
  <c r="AO78" i="13" s="1"/>
  <c r="AV78" i="13" s="1"/>
  <c r="M78" i="13"/>
  <c r="AI77" i="13"/>
  <c r="AH77" i="13"/>
  <c r="W77" i="13"/>
  <c r="AT76" i="13"/>
  <c r="AI76" i="13"/>
  <c r="AH76" i="13"/>
  <c r="AF76" i="13"/>
  <c r="AE76" i="13"/>
  <c r="AA76" i="13"/>
  <c r="Z76" i="13"/>
  <c r="Y76" i="13"/>
  <c r="X76" i="13"/>
  <c r="W76" i="13"/>
  <c r="P76" i="13"/>
  <c r="O76" i="13"/>
  <c r="AD76" i="13" s="1"/>
  <c r="N76" i="13"/>
  <c r="M76" i="13"/>
  <c r="AI75" i="13"/>
  <c r="AH75" i="13"/>
  <c r="AF75" i="13"/>
  <c r="AE75" i="13"/>
  <c r="AA75" i="13"/>
  <c r="Z75" i="13"/>
  <c r="Y75" i="13"/>
  <c r="X75" i="13"/>
  <c r="W75" i="13"/>
  <c r="P75" i="13"/>
  <c r="O75" i="13"/>
  <c r="AD75" i="13" s="1"/>
  <c r="N75" i="13"/>
  <c r="AC75" i="13" s="1"/>
  <c r="M75" i="13"/>
  <c r="AR74" i="13"/>
  <c r="AI74" i="13"/>
  <c r="AH74" i="13"/>
  <c r="AF74" i="13"/>
  <c r="AE74" i="13"/>
  <c r="AB74" i="13"/>
  <c r="AA74" i="13"/>
  <c r="Z74" i="13"/>
  <c r="Y74" i="13"/>
  <c r="X74" i="13"/>
  <c r="W74" i="13"/>
  <c r="P74" i="13"/>
  <c r="O74" i="13"/>
  <c r="N74" i="13"/>
  <c r="M74" i="13"/>
  <c r="AI73" i="13"/>
  <c r="AH73" i="13"/>
  <c r="W73" i="13"/>
  <c r="AT72" i="13"/>
  <c r="AI72" i="13"/>
  <c r="AH72" i="13"/>
  <c r="AF72" i="13"/>
  <c r="AE72" i="13"/>
  <c r="AA72" i="13"/>
  <c r="Z72" i="13"/>
  <c r="Y72" i="13"/>
  <c r="X72" i="13"/>
  <c r="W72" i="13"/>
  <c r="P72" i="13"/>
  <c r="O72" i="13"/>
  <c r="AD72" i="13" s="1"/>
  <c r="N72" i="13"/>
  <c r="M72" i="13"/>
  <c r="AI71" i="13"/>
  <c r="AH71" i="13"/>
  <c r="AF71" i="13"/>
  <c r="AE71" i="13"/>
  <c r="AA71" i="13"/>
  <c r="Z71" i="13"/>
  <c r="Y71" i="13"/>
  <c r="X71" i="13"/>
  <c r="W71" i="13"/>
  <c r="P71" i="13"/>
  <c r="O71" i="13"/>
  <c r="AD71" i="13" s="1"/>
  <c r="N71" i="13"/>
  <c r="AC71" i="13" s="1"/>
  <c r="M71" i="13"/>
  <c r="AP70" i="13"/>
  <c r="AI70" i="13"/>
  <c r="AH70" i="13"/>
  <c r="AF70" i="13"/>
  <c r="AE70" i="13"/>
  <c r="AB70" i="13"/>
  <c r="AA70" i="13"/>
  <c r="Z70" i="13"/>
  <c r="Y70" i="13"/>
  <c r="X70" i="13"/>
  <c r="W70" i="13"/>
  <c r="P70" i="13"/>
  <c r="O70" i="13"/>
  <c r="N70" i="13"/>
  <c r="AO70" i="13" s="1"/>
  <c r="AV70" i="13" s="1"/>
  <c r="M70" i="13"/>
  <c r="AI69" i="13"/>
  <c r="AH69" i="13"/>
  <c r="W69" i="13"/>
  <c r="AT68" i="13"/>
  <c r="AI68" i="13"/>
  <c r="AH68" i="13"/>
  <c r="AF68" i="13"/>
  <c r="AE68" i="13"/>
  <c r="AD68" i="13"/>
  <c r="AA68" i="13"/>
  <c r="Z68" i="13"/>
  <c r="Y68" i="13"/>
  <c r="X68" i="13"/>
  <c r="W68" i="13"/>
  <c r="P68" i="13"/>
  <c r="O68" i="13"/>
  <c r="N68" i="13"/>
  <c r="M68" i="13"/>
  <c r="AI67" i="13"/>
  <c r="AH67" i="13"/>
  <c r="AF67" i="13"/>
  <c r="AE67" i="13"/>
  <c r="AA67" i="13"/>
  <c r="Z67" i="13"/>
  <c r="Y67" i="13"/>
  <c r="X67" i="13"/>
  <c r="W67" i="13"/>
  <c r="P67" i="13"/>
  <c r="O67" i="13"/>
  <c r="AD67" i="13" s="1"/>
  <c r="N67" i="13"/>
  <c r="AC67" i="13" s="1"/>
  <c r="M67" i="13"/>
  <c r="AR66" i="13"/>
  <c r="AI66" i="13"/>
  <c r="AH66" i="13"/>
  <c r="AF66" i="13"/>
  <c r="AE66" i="13"/>
  <c r="AB66" i="13"/>
  <c r="AA66" i="13"/>
  <c r="Z66" i="13"/>
  <c r="Y66" i="13"/>
  <c r="X66" i="13"/>
  <c r="W66" i="13"/>
  <c r="P66" i="13"/>
  <c r="O66" i="13"/>
  <c r="AQ66" i="13" s="1"/>
  <c r="N66" i="13"/>
  <c r="M66" i="13"/>
  <c r="AI65" i="13"/>
  <c r="AH65" i="13"/>
  <c r="W65" i="13"/>
  <c r="AT64" i="13"/>
  <c r="AI64" i="13"/>
  <c r="AH64" i="13"/>
  <c r="AF64" i="13"/>
  <c r="AE64" i="13"/>
  <c r="AD64" i="13"/>
  <c r="AA64" i="13"/>
  <c r="Z64" i="13"/>
  <c r="Y64" i="13"/>
  <c r="X64" i="13"/>
  <c r="W64" i="13"/>
  <c r="P64" i="13"/>
  <c r="O64" i="13"/>
  <c r="N64" i="13"/>
  <c r="M64" i="13"/>
  <c r="AP63" i="13"/>
  <c r="AI63" i="13"/>
  <c r="AH63" i="13"/>
  <c r="AF63" i="13"/>
  <c r="AE63" i="13"/>
  <c r="AA63" i="13"/>
  <c r="Z63" i="13"/>
  <c r="Y63" i="13"/>
  <c r="X63" i="13"/>
  <c r="W63" i="13"/>
  <c r="P63" i="13"/>
  <c r="O63" i="13"/>
  <c r="AD63" i="13" s="1"/>
  <c r="N63" i="13"/>
  <c r="AO63" i="13" s="1"/>
  <c r="AV63" i="13" s="1"/>
  <c r="M63" i="13"/>
  <c r="AR63" i="13" s="1"/>
  <c r="AI62" i="13"/>
  <c r="AH62" i="13"/>
  <c r="AF62" i="13"/>
  <c r="AE62" i="13"/>
  <c r="AB62" i="13"/>
  <c r="AA62" i="13"/>
  <c r="Z62" i="13"/>
  <c r="Y62" i="13"/>
  <c r="X62" i="13"/>
  <c r="W62" i="13"/>
  <c r="P62" i="13"/>
  <c r="O62" i="13"/>
  <c r="N62" i="13"/>
  <c r="M62" i="13"/>
  <c r="AI61" i="13"/>
  <c r="AT61" i="13" s="1"/>
  <c r="AH61" i="13"/>
  <c r="AF61" i="13"/>
  <c r="AE61" i="13"/>
  <c r="AC61" i="13"/>
  <c r="AB61" i="13"/>
  <c r="AA61" i="13"/>
  <c r="Z61" i="13"/>
  <c r="Y61" i="13"/>
  <c r="X61" i="13"/>
  <c r="W61" i="13"/>
  <c r="P61" i="13"/>
  <c r="O61" i="13"/>
  <c r="AD61" i="13" s="1"/>
  <c r="N61" i="13"/>
  <c r="M61" i="13"/>
  <c r="AI60" i="13"/>
  <c r="AH60" i="13"/>
  <c r="W60" i="13"/>
  <c r="AI59" i="13"/>
  <c r="AH59" i="13"/>
  <c r="AF59" i="13"/>
  <c r="AE59" i="13"/>
  <c r="AA59" i="13"/>
  <c r="Z59" i="13"/>
  <c r="Y59" i="13"/>
  <c r="X59" i="13"/>
  <c r="W59" i="13"/>
  <c r="P59" i="13"/>
  <c r="O59" i="13"/>
  <c r="AD59" i="13" s="1"/>
  <c r="N59" i="13"/>
  <c r="AC59" i="13" s="1"/>
  <c r="M59" i="13"/>
  <c r="AT58" i="13"/>
  <c r="AP58" i="13"/>
  <c r="AI58" i="13"/>
  <c r="AH58" i="13"/>
  <c r="AF58" i="13"/>
  <c r="AE58" i="13"/>
  <c r="AB58" i="13"/>
  <c r="AA58" i="13"/>
  <c r="Z58" i="13"/>
  <c r="Y58" i="13"/>
  <c r="X58" i="13"/>
  <c r="W58" i="13"/>
  <c r="P58" i="13"/>
  <c r="O58" i="13"/>
  <c r="AD58" i="13" s="1"/>
  <c r="N58" i="13"/>
  <c r="M58" i="13"/>
  <c r="AT57" i="13"/>
  <c r="AI57" i="13"/>
  <c r="AH57" i="13"/>
  <c r="AF57" i="13"/>
  <c r="AE57" i="13"/>
  <c r="AD57" i="13"/>
  <c r="AC57" i="13"/>
  <c r="AB57" i="13"/>
  <c r="AA57" i="13"/>
  <c r="Z57" i="13"/>
  <c r="Y57" i="13"/>
  <c r="X57" i="13"/>
  <c r="W57" i="13"/>
  <c r="P57" i="13"/>
  <c r="O57" i="13"/>
  <c r="N57" i="13"/>
  <c r="M57" i="13"/>
  <c r="AI56" i="13"/>
  <c r="AH56" i="13"/>
  <c r="W56" i="13"/>
  <c r="AP55" i="13"/>
  <c r="AI55" i="13"/>
  <c r="AH55" i="13"/>
  <c r="AF55" i="13"/>
  <c r="AE55" i="13"/>
  <c r="AB55" i="13"/>
  <c r="AA55" i="13"/>
  <c r="Z55" i="13"/>
  <c r="Y55" i="13"/>
  <c r="X55" i="13"/>
  <c r="W55" i="13"/>
  <c r="P55" i="13"/>
  <c r="O55" i="13"/>
  <c r="AD55" i="13" s="1"/>
  <c r="N55" i="13"/>
  <c r="AC55" i="13" s="1"/>
  <c r="M55" i="13"/>
  <c r="AR55" i="13" s="1"/>
  <c r="AP54" i="13"/>
  <c r="AI54" i="13"/>
  <c r="AT54" i="13" s="1"/>
  <c r="AH54" i="13"/>
  <c r="AF54" i="13"/>
  <c r="AE54" i="13"/>
  <c r="AC54" i="13"/>
  <c r="AA54" i="13"/>
  <c r="Z54" i="13"/>
  <c r="Y54" i="13"/>
  <c r="X54" i="13"/>
  <c r="W54" i="13"/>
  <c r="P54" i="13"/>
  <c r="O54" i="13"/>
  <c r="AD54" i="13" s="1"/>
  <c r="N54" i="13"/>
  <c r="AO54" i="13" s="1"/>
  <c r="AV54" i="13" s="1"/>
  <c r="M54" i="13"/>
  <c r="AB54" i="13" s="1"/>
  <c r="AP53" i="13"/>
  <c r="AI53" i="13"/>
  <c r="AT53" i="13" s="1"/>
  <c r="AH53" i="13"/>
  <c r="AF53" i="13"/>
  <c r="AE53" i="13"/>
  <c r="AD53" i="13"/>
  <c r="AC53" i="13"/>
  <c r="AB53" i="13"/>
  <c r="AA53" i="13"/>
  <c r="Z53" i="13"/>
  <c r="Y53" i="13"/>
  <c r="X53" i="13"/>
  <c r="W53" i="13"/>
  <c r="P53" i="13"/>
  <c r="O53" i="13"/>
  <c r="N53" i="13"/>
  <c r="AO53" i="13" s="1"/>
  <c r="AV53" i="13" s="1"/>
  <c r="M53" i="13"/>
  <c r="AI52" i="13"/>
  <c r="AH52" i="13"/>
  <c r="W52" i="13"/>
  <c r="AP51" i="13"/>
  <c r="AO51" i="13"/>
  <c r="AV51" i="13" s="1"/>
  <c r="AI51" i="13"/>
  <c r="AH51" i="13"/>
  <c r="AF51" i="13"/>
  <c r="AE51" i="13"/>
  <c r="AA51" i="13"/>
  <c r="Z51" i="13"/>
  <c r="Y51" i="13"/>
  <c r="X51" i="13"/>
  <c r="W51" i="13"/>
  <c r="P51" i="13"/>
  <c r="O51" i="13"/>
  <c r="AD51" i="13" s="1"/>
  <c r="N51" i="13"/>
  <c r="AC51" i="13" s="1"/>
  <c r="M51" i="13"/>
  <c r="AB51" i="13" s="1"/>
  <c r="AI50" i="13"/>
  <c r="AH50" i="13"/>
  <c r="AF50" i="13"/>
  <c r="AE50" i="13"/>
  <c r="AC50" i="13"/>
  <c r="AB50" i="13"/>
  <c r="AA50" i="13"/>
  <c r="Z50" i="13"/>
  <c r="Y50" i="13"/>
  <c r="X50" i="13"/>
  <c r="W50" i="13"/>
  <c r="P50" i="13"/>
  <c r="O50" i="13"/>
  <c r="AD50" i="13" s="1"/>
  <c r="N50" i="13"/>
  <c r="M50" i="13"/>
  <c r="AR50" i="13" s="1"/>
  <c r="AT49" i="13"/>
  <c r="AJ49" i="13"/>
  <c r="AI49" i="13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N49" i="13"/>
  <c r="M49" i="13"/>
  <c r="AI48" i="13"/>
  <c r="AH48" i="13"/>
  <c r="W48" i="13"/>
  <c r="AP47" i="13"/>
  <c r="AI47" i="13"/>
  <c r="AH47" i="13"/>
  <c r="AF47" i="13"/>
  <c r="AE47" i="13"/>
  <c r="AB47" i="13"/>
  <c r="AA47" i="13"/>
  <c r="Z47" i="13"/>
  <c r="Y47" i="13"/>
  <c r="X47" i="13"/>
  <c r="W47" i="13"/>
  <c r="P47" i="13"/>
  <c r="O47" i="13"/>
  <c r="AD47" i="13" s="1"/>
  <c r="N47" i="13"/>
  <c r="AO47" i="13" s="1"/>
  <c r="AV47" i="13" s="1"/>
  <c r="M47" i="13"/>
  <c r="AR46" i="13"/>
  <c r="AP46" i="13"/>
  <c r="AO46" i="13"/>
  <c r="AV46" i="13" s="1"/>
  <c r="AI46" i="13"/>
  <c r="AH46" i="13"/>
  <c r="AF46" i="13"/>
  <c r="AE46" i="13"/>
  <c r="AC46" i="13"/>
  <c r="AB46" i="13"/>
  <c r="AA46" i="13"/>
  <c r="Z46" i="13"/>
  <c r="Y46" i="13"/>
  <c r="X46" i="13"/>
  <c r="W46" i="13"/>
  <c r="P46" i="13"/>
  <c r="O46" i="13"/>
  <c r="N46" i="13"/>
  <c r="M46" i="13"/>
  <c r="AI45" i="13"/>
  <c r="AH45" i="13"/>
  <c r="W45" i="13"/>
  <c r="AT44" i="13"/>
  <c r="AP44" i="13"/>
  <c r="AI44" i="13"/>
  <c r="AH44" i="13"/>
  <c r="AF44" i="13"/>
  <c r="AE44" i="13"/>
  <c r="AA44" i="13"/>
  <c r="Z44" i="13"/>
  <c r="Y44" i="13"/>
  <c r="X44" i="13"/>
  <c r="W44" i="13"/>
  <c r="P44" i="13"/>
  <c r="O44" i="13"/>
  <c r="AD44" i="13" s="1"/>
  <c r="N44" i="13"/>
  <c r="M44" i="13"/>
  <c r="AR44" i="13" s="1"/>
  <c r="AI43" i="13"/>
  <c r="AH43" i="13"/>
  <c r="AF43" i="13"/>
  <c r="AE43" i="13"/>
  <c r="AB43" i="13"/>
  <c r="AA43" i="13"/>
  <c r="Z43" i="13"/>
  <c r="Y43" i="13"/>
  <c r="X43" i="13"/>
  <c r="W43" i="13"/>
  <c r="P43" i="13"/>
  <c r="O43" i="13"/>
  <c r="AD43" i="13" s="1"/>
  <c r="N43" i="13"/>
  <c r="M43" i="13"/>
  <c r="AR42" i="13"/>
  <c r="AI42" i="13"/>
  <c r="AH42" i="13"/>
  <c r="AF42" i="13"/>
  <c r="AE42" i="13"/>
  <c r="AC42" i="13"/>
  <c r="AB42" i="13"/>
  <c r="AA42" i="13"/>
  <c r="Z42" i="13"/>
  <c r="Y42" i="13"/>
  <c r="X42" i="13"/>
  <c r="W42" i="13"/>
  <c r="P42" i="13"/>
  <c r="O42" i="13"/>
  <c r="N42" i="13"/>
  <c r="M42" i="13"/>
  <c r="AT41" i="13"/>
  <c r="AP41" i="13"/>
  <c r="AI41" i="13"/>
  <c r="AH41" i="13"/>
  <c r="AF41" i="13"/>
  <c r="AE41" i="13"/>
  <c r="AD41" i="13"/>
  <c r="AC41" i="13"/>
  <c r="AB41" i="13"/>
  <c r="AA41" i="13"/>
  <c r="Z41" i="13"/>
  <c r="Y41" i="13"/>
  <c r="X41" i="13"/>
  <c r="W41" i="13"/>
  <c r="P41" i="13"/>
  <c r="O41" i="13"/>
  <c r="N41" i="13"/>
  <c r="AO41" i="13" s="1"/>
  <c r="AV41" i="13" s="1"/>
  <c r="M41" i="13"/>
  <c r="AT40" i="13"/>
  <c r="AI40" i="13"/>
  <c r="AH40" i="13"/>
  <c r="AF40" i="13"/>
  <c r="AE40" i="13"/>
  <c r="AD40" i="13"/>
  <c r="AC40" i="13"/>
  <c r="AA40" i="13"/>
  <c r="Z40" i="13"/>
  <c r="Y40" i="13"/>
  <c r="X40" i="13"/>
  <c r="W40" i="13"/>
  <c r="P40" i="13"/>
  <c r="O40" i="13"/>
  <c r="N40" i="13"/>
  <c r="M40" i="13"/>
  <c r="AR40" i="13" s="1"/>
  <c r="AV39" i="13"/>
  <c r="AP39" i="13"/>
  <c r="AO39" i="13"/>
  <c r="AI39" i="13"/>
  <c r="AH39" i="13"/>
  <c r="AF39" i="13"/>
  <c r="AE39" i="13"/>
  <c r="AD39" i="13"/>
  <c r="AA39" i="13"/>
  <c r="Z39" i="13"/>
  <c r="Y39" i="13"/>
  <c r="X39" i="13"/>
  <c r="W39" i="13"/>
  <c r="P39" i="13"/>
  <c r="O39" i="13"/>
  <c r="N39" i="13"/>
  <c r="AC39" i="13" s="1"/>
  <c r="M39" i="13"/>
  <c r="AT38" i="13"/>
  <c r="AP38" i="13"/>
  <c r="AI38" i="13"/>
  <c r="AH38" i="13"/>
  <c r="AF38" i="13"/>
  <c r="AE38" i="13"/>
  <c r="AA38" i="13"/>
  <c r="Z38" i="13"/>
  <c r="Y38" i="13"/>
  <c r="X38" i="13"/>
  <c r="W38" i="13"/>
  <c r="P38" i="13"/>
  <c r="O38" i="13"/>
  <c r="AD38" i="13" s="1"/>
  <c r="N38" i="13"/>
  <c r="M38" i="13"/>
  <c r="AR38" i="13" s="1"/>
  <c r="AP37" i="13"/>
  <c r="AI37" i="13"/>
  <c r="AN37" i="13" s="1"/>
  <c r="AH37" i="13"/>
  <c r="AF37" i="13"/>
  <c r="AE37" i="13"/>
  <c r="AB37" i="13"/>
  <c r="AA37" i="13"/>
  <c r="Z37" i="13"/>
  <c r="Y37" i="13"/>
  <c r="X37" i="13"/>
  <c r="W37" i="13"/>
  <c r="P37" i="13"/>
  <c r="O37" i="13"/>
  <c r="AD37" i="13" s="1"/>
  <c r="N37" i="13"/>
  <c r="AO37" i="13" s="1"/>
  <c r="AV37" i="13" s="1"/>
  <c r="M37" i="13"/>
  <c r="AI36" i="13"/>
  <c r="AH36" i="13"/>
  <c r="W36" i="13"/>
  <c r="AP35" i="13"/>
  <c r="AO35" i="13"/>
  <c r="AV35" i="13" s="1"/>
  <c r="AI35" i="13"/>
  <c r="AH35" i="13"/>
  <c r="AF35" i="13"/>
  <c r="AE35" i="13"/>
  <c r="AD35" i="13"/>
  <c r="AA35" i="13"/>
  <c r="Z35" i="13"/>
  <c r="Y35" i="13"/>
  <c r="X35" i="13"/>
  <c r="W35" i="13"/>
  <c r="P35" i="13"/>
  <c r="O35" i="13"/>
  <c r="N35" i="13"/>
  <c r="AC35" i="13" s="1"/>
  <c r="M35" i="13"/>
  <c r="AT34" i="13"/>
  <c r="AP34" i="13"/>
  <c r="AI34" i="13"/>
  <c r="AH34" i="13"/>
  <c r="AF34" i="13"/>
  <c r="AE34" i="13"/>
  <c r="AA34" i="13"/>
  <c r="Z34" i="13"/>
  <c r="Y34" i="13"/>
  <c r="X34" i="13"/>
  <c r="W34" i="13"/>
  <c r="P34" i="13"/>
  <c r="O34" i="13"/>
  <c r="AD34" i="13" s="1"/>
  <c r="N34" i="13"/>
  <c r="M34" i="13"/>
  <c r="AR34" i="13" s="1"/>
  <c r="AP33" i="13"/>
  <c r="AI33" i="13"/>
  <c r="AH33" i="13"/>
  <c r="AF33" i="13"/>
  <c r="AE33" i="13"/>
  <c r="AB33" i="13"/>
  <c r="AA33" i="13"/>
  <c r="Z33" i="13"/>
  <c r="Y33" i="13"/>
  <c r="X33" i="13"/>
  <c r="W33" i="13"/>
  <c r="P33" i="13"/>
  <c r="O33" i="13"/>
  <c r="AD33" i="13" s="1"/>
  <c r="N33" i="13"/>
  <c r="AO33" i="13" s="1"/>
  <c r="AV33" i="13" s="1"/>
  <c r="M33" i="13"/>
  <c r="AR32" i="13"/>
  <c r="AP32" i="13"/>
  <c r="AO32" i="13"/>
  <c r="AV32" i="13" s="1"/>
  <c r="AI32" i="13"/>
  <c r="AH32" i="13"/>
  <c r="AF32" i="13"/>
  <c r="AE32" i="13"/>
  <c r="AC32" i="13"/>
  <c r="AB32" i="13"/>
  <c r="AA32" i="13"/>
  <c r="Z32" i="13"/>
  <c r="Y32" i="13"/>
  <c r="X32" i="13"/>
  <c r="W32" i="13"/>
  <c r="P32" i="13"/>
  <c r="O32" i="13"/>
  <c r="N32" i="13"/>
  <c r="M32" i="13"/>
  <c r="AT31" i="13"/>
  <c r="AP31" i="13"/>
  <c r="AI31" i="13"/>
  <c r="AH31" i="13"/>
  <c r="AF31" i="13"/>
  <c r="AE31" i="13"/>
  <c r="AD31" i="13"/>
  <c r="AC31" i="13"/>
  <c r="AB31" i="13"/>
  <c r="AA31" i="13"/>
  <c r="Z31" i="13"/>
  <c r="Y31" i="13"/>
  <c r="X31" i="13"/>
  <c r="W31" i="13"/>
  <c r="P31" i="13"/>
  <c r="O31" i="13"/>
  <c r="N31" i="13"/>
  <c r="AO31" i="13" s="1"/>
  <c r="AV31" i="13" s="1"/>
  <c r="M31" i="13"/>
  <c r="AI30" i="13"/>
  <c r="AH30" i="13"/>
  <c r="W30" i="13"/>
  <c r="AP29" i="13"/>
  <c r="AI29" i="13"/>
  <c r="AH29" i="13"/>
  <c r="AF29" i="13"/>
  <c r="AE29" i="13"/>
  <c r="AB29" i="13"/>
  <c r="AA29" i="13"/>
  <c r="Z29" i="13"/>
  <c r="Y29" i="13"/>
  <c r="X29" i="13"/>
  <c r="W29" i="13"/>
  <c r="P29" i="13"/>
  <c r="O29" i="13"/>
  <c r="AD29" i="13" s="1"/>
  <c r="N29" i="13"/>
  <c r="AO29" i="13" s="1"/>
  <c r="AV29" i="13" s="1"/>
  <c r="M29" i="13"/>
  <c r="AR28" i="13"/>
  <c r="AI28" i="13"/>
  <c r="AH28" i="13"/>
  <c r="AF28" i="13"/>
  <c r="AE28" i="13"/>
  <c r="AC28" i="13"/>
  <c r="AB28" i="13"/>
  <c r="AA28" i="13"/>
  <c r="Z28" i="13"/>
  <c r="Y28" i="13"/>
  <c r="X28" i="13"/>
  <c r="W28" i="13"/>
  <c r="P28" i="13"/>
  <c r="O28" i="13"/>
  <c r="N28" i="13"/>
  <c r="M28" i="13"/>
  <c r="AT27" i="13"/>
  <c r="AJ27" i="13"/>
  <c r="AI27" i="13"/>
  <c r="AH27" i="13"/>
  <c r="AF27" i="13"/>
  <c r="AE27" i="13"/>
  <c r="AD27" i="13"/>
  <c r="AC27" i="13"/>
  <c r="AB27" i="13"/>
  <c r="AA27" i="13"/>
  <c r="Z27" i="13"/>
  <c r="Y27" i="13"/>
  <c r="X27" i="13"/>
  <c r="W27" i="13"/>
  <c r="P27" i="13"/>
  <c r="O27" i="13"/>
  <c r="N27" i="13"/>
  <c r="M27" i="13"/>
  <c r="AT26" i="13"/>
  <c r="AI26" i="13"/>
  <c r="AH26" i="13"/>
  <c r="AF26" i="13"/>
  <c r="AE26" i="13"/>
  <c r="AD26" i="13"/>
  <c r="AC26" i="13"/>
  <c r="AA26" i="13"/>
  <c r="Z26" i="13"/>
  <c r="Y26" i="13"/>
  <c r="X26" i="13"/>
  <c r="W26" i="13"/>
  <c r="P26" i="13"/>
  <c r="O26" i="13"/>
  <c r="N26" i="13"/>
  <c r="M26" i="13"/>
  <c r="AR26" i="13" s="1"/>
  <c r="AO25" i="13"/>
  <c r="AI25" i="13"/>
  <c r="AH25" i="13"/>
  <c r="AF25" i="13"/>
  <c r="AE25" i="13"/>
  <c r="AD25" i="13"/>
  <c r="AA25" i="13"/>
  <c r="Z25" i="13"/>
  <c r="Y25" i="13"/>
  <c r="X25" i="13"/>
  <c r="W25" i="13"/>
  <c r="P25" i="13"/>
  <c r="O25" i="13"/>
  <c r="AQ25" i="13" s="1"/>
  <c r="N25" i="13"/>
  <c r="AC25" i="13" s="1"/>
  <c r="M25" i="13"/>
  <c r="AI24" i="13"/>
  <c r="AH24" i="13"/>
  <c r="W24" i="13"/>
  <c r="AT23" i="13"/>
  <c r="AP23" i="13"/>
  <c r="AI23" i="13"/>
  <c r="AH23" i="13"/>
  <c r="AF23" i="13"/>
  <c r="AE23" i="13"/>
  <c r="AD23" i="13"/>
  <c r="AC23" i="13"/>
  <c r="AB23" i="13"/>
  <c r="AA23" i="13"/>
  <c r="Z23" i="13"/>
  <c r="Y23" i="13"/>
  <c r="X23" i="13"/>
  <c r="W23" i="13"/>
  <c r="P23" i="13"/>
  <c r="O23" i="13"/>
  <c r="N23" i="13"/>
  <c r="AO23" i="13" s="1"/>
  <c r="AV23" i="13" s="1"/>
  <c r="M23" i="13"/>
  <c r="AT22" i="13"/>
  <c r="AP22" i="13"/>
  <c r="AO22" i="13"/>
  <c r="AV22" i="13" s="1"/>
  <c r="AI22" i="13"/>
  <c r="AH22" i="13"/>
  <c r="AF22" i="13"/>
  <c r="AE22" i="13"/>
  <c r="AD22" i="13"/>
  <c r="AC22" i="13"/>
  <c r="AA22" i="13"/>
  <c r="Z22" i="13"/>
  <c r="Y22" i="13"/>
  <c r="X22" i="13"/>
  <c r="W22" i="13"/>
  <c r="P22" i="13"/>
  <c r="O22" i="13"/>
  <c r="AQ22" i="13" s="1"/>
  <c r="N22" i="13"/>
  <c r="M22" i="13"/>
  <c r="AR22" i="13" s="1"/>
  <c r="AP21" i="13"/>
  <c r="AO21" i="13"/>
  <c r="AV21" i="13" s="1"/>
  <c r="AI21" i="13"/>
  <c r="AN21" i="13" s="1"/>
  <c r="AH21" i="13"/>
  <c r="AF21" i="13"/>
  <c r="AE21" i="13"/>
  <c r="AD21" i="13"/>
  <c r="AA21" i="13"/>
  <c r="Z21" i="13"/>
  <c r="Y21" i="13"/>
  <c r="X21" i="13"/>
  <c r="W21" i="13"/>
  <c r="P21" i="13"/>
  <c r="O21" i="13"/>
  <c r="N21" i="13"/>
  <c r="AC21" i="13" s="1"/>
  <c r="M21" i="13"/>
  <c r="AI20" i="13"/>
  <c r="AH20" i="13"/>
  <c r="W20" i="13"/>
  <c r="AT19" i="13"/>
  <c r="AJ19" i="13"/>
  <c r="AI19" i="13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N19" i="13"/>
  <c r="AO19" i="13" s="1"/>
  <c r="M19" i="13"/>
  <c r="AT18" i="13"/>
  <c r="AI18" i="13"/>
  <c r="AH18" i="13"/>
  <c r="AF18" i="13"/>
  <c r="AE18" i="13"/>
  <c r="AD18" i="13"/>
  <c r="AC18" i="13"/>
  <c r="AA18" i="13"/>
  <c r="Z18" i="13"/>
  <c r="Y18" i="13"/>
  <c r="X18" i="13"/>
  <c r="W18" i="13"/>
  <c r="P18" i="13"/>
  <c r="O18" i="13"/>
  <c r="N18" i="13"/>
  <c r="M18" i="13"/>
  <c r="AR18" i="13" s="1"/>
  <c r="AO17" i="13"/>
  <c r="AI17" i="13"/>
  <c r="AH17" i="13"/>
  <c r="AF17" i="13"/>
  <c r="AE17" i="13"/>
  <c r="AD17" i="13"/>
  <c r="AA17" i="13"/>
  <c r="Z17" i="13"/>
  <c r="Y17" i="13"/>
  <c r="X17" i="13"/>
  <c r="W17" i="13"/>
  <c r="P17" i="13"/>
  <c r="O17" i="13"/>
  <c r="AQ17" i="13" s="1"/>
  <c r="N17" i="13"/>
  <c r="AC17" i="13" s="1"/>
  <c r="M17" i="13"/>
  <c r="AT16" i="13"/>
  <c r="AP16" i="13"/>
  <c r="AI16" i="13"/>
  <c r="AH16" i="13"/>
  <c r="AF16" i="13"/>
  <c r="AE16" i="13"/>
  <c r="AA16" i="13"/>
  <c r="Z16" i="13"/>
  <c r="Y16" i="13"/>
  <c r="X16" i="13"/>
  <c r="W16" i="13"/>
  <c r="P16" i="13"/>
  <c r="O16" i="13"/>
  <c r="AD16" i="13" s="1"/>
  <c r="N16" i="13"/>
  <c r="M16" i="13"/>
  <c r="AR16" i="13" s="1"/>
  <c r="AI15" i="13"/>
  <c r="AH15" i="13"/>
  <c r="W15" i="13"/>
  <c r="AT14" i="13"/>
  <c r="AO14" i="13"/>
  <c r="AN14" i="13"/>
  <c r="AI14" i="13"/>
  <c r="AH14" i="13"/>
  <c r="AF14" i="13"/>
  <c r="AE14" i="13"/>
  <c r="AD14" i="13"/>
  <c r="AC14" i="13"/>
  <c r="AA14" i="13"/>
  <c r="Z14" i="13"/>
  <c r="Y14" i="13"/>
  <c r="X14" i="13"/>
  <c r="W14" i="13"/>
  <c r="P14" i="13"/>
  <c r="O14" i="13"/>
  <c r="N14" i="13"/>
  <c r="M14" i="13"/>
  <c r="AP13" i="13"/>
  <c r="AO13" i="13"/>
  <c r="AI13" i="13"/>
  <c r="AH13" i="13"/>
  <c r="AF13" i="13"/>
  <c r="AE13" i="13"/>
  <c r="AD13" i="13"/>
  <c r="AA13" i="13"/>
  <c r="Z13" i="13"/>
  <c r="Y13" i="13"/>
  <c r="X13" i="13"/>
  <c r="W13" i="13"/>
  <c r="P13" i="13"/>
  <c r="O13" i="13"/>
  <c r="AQ13" i="13" s="1"/>
  <c r="N13" i="13"/>
  <c r="AC13" i="13" s="1"/>
  <c r="M13" i="13"/>
  <c r="AT12" i="13"/>
  <c r="AP12" i="13"/>
  <c r="AJ12" i="13"/>
  <c r="AI12" i="13"/>
  <c r="AH12" i="13"/>
  <c r="AF12" i="13"/>
  <c r="AE12" i="13"/>
  <c r="AC12" i="13"/>
  <c r="AA12" i="13"/>
  <c r="Z12" i="13"/>
  <c r="Y12" i="13"/>
  <c r="X12" i="13"/>
  <c r="W12" i="13"/>
  <c r="P12" i="13"/>
  <c r="O12" i="13"/>
  <c r="N12" i="13"/>
  <c r="AO12" i="13" s="1"/>
  <c r="M12" i="13"/>
  <c r="AR12" i="13" s="1"/>
  <c r="AI11" i="13"/>
  <c r="AH11" i="13"/>
  <c r="W11" i="13"/>
  <c r="AV10" i="13"/>
  <c r="AT10" i="13"/>
  <c r="AP10" i="13"/>
  <c r="AO10" i="13"/>
  <c r="AN10" i="13"/>
  <c r="AI10" i="13"/>
  <c r="AH10" i="13"/>
  <c r="AF10" i="13"/>
  <c r="AE10" i="13"/>
  <c r="AC10" i="13"/>
  <c r="AA10" i="13"/>
  <c r="Z10" i="13"/>
  <c r="Y10" i="13"/>
  <c r="X10" i="13"/>
  <c r="W10" i="13"/>
  <c r="P10" i="13"/>
  <c r="O10" i="13"/>
  <c r="AQ10" i="13" s="1"/>
  <c r="N10" i="13"/>
  <c r="M10" i="13"/>
  <c r="AI9" i="13"/>
  <c r="AH9" i="13"/>
  <c r="W9" i="13"/>
  <c r="AR8" i="13"/>
  <c r="AP8" i="13"/>
  <c r="AO8" i="13"/>
  <c r="AV8" i="13" s="1"/>
  <c r="AI8" i="13"/>
  <c r="AH8" i="13"/>
  <c r="AF8" i="13"/>
  <c r="AE8" i="13"/>
  <c r="AC8" i="13"/>
  <c r="AB8" i="13"/>
  <c r="AA8" i="13"/>
  <c r="Z8" i="13"/>
  <c r="Y8" i="13"/>
  <c r="X8" i="13"/>
  <c r="W8" i="13"/>
  <c r="P8" i="13"/>
  <c r="O8" i="13"/>
  <c r="AD8" i="13" s="1"/>
  <c r="N8" i="13"/>
  <c r="M8" i="13"/>
  <c r="AT7" i="13"/>
  <c r="AR7" i="13"/>
  <c r="AP7" i="13"/>
  <c r="AI7" i="13"/>
  <c r="AN7" i="13" s="1"/>
  <c r="AH7" i="13"/>
  <c r="AF7" i="13"/>
  <c r="AE7" i="13"/>
  <c r="AD7" i="13"/>
  <c r="AB7" i="13"/>
  <c r="AA7" i="13"/>
  <c r="Z7" i="13"/>
  <c r="Y7" i="13"/>
  <c r="X7" i="13"/>
  <c r="W7" i="13"/>
  <c r="P7" i="13"/>
  <c r="O7" i="13"/>
  <c r="AQ7" i="13" s="1"/>
  <c r="N7" i="13"/>
  <c r="AO7" i="13" s="1"/>
  <c r="AV7" i="13" s="1"/>
  <c r="M7" i="13"/>
  <c r="AV6" i="13"/>
  <c r="AT6" i="13"/>
  <c r="AQ6" i="13"/>
  <c r="AP6" i="13"/>
  <c r="AO6" i="13"/>
  <c r="AI6" i="13"/>
  <c r="AH6" i="13"/>
  <c r="AF6" i="13"/>
  <c r="AE6" i="13"/>
  <c r="AC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R3" i="13"/>
  <c r="AQ3" i="13"/>
  <c r="AP3" i="13"/>
  <c r="AI3" i="13"/>
  <c r="AH3" i="13"/>
  <c r="AN2" i="13"/>
  <c r="AM2" i="13"/>
  <c r="AL2" i="13"/>
  <c r="AK2" i="13"/>
  <c r="AJ2" i="13"/>
  <c r="AJ91" i="13" s="1"/>
  <c r="AA2" i="13"/>
  <c r="A2" i="13"/>
  <c r="AU1" i="13"/>
  <c r="AR1" i="13"/>
  <c r="AR83" i="13" s="1"/>
  <c r="AQ1" i="13"/>
  <c r="AQ29" i="13" s="1"/>
  <c r="AP1" i="13"/>
  <c r="AP25" i="13" s="1"/>
  <c r="AO1" i="13"/>
  <c r="AJ1" i="13"/>
  <c r="AH1" i="13"/>
  <c r="AH2" i="13" s="1"/>
  <c r="AA1" i="13"/>
  <c r="A1" i="13"/>
  <c r="AR15" i="12"/>
  <c r="AI15" i="12"/>
  <c r="AH15" i="12"/>
  <c r="AF15" i="12"/>
  <c r="AE15" i="12"/>
  <c r="AC15" i="12"/>
  <c r="AB15" i="12"/>
  <c r="AA15" i="12"/>
  <c r="Z15" i="12"/>
  <c r="Y15" i="12"/>
  <c r="X15" i="12"/>
  <c r="W15" i="12"/>
  <c r="P15" i="12"/>
  <c r="O15" i="12"/>
  <c r="AQ15" i="12" s="1"/>
  <c r="N15" i="12"/>
  <c r="M15" i="12"/>
  <c r="AT14" i="12"/>
  <c r="AJ14" i="12"/>
  <c r="AI14" i="12"/>
  <c r="AH14" i="12"/>
  <c r="AF14" i="12"/>
  <c r="AE14" i="12"/>
  <c r="AD14" i="12"/>
  <c r="AC14" i="12"/>
  <c r="AB14" i="12"/>
  <c r="AA14" i="12"/>
  <c r="Z14" i="12"/>
  <c r="Y14" i="12"/>
  <c r="X14" i="12"/>
  <c r="W14" i="12"/>
  <c r="P14" i="12"/>
  <c r="O14" i="12"/>
  <c r="AQ14" i="12" s="1"/>
  <c r="N14" i="12"/>
  <c r="M14" i="12"/>
  <c r="AU13" i="12"/>
  <c r="AT13" i="12"/>
  <c r="AJ13" i="12"/>
  <c r="AI13" i="12"/>
  <c r="AH13" i="12"/>
  <c r="AF13" i="12"/>
  <c r="AE13" i="12"/>
  <c r="AD13" i="12"/>
  <c r="AC13" i="12"/>
  <c r="AA13" i="12"/>
  <c r="Z13" i="12"/>
  <c r="Y13" i="12"/>
  <c r="X13" i="12"/>
  <c r="W13" i="12"/>
  <c r="P13" i="12"/>
  <c r="O13" i="12"/>
  <c r="AQ13" i="12" s="1"/>
  <c r="N13" i="12"/>
  <c r="M13" i="12"/>
  <c r="AR13" i="12" s="1"/>
  <c r="AV12" i="12"/>
  <c r="AU12" i="12"/>
  <c r="AP12" i="12"/>
  <c r="AO12" i="12"/>
  <c r="AI12" i="12"/>
  <c r="AT12" i="12" s="1"/>
  <c r="AH12" i="12"/>
  <c r="AF12" i="12"/>
  <c r="AE12" i="12"/>
  <c r="AD12" i="12"/>
  <c r="AA12" i="12"/>
  <c r="Z12" i="12"/>
  <c r="Y12" i="12"/>
  <c r="X12" i="12"/>
  <c r="W12" i="12"/>
  <c r="P12" i="12"/>
  <c r="O12" i="12"/>
  <c r="AQ12" i="12" s="1"/>
  <c r="N12" i="12"/>
  <c r="AC12" i="12" s="1"/>
  <c r="M12" i="12"/>
  <c r="AT11" i="12"/>
  <c r="AP11" i="12"/>
  <c r="AJ11" i="12"/>
  <c r="AI11" i="12"/>
  <c r="AH11" i="12"/>
  <c r="AF11" i="12"/>
  <c r="AE11" i="12"/>
  <c r="AA11" i="12"/>
  <c r="Z11" i="12"/>
  <c r="Y11" i="12"/>
  <c r="X11" i="12"/>
  <c r="W11" i="12"/>
  <c r="P11" i="12"/>
  <c r="O11" i="12"/>
  <c r="AD11" i="12" s="1"/>
  <c r="N11" i="12"/>
  <c r="M11" i="12"/>
  <c r="AR11" i="12" s="1"/>
  <c r="AU10" i="12"/>
  <c r="AI10" i="12"/>
  <c r="AT10" i="12" s="1"/>
  <c r="AH10" i="12"/>
  <c r="AF10" i="12"/>
  <c r="AE10" i="12"/>
  <c r="AB10" i="12"/>
  <c r="AA10" i="12"/>
  <c r="Z10" i="12"/>
  <c r="Y10" i="12"/>
  <c r="X10" i="12"/>
  <c r="W10" i="12"/>
  <c r="P10" i="12"/>
  <c r="O10" i="12"/>
  <c r="AD10" i="12" s="1"/>
  <c r="N10" i="12"/>
  <c r="M10" i="12"/>
  <c r="AR9" i="12"/>
  <c r="AI9" i="12"/>
  <c r="AH9" i="12"/>
  <c r="AF9" i="12"/>
  <c r="AE9" i="12"/>
  <c r="AC9" i="12"/>
  <c r="AB9" i="12"/>
  <c r="AA9" i="12"/>
  <c r="Z9" i="12"/>
  <c r="Y9" i="12"/>
  <c r="X9" i="12"/>
  <c r="W9" i="12"/>
  <c r="P9" i="12"/>
  <c r="O9" i="12"/>
  <c r="AQ9" i="12" s="1"/>
  <c r="N9" i="12"/>
  <c r="M9" i="12"/>
  <c r="AU8" i="12"/>
  <c r="AT8" i="12"/>
  <c r="AP8" i="12"/>
  <c r="AJ8" i="12"/>
  <c r="AI8" i="12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AO8" i="12" s="1"/>
  <c r="AV8" i="12" s="1"/>
  <c r="M8" i="12"/>
  <c r="AU7" i="12"/>
  <c r="AT7" i="12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R7" i="12" s="1"/>
  <c r="AU6" i="12"/>
  <c r="AI6" i="12"/>
  <c r="AT6" i="12" s="1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C6" i="12" s="1"/>
  <c r="M6" i="12"/>
  <c r="AI5" i="12"/>
  <c r="AH5" i="12"/>
  <c r="W5" i="12"/>
  <c r="AI4" i="12"/>
  <c r="AU3" i="12"/>
  <c r="AR3" i="12"/>
  <c r="AQ3" i="12"/>
  <c r="AI3" i="12"/>
  <c r="AH3" i="12"/>
  <c r="AN2" i="12"/>
  <c r="AN13" i="12" s="1"/>
  <c r="AM2" i="12"/>
  <c r="AL2" i="12"/>
  <c r="AK2" i="12"/>
  <c r="AJ2" i="12"/>
  <c r="AH2" i="12"/>
  <c r="AA2" i="12"/>
  <c r="A2" i="12"/>
  <c r="AU1" i="12"/>
  <c r="AU11" i="12" s="1"/>
  <c r="AR1" i="12"/>
  <c r="AR14" i="12" s="1"/>
  <c r="AQ1" i="12"/>
  <c r="AP1" i="12"/>
  <c r="AP10" i="12" s="1"/>
  <c r="AO1" i="12"/>
  <c r="AJ1" i="12"/>
  <c r="AH1" i="12"/>
  <c r="AA1" i="12"/>
  <c r="A1" i="12"/>
  <c r="AU8" i="11"/>
  <c r="AT8" i="11"/>
  <c r="AN8" i="11"/>
  <c r="AI8" i="11"/>
  <c r="AH8" i="11"/>
  <c r="AF8" i="11"/>
  <c r="AE8" i="11"/>
  <c r="AD8" i="11"/>
  <c r="AC8" i="11"/>
  <c r="AA8" i="11"/>
  <c r="Z8" i="11"/>
  <c r="Y8" i="11"/>
  <c r="X8" i="11"/>
  <c r="W8" i="11"/>
  <c r="P8" i="11"/>
  <c r="O8" i="11"/>
  <c r="AQ8" i="11" s="1"/>
  <c r="N8" i="11"/>
  <c r="M8" i="11"/>
  <c r="AR8" i="11" s="1"/>
  <c r="AV7" i="11"/>
  <c r="AP7" i="11"/>
  <c r="AO7" i="11"/>
  <c r="AI7" i="11"/>
  <c r="AT7" i="11" s="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T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M6" i="11"/>
  <c r="AR6" i="11" s="1"/>
  <c r="AI5" i="11"/>
  <c r="AH5" i="11"/>
  <c r="W5" i="11"/>
  <c r="AI4" i="11"/>
  <c r="AU3" i="11"/>
  <c r="AR3" i="11"/>
  <c r="AI3" i="11"/>
  <c r="AH3" i="11"/>
  <c r="AN2" i="11"/>
  <c r="AN7" i="11" s="1"/>
  <c r="AM2" i="11"/>
  <c r="AL2" i="11"/>
  <c r="AK2" i="11"/>
  <c r="AJ2" i="11"/>
  <c r="AJ8" i="11" s="1"/>
  <c r="AA2" i="11"/>
  <c r="A2" i="11"/>
  <c r="AU1" i="11"/>
  <c r="AU7" i="11" s="1"/>
  <c r="AR1" i="11"/>
  <c r="AQ1" i="11"/>
  <c r="AQ3" i="11" s="1"/>
  <c r="AP1" i="11"/>
  <c r="AO1" i="11"/>
  <c r="AO3" i="11" s="1"/>
  <c r="AA1" i="11"/>
  <c r="A1" i="11"/>
  <c r="AJ1" i="11" s="1"/>
  <c r="AP18" i="10"/>
  <c r="AO18" i="10"/>
  <c r="AV18" i="10" s="1"/>
  <c r="AI18" i="10"/>
  <c r="AT18" i="10" s="1"/>
  <c r="AH18" i="10"/>
  <c r="AF18" i="10"/>
  <c r="AE18" i="10"/>
  <c r="AD18" i="10"/>
  <c r="AA18" i="10"/>
  <c r="Z18" i="10"/>
  <c r="Y18" i="10"/>
  <c r="X18" i="10"/>
  <c r="W18" i="10"/>
  <c r="P18" i="10"/>
  <c r="O18" i="10"/>
  <c r="AQ18" i="10" s="1"/>
  <c r="N18" i="10"/>
  <c r="AC18" i="10" s="1"/>
  <c r="M18" i="10"/>
  <c r="AT17" i="10"/>
  <c r="AP17" i="10"/>
  <c r="AI17" i="10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M17" i="10"/>
  <c r="AR17" i="10" s="1"/>
  <c r="AP16" i="10"/>
  <c r="AI16" i="10"/>
  <c r="AH16" i="10"/>
  <c r="AF16" i="10"/>
  <c r="AE16" i="10"/>
  <c r="AB16" i="10"/>
  <c r="AA16" i="10"/>
  <c r="Z16" i="10"/>
  <c r="Y16" i="10"/>
  <c r="X16" i="10"/>
  <c r="W16" i="10"/>
  <c r="P16" i="10"/>
  <c r="O16" i="10"/>
  <c r="AD16" i="10" s="1"/>
  <c r="N16" i="10"/>
  <c r="AO16" i="10" s="1"/>
  <c r="AV16" i="10" s="1"/>
  <c r="M16" i="10"/>
  <c r="AR15" i="10"/>
  <c r="AI15" i="10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Q15" i="10" s="1"/>
  <c r="N15" i="10"/>
  <c r="M15" i="10"/>
  <c r="AU14" i="10"/>
  <c r="AT14" i="10"/>
  <c r="AJ14" i="10"/>
  <c r="AI14" i="10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AO14" i="10" s="1"/>
  <c r="M14" i="10"/>
  <c r="AU13" i="10"/>
  <c r="AT13" i="10"/>
  <c r="AJ13" i="10"/>
  <c r="AI13" i="10"/>
  <c r="AH13" i="10"/>
  <c r="AF13" i="10"/>
  <c r="AE13" i="10"/>
  <c r="AD13" i="10"/>
  <c r="AC13" i="10"/>
  <c r="AA13" i="10"/>
  <c r="Z13" i="10"/>
  <c r="Y13" i="10"/>
  <c r="X13" i="10"/>
  <c r="W13" i="10"/>
  <c r="P13" i="10"/>
  <c r="O13" i="10"/>
  <c r="AQ13" i="10" s="1"/>
  <c r="N13" i="10"/>
  <c r="M13" i="10"/>
  <c r="AR13" i="10" s="1"/>
  <c r="AU12" i="10"/>
  <c r="AI12" i="10"/>
  <c r="AT12" i="10" s="1"/>
  <c r="AH12" i="10"/>
  <c r="AF12" i="10"/>
  <c r="AE12" i="10"/>
  <c r="AD12" i="10"/>
  <c r="AA12" i="10"/>
  <c r="Z12" i="10"/>
  <c r="Y12" i="10"/>
  <c r="X12" i="10"/>
  <c r="W12" i="10"/>
  <c r="P12" i="10"/>
  <c r="O12" i="10"/>
  <c r="AQ12" i="10" s="1"/>
  <c r="N12" i="10"/>
  <c r="AC12" i="10" s="1"/>
  <c r="M12" i="10"/>
  <c r="AT11" i="10"/>
  <c r="AP11" i="10"/>
  <c r="AJ11" i="10"/>
  <c r="AI11" i="10"/>
  <c r="AH11" i="10"/>
  <c r="AF11" i="10"/>
  <c r="AE11" i="10"/>
  <c r="AA11" i="10"/>
  <c r="Z11" i="10"/>
  <c r="Y11" i="10"/>
  <c r="X11" i="10"/>
  <c r="W11" i="10"/>
  <c r="P11" i="10"/>
  <c r="O11" i="10"/>
  <c r="AD11" i="10" s="1"/>
  <c r="N11" i="10"/>
  <c r="M11" i="10"/>
  <c r="AR11" i="10" s="1"/>
  <c r="AU10" i="10"/>
  <c r="AP10" i="10"/>
  <c r="AI10" i="10"/>
  <c r="AH10" i="10"/>
  <c r="AF10" i="10"/>
  <c r="AE10" i="10"/>
  <c r="AB10" i="10"/>
  <c r="AA10" i="10"/>
  <c r="Z10" i="10"/>
  <c r="Y10" i="10"/>
  <c r="X10" i="10"/>
  <c r="W10" i="10"/>
  <c r="P10" i="10"/>
  <c r="O10" i="10"/>
  <c r="AD10" i="10" s="1"/>
  <c r="N10" i="10"/>
  <c r="AO10" i="10" s="1"/>
  <c r="AV10" i="10" s="1"/>
  <c r="M10" i="10"/>
  <c r="AR9" i="10"/>
  <c r="AI9" i="10"/>
  <c r="AH9" i="10"/>
  <c r="AF9" i="10"/>
  <c r="AE9" i="10"/>
  <c r="AC9" i="10"/>
  <c r="AB9" i="10"/>
  <c r="AA9" i="10"/>
  <c r="Z9" i="10"/>
  <c r="Y9" i="10"/>
  <c r="X9" i="10"/>
  <c r="W9" i="10"/>
  <c r="P9" i="10"/>
  <c r="O9" i="10"/>
  <c r="AQ9" i="10" s="1"/>
  <c r="N9" i="10"/>
  <c r="M9" i="10"/>
  <c r="AU8" i="10"/>
  <c r="AT8" i="10"/>
  <c r="AR8" i="10"/>
  <c r="AP8" i="10"/>
  <c r="AJ8" i="10"/>
  <c r="AI8" i="10"/>
  <c r="AH8" i="10"/>
  <c r="AF8" i="10"/>
  <c r="AE8" i="10"/>
  <c r="AD8" i="10"/>
  <c r="AC8" i="10"/>
  <c r="AB8" i="10"/>
  <c r="AA8" i="10"/>
  <c r="Z8" i="10"/>
  <c r="Y8" i="10"/>
  <c r="X8" i="10"/>
  <c r="W8" i="10"/>
  <c r="P8" i="10"/>
  <c r="O8" i="10"/>
  <c r="AQ8" i="10" s="1"/>
  <c r="N8" i="10"/>
  <c r="AO8" i="10" s="1"/>
  <c r="AV8" i="10" s="1"/>
  <c r="M8" i="10"/>
  <c r="AU7" i="10"/>
  <c r="AT7" i="10"/>
  <c r="AJ7" i="10"/>
  <c r="AI7" i="10"/>
  <c r="AH7" i="10"/>
  <c r="AF7" i="10"/>
  <c r="AE7" i="10"/>
  <c r="AD7" i="10"/>
  <c r="AC7" i="10"/>
  <c r="AA7" i="10"/>
  <c r="Z7" i="10"/>
  <c r="Y7" i="10"/>
  <c r="X7" i="10"/>
  <c r="W7" i="10"/>
  <c r="P7" i="10"/>
  <c r="O7" i="10"/>
  <c r="AQ7" i="10" s="1"/>
  <c r="N7" i="10"/>
  <c r="M7" i="10"/>
  <c r="AR7" i="10" s="1"/>
  <c r="AU6" i="10"/>
  <c r="AI6" i="10"/>
  <c r="AT6" i="10" s="1"/>
  <c r="AH6" i="10"/>
  <c r="AF6" i="10"/>
  <c r="AE6" i="10"/>
  <c r="AD6" i="10"/>
  <c r="AA6" i="10"/>
  <c r="Z6" i="10"/>
  <c r="Y6" i="10"/>
  <c r="X6" i="10"/>
  <c r="W6" i="10"/>
  <c r="P6" i="10"/>
  <c r="O6" i="10"/>
  <c r="AQ6" i="10" s="1"/>
  <c r="N6" i="10"/>
  <c r="AC6" i="10" s="1"/>
  <c r="M6" i="10"/>
  <c r="AI5" i="10"/>
  <c r="AH5" i="10"/>
  <c r="W5" i="10"/>
  <c r="AI4" i="10"/>
  <c r="AU3" i="10"/>
  <c r="AR3" i="10"/>
  <c r="AQ3" i="10"/>
  <c r="AI3" i="10"/>
  <c r="AH3" i="10"/>
  <c r="AN2" i="10"/>
  <c r="AN13" i="10" s="1"/>
  <c r="AM2" i="10"/>
  <c r="AL2" i="10"/>
  <c r="AK2" i="10"/>
  <c r="AJ2" i="10"/>
  <c r="AJ17" i="10" s="1"/>
  <c r="AH2" i="10"/>
  <c r="AA2" i="10"/>
  <c r="A2" i="10"/>
  <c r="AU1" i="10"/>
  <c r="AU18" i="10" s="1"/>
  <c r="AR1" i="10"/>
  <c r="AR14" i="10" s="1"/>
  <c r="AQ1" i="10"/>
  <c r="AP1" i="10"/>
  <c r="AP15" i="10" s="1"/>
  <c r="AO1" i="10"/>
  <c r="AO12" i="10" s="1"/>
  <c r="AJ1" i="10"/>
  <c r="AH1" i="10"/>
  <c r="AA1" i="10"/>
  <c r="A1" i="10"/>
  <c r="AU9" i="9"/>
  <c r="AT9" i="9"/>
  <c r="AP9" i="9"/>
  <c r="AO9" i="9"/>
  <c r="AV9" i="9" s="1"/>
  <c r="AN9" i="9"/>
  <c r="AI9" i="9"/>
  <c r="AH9" i="9"/>
  <c r="AF9" i="9"/>
  <c r="AE9" i="9"/>
  <c r="AD9" i="9"/>
  <c r="AC9" i="9"/>
  <c r="AA9" i="9"/>
  <c r="Z9" i="9"/>
  <c r="Y9" i="9"/>
  <c r="X9" i="9"/>
  <c r="W9" i="9"/>
  <c r="P9" i="9"/>
  <c r="O9" i="9"/>
  <c r="N9" i="9"/>
  <c r="M9" i="9"/>
  <c r="AR9" i="9" s="1"/>
  <c r="AV8" i="9"/>
  <c r="AU8" i="9"/>
  <c r="AP8" i="9"/>
  <c r="AO8" i="9"/>
  <c r="AN8" i="9"/>
  <c r="AI8" i="9"/>
  <c r="AT8" i="9" s="1"/>
  <c r="AH8" i="9"/>
  <c r="AF8" i="9"/>
  <c r="AE8" i="9"/>
  <c r="AD8" i="9"/>
  <c r="AA8" i="9"/>
  <c r="Z8" i="9"/>
  <c r="Y8" i="9"/>
  <c r="X8" i="9"/>
  <c r="W8" i="9"/>
  <c r="P8" i="9"/>
  <c r="O8" i="9"/>
  <c r="N8" i="9"/>
  <c r="AC8" i="9" s="1"/>
  <c r="M8" i="9"/>
  <c r="AT7" i="9"/>
  <c r="AP7" i="9"/>
  <c r="AI7" i="9"/>
  <c r="AN7" i="9" s="1"/>
  <c r="AH7" i="9"/>
  <c r="AF7" i="9"/>
  <c r="AE7" i="9"/>
  <c r="AA7" i="9"/>
  <c r="Z7" i="9"/>
  <c r="Y7" i="9"/>
  <c r="X7" i="9"/>
  <c r="W7" i="9"/>
  <c r="P7" i="9"/>
  <c r="O7" i="9"/>
  <c r="AD7" i="9" s="1"/>
  <c r="N7" i="9"/>
  <c r="M7" i="9"/>
  <c r="AR7" i="9" s="1"/>
  <c r="AU6" i="9"/>
  <c r="AP6" i="9"/>
  <c r="AI6" i="9"/>
  <c r="AN6" i="9" s="1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AO6" i="9" s="1"/>
  <c r="AV6" i="9" s="1"/>
  <c r="M6" i="9"/>
  <c r="AI5" i="9"/>
  <c r="AH5" i="9"/>
  <c r="W5" i="9"/>
  <c r="AI4" i="9"/>
  <c r="AU3" i="9"/>
  <c r="AO3" i="9"/>
  <c r="AI3" i="9"/>
  <c r="AH3" i="9"/>
  <c r="AN2" i="9"/>
  <c r="AM2" i="9"/>
  <c r="AL2" i="9"/>
  <c r="AK2" i="9"/>
  <c r="AJ2" i="9"/>
  <c r="AA2" i="9"/>
  <c r="A2" i="9"/>
  <c r="AU1" i="9"/>
  <c r="AU7" i="9" s="1"/>
  <c r="AR1" i="9"/>
  <c r="AR3" i="9" s="1"/>
  <c r="AQ1" i="9"/>
  <c r="AQ3" i="9" s="1"/>
  <c r="AP1" i="9"/>
  <c r="AP3" i="9" s="1"/>
  <c r="AO1" i="9"/>
  <c r="AA1" i="9"/>
  <c r="A1" i="9"/>
  <c r="AT12" i="8"/>
  <c r="AP12" i="8"/>
  <c r="AI12" i="8"/>
  <c r="AN12" i="8" s="1"/>
  <c r="AH12" i="8"/>
  <c r="AF12" i="8"/>
  <c r="AE12" i="8"/>
  <c r="AA12" i="8"/>
  <c r="Z12" i="8"/>
  <c r="Y12" i="8"/>
  <c r="X12" i="8"/>
  <c r="W12" i="8"/>
  <c r="P12" i="8"/>
  <c r="O12" i="8"/>
  <c r="AD12" i="8" s="1"/>
  <c r="N12" i="8"/>
  <c r="M12" i="8"/>
  <c r="AP11" i="8"/>
  <c r="AI11" i="8"/>
  <c r="AN11" i="8" s="1"/>
  <c r="AH11" i="8"/>
  <c r="AF11" i="8"/>
  <c r="AE11" i="8"/>
  <c r="AB11" i="8"/>
  <c r="AA11" i="8"/>
  <c r="Z11" i="8"/>
  <c r="Y11" i="8"/>
  <c r="X11" i="8"/>
  <c r="W11" i="8"/>
  <c r="P11" i="8"/>
  <c r="O11" i="8"/>
  <c r="AD11" i="8" s="1"/>
  <c r="N11" i="8"/>
  <c r="AO11" i="8" s="1"/>
  <c r="M11" i="8"/>
  <c r="AI10" i="8"/>
  <c r="AH10" i="8"/>
  <c r="W10" i="8"/>
  <c r="AP9" i="8"/>
  <c r="AO9" i="8"/>
  <c r="AV9" i="8" s="1"/>
  <c r="AN9" i="8"/>
  <c r="AI9" i="8"/>
  <c r="AT9" i="8" s="1"/>
  <c r="AH9" i="8"/>
  <c r="AF9" i="8"/>
  <c r="AE9" i="8"/>
  <c r="AD9" i="8"/>
  <c r="AA9" i="8"/>
  <c r="Z9" i="8"/>
  <c r="Y9" i="8"/>
  <c r="X9" i="8"/>
  <c r="W9" i="8"/>
  <c r="P9" i="8"/>
  <c r="O9" i="8"/>
  <c r="AQ9" i="8" s="1"/>
  <c r="N9" i="8"/>
  <c r="AC9" i="8" s="1"/>
  <c r="M9" i="8"/>
  <c r="AT8" i="8"/>
  <c r="AP8" i="8"/>
  <c r="AI8" i="8"/>
  <c r="AN8" i="8" s="1"/>
  <c r="AH8" i="8"/>
  <c r="AF8" i="8"/>
  <c r="AE8" i="8"/>
  <c r="AA8" i="8"/>
  <c r="Z8" i="8"/>
  <c r="Y8" i="8"/>
  <c r="X8" i="8"/>
  <c r="W8" i="8"/>
  <c r="P8" i="8"/>
  <c r="O8" i="8"/>
  <c r="AD8" i="8" s="1"/>
  <c r="N8" i="8"/>
  <c r="M8" i="8"/>
  <c r="AR8" i="8" s="1"/>
  <c r="AQ7" i="8"/>
  <c r="AP7" i="8"/>
  <c r="AI7" i="8"/>
  <c r="AN7" i="8" s="1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AO7" i="8" s="1"/>
  <c r="AV7" i="8" s="1"/>
  <c r="M7" i="8"/>
  <c r="AR6" i="8"/>
  <c r="AP6" i="8"/>
  <c r="AO6" i="8"/>
  <c r="AV6" i="8" s="1"/>
  <c r="AI6" i="8"/>
  <c r="AH6" i="8"/>
  <c r="AF6" i="8"/>
  <c r="AE6" i="8"/>
  <c r="AC6" i="8"/>
  <c r="AB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P3" i="8"/>
  <c r="AO3" i="8"/>
  <c r="AI3" i="8"/>
  <c r="AH3" i="8"/>
  <c r="AN2" i="8"/>
  <c r="AM2" i="8"/>
  <c r="AL2" i="8"/>
  <c r="AK2" i="8"/>
  <c r="AJ2" i="8"/>
  <c r="AJ12" i="8" s="1"/>
  <c r="AA2" i="8"/>
  <c r="A2" i="8"/>
  <c r="AU1" i="8"/>
  <c r="AU9" i="8" s="1"/>
  <c r="AR1" i="8"/>
  <c r="AQ1" i="8"/>
  <c r="AQ3" i="8" s="1"/>
  <c r="AP1" i="8"/>
  <c r="AO1" i="8"/>
  <c r="AA1" i="8"/>
  <c r="A1" i="8"/>
  <c r="AJ1" i="8" s="1"/>
  <c r="AP26" i="7"/>
  <c r="AI26" i="7"/>
  <c r="AN26" i="7" s="1"/>
  <c r="AH26" i="7"/>
  <c r="AF26" i="7"/>
  <c r="AE26" i="7"/>
  <c r="AB26" i="7"/>
  <c r="AA26" i="7"/>
  <c r="Z26" i="7"/>
  <c r="Y26" i="7"/>
  <c r="X26" i="7"/>
  <c r="W26" i="7"/>
  <c r="P26" i="7"/>
  <c r="O26" i="7"/>
  <c r="AD26" i="7" s="1"/>
  <c r="N26" i="7"/>
  <c r="AO26" i="7" s="1"/>
  <c r="AV26" i="7" s="1"/>
  <c r="M26" i="7"/>
  <c r="AR25" i="7"/>
  <c r="AP25" i="7"/>
  <c r="AO25" i="7"/>
  <c r="AV25" i="7" s="1"/>
  <c r="AI25" i="7"/>
  <c r="AH25" i="7"/>
  <c r="AF25" i="7"/>
  <c r="AE25" i="7"/>
  <c r="AC25" i="7"/>
  <c r="AB25" i="7"/>
  <c r="AA25" i="7"/>
  <c r="Z25" i="7"/>
  <c r="Y25" i="7"/>
  <c r="X25" i="7"/>
  <c r="W25" i="7"/>
  <c r="P25" i="7"/>
  <c r="O25" i="7"/>
  <c r="AQ25" i="7" s="1"/>
  <c r="N25" i="7"/>
  <c r="M25" i="7"/>
  <c r="AT24" i="7"/>
  <c r="AP24" i="7"/>
  <c r="AJ24" i="7"/>
  <c r="AI24" i="7"/>
  <c r="AN24" i="7" s="1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AO24" i="7" s="1"/>
  <c r="AV24" i="7" s="1"/>
  <c r="M24" i="7"/>
  <c r="AT23" i="7"/>
  <c r="AP23" i="7"/>
  <c r="AO23" i="7"/>
  <c r="AV23" i="7" s="1"/>
  <c r="AN23" i="7"/>
  <c r="AJ23" i="7"/>
  <c r="AI23" i="7"/>
  <c r="AH23" i="7"/>
  <c r="AF23" i="7"/>
  <c r="AE23" i="7"/>
  <c r="AD23" i="7"/>
  <c r="AC23" i="7"/>
  <c r="AA23" i="7"/>
  <c r="Z23" i="7"/>
  <c r="Y23" i="7"/>
  <c r="X23" i="7"/>
  <c r="W23" i="7"/>
  <c r="P23" i="7"/>
  <c r="O23" i="7"/>
  <c r="AQ23" i="7" s="1"/>
  <c r="N23" i="7"/>
  <c r="M23" i="7"/>
  <c r="AR23" i="7" s="1"/>
  <c r="AP22" i="7"/>
  <c r="AO22" i="7"/>
  <c r="AV22" i="7" s="1"/>
  <c r="AN22" i="7"/>
  <c r="AI22" i="7"/>
  <c r="AT22" i="7" s="1"/>
  <c r="AH22" i="7"/>
  <c r="AF22" i="7"/>
  <c r="AE22" i="7"/>
  <c r="AD22" i="7"/>
  <c r="AA22" i="7"/>
  <c r="Z22" i="7"/>
  <c r="Y22" i="7"/>
  <c r="X22" i="7"/>
  <c r="W22" i="7"/>
  <c r="P22" i="7"/>
  <c r="O22" i="7"/>
  <c r="AQ22" i="7" s="1"/>
  <c r="N22" i="7"/>
  <c r="AC22" i="7" s="1"/>
  <c r="M22" i="7"/>
  <c r="AT21" i="7"/>
  <c r="AP21" i="7"/>
  <c r="AI21" i="7"/>
  <c r="AN21" i="7" s="1"/>
  <c r="AH21" i="7"/>
  <c r="AF21" i="7"/>
  <c r="AE21" i="7"/>
  <c r="AA21" i="7"/>
  <c r="Z21" i="7"/>
  <c r="Y21" i="7"/>
  <c r="X21" i="7"/>
  <c r="W21" i="7"/>
  <c r="P21" i="7"/>
  <c r="O21" i="7"/>
  <c r="AD21" i="7" s="1"/>
  <c r="N21" i="7"/>
  <c r="M21" i="7"/>
  <c r="AR21" i="7" s="1"/>
  <c r="AP20" i="7"/>
  <c r="AI20" i="7"/>
  <c r="AN20" i="7" s="1"/>
  <c r="AH20" i="7"/>
  <c r="AF20" i="7"/>
  <c r="AE20" i="7"/>
  <c r="AB20" i="7"/>
  <c r="AA20" i="7"/>
  <c r="Z20" i="7"/>
  <c r="Y20" i="7"/>
  <c r="X20" i="7"/>
  <c r="W20" i="7"/>
  <c r="P20" i="7"/>
  <c r="O20" i="7"/>
  <c r="AD20" i="7" s="1"/>
  <c r="N20" i="7"/>
  <c r="AO20" i="7" s="1"/>
  <c r="AV20" i="7" s="1"/>
  <c r="M20" i="7"/>
  <c r="AR19" i="7"/>
  <c r="AP19" i="7"/>
  <c r="AO19" i="7"/>
  <c r="AV19" i="7" s="1"/>
  <c r="AI19" i="7"/>
  <c r="AH19" i="7"/>
  <c r="AF19" i="7"/>
  <c r="AE19" i="7"/>
  <c r="AC19" i="7"/>
  <c r="AB19" i="7"/>
  <c r="AA19" i="7"/>
  <c r="Z19" i="7"/>
  <c r="Y19" i="7"/>
  <c r="X19" i="7"/>
  <c r="W19" i="7"/>
  <c r="P19" i="7"/>
  <c r="O19" i="7"/>
  <c r="AQ19" i="7" s="1"/>
  <c r="N19" i="7"/>
  <c r="M19" i="7"/>
  <c r="AI18" i="7"/>
  <c r="AH18" i="7"/>
  <c r="W18" i="7"/>
  <c r="AT17" i="7"/>
  <c r="AP17" i="7"/>
  <c r="AI17" i="7"/>
  <c r="AH17" i="7"/>
  <c r="AF17" i="7"/>
  <c r="AE17" i="7"/>
  <c r="AA17" i="7"/>
  <c r="Z17" i="7"/>
  <c r="Y17" i="7"/>
  <c r="X17" i="7"/>
  <c r="W17" i="7"/>
  <c r="P17" i="7"/>
  <c r="O17" i="7"/>
  <c r="AD17" i="7" s="1"/>
  <c r="N17" i="7"/>
  <c r="M17" i="7"/>
  <c r="AR17" i="7" s="1"/>
  <c r="AP16" i="7"/>
  <c r="AI16" i="7"/>
  <c r="AN16" i="7" s="1"/>
  <c r="AH16" i="7"/>
  <c r="AF16" i="7"/>
  <c r="AE16" i="7"/>
  <c r="AB16" i="7"/>
  <c r="AA16" i="7"/>
  <c r="Z16" i="7"/>
  <c r="Y16" i="7"/>
  <c r="X16" i="7"/>
  <c r="W16" i="7"/>
  <c r="P16" i="7"/>
  <c r="O16" i="7"/>
  <c r="AD16" i="7" s="1"/>
  <c r="N16" i="7"/>
  <c r="AO16" i="7" s="1"/>
  <c r="AV16" i="7" s="1"/>
  <c r="M16" i="7"/>
  <c r="AR15" i="7"/>
  <c r="AQ15" i="7"/>
  <c r="AP15" i="7"/>
  <c r="AO15" i="7"/>
  <c r="AV15" i="7" s="1"/>
  <c r="AI15" i="7"/>
  <c r="AH15" i="7"/>
  <c r="AF15" i="7"/>
  <c r="AE15" i="7"/>
  <c r="AC15" i="7"/>
  <c r="AB15" i="7"/>
  <c r="AA15" i="7"/>
  <c r="Z15" i="7"/>
  <c r="Y15" i="7"/>
  <c r="X15" i="7"/>
  <c r="W15" i="7"/>
  <c r="P15" i="7"/>
  <c r="O15" i="7"/>
  <c r="AD15" i="7" s="1"/>
  <c r="N15" i="7"/>
  <c r="M15" i="7"/>
  <c r="AI14" i="7"/>
  <c r="AH14" i="7"/>
  <c r="W14" i="7"/>
  <c r="AT13" i="7"/>
  <c r="AP13" i="7"/>
  <c r="AJ13" i="7"/>
  <c r="AI13" i="7"/>
  <c r="AH13" i="7"/>
  <c r="AF13" i="7"/>
  <c r="AE13" i="7"/>
  <c r="AA13" i="7"/>
  <c r="Z13" i="7"/>
  <c r="Y13" i="7"/>
  <c r="X13" i="7"/>
  <c r="W13" i="7"/>
  <c r="P13" i="7"/>
  <c r="O13" i="7"/>
  <c r="AD13" i="7" s="1"/>
  <c r="N13" i="7"/>
  <c r="AC13" i="7" s="1"/>
  <c r="M13" i="7"/>
  <c r="AP12" i="7"/>
  <c r="AI12" i="7"/>
  <c r="AN12" i="7" s="1"/>
  <c r="AH12" i="7"/>
  <c r="AF12" i="7"/>
  <c r="AE12" i="7"/>
  <c r="AB12" i="7"/>
  <c r="AA12" i="7"/>
  <c r="Z12" i="7"/>
  <c r="Y12" i="7"/>
  <c r="X12" i="7"/>
  <c r="W12" i="7"/>
  <c r="P12" i="7"/>
  <c r="O12" i="7"/>
  <c r="AD12" i="7" s="1"/>
  <c r="N12" i="7"/>
  <c r="M12" i="7"/>
  <c r="AT11" i="7"/>
  <c r="AR11" i="7"/>
  <c r="AO11" i="7"/>
  <c r="AJ11" i="7"/>
  <c r="AI11" i="7"/>
  <c r="AN11" i="7" s="1"/>
  <c r="AH11" i="7"/>
  <c r="AF11" i="7"/>
  <c r="AE11" i="7"/>
  <c r="AC11" i="7"/>
  <c r="AB11" i="7"/>
  <c r="AA11" i="7"/>
  <c r="Z11" i="7"/>
  <c r="Y11" i="7"/>
  <c r="X11" i="7"/>
  <c r="W11" i="7"/>
  <c r="P11" i="7"/>
  <c r="O11" i="7"/>
  <c r="AD11" i="7" s="1"/>
  <c r="N11" i="7"/>
  <c r="M11" i="7"/>
  <c r="AT10" i="7"/>
  <c r="AR10" i="7"/>
  <c r="AP10" i="7"/>
  <c r="AN10" i="7"/>
  <c r="AJ10" i="7"/>
  <c r="AI10" i="7"/>
  <c r="AH10" i="7"/>
  <c r="AF10" i="7"/>
  <c r="AE10" i="7"/>
  <c r="AD10" i="7"/>
  <c r="AC10" i="7"/>
  <c r="AB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I9" i="7"/>
  <c r="AH9" i="7"/>
  <c r="W9" i="7"/>
  <c r="AR8" i="7"/>
  <c r="AQ8" i="7"/>
  <c r="AP8" i="7"/>
  <c r="AI8" i="7"/>
  <c r="AH8" i="7"/>
  <c r="AF8" i="7"/>
  <c r="AE8" i="7"/>
  <c r="AB8" i="7"/>
  <c r="AA8" i="7"/>
  <c r="Z8" i="7"/>
  <c r="Y8" i="7"/>
  <c r="X8" i="7"/>
  <c r="W8" i="7"/>
  <c r="P8" i="7"/>
  <c r="O8" i="7"/>
  <c r="AD8" i="7" s="1"/>
  <c r="N8" i="7"/>
  <c r="M8" i="7"/>
  <c r="AR7" i="7"/>
  <c r="AQ7" i="7"/>
  <c r="AP7" i="7"/>
  <c r="AO7" i="7"/>
  <c r="AV7" i="7" s="1"/>
  <c r="AJ7" i="7"/>
  <c r="AI7" i="7"/>
  <c r="AN7" i="7" s="1"/>
  <c r="AH7" i="7"/>
  <c r="AF7" i="7"/>
  <c r="AE7" i="7"/>
  <c r="AC7" i="7"/>
  <c r="AB7" i="7"/>
  <c r="AA7" i="7"/>
  <c r="Z7" i="7"/>
  <c r="Y7" i="7"/>
  <c r="X7" i="7"/>
  <c r="W7" i="7"/>
  <c r="P7" i="7"/>
  <c r="O7" i="7"/>
  <c r="AD7" i="7" s="1"/>
  <c r="N7" i="7"/>
  <c r="M7" i="7"/>
  <c r="AT6" i="7"/>
  <c r="AR6" i="7"/>
  <c r="AP6" i="7"/>
  <c r="AN6" i="7"/>
  <c r="AJ6" i="7"/>
  <c r="AI6" i="7"/>
  <c r="AH6" i="7"/>
  <c r="AF6" i="7"/>
  <c r="AE6" i="7"/>
  <c r="AD6" i="7"/>
  <c r="AC6" i="7"/>
  <c r="AB6" i="7"/>
  <c r="AA6" i="7"/>
  <c r="Z6" i="7"/>
  <c r="Y6" i="7"/>
  <c r="X6" i="7"/>
  <c r="W6" i="7"/>
  <c r="P6" i="7"/>
  <c r="O6" i="7"/>
  <c r="AQ6" i="7" s="1"/>
  <c r="N6" i="7"/>
  <c r="AO6" i="7" s="1"/>
  <c r="AV6" i="7" s="1"/>
  <c r="M6" i="7"/>
  <c r="AI5" i="7"/>
  <c r="AH5" i="7"/>
  <c r="W5" i="7"/>
  <c r="AI4" i="7"/>
  <c r="AQ3" i="7"/>
  <c r="AP3" i="7"/>
  <c r="AO3" i="7"/>
  <c r="AI3" i="7"/>
  <c r="AH3" i="7"/>
  <c r="AN2" i="7"/>
  <c r="AN17" i="7" s="1"/>
  <c r="AM2" i="7"/>
  <c r="AL2" i="7"/>
  <c r="AK2" i="7"/>
  <c r="AJ2" i="7"/>
  <c r="AJ21" i="7" s="1"/>
  <c r="AA2" i="7"/>
  <c r="A2" i="7"/>
  <c r="AU1" i="7"/>
  <c r="AU6" i="7" s="1"/>
  <c r="AR1" i="7"/>
  <c r="AQ1" i="7"/>
  <c r="AP1" i="7"/>
  <c r="AP11" i="7" s="1"/>
  <c r="AO1" i="7"/>
  <c r="AJ1" i="7"/>
  <c r="AH1" i="7"/>
  <c r="AH2" i="7" s="1"/>
  <c r="AA1" i="7"/>
  <c r="A1" i="7"/>
  <c r="AP6" i="6"/>
  <c r="AO6" i="6"/>
  <c r="AV6" i="6" s="1"/>
  <c r="AI6" i="6"/>
  <c r="AN6" i="6" s="1"/>
  <c r="AH6" i="6"/>
  <c r="AF6" i="6"/>
  <c r="AE6" i="6"/>
  <c r="AC6" i="6"/>
  <c r="AB6" i="6"/>
  <c r="AA6" i="6"/>
  <c r="Z6" i="6"/>
  <c r="Y6" i="6"/>
  <c r="X6" i="6"/>
  <c r="W6" i="6"/>
  <c r="P6" i="6"/>
  <c r="O6" i="6"/>
  <c r="AD6" i="6" s="1"/>
  <c r="N6" i="6"/>
  <c r="M6" i="6"/>
  <c r="AI5" i="6"/>
  <c r="AH5" i="6"/>
  <c r="W5" i="6"/>
  <c r="AI4" i="6"/>
  <c r="AP3" i="6"/>
  <c r="AO3" i="6"/>
  <c r="AI3" i="6"/>
  <c r="AH3" i="6"/>
  <c r="AN2" i="6"/>
  <c r="AM2" i="6"/>
  <c r="AL2" i="6"/>
  <c r="AK2" i="6"/>
  <c r="AJ2" i="6"/>
  <c r="AA2" i="6"/>
  <c r="A2" i="6"/>
  <c r="AU1" i="6"/>
  <c r="AR1" i="6"/>
  <c r="AR3" i="6" s="1"/>
  <c r="AQ1" i="6"/>
  <c r="AQ3" i="6" s="1"/>
  <c r="AP1" i="6"/>
  <c r="AO1" i="6"/>
  <c r="AH1" i="6"/>
  <c r="AH2" i="6" s="1"/>
  <c r="AA1" i="6"/>
  <c r="A1" i="6"/>
  <c r="AJ1" i="6" s="1"/>
  <c r="B68" i="3"/>
  <c r="B66" i="3"/>
  <c r="B64" i="3"/>
  <c r="B62" i="3"/>
  <c r="B60" i="3"/>
  <c r="A56" i="3"/>
  <c r="A69" i="3" s="1"/>
  <c r="A54" i="3"/>
  <c r="A67" i="3" s="1"/>
  <c r="A52" i="3"/>
  <c r="A65" i="3" s="1"/>
  <c r="A50" i="3"/>
  <c r="A63" i="3" s="1"/>
  <c r="A48" i="3"/>
  <c r="A61" i="3" s="1"/>
  <c r="U46" i="3"/>
  <c r="U59" i="3" s="1"/>
  <c r="C43" i="3"/>
  <c r="C56" i="3" s="1"/>
  <c r="C69" i="3" s="1"/>
  <c r="A43" i="3"/>
  <c r="C41" i="3"/>
  <c r="C54" i="3" s="1"/>
  <c r="C67" i="3" s="1"/>
  <c r="B41" i="3"/>
  <c r="B54" i="3" s="1"/>
  <c r="B67" i="3" s="1"/>
  <c r="A41" i="3"/>
  <c r="A40" i="3"/>
  <c r="A53" i="3" s="1"/>
  <c r="A66" i="3" s="1"/>
  <c r="C39" i="3"/>
  <c r="C52" i="3" s="1"/>
  <c r="C65" i="3" s="1"/>
  <c r="B39" i="3"/>
  <c r="B52" i="3" s="1"/>
  <c r="B65" i="3" s="1"/>
  <c r="A39" i="3"/>
  <c r="C37" i="3"/>
  <c r="C50" i="3" s="1"/>
  <c r="C63" i="3" s="1"/>
  <c r="A37" i="3"/>
  <c r="C35" i="3"/>
  <c r="C48" i="3" s="1"/>
  <c r="C61" i="3" s="1"/>
  <c r="B35" i="3"/>
  <c r="B48" i="3" s="1"/>
  <c r="B61" i="3" s="1"/>
  <c r="A35" i="3"/>
  <c r="A34" i="3"/>
  <c r="A47" i="3" s="1"/>
  <c r="A60" i="3" s="1"/>
  <c r="W33" i="3"/>
  <c r="W46" i="3" s="1"/>
  <c r="W59" i="3" s="1"/>
  <c r="Q33" i="3"/>
  <c r="Q46" i="3" s="1"/>
  <c r="Q59" i="3" s="1"/>
  <c r="K33" i="3"/>
  <c r="K46" i="3" s="1"/>
  <c r="K59" i="3" s="1"/>
  <c r="C30" i="3"/>
  <c r="B30" i="3"/>
  <c r="B43" i="3" s="1"/>
  <c r="B56" i="3" s="1"/>
  <c r="B69" i="3" s="1"/>
  <c r="A30" i="3"/>
  <c r="C29" i="3"/>
  <c r="C42" i="3" s="1"/>
  <c r="C55" i="3" s="1"/>
  <c r="C68" i="3" s="1"/>
  <c r="B29" i="3"/>
  <c r="B42" i="3" s="1"/>
  <c r="B55" i="3" s="1"/>
  <c r="A29" i="3"/>
  <c r="A42" i="3" s="1"/>
  <c r="A55" i="3" s="1"/>
  <c r="A68" i="3" s="1"/>
  <c r="C28" i="3"/>
  <c r="B28" i="3"/>
  <c r="A28" i="3"/>
  <c r="C27" i="3"/>
  <c r="C40" i="3" s="1"/>
  <c r="C53" i="3" s="1"/>
  <c r="C66" i="3" s="1"/>
  <c r="B27" i="3"/>
  <c r="B40" i="3" s="1"/>
  <c r="B53" i="3" s="1"/>
  <c r="A27" i="3"/>
  <c r="C26" i="3"/>
  <c r="B26" i="3"/>
  <c r="A26" i="3"/>
  <c r="C25" i="3"/>
  <c r="C38" i="3" s="1"/>
  <c r="C51" i="3" s="1"/>
  <c r="C64" i="3" s="1"/>
  <c r="B25" i="3"/>
  <c r="B38" i="3" s="1"/>
  <c r="B51" i="3" s="1"/>
  <c r="A25" i="3"/>
  <c r="A38" i="3" s="1"/>
  <c r="A51" i="3" s="1"/>
  <c r="A64" i="3" s="1"/>
  <c r="C24" i="3"/>
  <c r="B24" i="3"/>
  <c r="B37" i="3" s="1"/>
  <c r="B50" i="3" s="1"/>
  <c r="B63" i="3" s="1"/>
  <c r="A24" i="3"/>
  <c r="C23" i="3"/>
  <c r="C36" i="3" s="1"/>
  <c r="C49" i="3" s="1"/>
  <c r="C62" i="3" s="1"/>
  <c r="B23" i="3"/>
  <c r="B36" i="3" s="1"/>
  <c r="B49" i="3" s="1"/>
  <c r="A23" i="3"/>
  <c r="A36" i="3" s="1"/>
  <c r="A49" i="3" s="1"/>
  <c r="A62" i="3" s="1"/>
  <c r="C22" i="3"/>
  <c r="B22" i="3"/>
  <c r="A22" i="3"/>
  <c r="C21" i="3"/>
  <c r="C34" i="3" s="1"/>
  <c r="C47" i="3" s="1"/>
  <c r="C60" i="3" s="1"/>
  <c r="B21" i="3"/>
  <c r="B34" i="3" s="1"/>
  <c r="B47" i="3" s="1"/>
  <c r="A21" i="3"/>
  <c r="W20" i="3"/>
  <c r="S20" i="3"/>
  <c r="S33" i="3" s="1"/>
  <c r="S46" i="3" s="1"/>
  <c r="S59" i="3" s="1"/>
  <c r="Q20" i="3"/>
  <c r="M20" i="3"/>
  <c r="M33" i="3" s="1"/>
  <c r="M46" i="3" s="1"/>
  <c r="M59" i="3" s="1"/>
  <c r="L20" i="3"/>
  <c r="L33" i="3" s="1"/>
  <c r="L46" i="3" s="1"/>
  <c r="L59" i="3" s="1"/>
  <c r="K20" i="3"/>
  <c r="W7" i="3"/>
  <c r="V7" i="3"/>
  <c r="V20" i="3" s="1"/>
  <c r="V33" i="3" s="1"/>
  <c r="V46" i="3" s="1"/>
  <c r="V59" i="3" s="1"/>
  <c r="U7" i="3"/>
  <c r="U20" i="3" s="1"/>
  <c r="U33" i="3" s="1"/>
  <c r="T7" i="3"/>
  <c r="T20" i="3" s="1"/>
  <c r="T33" i="3" s="1"/>
  <c r="T46" i="3" s="1"/>
  <c r="T59" i="3" s="1"/>
  <c r="S7" i="3"/>
  <c r="R7" i="3"/>
  <c r="R20" i="3" s="1"/>
  <c r="R33" i="3" s="1"/>
  <c r="R46" i="3" s="1"/>
  <c r="R59" i="3" s="1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41" i="1" l="1"/>
  <c r="AV44" i="1"/>
  <c r="AV50" i="1"/>
  <c r="AV53" i="1"/>
  <c r="AR4" i="1"/>
  <c r="AB4" i="1"/>
  <c r="AV68" i="1"/>
  <c r="AV69" i="1"/>
  <c r="AN7" i="1"/>
  <c r="AT7" i="1"/>
  <c r="AJ7" i="1"/>
  <c r="AO9" i="1"/>
  <c r="AV9" i="1" s="1"/>
  <c r="AC9" i="1"/>
  <c r="AR10" i="1"/>
  <c r="AB10" i="1"/>
  <c r="AN13" i="1"/>
  <c r="AT13" i="1"/>
  <c r="AJ13" i="1"/>
  <c r="AV46" i="1"/>
  <c r="AV63" i="1"/>
  <c r="AV65" i="1"/>
  <c r="AQ14" i="1"/>
  <c r="AD14" i="1"/>
  <c r="AV57" i="1"/>
  <c r="AQ44" i="1"/>
  <c r="AO122" i="1"/>
  <c r="AV122" i="1" s="1"/>
  <c r="AC122" i="1"/>
  <c r="AV151" i="1"/>
  <c r="AD6" i="1"/>
  <c r="AB8" i="1"/>
  <c r="AD12" i="1"/>
  <c r="AB14" i="1"/>
  <c r="AD18" i="1"/>
  <c r="AJ19" i="1"/>
  <c r="AT19" i="1"/>
  <c r="AB20" i="1"/>
  <c r="AD24" i="1"/>
  <c r="AJ25" i="1"/>
  <c r="AT25" i="1"/>
  <c r="AB26" i="1"/>
  <c r="AD30" i="1"/>
  <c r="AJ31" i="1"/>
  <c r="AT31" i="1"/>
  <c r="AB32" i="1"/>
  <c r="AD36" i="1"/>
  <c r="AJ37" i="1"/>
  <c r="AT37" i="1"/>
  <c r="AB38" i="1"/>
  <c r="AD42" i="1"/>
  <c r="AJ43" i="1"/>
  <c r="AT43" i="1"/>
  <c r="AB44" i="1"/>
  <c r="AD48" i="1"/>
  <c r="AJ49" i="1"/>
  <c r="AT49" i="1"/>
  <c r="AV49" i="1" s="1"/>
  <c r="AB50" i="1"/>
  <c r="AD54" i="1"/>
  <c r="AJ55" i="1"/>
  <c r="AT55" i="1"/>
  <c r="AB56" i="1"/>
  <c r="AD60" i="1"/>
  <c r="AJ61" i="1"/>
  <c r="AT61" i="1"/>
  <c r="AB62" i="1"/>
  <c r="AT65" i="1"/>
  <c r="AB66" i="1"/>
  <c r="AO67" i="1"/>
  <c r="AN70" i="1"/>
  <c r="AQ71" i="1"/>
  <c r="AR72" i="1"/>
  <c r="AR75" i="1"/>
  <c r="AC77" i="1"/>
  <c r="AB81" i="1"/>
  <c r="AN81" i="1"/>
  <c r="AT81" i="1"/>
  <c r="AJ81" i="1"/>
  <c r="AB90" i="1"/>
  <c r="AR93" i="1"/>
  <c r="AV93" i="1" s="1"/>
  <c r="AB93" i="1"/>
  <c r="AV106" i="1"/>
  <c r="AN108" i="1"/>
  <c r="AT108" i="1"/>
  <c r="AV108" i="1" s="1"/>
  <c r="AJ108" i="1"/>
  <c r="AR111" i="1"/>
  <c r="AV111" i="1" s="1"/>
  <c r="AB111" i="1"/>
  <c r="AV113" i="1"/>
  <c r="AV124" i="1"/>
  <c r="AN126" i="1"/>
  <c r="AT126" i="1"/>
  <c r="AJ126" i="1"/>
  <c r="AV127" i="1"/>
  <c r="AV145" i="1"/>
  <c r="AQ32" i="1"/>
  <c r="AQ38" i="1"/>
  <c r="AO104" i="1"/>
  <c r="AV104" i="1" s="1"/>
  <c r="AC104" i="1"/>
  <c r="AV120" i="1"/>
  <c r="AV139" i="1"/>
  <c r="AT160" i="1"/>
  <c r="AJ160" i="1"/>
  <c r="AN160" i="1"/>
  <c r="AD7" i="1"/>
  <c r="AJ8" i="1"/>
  <c r="AB9" i="1"/>
  <c r="AD13" i="1"/>
  <c r="AB15" i="1"/>
  <c r="AD19" i="1"/>
  <c r="AB21" i="1"/>
  <c r="AD25" i="1"/>
  <c r="AB27" i="1"/>
  <c r="AD31" i="1"/>
  <c r="AJ32" i="1"/>
  <c r="AB33" i="1"/>
  <c r="AD37" i="1"/>
  <c r="AB39" i="1"/>
  <c r="AD43" i="1"/>
  <c r="AB45" i="1"/>
  <c r="AD49" i="1"/>
  <c r="AB51" i="1"/>
  <c r="AD55" i="1"/>
  <c r="AJ56" i="1"/>
  <c r="AB57" i="1"/>
  <c r="AD61" i="1"/>
  <c r="AJ62" i="1"/>
  <c r="AB63" i="1"/>
  <c r="AR64" i="1"/>
  <c r="AV64" i="1" s="1"/>
  <c r="AD66" i="1"/>
  <c r="AO66" i="1"/>
  <c r="AR67" i="1"/>
  <c r="AB67" i="1"/>
  <c r="AT72" i="1"/>
  <c r="AJ72" i="1"/>
  <c r="AD73" i="1"/>
  <c r="AO79" i="1"/>
  <c r="AV79" i="1" s="1"/>
  <c r="AC79" i="1"/>
  <c r="AC86" i="1"/>
  <c r="AO92" i="1"/>
  <c r="AV92" i="1" s="1"/>
  <c r="AC92" i="1"/>
  <c r="AQ103" i="1"/>
  <c r="AO110" i="1"/>
  <c r="AV110" i="1" s="1"/>
  <c r="AC110" i="1"/>
  <c r="AQ121" i="1"/>
  <c r="AV126" i="1"/>
  <c r="AO128" i="1"/>
  <c r="AV128" i="1" s="1"/>
  <c r="AC128" i="1"/>
  <c r="AR129" i="1"/>
  <c r="AV129" i="1" s="1"/>
  <c r="AB129" i="1"/>
  <c r="AO168" i="1"/>
  <c r="AC168" i="1"/>
  <c r="AQ20" i="1"/>
  <c r="AQ50" i="1"/>
  <c r="AC15" i="1"/>
  <c r="AB16" i="1"/>
  <c r="AC21" i="1"/>
  <c r="AB22" i="1"/>
  <c r="AD26" i="1"/>
  <c r="AC27" i="1"/>
  <c r="AB28" i="1"/>
  <c r="AC33" i="1"/>
  <c r="AB34" i="1"/>
  <c r="AC39" i="1"/>
  <c r="AB40" i="1"/>
  <c r="AC45" i="1"/>
  <c r="AB46" i="1"/>
  <c r="AC51" i="1"/>
  <c r="AB52" i="1"/>
  <c r="AC57" i="1"/>
  <c r="AB58" i="1"/>
  <c r="AD62" i="1"/>
  <c r="AC63" i="1"/>
  <c r="AT64" i="1"/>
  <c r="AC65" i="1"/>
  <c r="AT71" i="1"/>
  <c r="AT75" i="1"/>
  <c r="AJ75" i="1"/>
  <c r="AD76" i="1"/>
  <c r="AN84" i="1"/>
  <c r="AT84" i="1"/>
  <c r="AV84" i="1" s="1"/>
  <c r="AJ84" i="1"/>
  <c r="AB87" i="1"/>
  <c r="AN87" i="1"/>
  <c r="AT87" i="1"/>
  <c r="AJ87" i="1"/>
  <c r="AV89" i="1"/>
  <c r="AN96" i="1"/>
  <c r="AT96" i="1"/>
  <c r="AJ96" i="1"/>
  <c r="AR99" i="1"/>
  <c r="AV99" i="1" s="1"/>
  <c r="AB99" i="1"/>
  <c r="AN114" i="1"/>
  <c r="AT114" i="1"/>
  <c r="AV114" i="1" s="1"/>
  <c r="AJ114" i="1"/>
  <c r="AR117" i="1"/>
  <c r="AV117" i="1" s="1"/>
  <c r="AB117" i="1"/>
  <c r="AR139" i="1"/>
  <c r="AB139" i="1"/>
  <c r="AV147" i="1"/>
  <c r="AR151" i="1"/>
  <c r="AB151" i="1"/>
  <c r="AC164" i="1"/>
  <c r="AO164" i="1"/>
  <c r="AV164" i="1" s="1"/>
  <c r="AR165" i="1"/>
  <c r="AV165" i="1" s="1"/>
  <c r="AB165" i="1"/>
  <c r="AN78" i="1"/>
  <c r="AT78" i="1"/>
  <c r="AJ78" i="1"/>
  <c r="AJ4" i="1"/>
  <c r="AT4" i="1"/>
  <c r="AJ10" i="1"/>
  <c r="AT10" i="1"/>
  <c r="AJ16" i="1"/>
  <c r="AT16" i="1"/>
  <c r="AJ22" i="1"/>
  <c r="AT22" i="1"/>
  <c r="AJ28" i="1"/>
  <c r="AT28" i="1"/>
  <c r="AV28" i="1" s="1"/>
  <c r="AJ34" i="1"/>
  <c r="AT34" i="1"/>
  <c r="AV34" i="1" s="1"/>
  <c r="AJ40" i="1"/>
  <c r="AT40" i="1"/>
  <c r="AV40" i="1" s="1"/>
  <c r="AJ46" i="1"/>
  <c r="AT46" i="1"/>
  <c r="AJ52" i="1"/>
  <c r="AT52" i="1"/>
  <c r="AV52" i="1" s="1"/>
  <c r="AJ58" i="1"/>
  <c r="AT58" i="1"/>
  <c r="AV58" i="1" s="1"/>
  <c r="AJ64" i="1"/>
  <c r="AT68" i="1"/>
  <c r="AJ71" i="1"/>
  <c r="AR73" i="1"/>
  <c r="AV73" i="1" s="1"/>
  <c r="AB73" i="1"/>
  <c r="AO98" i="1"/>
  <c r="AV98" i="1" s="1"/>
  <c r="AC98" i="1"/>
  <c r="AO116" i="1"/>
  <c r="AV116" i="1" s="1"/>
  <c r="AC116" i="1"/>
  <c r="AD149" i="1"/>
  <c r="AQ149" i="1"/>
  <c r="AV163" i="1"/>
  <c r="AT66" i="1"/>
  <c r="AJ66" i="1"/>
  <c r="AJ5" i="1"/>
  <c r="AJ11" i="1"/>
  <c r="AJ17" i="1"/>
  <c r="AJ23" i="1"/>
  <c r="AJ29" i="1"/>
  <c r="AJ35" i="1"/>
  <c r="AJ41" i="1"/>
  <c r="AJ47" i="1"/>
  <c r="AJ53" i="1"/>
  <c r="AJ59" i="1"/>
  <c r="AJ69" i="1"/>
  <c r="AN90" i="1"/>
  <c r="AT90" i="1"/>
  <c r="AV90" i="1" s="1"/>
  <c r="AJ90" i="1"/>
  <c r="AN102" i="1"/>
  <c r="AT102" i="1"/>
  <c r="AV102" i="1" s="1"/>
  <c r="AJ102" i="1"/>
  <c r="AV103" i="1"/>
  <c r="AR105" i="1"/>
  <c r="AV105" i="1" s="1"/>
  <c r="AB105" i="1"/>
  <c r="AV107" i="1"/>
  <c r="AN120" i="1"/>
  <c r="AT120" i="1"/>
  <c r="AJ120" i="1"/>
  <c r="AR123" i="1"/>
  <c r="AV123" i="1" s="1"/>
  <c r="AB123" i="1"/>
  <c r="AV125" i="1"/>
  <c r="AT134" i="1"/>
  <c r="AJ134" i="1"/>
  <c r="AN134" i="1"/>
  <c r="AD77" i="1"/>
  <c r="AB79" i="1"/>
  <c r="AD83" i="1"/>
  <c r="AB85" i="1"/>
  <c r="AD89" i="1"/>
  <c r="AB91" i="1"/>
  <c r="AD95" i="1"/>
  <c r="AB97" i="1"/>
  <c r="AD101" i="1"/>
  <c r="AB103" i="1"/>
  <c r="AD107" i="1"/>
  <c r="AB109" i="1"/>
  <c r="AD113" i="1"/>
  <c r="AB115" i="1"/>
  <c r="AD119" i="1"/>
  <c r="AB121" i="1"/>
  <c r="AD125" i="1"/>
  <c r="AB127" i="1"/>
  <c r="AO132" i="1"/>
  <c r="AV132" i="1" s="1"/>
  <c r="AC132" i="1"/>
  <c r="AR133" i="1"/>
  <c r="AB133" i="1"/>
  <c r="AV137" i="1"/>
  <c r="AO138" i="1"/>
  <c r="AC138" i="1"/>
  <c r="AC146" i="1"/>
  <c r="AO146" i="1"/>
  <c r="AV146" i="1" s="1"/>
  <c r="AR147" i="1"/>
  <c r="AB147" i="1"/>
  <c r="AV149" i="1"/>
  <c r="AO150" i="1"/>
  <c r="AC150" i="1"/>
  <c r="AR163" i="1"/>
  <c r="AB163" i="1"/>
  <c r="AQ163" i="1"/>
  <c r="AN168" i="1"/>
  <c r="AT168" i="1"/>
  <c r="AJ168" i="1"/>
  <c r="AV179" i="1"/>
  <c r="AB80" i="1"/>
  <c r="AD84" i="1"/>
  <c r="AC85" i="1"/>
  <c r="AB86" i="1"/>
  <c r="AD90" i="1"/>
  <c r="AC91" i="1"/>
  <c r="AB92" i="1"/>
  <c r="AD96" i="1"/>
  <c r="AC97" i="1"/>
  <c r="AB98" i="1"/>
  <c r="AD102" i="1"/>
  <c r="AC103" i="1"/>
  <c r="AB104" i="1"/>
  <c r="AD108" i="1"/>
  <c r="AC109" i="1"/>
  <c r="AB110" i="1"/>
  <c r="AD114" i="1"/>
  <c r="AC115" i="1"/>
  <c r="AB116" i="1"/>
  <c r="AD120" i="1"/>
  <c r="AC121" i="1"/>
  <c r="AB122" i="1"/>
  <c r="AD126" i="1"/>
  <c r="AC127" i="1"/>
  <c r="AB128" i="1"/>
  <c r="AQ131" i="1"/>
  <c r="AT132" i="1"/>
  <c r="AJ132" i="1"/>
  <c r="AN138" i="1"/>
  <c r="AT138" i="1"/>
  <c r="AJ138" i="1"/>
  <c r="AT142" i="1"/>
  <c r="AV142" i="1" s="1"/>
  <c r="AJ142" i="1"/>
  <c r="AQ145" i="1"/>
  <c r="AN150" i="1"/>
  <c r="AT150" i="1"/>
  <c r="AJ150" i="1"/>
  <c r="AT154" i="1"/>
  <c r="AV154" i="1" s="1"/>
  <c r="AJ154" i="1"/>
  <c r="AC158" i="1"/>
  <c r="AO158" i="1"/>
  <c r="AV158" i="1" s="1"/>
  <c r="AR159" i="1"/>
  <c r="AV159" i="1" s="1"/>
  <c r="AB159" i="1"/>
  <c r="AO162" i="1"/>
  <c r="AV162" i="1" s="1"/>
  <c r="AC162" i="1"/>
  <c r="AC170" i="1"/>
  <c r="AO170" i="1"/>
  <c r="AV170" i="1" s="1"/>
  <c r="AR171" i="1"/>
  <c r="AB171" i="1"/>
  <c r="AN174" i="1"/>
  <c r="AT174" i="1"/>
  <c r="AV174" i="1" s="1"/>
  <c r="AJ174" i="1"/>
  <c r="AV180" i="1"/>
  <c r="AN180" i="1"/>
  <c r="AT180" i="1"/>
  <c r="AJ180" i="1"/>
  <c r="AR131" i="1"/>
  <c r="AV131" i="1" s="1"/>
  <c r="AB131" i="1"/>
  <c r="AR145" i="1"/>
  <c r="AB145" i="1"/>
  <c r="AR157" i="1"/>
  <c r="AV157" i="1" s="1"/>
  <c r="AB157" i="1"/>
  <c r="AN162" i="1"/>
  <c r="AT162" i="1"/>
  <c r="AJ162" i="1"/>
  <c r="AV175" i="1"/>
  <c r="AC176" i="1"/>
  <c r="AO176" i="1"/>
  <c r="AV176" i="1" s="1"/>
  <c r="AR177" i="1"/>
  <c r="AV177" i="1" s="1"/>
  <c r="AB177" i="1"/>
  <c r="AJ93" i="1"/>
  <c r="AT93" i="1"/>
  <c r="AJ99" i="1"/>
  <c r="AT99" i="1"/>
  <c r="AJ105" i="1"/>
  <c r="AT105" i="1"/>
  <c r="AJ111" i="1"/>
  <c r="AT111" i="1"/>
  <c r="AJ117" i="1"/>
  <c r="AT117" i="1"/>
  <c r="AJ123" i="1"/>
  <c r="AT123" i="1"/>
  <c r="AJ129" i="1"/>
  <c r="AT129" i="1"/>
  <c r="AT130" i="1"/>
  <c r="AV130" i="1" s="1"/>
  <c r="AJ130" i="1"/>
  <c r="AT136" i="1"/>
  <c r="AJ136" i="1"/>
  <c r="AC140" i="1"/>
  <c r="AO140" i="1"/>
  <c r="AV140" i="1" s="1"/>
  <c r="AR141" i="1"/>
  <c r="AV141" i="1" s="1"/>
  <c r="AB141" i="1"/>
  <c r="AO144" i="1"/>
  <c r="AV144" i="1" s="1"/>
  <c r="AC144" i="1"/>
  <c r="AV148" i="1"/>
  <c r="AC152" i="1"/>
  <c r="AO152" i="1"/>
  <c r="AV152" i="1" s="1"/>
  <c r="AR153" i="1"/>
  <c r="AV153" i="1" s="1"/>
  <c r="AB153" i="1"/>
  <c r="AO156" i="1"/>
  <c r="AC156" i="1"/>
  <c r="AT166" i="1"/>
  <c r="AJ166" i="1"/>
  <c r="AC134" i="1"/>
  <c r="AO134" i="1"/>
  <c r="AV134" i="1" s="1"/>
  <c r="AR135" i="1"/>
  <c r="AB135" i="1"/>
  <c r="AN144" i="1"/>
  <c r="AT144" i="1"/>
  <c r="AJ144" i="1"/>
  <c r="AT148" i="1"/>
  <c r="AJ148" i="1"/>
  <c r="AN156" i="1"/>
  <c r="AT156" i="1"/>
  <c r="AJ156" i="1"/>
  <c r="AV160" i="1"/>
  <c r="AQ175" i="1"/>
  <c r="AQ173" i="1"/>
  <c r="AQ179" i="1"/>
  <c r="AC136" i="1"/>
  <c r="AB137" i="1"/>
  <c r="AD141" i="1"/>
  <c r="AC142" i="1"/>
  <c r="AB143" i="1"/>
  <c r="AD147" i="1"/>
  <c r="AC148" i="1"/>
  <c r="AB149" i="1"/>
  <c r="AD153" i="1"/>
  <c r="AC154" i="1"/>
  <c r="AB155" i="1"/>
  <c r="AD159" i="1"/>
  <c r="AC160" i="1"/>
  <c r="AB161" i="1"/>
  <c r="AD165" i="1"/>
  <c r="AC166" i="1"/>
  <c r="AB167" i="1"/>
  <c r="AD171" i="1"/>
  <c r="AC172" i="1"/>
  <c r="AJ172" i="1"/>
  <c r="AB173" i="1"/>
  <c r="AD177" i="1"/>
  <c r="AC178" i="1"/>
  <c r="AJ178" i="1"/>
  <c r="AB179" i="1"/>
  <c r="AQ180" i="1"/>
  <c r="AB169" i="1"/>
  <c r="AC174" i="1"/>
  <c r="AB175" i="1"/>
  <c r="AC180" i="1"/>
  <c r="AJ140" i="1"/>
  <c r="AJ146" i="1"/>
  <c r="AJ152" i="1"/>
  <c r="AJ158" i="1"/>
  <c r="AJ164" i="1"/>
  <c r="AJ170" i="1"/>
  <c r="AJ176" i="1"/>
  <c r="AO12" i="8"/>
  <c r="AC12" i="8"/>
  <c r="AO8" i="14"/>
  <c r="AO6" i="14"/>
  <c r="AO3" i="14"/>
  <c r="AO11" i="17"/>
  <c r="AC11" i="17"/>
  <c r="AQ6" i="6"/>
  <c r="AO8" i="7"/>
  <c r="AV8" i="7" s="1"/>
  <c r="AC8" i="7"/>
  <c r="AN8" i="7"/>
  <c r="AT8" i="7"/>
  <c r="AJ8" i="7"/>
  <c r="AQ16" i="7"/>
  <c r="AO21" i="7"/>
  <c r="AV21" i="7" s="1"/>
  <c r="AC21" i="7"/>
  <c r="AR6" i="10"/>
  <c r="AB6" i="10"/>
  <c r="AQ16" i="10"/>
  <c r="AP3" i="11"/>
  <c r="AP8" i="11"/>
  <c r="AR6" i="12"/>
  <c r="AB6" i="12"/>
  <c r="AN14" i="12"/>
  <c r="AD12" i="13"/>
  <c r="AQ12" i="13"/>
  <c r="AR39" i="13"/>
  <c r="AB39" i="13"/>
  <c r="AO7" i="9"/>
  <c r="AV7" i="9" s="1"/>
  <c r="AC7" i="9"/>
  <c r="AR6" i="6"/>
  <c r="AO13" i="7"/>
  <c r="AV13" i="7" s="1"/>
  <c r="AO8" i="8"/>
  <c r="AV8" i="8" s="1"/>
  <c r="AC8" i="8"/>
  <c r="AJ1" i="9"/>
  <c r="AH1" i="9"/>
  <c r="AH2" i="9" s="1"/>
  <c r="AR8" i="9"/>
  <c r="AB8" i="9"/>
  <c r="AO11" i="10"/>
  <c r="AV11" i="10" s="1"/>
  <c r="AC11" i="10"/>
  <c r="AN14" i="10"/>
  <c r="AN15" i="10"/>
  <c r="AT15" i="10"/>
  <c r="AJ15" i="10"/>
  <c r="AO10" i="12"/>
  <c r="AU22" i="7"/>
  <c r="AU21" i="7"/>
  <c r="AU17" i="7"/>
  <c r="AU13" i="7"/>
  <c r="AU26" i="7"/>
  <c r="AU20" i="7"/>
  <c r="AU16" i="7"/>
  <c r="AU12" i="7"/>
  <c r="AU8" i="7"/>
  <c r="AU3" i="7"/>
  <c r="AU25" i="7"/>
  <c r="AU19" i="7"/>
  <c r="AU15" i="7"/>
  <c r="AU11" i="7"/>
  <c r="AU7" i="7"/>
  <c r="AU24" i="7"/>
  <c r="AN9" i="10"/>
  <c r="AT9" i="10"/>
  <c r="AJ9" i="10"/>
  <c r="AR7" i="11"/>
  <c r="AB7" i="11"/>
  <c r="AO11" i="12"/>
  <c r="AV11" i="12" s="1"/>
  <c r="AC11" i="12"/>
  <c r="AU3" i="6"/>
  <c r="AU6" i="6"/>
  <c r="AT6" i="6"/>
  <c r="AO12" i="7"/>
  <c r="AV12" i="7" s="1"/>
  <c r="AC12" i="7"/>
  <c r="AO17" i="7"/>
  <c r="AV17" i="7" s="1"/>
  <c r="AC17" i="7"/>
  <c r="AR22" i="7"/>
  <c r="AB22" i="7"/>
  <c r="AN25" i="7"/>
  <c r="AT25" i="7"/>
  <c r="AJ25" i="7"/>
  <c r="AQ6" i="9"/>
  <c r="AO15" i="10"/>
  <c r="AO9" i="10"/>
  <c r="AO3" i="10"/>
  <c r="AO13" i="10"/>
  <c r="AO7" i="10"/>
  <c r="AV7" i="10" s="1"/>
  <c r="AN18" i="10"/>
  <c r="AN12" i="10"/>
  <c r="AN6" i="10"/>
  <c r="AN17" i="10"/>
  <c r="AN11" i="10"/>
  <c r="AO6" i="10"/>
  <c r="AV6" i="10" s="1"/>
  <c r="AN10" i="10"/>
  <c r="AO17" i="10"/>
  <c r="AC17" i="10"/>
  <c r="AO15" i="12"/>
  <c r="AO9" i="12"/>
  <c r="AO3" i="12"/>
  <c r="AO13" i="12"/>
  <c r="AO7" i="12"/>
  <c r="AN12" i="12"/>
  <c r="AN6" i="12"/>
  <c r="AN11" i="12"/>
  <c r="AN10" i="12"/>
  <c r="AO6" i="12"/>
  <c r="AQ10" i="12"/>
  <c r="AR12" i="12"/>
  <c r="AB12" i="12"/>
  <c r="AN17" i="16"/>
  <c r="AT17" i="16"/>
  <c r="AJ17" i="16"/>
  <c r="AJ6" i="6"/>
  <c r="AV11" i="7"/>
  <c r="AN19" i="7"/>
  <c r="AJ19" i="7"/>
  <c r="AT19" i="7"/>
  <c r="AQ26" i="7"/>
  <c r="AR3" i="8"/>
  <c r="AR11" i="8"/>
  <c r="AV11" i="8" s="1"/>
  <c r="AR7" i="8"/>
  <c r="AR9" i="8"/>
  <c r="AB9" i="8"/>
  <c r="AQ11" i="8"/>
  <c r="AQ8" i="9"/>
  <c r="AN7" i="10"/>
  <c r="AN8" i="10"/>
  <c r="AO6" i="11"/>
  <c r="AC6" i="11"/>
  <c r="AP6" i="11"/>
  <c r="AN7" i="12"/>
  <c r="AN8" i="12"/>
  <c r="AU84" i="13"/>
  <c r="AU80" i="13"/>
  <c r="AU92" i="13"/>
  <c r="AU91" i="13"/>
  <c r="AU81" i="13"/>
  <c r="AU76" i="13"/>
  <c r="AU72" i="13"/>
  <c r="AU68" i="13"/>
  <c r="AU64" i="13"/>
  <c r="AU93" i="13"/>
  <c r="AU85" i="13"/>
  <c r="AU79" i="13"/>
  <c r="AU75" i="13"/>
  <c r="AU71" i="13"/>
  <c r="AU67" i="13"/>
  <c r="AU63" i="13"/>
  <c r="AU59" i="13"/>
  <c r="AU55" i="13"/>
  <c r="AU89" i="13"/>
  <c r="AU87" i="13"/>
  <c r="AU86" i="13"/>
  <c r="AU83" i="13"/>
  <c r="AU78" i="13"/>
  <c r="AU74" i="13"/>
  <c r="AU70" i="13"/>
  <c r="AU66" i="13"/>
  <c r="AU62" i="13"/>
  <c r="AU58" i="13"/>
  <c r="AU54" i="13"/>
  <c r="AU50" i="13"/>
  <c r="AU61" i="13"/>
  <c r="AU39" i="13"/>
  <c r="AU35" i="13"/>
  <c r="AU25" i="13"/>
  <c r="AU21" i="13"/>
  <c r="AU17" i="13"/>
  <c r="AU13" i="13"/>
  <c r="AU57" i="13"/>
  <c r="AU44" i="13"/>
  <c r="AU38" i="13"/>
  <c r="AU34" i="13"/>
  <c r="AU16" i="13"/>
  <c r="AU12" i="13"/>
  <c r="AU51" i="13"/>
  <c r="AU47" i="13"/>
  <c r="AU43" i="13"/>
  <c r="AU37" i="13"/>
  <c r="AU33" i="13"/>
  <c r="AU29" i="13"/>
  <c r="AU46" i="13"/>
  <c r="AU42" i="13"/>
  <c r="AU32" i="13"/>
  <c r="AU28" i="13"/>
  <c r="AU8" i="13"/>
  <c r="AU3" i="13"/>
  <c r="AU90" i="13"/>
  <c r="AU49" i="13"/>
  <c r="AU41" i="13"/>
  <c r="AU31" i="13"/>
  <c r="AU27" i="13"/>
  <c r="AU23" i="13"/>
  <c r="AU19" i="13"/>
  <c r="AU22" i="13"/>
  <c r="AU10" i="13"/>
  <c r="AU40" i="13"/>
  <c r="AU14" i="13"/>
  <c r="AU6" i="13"/>
  <c r="AU53" i="13"/>
  <c r="AU26" i="13"/>
  <c r="AU18" i="13"/>
  <c r="AU7" i="13"/>
  <c r="AQ43" i="13"/>
  <c r="AR13" i="7"/>
  <c r="AB13" i="7"/>
  <c r="AN15" i="12"/>
  <c r="AT15" i="12"/>
  <c r="AJ15" i="12"/>
  <c r="AD14" i="17"/>
  <c r="AQ14" i="17"/>
  <c r="AR24" i="7"/>
  <c r="AR3" i="7"/>
  <c r="AR12" i="7"/>
  <c r="AR26" i="7"/>
  <c r="AR20" i="7"/>
  <c r="AR16" i="7"/>
  <c r="AT7" i="7"/>
  <c r="AU10" i="7"/>
  <c r="AQ11" i="7"/>
  <c r="AQ12" i="7"/>
  <c r="AN15" i="7"/>
  <c r="AT15" i="7"/>
  <c r="AJ15" i="7"/>
  <c r="AQ20" i="7"/>
  <c r="AU23" i="7"/>
  <c r="AN6" i="8"/>
  <c r="AT6" i="8"/>
  <c r="AJ6" i="8"/>
  <c r="AR12" i="8"/>
  <c r="AJ9" i="9"/>
  <c r="AJ7" i="9"/>
  <c r="AQ9" i="9"/>
  <c r="AQ10" i="10"/>
  <c r="AR12" i="10"/>
  <c r="AB12" i="10"/>
  <c r="AN16" i="10"/>
  <c r="AR18" i="10"/>
  <c r="AB18" i="10"/>
  <c r="AN9" i="12"/>
  <c r="AT9" i="12"/>
  <c r="AJ9" i="12"/>
  <c r="AO14" i="12"/>
  <c r="AQ13" i="7"/>
  <c r="AQ17" i="7"/>
  <c r="AQ21" i="7"/>
  <c r="AH1" i="8"/>
  <c r="AH2" i="8" s="1"/>
  <c r="AQ8" i="8"/>
  <c r="AQ12" i="8"/>
  <c r="AR6" i="9"/>
  <c r="AQ7" i="9"/>
  <c r="AP6" i="10"/>
  <c r="AR10" i="10"/>
  <c r="AQ11" i="10"/>
  <c r="AP12" i="10"/>
  <c r="AV12" i="10" s="1"/>
  <c r="AR16" i="10"/>
  <c r="AQ17" i="10"/>
  <c r="AQ6" i="11"/>
  <c r="AO8" i="11"/>
  <c r="AV8" i="11" s="1"/>
  <c r="AP6" i="12"/>
  <c r="AR10" i="12"/>
  <c r="AQ11" i="12"/>
  <c r="AU14" i="12"/>
  <c r="AN89" i="13"/>
  <c r="AN85" i="13"/>
  <c r="AN76" i="13"/>
  <c r="AN72" i="13"/>
  <c r="AN68" i="13"/>
  <c r="AN64" i="13"/>
  <c r="AN86" i="13"/>
  <c r="AN90" i="13"/>
  <c r="AN91" i="13"/>
  <c r="AN44" i="13"/>
  <c r="AN38" i="13"/>
  <c r="AN34" i="13"/>
  <c r="AN16" i="13"/>
  <c r="AN93" i="13"/>
  <c r="AN53" i="13"/>
  <c r="AN49" i="13"/>
  <c r="AN41" i="13"/>
  <c r="AN31" i="13"/>
  <c r="AN27" i="13"/>
  <c r="AN23" i="13"/>
  <c r="AN19" i="13"/>
  <c r="AD10" i="13"/>
  <c r="AQ21" i="13"/>
  <c r="AN22" i="13"/>
  <c r="AN29" i="13"/>
  <c r="AO34" i="13"/>
  <c r="AV34" i="13" s="1"/>
  <c r="AC34" i="13"/>
  <c r="AN39" i="13"/>
  <c r="AQ40" i="13"/>
  <c r="AQ41" i="13"/>
  <c r="AO58" i="13"/>
  <c r="AV58" i="13" s="1"/>
  <c r="AC58" i="13"/>
  <c r="AQ74" i="13"/>
  <c r="AJ84" i="13"/>
  <c r="AJ12" i="7"/>
  <c r="AT12" i="7"/>
  <c r="AC16" i="7"/>
  <c r="AJ16" i="7"/>
  <c r="AT16" i="7"/>
  <c r="AB17" i="7"/>
  <c r="AD19" i="7"/>
  <c r="AC20" i="7"/>
  <c r="AJ20" i="7"/>
  <c r="AT20" i="7"/>
  <c r="AB21" i="7"/>
  <c r="AD25" i="7"/>
  <c r="AC26" i="7"/>
  <c r="AJ26" i="7"/>
  <c r="AT26" i="7"/>
  <c r="AD6" i="8"/>
  <c r="AU6" i="8"/>
  <c r="AC7" i="8"/>
  <c r="AJ7" i="8"/>
  <c r="AT7" i="8"/>
  <c r="AB8" i="8"/>
  <c r="AC11" i="8"/>
  <c r="AJ11" i="8"/>
  <c r="AT11" i="8"/>
  <c r="AB12" i="8"/>
  <c r="AC6" i="9"/>
  <c r="AJ6" i="9"/>
  <c r="AT6" i="9"/>
  <c r="AB7" i="9"/>
  <c r="AP7" i="10"/>
  <c r="AD9" i="10"/>
  <c r="AU9" i="10"/>
  <c r="AC10" i="10"/>
  <c r="AJ10" i="10"/>
  <c r="AT10" i="10"/>
  <c r="AB11" i="10"/>
  <c r="AP13" i="10"/>
  <c r="AD15" i="10"/>
  <c r="AU15" i="10"/>
  <c r="AC16" i="10"/>
  <c r="AJ16" i="10"/>
  <c r="AT16" i="10"/>
  <c r="AB17" i="10"/>
  <c r="AB6" i="11"/>
  <c r="AP7" i="12"/>
  <c r="AD9" i="12"/>
  <c r="AU9" i="12"/>
  <c r="AC10" i="12"/>
  <c r="AJ10" i="12"/>
  <c r="AB11" i="12"/>
  <c r="AP13" i="12"/>
  <c r="AD15" i="12"/>
  <c r="AU15" i="12"/>
  <c r="AO92" i="13"/>
  <c r="AO87" i="13"/>
  <c r="AO75" i="13"/>
  <c r="AO71" i="13"/>
  <c r="AV71" i="13" s="1"/>
  <c r="AO67" i="13"/>
  <c r="AO90" i="13"/>
  <c r="AO84" i="13"/>
  <c r="AO81" i="13"/>
  <c r="AO3" i="13"/>
  <c r="AO42" i="13"/>
  <c r="AO28" i="13"/>
  <c r="AO50" i="13"/>
  <c r="AO40" i="13"/>
  <c r="AO26" i="13"/>
  <c r="AO18" i="13"/>
  <c r="AJ6" i="13"/>
  <c r="AC7" i="13"/>
  <c r="AJ7" i="13"/>
  <c r="AQ8" i="13"/>
  <c r="AO16" i="13"/>
  <c r="AV16" i="13" s="1"/>
  <c r="AC16" i="13"/>
  <c r="AQ23" i="13"/>
  <c r="AQ37" i="13"/>
  <c r="AQ39" i="13"/>
  <c r="AN40" i="13"/>
  <c r="AQ42" i="13"/>
  <c r="AN42" i="13"/>
  <c r="AT42" i="13"/>
  <c r="AJ42" i="13"/>
  <c r="AO44" i="13"/>
  <c r="AV44" i="13" s="1"/>
  <c r="AC44" i="13"/>
  <c r="AN47" i="13"/>
  <c r="AN63" i="13"/>
  <c r="AJ17" i="7"/>
  <c r="AU7" i="8"/>
  <c r="AJ8" i="8"/>
  <c r="AU11" i="8"/>
  <c r="AP14" i="10"/>
  <c r="AV14" i="10" s="1"/>
  <c r="AU16" i="10"/>
  <c r="AH1" i="11"/>
  <c r="AH2" i="11" s="1"/>
  <c r="AJ6" i="11"/>
  <c r="AP14" i="12"/>
  <c r="AJ92" i="13"/>
  <c r="AJ76" i="13"/>
  <c r="AJ72" i="13"/>
  <c r="AJ68" i="13"/>
  <c r="AJ64" i="13"/>
  <c r="AJ86" i="13"/>
  <c r="AJ90" i="13"/>
  <c r="AJ57" i="13"/>
  <c r="AJ40" i="13"/>
  <c r="AJ26" i="13"/>
  <c r="AJ22" i="13"/>
  <c r="AJ18" i="13"/>
  <c r="AJ14" i="13"/>
  <c r="AJ10" i="13"/>
  <c r="AJ44" i="13"/>
  <c r="AJ38" i="13"/>
  <c r="AJ34" i="13"/>
  <c r="AJ16" i="13"/>
  <c r="AN6" i="13"/>
  <c r="AR10" i="13"/>
  <c r="AB10" i="13"/>
  <c r="AR14" i="13"/>
  <c r="AB14" i="13"/>
  <c r="AO27" i="13"/>
  <c r="AQ31" i="13"/>
  <c r="AN33" i="13"/>
  <c r="AR35" i="13"/>
  <c r="AB35" i="13"/>
  <c r="AJ41" i="13"/>
  <c r="AQ46" i="13"/>
  <c r="AN46" i="13"/>
  <c r="AT46" i="13"/>
  <c r="AJ46" i="13"/>
  <c r="AO49" i="13"/>
  <c r="AN81" i="13"/>
  <c r="AQ90" i="13"/>
  <c r="AD90" i="13"/>
  <c r="AN13" i="7"/>
  <c r="AJ22" i="7"/>
  <c r="AB23" i="7"/>
  <c r="AU3" i="8"/>
  <c r="AU8" i="8"/>
  <c r="AJ9" i="8"/>
  <c r="AU12" i="8"/>
  <c r="AJ8" i="9"/>
  <c r="AB9" i="9"/>
  <c r="AP3" i="10"/>
  <c r="AJ6" i="10"/>
  <c r="AB7" i="10"/>
  <c r="AP9" i="10"/>
  <c r="AU11" i="10"/>
  <c r="AJ12" i="10"/>
  <c r="AB13" i="10"/>
  <c r="AU17" i="10"/>
  <c r="AJ18" i="10"/>
  <c r="AN6" i="11"/>
  <c r="AU6" i="11"/>
  <c r="AJ7" i="11"/>
  <c r="AB8" i="11"/>
  <c r="AP3" i="12"/>
  <c r="AJ6" i="12"/>
  <c r="AB7" i="12"/>
  <c r="AP9" i="12"/>
  <c r="AJ12" i="12"/>
  <c r="AB13" i="12"/>
  <c r="AP15" i="12"/>
  <c r="AQ84" i="13"/>
  <c r="AQ81" i="13"/>
  <c r="AQ93" i="13"/>
  <c r="AQ85" i="13"/>
  <c r="AQ86" i="13"/>
  <c r="AQ71" i="13"/>
  <c r="AQ53" i="13"/>
  <c r="AQ50" i="13"/>
  <c r="AQ61" i="13"/>
  <c r="AQ57" i="13"/>
  <c r="AQ55" i="13"/>
  <c r="AQ51" i="13"/>
  <c r="AN8" i="13"/>
  <c r="AT8" i="13"/>
  <c r="AR13" i="13"/>
  <c r="AV13" i="13" s="1"/>
  <c r="AB13" i="13"/>
  <c r="AR17" i="13"/>
  <c r="AB17" i="13"/>
  <c r="AQ18" i="13"/>
  <c r="AQ19" i="13"/>
  <c r="AJ23" i="13"/>
  <c r="AR25" i="13"/>
  <c r="AV25" i="13" s="1"/>
  <c r="AB25" i="13"/>
  <c r="AQ26" i="13"/>
  <c r="AQ27" i="13"/>
  <c r="AQ28" i="13"/>
  <c r="AN28" i="13"/>
  <c r="AT28" i="13"/>
  <c r="AJ28" i="13"/>
  <c r="AQ32" i="13"/>
  <c r="AN32" i="13"/>
  <c r="AT32" i="13"/>
  <c r="AJ32" i="13"/>
  <c r="AN35" i="13"/>
  <c r="AO38" i="13"/>
  <c r="AV38" i="13" s="1"/>
  <c r="AC38" i="13"/>
  <c r="AQ47" i="13"/>
  <c r="AQ49" i="13"/>
  <c r="AN57" i="13"/>
  <c r="AQ70" i="13"/>
  <c r="AR8" i="12"/>
  <c r="AR6" i="13"/>
  <c r="AB6" i="13"/>
  <c r="AJ8" i="13"/>
  <c r="AV12" i="13"/>
  <c r="AN12" i="13"/>
  <c r="AN13" i="13"/>
  <c r="AQ14" i="13"/>
  <c r="AN17" i="13"/>
  <c r="AN18" i="13"/>
  <c r="AR21" i="13"/>
  <c r="AB21" i="13"/>
  <c r="AN25" i="13"/>
  <c r="AN26" i="13"/>
  <c r="AJ31" i="13"/>
  <c r="AQ33" i="13"/>
  <c r="AQ35" i="13"/>
  <c r="AO43" i="13"/>
  <c r="AN43" i="13"/>
  <c r="AJ50" i="13"/>
  <c r="AJ53" i="13"/>
  <c r="AQ54" i="13"/>
  <c r="AJ61" i="13"/>
  <c r="AQ16" i="13"/>
  <c r="AP17" i="13"/>
  <c r="AV17" i="13" s="1"/>
  <c r="AR29" i="13"/>
  <c r="AR33" i="13"/>
  <c r="AQ34" i="13"/>
  <c r="AR37" i="13"/>
  <c r="AQ38" i="13"/>
  <c r="AR43" i="13"/>
  <c r="AQ44" i="13"/>
  <c r="AR47" i="13"/>
  <c r="AR54" i="13"/>
  <c r="AN58" i="13"/>
  <c r="AR59" i="13"/>
  <c r="AB59" i="13"/>
  <c r="AN59" i="13"/>
  <c r="AR67" i="13"/>
  <c r="AN67" i="13"/>
  <c r="AR70" i="13"/>
  <c r="AR75" i="13"/>
  <c r="AN75" i="13"/>
  <c r="AO80" i="13"/>
  <c r="AC80" i="13"/>
  <c r="AQ83" i="13"/>
  <c r="AD83" i="13"/>
  <c r="AN83" i="13"/>
  <c r="AP92" i="13"/>
  <c r="AP90" i="13"/>
  <c r="AP87" i="13"/>
  <c r="AP86" i="13"/>
  <c r="AP75" i="13"/>
  <c r="AP71" i="13"/>
  <c r="AP67" i="13"/>
  <c r="AP83" i="13"/>
  <c r="AP80" i="13"/>
  <c r="AP74" i="13"/>
  <c r="AP66" i="13"/>
  <c r="AP62" i="13"/>
  <c r="AP61" i="13"/>
  <c r="AP57" i="13"/>
  <c r="AP91" i="13"/>
  <c r="AP84" i="13"/>
  <c r="AP81" i="13"/>
  <c r="AP93" i="13"/>
  <c r="AB12" i="13"/>
  <c r="AP14" i="13"/>
  <c r="AV14" i="13" s="1"/>
  <c r="AB16" i="13"/>
  <c r="AP18" i="13"/>
  <c r="AP26" i="13"/>
  <c r="AD28" i="13"/>
  <c r="AC29" i="13"/>
  <c r="AJ29" i="13"/>
  <c r="AT29" i="13"/>
  <c r="AD32" i="13"/>
  <c r="AC33" i="13"/>
  <c r="AJ33" i="13"/>
  <c r="AT33" i="13"/>
  <c r="AB34" i="13"/>
  <c r="AC37" i="13"/>
  <c r="AJ37" i="13"/>
  <c r="AT37" i="13"/>
  <c r="AB38" i="13"/>
  <c r="AP40" i="13"/>
  <c r="AD42" i="13"/>
  <c r="AC43" i="13"/>
  <c r="AJ43" i="13"/>
  <c r="AT43" i="13"/>
  <c r="AB44" i="13"/>
  <c r="AD46" i="13"/>
  <c r="AC47" i="13"/>
  <c r="AJ47" i="13"/>
  <c r="AT47" i="13"/>
  <c r="AP50" i="13"/>
  <c r="AR51" i="13"/>
  <c r="AO57" i="13"/>
  <c r="AR57" i="13"/>
  <c r="AJ58" i="13"/>
  <c r="AO59" i="13"/>
  <c r="AQ63" i="13"/>
  <c r="AQ67" i="13"/>
  <c r="AR71" i="13"/>
  <c r="AN71" i="13"/>
  <c r="AQ75" i="13"/>
  <c r="AN79" i="13"/>
  <c r="AR80" i="13"/>
  <c r="AP19" i="13"/>
  <c r="AV19" i="13" s="1"/>
  <c r="AP27" i="13"/>
  <c r="AP49" i="13"/>
  <c r="AT51" i="13"/>
  <c r="AJ51" i="13"/>
  <c r="AN54" i="13"/>
  <c r="AP59" i="13"/>
  <c r="AR64" i="13"/>
  <c r="AR68" i="13"/>
  <c r="AR76" i="13"/>
  <c r="AQ87" i="13"/>
  <c r="AN87" i="13"/>
  <c r="AP89" i="13"/>
  <c r="AU25" i="16"/>
  <c r="AU21" i="16"/>
  <c r="AU34" i="16"/>
  <c r="AU33" i="16"/>
  <c r="AU19" i="16"/>
  <c r="AU32" i="16"/>
  <c r="AU28" i="16"/>
  <c r="AU31" i="16"/>
  <c r="AU27" i="16"/>
  <c r="AU10" i="16"/>
  <c r="AU9" i="16"/>
  <c r="AU30" i="16"/>
  <c r="AU26" i="16"/>
  <c r="AU22" i="16"/>
  <c r="AU8" i="16"/>
  <c r="AU3" i="16"/>
  <c r="AU18" i="16"/>
  <c r="AU17" i="16"/>
  <c r="AU13" i="16"/>
  <c r="AU7" i="16"/>
  <c r="AU24" i="16"/>
  <c r="AU20" i="16"/>
  <c r="AU16" i="16"/>
  <c r="AU12" i="16"/>
  <c r="AU6" i="16"/>
  <c r="AU15" i="16"/>
  <c r="AU11" i="16"/>
  <c r="AN7" i="16"/>
  <c r="AT7" i="16"/>
  <c r="AV7" i="16" s="1"/>
  <c r="AJ7" i="16"/>
  <c r="AR10" i="16"/>
  <c r="AB10" i="16"/>
  <c r="AR93" i="13"/>
  <c r="AR61" i="13"/>
  <c r="AR84" i="13"/>
  <c r="AR81" i="13"/>
  <c r="AR91" i="13"/>
  <c r="AR79" i="13"/>
  <c r="AJ13" i="13"/>
  <c r="AT13" i="13"/>
  <c r="AJ17" i="13"/>
  <c r="AT17" i="13"/>
  <c r="AB18" i="13"/>
  <c r="AJ21" i="13"/>
  <c r="AT21" i="13"/>
  <c r="AB22" i="13"/>
  <c r="AJ25" i="13"/>
  <c r="AT25" i="13"/>
  <c r="AB26" i="13"/>
  <c r="AP28" i="13"/>
  <c r="AJ35" i="13"/>
  <c r="AT35" i="13"/>
  <c r="AJ39" i="13"/>
  <c r="AT39" i="13"/>
  <c r="AB40" i="13"/>
  <c r="AP42" i="13"/>
  <c r="AN51" i="13"/>
  <c r="AR53" i="13"/>
  <c r="AJ54" i="13"/>
  <c r="AN55" i="13"/>
  <c r="AT55" i="13"/>
  <c r="AJ55" i="13"/>
  <c r="AQ58" i="13"/>
  <c r="AQ59" i="13"/>
  <c r="AO61" i="13"/>
  <c r="AV61" i="13" s="1"/>
  <c r="AO62" i="13"/>
  <c r="AC62" i="13"/>
  <c r="AN62" i="13"/>
  <c r="AT62" i="13"/>
  <c r="AJ62" i="13"/>
  <c r="AO64" i="13"/>
  <c r="AV64" i="13" s="1"/>
  <c r="AC64" i="13"/>
  <c r="AO68" i="13"/>
  <c r="AC68" i="13"/>
  <c r="AR72" i="13"/>
  <c r="AO76" i="13"/>
  <c r="AV76" i="13" s="1"/>
  <c r="AC76" i="13"/>
  <c r="AP76" i="13"/>
  <c r="AN78" i="13"/>
  <c r="AT78" i="13"/>
  <c r="AJ78" i="13"/>
  <c r="AR87" i="13"/>
  <c r="AR92" i="13"/>
  <c r="AR19" i="13"/>
  <c r="AR23" i="13"/>
  <c r="AR27" i="13"/>
  <c r="AR31" i="13"/>
  <c r="AR41" i="13"/>
  <c r="AP43" i="13"/>
  <c r="AR49" i="13"/>
  <c r="AN50" i="13"/>
  <c r="AT50" i="13"/>
  <c r="AO55" i="13"/>
  <c r="AV55" i="13" s="1"/>
  <c r="AR58" i="13"/>
  <c r="AN61" i="13"/>
  <c r="AQ62" i="13"/>
  <c r="AR62" i="13"/>
  <c r="AQ64" i="13"/>
  <c r="AP64" i="13"/>
  <c r="AO66" i="13"/>
  <c r="AN66" i="13"/>
  <c r="AT66" i="13"/>
  <c r="AJ66" i="13"/>
  <c r="AQ68" i="13"/>
  <c r="AP68" i="13"/>
  <c r="AN70" i="13"/>
  <c r="AT70" i="13"/>
  <c r="AJ70" i="13"/>
  <c r="AO72" i="13"/>
  <c r="AV72" i="13" s="1"/>
  <c r="AC72" i="13"/>
  <c r="AP72" i="13"/>
  <c r="AO74" i="13"/>
  <c r="AV74" i="13" s="1"/>
  <c r="AN74" i="13"/>
  <c r="AT74" i="13"/>
  <c r="AJ74" i="13"/>
  <c r="AQ78" i="13"/>
  <c r="AQ79" i="13"/>
  <c r="AO86" i="13"/>
  <c r="AC86" i="13"/>
  <c r="AB63" i="13"/>
  <c r="AC66" i="13"/>
  <c r="AB67" i="13"/>
  <c r="AC70" i="13"/>
  <c r="AB71" i="13"/>
  <c r="AQ72" i="13"/>
  <c r="AC74" i="13"/>
  <c r="AB75" i="13"/>
  <c r="AQ76" i="13"/>
  <c r="AC78" i="13"/>
  <c r="AN80" i="13"/>
  <c r="AT80" i="13"/>
  <c r="AT83" i="13"/>
  <c r="AT87" i="13"/>
  <c r="AR89" i="13"/>
  <c r="AN8" i="15"/>
  <c r="AT8" i="15"/>
  <c r="AJ8" i="15"/>
  <c r="AN13" i="16"/>
  <c r="AT13" i="16"/>
  <c r="AJ13" i="16"/>
  <c r="AO27" i="17"/>
  <c r="AC27" i="17"/>
  <c r="AJ59" i="13"/>
  <c r="AT59" i="13"/>
  <c r="AD62" i="13"/>
  <c r="AC63" i="13"/>
  <c r="AJ63" i="13"/>
  <c r="AT63" i="13"/>
  <c r="AB64" i="13"/>
  <c r="AD66" i="13"/>
  <c r="AJ67" i="13"/>
  <c r="AT67" i="13"/>
  <c r="AB68" i="13"/>
  <c r="AD70" i="13"/>
  <c r="AJ71" i="13"/>
  <c r="AT71" i="13"/>
  <c r="AB72" i="13"/>
  <c r="AD74" i="13"/>
  <c r="AJ75" i="13"/>
  <c r="AT75" i="13"/>
  <c r="AB76" i="13"/>
  <c r="AD78" i="13"/>
  <c r="AJ79" i="13"/>
  <c r="AT79" i="13"/>
  <c r="AJ80" i="13"/>
  <c r="AJ83" i="13"/>
  <c r="AR85" i="13"/>
  <c r="AJ87" i="13"/>
  <c r="AN92" i="13"/>
  <c r="AR8" i="14"/>
  <c r="AB8" i="14"/>
  <c r="AO9" i="16"/>
  <c r="AV9" i="16" s="1"/>
  <c r="AC9" i="16"/>
  <c r="AT85" i="13"/>
  <c r="AJ85" i="13"/>
  <c r="AQ89" i="13"/>
  <c r="AT89" i="13"/>
  <c r="AJ89" i="13"/>
  <c r="AO91" i="13"/>
  <c r="AV91" i="13" s="1"/>
  <c r="AR9" i="14"/>
  <c r="AR7" i="14"/>
  <c r="AR6" i="14"/>
  <c r="AB6" i="14"/>
  <c r="AO7" i="14"/>
  <c r="AV7" i="14" s="1"/>
  <c r="AC7" i="14"/>
  <c r="AR10" i="14"/>
  <c r="AD27" i="16"/>
  <c r="AQ27" i="16"/>
  <c r="AR90" i="13"/>
  <c r="AB90" i="13"/>
  <c r="AQ91" i="13"/>
  <c r="AO93" i="13"/>
  <c r="AV93" i="13" s="1"/>
  <c r="AC93" i="13"/>
  <c r="AJ1" i="14"/>
  <c r="AH1" i="14"/>
  <c r="AH2" i="14" s="1"/>
  <c r="AR3" i="14"/>
  <c r="AQ7" i="14"/>
  <c r="AJ8" i="14"/>
  <c r="AQ18" i="16"/>
  <c r="AD18" i="16"/>
  <c r="AQ80" i="13"/>
  <c r="AT81" i="13"/>
  <c r="AJ81" i="13"/>
  <c r="AO83" i="13"/>
  <c r="AV83" i="13" s="1"/>
  <c r="AN84" i="13"/>
  <c r="AT84" i="13"/>
  <c r="AO85" i="13"/>
  <c r="AV85" i="13" s="1"/>
  <c r="AR86" i="13"/>
  <c r="AB86" i="13"/>
  <c r="AD89" i="13"/>
  <c r="AO89" i="13"/>
  <c r="AQ92" i="13"/>
  <c r="AT93" i="13"/>
  <c r="AJ93" i="13"/>
  <c r="AN7" i="14"/>
  <c r="AQ9" i="14"/>
  <c r="AQ10" i="14"/>
  <c r="AQ15" i="17"/>
  <c r="AD18" i="17"/>
  <c r="AQ18" i="17"/>
  <c r="AO9" i="14"/>
  <c r="AV9" i="14" s="1"/>
  <c r="AD10" i="14"/>
  <c r="AU10" i="14"/>
  <c r="AR3" i="15"/>
  <c r="AD7" i="15"/>
  <c r="AC8" i="15"/>
  <c r="AQ3" i="16"/>
  <c r="AD6" i="16"/>
  <c r="AP10" i="16"/>
  <c r="AV10" i="16" s="1"/>
  <c r="AO11" i="16"/>
  <c r="AV11" i="16" s="1"/>
  <c r="AD12" i="16"/>
  <c r="AN12" i="16"/>
  <c r="AC13" i="16"/>
  <c r="AO15" i="16"/>
  <c r="AV15" i="16" s="1"/>
  <c r="AD16" i="16"/>
  <c r="AT18" i="16"/>
  <c r="AO20" i="16"/>
  <c r="AC20" i="16"/>
  <c r="AP22" i="16"/>
  <c r="AP26" i="16"/>
  <c r="AR28" i="16"/>
  <c r="AQ30" i="16"/>
  <c r="AN33" i="16"/>
  <c r="AP34" i="16"/>
  <c r="AQ11" i="17"/>
  <c r="AQ17" i="17"/>
  <c r="AN17" i="17"/>
  <c r="AT17" i="17"/>
  <c r="AJ17" i="17"/>
  <c r="AQ21" i="17"/>
  <c r="AN21" i="17"/>
  <c r="AT21" i="17"/>
  <c r="AJ21" i="17"/>
  <c r="AQ27" i="17"/>
  <c r="AJ6" i="14"/>
  <c r="AT6" i="14"/>
  <c r="AQ8" i="14"/>
  <c r="AO33" i="16"/>
  <c r="AO31" i="16"/>
  <c r="AO27" i="16"/>
  <c r="AN25" i="16"/>
  <c r="AN34" i="16"/>
  <c r="AN31" i="16"/>
  <c r="AN27" i="16"/>
  <c r="AO6" i="16"/>
  <c r="AJ8" i="16"/>
  <c r="AT8" i="16"/>
  <c r="AQ10" i="16"/>
  <c r="AP11" i="16"/>
  <c r="AO16" i="16"/>
  <c r="AJ18" i="16"/>
  <c r="AT20" i="16"/>
  <c r="AJ20" i="16"/>
  <c r="AR21" i="16"/>
  <c r="AB21" i="16"/>
  <c r="AR22" i="16"/>
  <c r="AO24" i="16"/>
  <c r="AC24" i="16"/>
  <c r="AR25" i="16"/>
  <c r="AB25" i="16"/>
  <c r="AN30" i="16"/>
  <c r="AQ33" i="16"/>
  <c r="AJ1" i="17"/>
  <c r="AH1" i="17"/>
  <c r="AH2" i="17" s="1"/>
  <c r="AQ6" i="17"/>
  <c r="AQ9" i="17"/>
  <c r="AN9" i="17"/>
  <c r="AT9" i="17"/>
  <c r="AV9" i="17" s="1"/>
  <c r="AJ9" i="17"/>
  <c r="AQ13" i="17"/>
  <c r="AN13" i="17"/>
  <c r="AT13" i="17"/>
  <c r="AJ13" i="17"/>
  <c r="AO23" i="17"/>
  <c r="AC23" i="17"/>
  <c r="AU6" i="14"/>
  <c r="AJ7" i="14"/>
  <c r="AP33" i="16"/>
  <c r="AP19" i="16"/>
  <c r="AV19" i="16" s="1"/>
  <c r="AP32" i="16"/>
  <c r="AP31" i="16"/>
  <c r="AP27" i="16"/>
  <c r="AP30" i="16"/>
  <c r="AP25" i="16"/>
  <c r="AP21" i="16"/>
  <c r="AP6" i="16"/>
  <c r="AJ9" i="16"/>
  <c r="AP16" i="16"/>
  <c r="AN20" i="16"/>
  <c r="AN21" i="16"/>
  <c r="AQ24" i="16"/>
  <c r="AT24" i="16"/>
  <c r="AJ24" i="16"/>
  <c r="AO32" i="16"/>
  <c r="AQ10" i="17"/>
  <c r="AQ23" i="17"/>
  <c r="AQ26" i="17"/>
  <c r="AR28" i="17"/>
  <c r="AB28" i="17"/>
  <c r="AO6" i="18"/>
  <c r="AV6" i="18" s="1"/>
  <c r="AC6" i="18"/>
  <c r="AO8" i="16"/>
  <c r="AV8" i="16" s="1"/>
  <c r="AN9" i="16"/>
  <c r="AJ10" i="16"/>
  <c r="AB15" i="16"/>
  <c r="AP17" i="16"/>
  <c r="AV17" i="16" s="1"/>
  <c r="AP18" i="16"/>
  <c r="AD20" i="16"/>
  <c r="AP20" i="16"/>
  <c r="AJ21" i="16"/>
  <c r="AC22" i="16"/>
  <c r="AO22" i="16"/>
  <c r="AV22" i="16" s="1"/>
  <c r="AN24" i="16"/>
  <c r="AJ25" i="16"/>
  <c r="AC26" i="16"/>
  <c r="AO26" i="16"/>
  <c r="AR27" i="16"/>
  <c r="AB27" i="16"/>
  <c r="AO28" i="16"/>
  <c r="AV28" i="16" s="1"/>
  <c r="AC28" i="16"/>
  <c r="AR31" i="16"/>
  <c r="AQ32" i="16"/>
  <c r="AN32" i="16"/>
  <c r="AT32" i="16"/>
  <c r="AJ32" i="16"/>
  <c r="AV26" i="17"/>
  <c r="AU3" i="14"/>
  <c r="AJ9" i="14"/>
  <c r="AB10" i="14"/>
  <c r="AJ6" i="15"/>
  <c r="AB7" i="15"/>
  <c r="AR30" i="16"/>
  <c r="AR34" i="16"/>
  <c r="AO3" i="16"/>
  <c r="AB6" i="16"/>
  <c r="AP8" i="16"/>
  <c r="AJ11" i="16"/>
  <c r="AB12" i="16"/>
  <c r="AJ15" i="16"/>
  <c r="AB16" i="16"/>
  <c r="AO18" i="16"/>
  <c r="AN19" i="16"/>
  <c r="AO21" i="16"/>
  <c r="AQ22" i="16"/>
  <c r="AT22" i="16"/>
  <c r="AJ22" i="16"/>
  <c r="AP24" i="16"/>
  <c r="AO25" i="16"/>
  <c r="AQ26" i="16"/>
  <c r="AT26" i="16"/>
  <c r="AJ26" i="16"/>
  <c r="AQ28" i="16"/>
  <c r="AN28" i="16"/>
  <c r="AT28" i="16"/>
  <c r="AJ28" i="16"/>
  <c r="AR32" i="16"/>
  <c r="AO34" i="16"/>
  <c r="AV34" i="16" s="1"/>
  <c r="AC34" i="16"/>
  <c r="AJ28" i="17"/>
  <c r="AJ24" i="17"/>
  <c r="AJ26" i="17"/>
  <c r="AJ22" i="17"/>
  <c r="AJ18" i="17"/>
  <c r="AJ14" i="17"/>
  <c r="AJ10" i="17"/>
  <c r="AJ6" i="17"/>
  <c r="AO7" i="17"/>
  <c r="AV7" i="17" s="1"/>
  <c r="AC7" i="17"/>
  <c r="AO15" i="17"/>
  <c r="AC15" i="17"/>
  <c r="AO19" i="17"/>
  <c r="AV19" i="17" s="1"/>
  <c r="AC19" i="17"/>
  <c r="AQ22" i="17"/>
  <c r="AR24" i="17"/>
  <c r="AB24" i="17"/>
  <c r="AO30" i="16"/>
  <c r="AD31" i="16"/>
  <c r="AC32" i="16"/>
  <c r="AB33" i="16"/>
  <c r="AO3" i="17"/>
  <c r="AB6" i="17"/>
  <c r="AC9" i="17"/>
  <c r="AB10" i="17"/>
  <c r="AC13" i="17"/>
  <c r="AB14" i="17"/>
  <c r="AC17" i="17"/>
  <c r="AB18" i="17"/>
  <c r="AC21" i="17"/>
  <c r="AB22" i="17"/>
  <c r="AP24" i="17"/>
  <c r="AV24" i="17" s="1"/>
  <c r="AB26" i="17"/>
  <c r="AP28" i="17"/>
  <c r="AV28" i="17" s="1"/>
  <c r="AU9" i="17"/>
  <c r="AR11" i="17"/>
  <c r="AU13" i="17"/>
  <c r="AR15" i="17"/>
  <c r="AU17" i="17"/>
  <c r="AR19" i="17"/>
  <c r="AU21" i="17"/>
  <c r="AR23" i="17"/>
  <c r="AQ24" i="17"/>
  <c r="AQ28" i="17"/>
  <c r="AJ34" i="16"/>
  <c r="AU6" i="17"/>
  <c r="AJ7" i="17"/>
  <c r="AU10" i="17"/>
  <c r="AJ11" i="17"/>
  <c r="AU14" i="17"/>
  <c r="AJ15" i="17"/>
  <c r="AU18" i="17"/>
  <c r="AJ19" i="17"/>
  <c r="AU22" i="17"/>
  <c r="AJ23" i="17"/>
  <c r="AU26" i="17"/>
  <c r="AJ27" i="17"/>
  <c r="AJ6" i="18"/>
  <c r="AO6" i="17"/>
  <c r="AN7" i="17"/>
  <c r="AU7" i="17"/>
  <c r="AN11" i="17"/>
  <c r="AU11" i="17"/>
  <c r="AP13" i="17"/>
  <c r="AV13" i="17" s="1"/>
  <c r="AN15" i="17"/>
  <c r="AU15" i="17"/>
  <c r="AN19" i="17"/>
  <c r="AU19" i="17"/>
  <c r="AP21" i="17"/>
  <c r="AV21" i="17" s="1"/>
  <c r="AO22" i="17"/>
  <c r="AV22" i="17" s="1"/>
  <c r="AN23" i="17"/>
  <c r="AU23" i="17"/>
  <c r="AN27" i="17"/>
  <c r="AU27" i="17"/>
  <c r="AJ30" i="16"/>
  <c r="AB31" i="16"/>
  <c r="AU3" i="17"/>
  <c r="AP6" i="17"/>
  <c r="AP22" i="17"/>
  <c r="AU24" i="17"/>
  <c r="AV150" i="1" l="1"/>
  <c r="AV168" i="1"/>
  <c r="AV67" i="1"/>
  <c r="AV138" i="1"/>
  <c r="AV156" i="1"/>
  <c r="AV66" i="1"/>
  <c r="AV75" i="1"/>
  <c r="AV42" i="13"/>
  <c r="AV21" i="16"/>
  <c r="AV86" i="13"/>
  <c r="AV66" i="13"/>
  <c r="AV59" i="13"/>
  <c r="AV18" i="13"/>
  <c r="AV75" i="13"/>
  <c r="AV9" i="12"/>
  <c r="AV13" i="10"/>
  <c r="AV8" i="14"/>
  <c r="AV25" i="16"/>
  <c r="AV32" i="16"/>
  <c r="AV27" i="16"/>
  <c r="AV27" i="17"/>
  <c r="AV26" i="13"/>
  <c r="AV81" i="13"/>
  <c r="AV87" i="13"/>
  <c r="AV15" i="12"/>
  <c r="AV6" i="11"/>
  <c r="AV6" i="14"/>
  <c r="AV18" i="16"/>
  <c r="AV24" i="16"/>
  <c r="AV6" i="16"/>
  <c r="AV31" i="16"/>
  <c r="AV20" i="16"/>
  <c r="AV80" i="13"/>
  <c r="AV27" i="13"/>
  <c r="AV40" i="13"/>
  <c r="AV84" i="13"/>
  <c r="AV92" i="13"/>
  <c r="AV9" i="10"/>
  <c r="AV30" i="16"/>
  <c r="AV26" i="16"/>
  <c r="AV23" i="17"/>
  <c r="AV16" i="16"/>
  <c r="AV33" i="16"/>
  <c r="AV68" i="13"/>
  <c r="AV57" i="13"/>
  <c r="AV50" i="13"/>
  <c r="AV90" i="13"/>
  <c r="AV14" i="12"/>
  <c r="AV7" i="12"/>
  <c r="AV17" i="10"/>
  <c r="AV15" i="10"/>
  <c r="AV11" i="17"/>
  <c r="AV12" i="8"/>
  <c r="AV6" i="17"/>
  <c r="AV15" i="17"/>
  <c r="AV89" i="13"/>
  <c r="AV62" i="13"/>
  <c r="AV43" i="13"/>
  <c r="AV49" i="13"/>
  <c r="AV28" i="13"/>
  <c r="AV67" i="13"/>
  <c r="AV6" i="12"/>
  <c r="AV13" i="12"/>
  <c r="AV10" i="12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<sst xmlns="http://schemas.openxmlformats.org/spreadsheetml/2006/main" count="10929" uniqueCount="1254">
  <si>
    <t>창원시 의창구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</si>
  <si>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</si>
  <si>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</si>
  <si>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</si>
  <si>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</si>
  <si>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</si>
  <si>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</si>
  <si>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</si>
  <si>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</si>
  <si>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</si>
  <si>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</si>
  <si>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</si>
  <si>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</si>
  <si>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</si>
  <si>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</si>
  <si>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</si>
  <si>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</si>
  <si>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</si>
  <si>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</si>
  <si>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</si>
  <si>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</si>
  <si>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</si>
  <si>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</si>
  <si>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</si>
  <si>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</si>
  <si>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</si>
  <si>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</si>
  <si>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</si>
  <si>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</si>
  <si>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</si>
  <si>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</si>
  <si>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</si>
  <si>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</si>
  <si>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</si>
  <si>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</si>
  <si>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</si>
  <si>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</si>
  <si>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</si>
  <si>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</si>
  <si>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</si>
  <si>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</si>
  <si>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</si>
  <si>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</si>
  <si>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</si>
  <si>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</si>
  <si>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</si>
  <si>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</si>
  <si>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</si>
  <si>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</si>
  <si>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</si>
  <si>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</si>
  <si>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</si>
  <si>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</si>
  <si>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</si>
  <si>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</si>
  <si>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</si>
  <si>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</si>
  <si>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</si>
  <si>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</si>
  <si>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</si>
  <si>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</si>
  <si>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</si>
  <si>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</si>
  <si>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</si>
  <si>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</si>
  <si>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</si>
  <si>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</si>
  <si>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</si>
  <si>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</si>
  <si>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</si>
  <si>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</si>
  <si>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</si>
  <si>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</si>
  <si>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</si>
  <si>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</si>
  <si>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</si>
  <si>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</si>
  <si>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</si>
  <si>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</si>
  <si>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[대산면]</t>
  </si>
  <si>
    <t>해강그린</t>
  </si>
  <si>
    <t>1994.08.</t>
  </si>
  <si>
    <t>계단식</t>
  </si>
  <si>
    <t>70A</t>
  </si>
  <si>
    <t>https://new.land.naver.com/complexes/15738?tab=detail&amp;rf=Y</t>
  </si>
  <si>
    <t>경상남도 창원시 의창구 대산면 가술리 108-1</t>
  </si>
  <si>
    <t>경상남도</t>
  </si>
  <si>
    <t>창원시</t>
  </si>
  <si>
    <t>의창구</t>
  </si>
  <si>
    <t>대산면</t>
  </si>
  <si>
    <t>경상남도 창원시 의창구 진산대로 437</t>
  </si>
  <si>
    <t>71B</t>
  </si>
  <si>
    <t>71D</t>
  </si>
  <si>
    <t>71C</t>
  </si>
  <si>
    <t>102A</t>
  </si>
  <si>
    <t>103B</t>
  </si>
  <si>
    <t>[도계동]</t>
  </si>
  <si>
    <t>한효로얄코아</t>
  </si>
  <si>
    <t>1992.08.</t>
  </si>
  <si>
    <t>복도식</t>
  </si>
  <si>
    <t>https://new.land.naver.com/complexes/15750?tab=detail&amp;rf=Y</t>
  </si>
  <si>
    <t>경상남도 창원시 의창구 도계동 328-1</t>
  </si>
  <si>
    <t>도계동</t>
  </si>
  <si>
    <t>경상남도 창원시 의창구 도계로50번길 6-18</t>
  </si>
  <si>
    <t>장미</t>
  </si>
  <si>
    <t>1997.12.</t>
  </si>
  <si>
    <t>https://new.land.naver.com/complexes/142640?tab=detail&amp;rf=Y</t>
  </si>
  <si>
    <t>경상남도 창원시 의창구 도계동 313-15</t>
  </si>
  <si>
    <t>경상남도 창원시 의창구 하남천서길15번길 20</t>
  </si>
  <si>
    <t>건우맨션</t>
  </si>
  <si>
    <t>1996.05.</t>
  </si>
  <si>
    <t>https://new.land.naver.com/complexes/16782?tab=detail&amp;rf=Y</t>
  </si>
  <si>
    <t>경상남도 창원시 의창구 도계동 398-2</t>
  </si>
  <si>
    <t>경상남도 창원시 의창구 원이대로69번길 30-14</t>
  </si>
  <si>
    <t>유일파크</t>
  </si>
  <si>
    <t>1993.10.</t>
  </si>
  <si>
    <t>https://new.land.naver.com/complexes/140487?tab=detail&amp;rf=Y</t>
  </si>
  <si>
    <t>경상남도 창원시 의창구 도계동 415-1</t>
  </si>
  <si>
    <t>경상남도 창원시 의창구 도계두리길 214</t>
  </si>
  <si>
    <t>동하라일락</t>
  </si>
  <si>
    <t>1991.10.</t>
  </si>
  <si>
    <t>https://new.land.naver.com/complexes/100892?tab=detail&amp;rf=Y</t>
  </si>
  <si>
    <t>경상남도 창원시 의창구 도계동 309-2</t>
  </si>
  <si>
    <t>경상남도 창원시 의창구 도계로31번길 10</t>
  </si>
  <si>
    <t>형제골든</t>
  </si>
  <si>
    <t>1998.06.</t>
  </si>
  <si>
    <t>https://new.land.naver.com/complexes/126887?tab=detail&amp;rf=Y</t>
  </si>
  <si>
    <t>경상남도 창원시 의창구 도계동 406-4</t>
  </si>
  <si>
    <t>경상남도 창원시 의창구 태복산로7번길 36</t>
  </si>
  <si>
    <t>제일파크</t>
  </si>
  <si>
    <t>1992.01.</t>
  </si>
  <si>
    <t>https://new.land.naver.com/complexes/127940?tab=detail&amp;rf=Y</t>
  </si>
  <si>
    <t>경상남도 창원시 의창구 도계동 363-1</t>
  </si>
  <si>
    <t>경상남도 창원시 의창구 하남천동길 60</t>
  </si>
  <si>
    <t>무지개</t>
  </si>
  <si>
    <t>1990.10.</t>
  </si>
  <si>
    <t>74A</t>
  </si>
  <si>
    <t>https://new.land.naver.com/complexes/130487?tab=detail&amp;rf=Y</t>
  </si>
  <si>
    <t>경상남도 창원시 의창구 도계동 414-9</t>
  </si>
  <si>
    <t>경상남도 창원시 의창구 도계로83번길 14-20</t>
  </si>
  <si>
    <t>77B</t>
  </si>
  <si>
    <t>해바라기맨션(328-3)</t>
  </si>
  <si>
    <t>1989.12.</t>
  </si>
  <si>
    <t>https://new.land.naver.com/complexes/7707?tab=detail&amp;rf=Y</t>
  </si>
  <si>
    <t>경상남도 창원시 의창구 도계동 328-3</t>
  </si>
  <si>
    <t>경상남도 창원시 의창구 도계로50번길 6-8</t>
  </si>
  <si>
    <t>영남</t>
  </si>
  <si>
    <t>1990.04.</t>
  </si>
  <si>
    <t>https://new.land.naver.com/complexes/125970?tab=detail&amp;rf=Y</t>
  </si>
  <si>
    <t>경상남도 창원시 의창구 도계동 396-3</t>
  </si>
  <si>
    <t>경상남도 창원시 의창구 도계로73번길 12</t>
  </si>
  <si>
    <t>강남프라자</t>
  </si>
  <si>
    <t>1995.02.</t>
  </si>
  <si>
    <t>https://new.land.naver.com/complexes/16789?tab=detail&amp;rf=Y</t>
  </si>
  <si>
    <t>경상남도 창원시 의창구 도계동 326-1</t>
  </si>
  <si>
    <t>경상남도 창원시 의창구 하남천서길5번길 13</t>
  </si>
  <si>
    <t>78A</t>
  </si>
  <si>
    <t>79B</t>
  </si>
  <si>
    <t>80C</t>
  </si>
  <si>
    <t>강남뉴프라자</t>
  </si>
  <si>
    <t>1995.12.</t>
  </si>
  <si>
    <t>https://new.land.naver.com/complexes/137263?tab=detail&amp;rf=Y</t>
  </si>
  <si>
    <t>경상남도 창원시 의창구 도계동 353-4</t>
  </si>
  <si>
    <t>경상남도 창원시 의창구 도계로60번길 5-19</t>
  </si>
  <si>
    <t>청방</t>
  </si>
  <si>
    <t>1994.11.</t>
  </si>
  <si>
    <t>https://new.land.naver.com/complexes/142940?tab=detail&amp;rf=Y</t>
  </si>
  <si>
    <t>경상남도 창원시 의창구 도계동 315-2</t>
  </si>
  <si>
    <t>경상남도 창원시 의창구 도계두리길 76</t>
  </si>
  <si>
    <t>90B</t>
  </si>
  <si>
    <t>금강장미</t>
  </si>
  <si>
    <t>1995.05.</t>
  </si>
  <si>
    <t>https://new.land.naver.com/complexes/16787?tab=detail&amp;rf=Y</t>
  </si>
  <si>
    <t>경상남도 창원시 의창구 도계동 302-5</t>
  </si>
  <si>
    <t>경상남도 창원시 의창구 도계두리길6번길 5-8</t>
  </si>
  <si>
    <t>청호</t>
  </si>
  <si>
    <t>https://new.land.naver.com/complexes/124544?tab=detail&amp;rf=Y</t>
  </si>
  <si>
    <t>경상남도 창원시 의창구 도계동 319-3</t>
  </si>
  <si>
    <t>경상남도 창원시 의창구 하남천서길 67</t>
  </si>
  <si>
    <t>보금</t>
  </si>
  <si>
    <t>1990.03.</t>
  </si>
  <si>
    <t>https://new.land.naver.com/complexes/132291?tab=detail&amp;rf=Y</t>
  </si>
  <si>
    <t>경상남도 창원시 의창구 도계동 395-1</t>
  </si>
  <si>
    <t>경상남도 창원시 의창구 도계두리길 180-7</t>
  </si>
  <si>
    <t>82A</t>
  </si>
  <si>
    <t>83B</t>
  </si>
  <si>
    <t>83C</t>
  </si>
  <si>
    <t>84A</t>
  </si>
  <si>
    <t>85B</t>
  </si>
  <si>
    <t>85C</t>
  </si>
  <si>
    <t>87D</t>
  </si>
  <si>
    <t>화목그린타워</t>
  </si>
  <si>
    <t>2002.06.</t>
  </si>
  <si>
    <t>https://new.land.naver.com/complexes/105386?tab=detail&amp;rf=Y</t>
  </si>
  <si>
    <t>경상남도 창원시 의창구 도계동 408-4</t>
  </si>
  <si>
    <t>경상남도 창원시 의창구 태복산로15번길 36</t>
  </si>
  <si>
    <t>68B</t>
  </si>
  <si>
    <t>68A</t>
  </si>
  <si>
    <t>68C</t>
  </si>
  <si>
    <t>상강한주맨션</t>
  </si>
  <si>
    <t>1993.03.</t>
  </si>
  <si>
    <t>https://new.land.naver.com/complexes/15751?tab=detail&amp;rf=Y</t>
  </si>
  <si>
    <t>경상남도 창원시 의창구 도계동 395-2</t>
  </si>
  <si>
    <t>경상남도 창원시 의창구 하남천동길16번길 11</t>
  </si>
  <si>
    <t>유진에코블루하임</t>
  </si>
  <si>
    <t>2011.12.</t>
  </si>
  <si>
    <t>https://new.land.naver.com/complexes/109386?tab=detail&amp;rf=Y</t>
  </si>
  <si>
    <t>경상남도 창원시 의창구 도계동 396-4</t>
  </si>
  <si>
    <t>경상남도 창원시 의창구 도계로83번길 5</t>
  </si>
  <si>
    <t>114A</t>
  </si>
  <si>
    <t>114B</t>
  </si>
  <si>
    <t>금강목련</t>
  </si>
  <si>
    <t>1996.06.</t>
  </si>
  <si>
    <t>https://new.land.naver.com/complexes/16786?tab=detail&amp;rf=Y</t>
  </si>
  <si>
    <t>경상남도 창원시 의창구 도계동 320-2</t>
  </si>
  <si>
    <t>경상남도 창원시 의창구 하남천서길37번길 6-12</t>
  </si>
  <si>
    <t>85A</t>
  </si>
  <si>
    <t>86B</t>
  </si>
  <si>
    <t>대동맨션</t>
  </si>
  <si>
    <t>1991.01.</t>
  </si>
  <si>
    <t>76A</t>
  </si>
  <si>
    <t>https://new.land.naver.com/complexes/138727?tab=detail&amp;rf=Y</t>
  </si>
  <si>
    <t>경상남도 창원시 의창구 도계동 359-3</t>
  </si>
  <si>
    <t>경상남도 창원시 의창구 하남천동길32번길 3-5</t>
  </si>
  <si>
    <t>81A</t>
  </si>
  <si>
    <t>84B</t>
  </si>
  <si>
    <t>84C</t>
  </si>
  <si>
    <t>86D</t>
  </si>
  <si>
    <t>86C</t>
  </si>
  <si>
    <t>94A</t>
  </si>
  <si>
    <t>96B</t>
  </si>
  <si>
    <t>한효해바라기</t>
  </si>
  <si>
    <t>1990.12.</t>
  </si>
  <si>
    <t>https://new.land.naver.com/complexes/101217?tab=detail&amp;rf=Y</t>
  </si>
  <si>
    <t>경상남도 창원시 의창구 도계동 339</t>
  </si>
  <si>
    <t>경상남도 창원시 의창구 도계로50번길 6-33</t>
  </si>
  <si>
    <t>상아그로리아맨션</t>
  </si>
  <si>
    <t>https://new.land.naver.com/complexes/100896?tab=detail&amp;rf=Y</t>
  </si>
  <si>
    <t>경상남도 창원시 의창구 도계동 358-2</t>
  </si>
  <si>
    <t>경상남도 창원시 의창구 하남천동길16번길 3-19</t>
  </si>
  <si>
    <t>영남양지맨션</t>
  </si>
  <si>
    <t>1992.07.</t>
  </si>
  <si>
    <t>https://new.land.naver.com/complexes/127945?tab=detail&amp;rf=Y</t>
  </si>
  <si>
    <t>경상남도 창원시 의창구 도계동 415-5</t>
  </si>
  <si>
    <t>경상남도 창원시 의창구 도계로95번길 14-16</t>
  </si>
  <si>
    <t>112A</t>
  </si>
  <si>
    <t>112B</t>
  </si>
  <si>
    <t>대풍</t>
  </si>
  <si>
    <t>1992.11.</t>
  </si>
  <si>
    <t>https://new.land.naver.com/complexes/101105?tab=detail&amp;rf=Y</t>
  </si>
  <si>
    <t>경상남도 창원시 의창구 도계동 317-10</t>
  </si>
  <si>
    <t>경상남도 창원시 의창구 하남천서길51번길 10</t>
  </si>
  <si>
    <t>국도무궁화맨션</t>
  </si>
  <si>
    <t>1996.02.</t>
  </si>
  <si>
    <t>https://new.land.naver.com/complexes/16784?tab=detail&amp;rf=Y</t>
  </si>
  <si>
    <t>경상남도 창원시 의창구 도계동 416-1</t>
  </si>
  <si>
    <t>경상남도 창원시 의창구 도계로95번길 6-5</t>
  </si>
  <si>
    <t>더좋은집2차</t>
  </si>
  <si>
    <t>1999.03.</t>
  </si>
  <si>
    <t>52A</t>
  </si>
  <si>
    <t>https://new.land.naver.com/complexes/130188?tab=detail&amp;rf=Y</t>
  </si>
  <si>
    <t>경상남도 창원시 의창구 도계동 415-2</t>
  </si>
  <si>
    <t>경상남도 창원시 의창구 도계두리길 218</t>
  </si>
  <si>
    <t>52B</t>
  </si>
  <si>
    <t>상아리더스맨션</t>
  </si>
  <si>
    <t>https://new.land.naver.com/complexes/104824?tab=detail&amp;rf=Y</t>
  </si>
  <si>
    <t>경상남도 창원시 의창구 도계동 320-11</t>
  </si>
  <si>
    <t>경상남도 창원시 의창구 하남천서길51번길 3</t>
  </si>
  <si>
    <t>청방그린</t>
  </si>
  <si>
    <t>https://new.land.naver.com/complexes/128633?tab=detail&amp;rf=Y</t>
  </si>
  <si>
    <t>경상남도 창원시 의창구 도계동 394-20</t>
  </si>
  <si>
    <t>경상남도 창원시 의창구 하남천동길32번길 8</t>
  </si>
  <si>
    <t>66A</t>
  </si>
  <si>
    <t>67B</t>
  </si>
  <si>
    <t>76B</t>
  </si>
  <si>
    <t>한마음코아</t>
  </si>
  <si>
    <t>https://new.land.naver.com/complexes/7706?tab=detail&amp;rf=Y</t>
  </si>
  <si>
    <t>경상남도 창원시 의창구 도계동 329</t>
  </si>
  <si>
    <t>경상남도 창원시 의창구 도계로50번길 6-46</t>
  </si>
  <si>
    <t>국도하이츠</t>
  </si>
  <si>
    <t>1996.08.</t>
  </si>
  <si>
    <t>https://new.land.naver.com/complexes/127938?tab=detail&amp;rf=Y</t>
  </si>
  <si>
    <t>경상남도 창원시 의창구 도계동 407-4</t>
  </si>
  <si>
    <t>경상남도 창원시 의창구 태복산로13번길 33</t>
  </si>
  <si>
    <t>송광파크</t>
  </si>
  <si>
    <t>1993.05.</t>
  </si>
  <si>
    <t>109A</t>
  </si>
  <si>
    <t>https://new.land.naver.com/complexes/139272?tab=detail&amp;rf=Y</t>
  </si>
  <si>
    <t>경상남도 창원시 의창구 도계동 305-1</t>
  </si>
  <si>
    <t>경상남도 창원시 의창구 도계두리길 38</t>
  </si>
  <si>
    <t>110B</t>
  </si>
  <si>
    <t>128A</t>
  </si>
  <si>
    <t>129B</t>
  </si>
  <si>
    <t>강남훼밀리</t>
  </si>
  <si>
    <t>https://new.land.naver.com/complexes/16780?tab=detail&amp;rf=Y</t>
  </si>
  <si>
    <t>경상남도 창원시 의창구 도계동 322-3</t>
  </si>
  <si>
    <t>경상남도 창원시 의창구 하남천서길21번길 8-14</t>
  </si>
  <si>
    <t>영남초원</t>
  </si>
  <si>
    <t>https://new.land.naver.com/complexes/126532?tab=detail&amp;rf=Y</t>
  </si>
  <si>
    <t>경상남도 창원시 의창구 도계동 423-1</t>
  </si>
  <si>
    <t>경상남도 창원시 의창구 태복산로11번길 27</t>
  </si>
  <si>
    <t>해바라기맨션(340-1)</t>
  </si>
  <si>
    <t>1989.11.</t>
  </si>
  <si>
    <t>https://new.land.naver.com/complexes/101216?tab=detail&amp;rf=Y</t>
  </si>
  <si>
    <t>경상남도 창원시 의창구 도계동 340-1</t>
  </si>
  <si>
    <t>경상남도 창원시 의창구 도계로50번길 6-25</t>
  </si>
  <si>
    <t>일호하이파이데파트</t>
  </si>
  <si>
    <t>1991.12.</t>
  </si>
  <si>
    <t>https://new.land.naver.com/complexes/135017?tab=detail&amp;rf=Y</t>
  </si>
  <si>
    <t>경상남도 창원시 의창구 도계동 327-11</t>
  </si>
  <si>
    <t>경상남도 창원시 의창구 도계로 41</t>
  </si>
  <si>
    <t>[동읍]</t>
  </si>
  <si>
    <t>이조1차</t>
  </si>
  <si>
    <t>2015.07.</t>
  </si>
  <si>
    <t>https://new.land.naver.com/complexes/125919?tab=detail&amp;rf=Y</t>
  </si>
  <si>
    <t>경상남도 창원시 의창구 동읍 용잠리 217-4</t>
  </si>
  <si>
    <t>동읍</t>
  </si>
  <si>
    <t>경상남도 창원시 의창구 의창대로 886</t>
  </si>
  <si>
    <t>동부산훼미리타운1차</t>
  </si>
  <si>
    <t>https://new.land.naver.com/complexes/15753?tab=detail&amp;rf=Y</t>
  </si>
  <si>
    <t>경상남도 창원시 의창구 동읍 용정리 20-1</t>
  </si>
  <si>
    <t>경상남도 창원시 의창구 용정길46번길 29</t>
  </si>
  <si>
    <t>동부산훼미리타운2차</t>
  </si>
  <si>
    <t>1998.10.</t>
  </si>
  <si>
    <t>https://new.land.naver.com/complexes/15754?tab=detail&amp;rf=Y</t>
  </si>
  <si>
    <t>경상남도 창원시 의창구 동읍 송정리 23-1</t>
  </si>
  <si>
    <t>경상남도 창원시 의창구 용정길32번길 14</t>
  </si>
  <si>
    <t>보광드림빌</t>
  </si>
  <si>
    <t>2017.04.</t>
  </si>
  <si>
    <t>91B</t>
  </si>
  <si>
    <t>https://new.land.naver.com/complexes/128436?tab=detail&amp;rf=Y</t>
  </si>
  <si>
    <t>경상남도 창원시 의창구 동읍 용잠리 230-6</t>
  </si>
  <si>
    <t>경상남도 창원시 의창구 용잠로41번길 4</t>
  </si>
  <si>
    <t>91A</t>
  </si>
  <si>
    <t>신우한빛타운</t>
  </si>
  <si>
    <t>2000.03.</t>
  </si>
  <si>
    <t>https://new.land.naver.com/complexes/104830?tab=detail&amp;rf=Y</t>
  </si>
  <si>
    <t>경상남도 창원시 의창구 동읍 130-1</t>
  </si>
  <si>
    <t>경상남도 창원시 의창구 용잠로35번길 24</t>
  </si>
  <si>
    <t>성진3차</t>
  </si>
  <si>
    <t>1995.09.</t>
  </si>
  <si>
    <t>https://new.land.naver.com/complexes/16800?tab=detail&amp;rf=Y</t>
  </si>
  <si>
    <t>경상남도 창원시 의창구 동읍 용정리 20-9</t>
  </si>
  <si>
    <t>경상남도 창원시 의창구 용정길46번길 49-1</t>
  </si>
  <si>
    <t>성진까치빌라트5차</t>
  </si>
  <si>
    <t>69A</t>
  </si>
  <si>
    <t>https://new.land.naver.com/complexes/15769?tab=detail&amp;rf=Y</t>
  </si>
  <si>
    <t>경상남도 창원시 의창구 동읍 용정리 20-13</t>
  </si>
  <si>
    <t>경상남도 창원시 의창구 용정길46번길 53</t>
  </si>
  <si>
    <t>69B</t>
  </si>
  <si>
    <t>동부산4차</t>
  </si>
  <si>
    <t>1999.06.</t>
  </si>
  <si>
    <t>https://new.land.naver.com/complexes/15760?tab=detail&amp;rf=Y</t>
  </si>
  <si>
    <t>경상남도 창원시 의창구 동읍 송정리 23-8</t>
  </si>
  <si>
    <t>경상남도 창원시 의창구 자여로65번길 14</t>
  </si>
  <si>
    <t>창원한양립스더퍼스트</t>
  </si>
  <si>
    <t>2023.12.</t>
  </si>
  <si>
    <t>https://new.land.naver.com/complexes/120126?tab=detail&amp;rf=Y</t>
  </si>
  <si>
    <t>경상남도 창원시 의창구 동읍 용잠리 374번지 일원</t>
  </si>
  <si>
    <t>경상남도 창원시 의창구</t>
  </si>
  <si>
    <t>라푸름</t>
  </si>
  <si>
    <t>2017.10.</t>
  </si>
  <si>
    <t>https://new.land.naver.com/complexes/125058?tab=detail&amp;rf=Y</t>
  </si>
  <si>
    <t>경상남도 창원시 의창구 동읍 용잠리 1153-12</t>
  </si>
  <si>
    <t>경상남도 창원시 의창구 용잠로35번길 3</t>
  </si>
  <si>
    <t>성진까치빌라트2차</t>
  </si>
  <si>
    <t>1993.12.</t>
  </si>
  <si>
    <t>https://new.land.naver.com/complexes/16798?tab=detail&amp;rf=Y</t>
  </si>
  <si>
    <t>경상남도 창원시 의창구 동읍 용정리 20-3</t>
  </si>
  <si>
    <t>경상남도 창원시 의창구 용정길46번길 35</t>
  </si>
  <si>
    <t>춘광상가맨션</t>
  </si>
  <si>
    <t>1993.08.</t>
  </si>
  <si>
    <t>https://new.land.naver.com/complexes/131043?tab=detail&amp;rf=Y</t>
  </si>
  <si>
    <t>경상남도 창원시 의창구 동읍 용잠리 395</t>
  </si>
  <si>
    <t>경상남도 창원시 의창구 의창대로 881</t>
  </si>
  <si>
    <t>춘광파크맨션2차</t>
  </si>
  <si>
    <t>1991.11.</t>
  </si>
  <si>
    <t>55A</t>
  </si>
  <si>
    <t>https://new.land.naver.com/complexes/136962?tab=detail&amp;rf=Y</t>
  </si>
  <si>
    <t>경상남도 창원시 의창구 동읍 용잠리 233-9</t>
  </si>
  <si>
    <t>경상남도 창원시 의창구 용잠로41번길 17-7</t>
  </si>
  <si>
    <t>57B</t>
  </si>
  <si>
    <t>58B</t>
  </si>
  <si>
    <t>59D</t>
  </si>
  <si>
    <t>59C</t>
  </si>
  <si>
    <t>60A</t>
  </si>
  <si>
    <t>63C</t>
  </si>
  <si>
    <t>63A</t>
  </si>
  <si>
    <t>63B</t>
  </si>
  <si>
    <t>78B</t>
  </si>
  <si>
    <t>79A</t>
  </si>
  <si>
    <t>83A</t>
  </si>
  <si>
    <t>97A</t>
  </si>
  <si>
    <t>100B</t>
  </si>
  <si>
    <t>평화맨션</t>
  </si>
  <si>
    <t>87B</t>
  </si>
  <si>
    <t>https://new.land.naver.com/complexes/100900?tab=detail&amp;rf=Y</t>
  </si>
  <si>
    <t>경상남도 창원시 의창구 동읍 용잠리 357-1</t>
  </si>
  <si>
    <t>경상남도 창원시 의창구 의창대로 848</t>
  </si>
  <si>
    <t>89A</t>
  </si>
  <si>
    <t>89C</t>
  </si>
  <si>
    <t>91C</t>
  </si>
  <si>
    <t>92A</t>
  </si>
  <si>
    <t>93B</t>
  </si>
  <si>
    <t>동부산훼미리타운5차</t>
  </si>
  <si>
    <t>2000.04.</t>
  </si>
  <si>
    <t>https://new.land.naver.com/complexes/15761?tab=detail&amp;rf=Y</t>
  </si>
  <si>
    <t>경상남도 창원시 의창구 동읍 용정리 21-7</t>
  </si>
  <si>
    <t>경상남도 창원시 의창구 용정길46번길 24</t>
  </si>
  <si>
    <t>거림훼미리</t>
  </si>
  <si>
    <t>2002.09.</t>
  </si>
  <si>
    <t>https://new.land.naver.com/complexes/126919?tab=detail&amp;rf=Y</t>
  </si>
  <si>
    <t>경상남도 창원시 의창구 동읍 용잠리 130-7</t>
  </si>
  <si>
    <t>경상남도 창원시 의창구 용잠로35번길 16</t>
  </si>
  <si>
    <t>창원1차비룡벨로스텔라(도시형)</t>
  </si>
  <si>
    <t>2018.03.</t>
  </si>
  <si>
    <t>https://new.land.naver.com/complexes/124117?tab=detail&amp;rf=Y</t>
  </si>
  <si>
    <t>경상남도 창원시 의창구 동읍 용잠리 215-18</t>
  </si>
  <si>
    <t>경상남도 창원시 의창구 의창대로 905</t>
  </si>
  <si>
    <t>동보미리내타운</t>
  </si>
  <si>
    <t>2001.04.</t>
  </si>
  <si>
    <t>https://new.land.naver.com/complexes/104831?tab=detail&amp;rf=Y</t>
  </si>
  <si>
    <t>경상남도 창원시 의창구 동읍 293</t>
  </si>
  <si>
    <t>경상남도 창원시 의창구 무성길47번길 24</t>
  </si>
  <si>
    <t>107A</t>
  </si>
  <si>
    <t>성진까치1차</t>
  </si>
  <si>
    <t>1992.06.</t>
  </si>
  <si>
    <t>https://new.land.naver.com/complexes/15767?tab=detail&amp;rf=Y</t>
  </si>
  <si>
    <t>경상남도 창원시 의창구 동읍 용정리 19-3</t>
  </si>
  <si>
    <t>경상남도 창원시 의창구 단계로 84</t>
  </si>
  <si>
    <t>96A</t>
  </si>
  <si>
    <t>동부산3차</t>
  </si>
  <si>
    <t>1999.05.</t>
  </si>
  <si>
    <t>https://new.land.naver.com/complexes/15755?tab=detail&amp;rf=Y</t>
  </si>
  <si>
    <t>경상남도 창원시 의창구 동읍 용정리 22-2</t>
  </si>
  <si>
    <t>경상남도 창원시 의창구 용정길46번길 32</t>
  </si>
  <si>
    <t>성원전원맨션</t>
  </si>
  <si>
    <t>87A</t>
  </si>
  <si>
    <t>https://new.land.naver.com/complexes/102438?tab=detail&amp;rf=Y</t>
  </si>
  <si>
    <t>경상남도 창원시 의창구 동읍 용정리 22-5</t>
  </si>
  <si>
    <t>경상남도 창원시 의창구 용정길46번길 40</t>
  </si>
  <si>
    <t>92C</t>
  </si>
  <si>
    <t>97B</t>
  </si>
  <si>
    <t>삼진</t>
  </si>
  <si>
    <t>1989.03.</t>
  </si>
  <si>
    <t>https://new.land.naver.com/complexes/7711?tab=detail&amp;rf=Y</t>
  </si>
  <si>
    <t>경상남도 창원시 의창구 동읍 용잠리 250</t>
  </si>
  <si>
    <t>경상남도 창원시 의창구 의창대로915번길 8</t>
  </si>
  <si>
    <t>신안맨션</t>
  </si>
  <si>
    <t>1997.11.</t>
  </si>
  <si>
    <t>https://new.land.naver.com/complexes/15771?tab=detail&amp;rf=Y</t>
  </si>
  <si>
    <t>경상남도 창원시 의창구 동읍 용잠리 419</t>
  </si>
  <si>
    <t>경상남도 창원시 의창구 동읍로 7</t>
  </si>
  <si>
    <t>101A</t>
  </si>
  <si>
    <t>102B</t>
  </si>
  <si>
    <t>신화버드뷰</t>
  </si>
  <si>
    <t>2009.06.</t>
  </si>
  <si>
    <t>https://new.land.naver.com/complexes/102777?tab=detail&amp;rf=Y</t>
  </si>
  <si>
    <t>경상남도 창원시 의창구 동읍 용잠리 364-1</t>
  </si>
  <si>
    <t>경상남도 창원시 의창구 의창대로 852</t>
  </si>
  <si>
    <t>창원2차비룡벨로스텔라(도시형)</t>
  </si>
  <si>
    <t>https://new.land.naver.com/complexes/124096?tab=detail&amp;rf=Y</t>
  </si>
  <si>
    <t>경상남도 창원시 의창구 동읍 용잠리 230-19</t>
  </si>
  <si>
    <t>경상남도 창원시 의창구 의창대로 909</t>
  </si>
  <si>
    <t>98A</t>
  </si>
  <si>
    <t>99B</t>
  </si>
  <si>
    <t>동읍대한</t>
  </si>
  <si>
    <t>1997.02.</t>
  </si>
  <si>
    <t>https://new.land.naver.com/complexes/7715?tab=detail&amp;rf=Y</t>
  </si>
  <si>
    <t>경상남도 창원시 의창구 동읍 신방리 52</t>
  </si>
  <si>
    <t>경상남도 창원시 의창구 신방로 17</t>
  </si>
  <si>
    <t>원창호수</t>
  </si>
  <si>
    <t>2001.05.</t>
  </si>
  <si>
    <t>https://new.land.naver.com/complexes/15773?tab=detail&amp;rf=Y</t>
  </si>
  <si>
    <t>경상남도 창원시 의창구 동읍 용잠리 372-1</t>
  </si>
  <si>
    <t>경상남도 창원시 의창구 의창대로 856</t>
  </si>
  <si>
    <t>덕산서광</t>
  </si>
  <si>
    <t>1994.06.</t>
  </si>
  <si>
    <t>71A</t>
  </si>
  <si>
    <t>https://new.land.naver.com/complexes/15764?tab=detail&amp;rf=Y</t>
  </si>
  <si>
    <t>경상남도 창원시 의창구 동읍 용잠리 130</t>
  </si>
  <si>
    <t>경상남도 창원시 의창구 의창대로915번길 29</t>
  </si>
  <si>
    <t>73B</t>
  </si>
  <si>
    <t>우성전원</t>
  </si>
  <si>
    <t>https://new.land.naver.com/complexes/7720?tab=detail&amp;rf=Y</t>
  </si>
  <si>
    <t>경상남도 창원시 의창구 동읍 무성리 152</t>
  </si>
  <si>
    <t>경상남도 창원시 의창구 무성길47번길 9</t>
  </si>
  <si>
    <t>동읍다숲</t>
  </si>
  <si>
    <t>2016.09.</t>
  </si>
  <si>
    <t>https://new.land.naver.com/complexes/115998?tab=detail&amp;rf=Y</t>
  </si>
  <si>
    <t>경상남도 창원시 의창구 동읍 용잠리 468</t>
  </si>
  <si>
    <t>경상남도 창원시 의창구 용잠로 19</t>
  </si>
  <si>
    <t>[동정동]</t>
  </si>
  <si>
    <t>팔도그린</t>
  </si>
  <si>
    <t>1995.01.</t>
  </si>
  <si>
    <t>https://new.land.naver.com/complexes/16805?tab=detail&amp;rf=Y</t>
  </si>
  <si>
    <t>경상남도 창원시 의창구 동정동 256-2</t>
  </si>
  <si>
    <t>동정동</t>
  </si>
  <si>
    <t>경상남도 창원시 의창구 천주로36번길 9</t>
  </si>
  <si>
    <t>성신맨션</t>
  </si>
  <si>
    <t>1991.07.</t>
  </si>
  <si>
    <t>https://new.land.naver.com/complexes/110627?tab=detail&amp;rf=Y</t>
  </si>
  <si>
    <t>경상남도 창원시 의창구 동정동 300-7</t>
  </si>
  <si>
    <t>경상남도 창원시 의창구 의창대로139번길 13</t>
  </si>
  <si>
    <t>동정오성</t>
  </si>
  <si>
    <t>1996.03.</t>
  </si>
  <si>
    <t>https://new.land.naver.com/complexes/7730?tab=detail&amp;rf=Y</t>
  </si>
  <si>
    <t>경상남도 창원시 의창구 동정동 288</t>
  </si>
  <si>
    <t>경상남도 창원시 의창구 서상로 27</t>
  </si>
  <si>
    <t>동정흥한웰가</t>
  </si>
  <si>
    <t>2004.12.</t>
  </si>
  <si>
    <t>https://new.land.naver.com/complexes/19739?tab=detail&amp;rf=Y</t>
  </si>
  <si>
    <t>경상남도 창원시 의창구 동정동 277</t>
  </si>
  <si>
    <t>경상남도 창원시 의창구 천주로 33</t>
  </si>
  <si>
    <t>남아그린</t>
  </si>
  <si>
    <t>https://new.land.naver.com/complexes/7726?tab=detail&amp;rf=Y</t>
  </si>
  <si>
    <t>경상남도 창원시 의창구 동정동 536-2</t>
  </si>
  <si>
    <t>경상남도 창원시 의창구 동정길 7</t>
  </si>
  <si>
    <t>무학</t>
  </si>
  <si>
    <t>1990.05.</t>
  </si>
  <si>
    <t>https://new.land.naver.com/complexes/7727?tab=detail&amp;rf=Y</t>
  </si>
  <si>
    <t>경상남도 창원시 의창구 동정동 305-3</t>
  </si>
  <si>
    <t>경상남도 창원시 의창구 의창대로139번길 23</t>
  </si>
  <si>
    <t>더푸름빌리지(도시형)</t>
  </si>
  <si>
    <t>2016.03.</t>
  </si>
  <si>
    <t>https://new.land.naver.com/complexes/136742?tab=detail&amp;rf=Y</t>
  </si>
  <si>
    <t>경상남도 창원시 의창구 동정동 334-2</t>
  </si>
  <si>
    <t>경상남도 창원시 의창구 동정길 53-17</t>
  </si>
  <si>
    <t>[명곡동]</t>
  </si>
  <si>
    <t>창원명곡A-1블록신혼희망타운</t>
  </si>
  <si>
    <t>2024.10.</t>
  </si>
  <si>
    <t>78A2</t>
  </si>
  <si>
    <t>https://new.land.naver.com/complexes/141024?tab=detail&amp;rf=Y</t>
  </si>
  <si>
    <t>경상남도 창원시 의창구 명곡동 34번지 일원</t>
  </si>
  <si>
    <t>명곡동</t>
  </si>
  <si>
    <t>78B2</t>
  </si>
  <si>
    <t>78A1</t>
  </si>
  <si>
    <t>78B1</t>
  </si>
  <si>
    <t>[명서동]</t>
  </si>
  <si>
    <t>두산위브</t>
  </si>
  <si>
    <t>2010.06.</t>
  </si>
  <si>
    <t>https://new.land.naver.com/complexes/101464?tab=detail&amp;rf=Y</t>
  </si>
  <si>
    <t>경상남도 창원시 의창구 명서동 27</t>
  </si>
  <si>
    <t>명서동</t>
  </si>
  <si>
    <t>경상남도 창원시 의창구 도계로 135</t>
  </si>
  <si>
    <t>128C</t>
  </si>
  <si>
    <t>128B</t>
  </si>
  <si>
    <t>145B</t>
  </si>
  <si>
    <t>145A</t>
  </si>
  <si>
    <t>151A</t>
  </si>
  <si>
    <t>151B</t>
  </si>
  <si>
    <t>165A</t>
  </si>
  <si>
    <t>165B</t>
  </si>
  <si>
    <t>195A</t>
  </si>
  <si>
    <t>198B</t>
  </si>
  <si>
    <t>[봉곡동]</t>
  </si>
  <si>
    <t>늘푸른마을코오롱</t>
  </si>
  <si>
    <t>1999.11.</t>
  </si>
  <si>
    <t>https://new.land.naver.com/complexes/7756?tab=detail&amp;rf=Y</t>
  </si>
  <si>
    <t>경상남도 창원시 의창구 봉곡동 66</t>
  </si>
  <si>
    <t>봉곡동</t>
  </si>
  <si>
    <t>경상남도 창원시 의창구 지귀로95번길 7</t>
  </si>
  <si>
    <t>[봉림동]</t>
  </si>
  <si>
    <t>엘에이치피닉스포레</t>
  </si>
  <si>
    <t>2011.10.</t>
  </si>
  <si>
    <t>108A</t>
  </si>
  <si>
    <t>https://new.land.naver.com/complexes/106231?tab=detail&amp;rf=Y</t>
  </si>
  <si>
    <t>경상남도 창원시 의창구 봉림동 715</t>
  </si>
  <si>
    <t>봉림동</t>
  </si>
  <si>
    <t>경상남도 창원시 의창구 대봉로 27</t>
  </si>
  <si>
    <t>108B</t>
  </si>
  <si>
    <t>129A</t>
  </si>
  <si>
    <t>155A</t>
  </si>
  <si>
    <t>155B</t>
  </si>
  <si>
    <t>155C</t>
  </si>
  <si>
    <t>171B</t>
  </si>
  <si>
    <t>171C</t>
  </si>
  <si>
    <t>172A</t>
  </si>
  <si>
    <t>[북면]</t>
  </si>
  <si>
    <t>신한그린파크맨션</t>
  </si>
  <si>
    <t>1994.04.</t>
  </si>
  <si>
    <t>https://new.land.naver.com/complexes/101102?tab=detail&amp;rf=Y</t>
  </si>
  <si>
    <t>경상남도 창원시 의창구 북면 신촌리 561-1</t>
  </si>
  <si>
    <t>북면</t>
  </si>
  <si>
    <t>경상남도 창원시 의창구 천주로 1104</t>
  </si>
  <si>
    <t>창원무동동원로얄듀크</t>
  </si>
  <si>
    <t>https://new.land.naver.com/complexes/144882?tab=detail&amp;rf=Y</t>
  </si>
  <si>
    <t>경상남도 창원시 의창구 북면 무동리 무동지구 14블록</t>
  </si>
  <si>
    <t>창원무동코아루파크</t>
  </si>
  <si>
    <t>2018.02.</t>
  </si>
  <si>
    <t>https://new.land.naver.com/complexes/112711?tab=detail&amp;rf=Y</t>
  </si>
  <si>
    <t>경상남도 창원시 의창구 북면 무동리 149-1</t>
  </si>
  <si>
    <t>경상남도 창원시 의창구 무동로 213</t>
  </si>
  <si>
    <t>창원무동휴먼빌2단지</t>
  </si>
  <si>
    <t>2013.06.</t>
  </si>
  <si>
    <t>https://new.land.naver.com/complexes/102513?tab=detail&amp;rf=Y</t>
  </si>
  <si>
    <t>경상남도 창원시 의창구 북면 무동리 122-1</t>
  </si>
  <si>
    <t>경상남도 창원시 의창구 동곡로 35</t>
  </si>
  <si>
    <t>113A</t>
  </si>
  <si>
    <t>113B</t>
  </si>
  <si>
    <t>창원무동센텀파라디아</t>
  </si>
  <si>
    <t>https://new.land.naver.com/complexes/120600?tab=detail&amp;rf=Y</t>
  </si>
  <si>
    <t>경상남도 창원시 의창구 북면 무동리 124-1</t>
  </si>
  <si>
    <t>경상남도 창원시 의창구 무동서로 24</t>
  </si>
  <si>
    <t>121B</t>
  </si>
  <si>
    <t>춘광1차</t>
  </si>
  <si>
    <t>1992.10.</t>
  </si>
  <si>
    <t>https://new.land.naver.com/complexes/15780?tab=detail&amp;rf=Y</t>
  </si>
  <si>
    <t>경상남도 창원시 의창구 북면 신촌리 905-3</t>
  </si>
  <si>
    <t>경상남도 창원시 의창구 신촌본포로 14</t>
  </si>
  <si>
    <t>춘광2차</t>
  </si>
  <si>
    <t>https://new.land.naver.com/complexes/7764?tab=detail&amp;rf=Y</t>
  </si>
  <si>
    <t>경상남도 창원시 의창구 북면 신촌리 905-24</t>
  </si>
  <si>
    <t>경상남도 창원시 의창구 신촌본포로 12-13</t>
  </si>
  <si>
    <t>삼우</t>
  </si>
  <si>
    <t>https://new.land.naver.com/complexes/133270?tab=detail&amp;rf=Y</t>
  </si>
  <si>
    <t>경상남도 창원시 의창구 북면 화천리 807</t>
  </si>
  <si>
    <t>경상남도 창원시 의창구 천주로613번길 5</t>
  </si>
  <si>
    <t>74C</t>
  </si>
  <si>
    <t>74B</t>
  </si>
  <si>
    <t>창원감계힐스테이트1차</t>
  </si>
  <si>
    <t>2014.03.</t>
  </si>
  <si>
    <t>95A</t>
  </si>
  <si>
    <t>https://new.land.naver.com/complexes/104011?tab=detail&amp;rf=Y</t>
  </si>
  <si>
    <t>경상남도 창원시 의창구 북면 감계리 230-1</t>
  </si>
  <si>
    <t>경상남도 창원시 의창구 동전로 86</t>
  </si>
  <si>
    <t>95B</t>
  </si>
  <si>
    <t>115B</t>
  </si>
  <si>
    <t>신한2차</t>
  </si>
  <si>
    <t>1998.09.</t>
  </si>
  <si>
    <t>https://new.land.naver.com/complexes/16807?tab=detail&amp;rf=Y</t>
  </si>
  <si>
    <t>경상남도 창원시 의창구 북면 신촌리 960-1</t>
  </si>
  <si>
    <t>경상남도 창원시 의창구 천주로 1103</t>
  </si>
  <si>
    <t>신우</t>
  </si>
  <si>
    <t>https://new.land.naver.com/complexes/7761?tab=detail&amp;rf=Y</t>
  </si>
  <si>
    <t>경상남도 창원시 의창구 북면 신촌리 905-6</t>
  </si>
  <si>
    <t>경상남도 창원시 의창구 신촌본포로 12-10</t>
  </si>
  <si>
    <t>창원동전월드메르디앙</t>
  </si>
  <si>
    <t>2016.10.</t>
  </si>
  <si>
    <t>86A</t>
  </si>
  <si>
    <t>https://new.land.naver.com/complexes/117126?tab=detail&amp;rf=Y</t>
  </si>
  <si>
    <t>경상남도 창원시 의창구 북면 동전리 128</t>
  </si>
  <si>
    <t>경상남도 창원시 의창구 동전로224번길 3</t>
  </si>
  <si>
    <t>89B</t>
  </si>
  <si>
    <t>90A</t>
  </si>
  <si>
    <t>리치빌(도시형)</t>
  </si>
  <si>
    <t>2012.08.</t>
  </si>
  <si>
    <t>https://new.land.naver.com/complexes/129387?tab=detail&amp;rf=Y</t>
  </si>
  <si>
    <t>경상남도 창원시 의창구 북면 신촌리 905-19</t>
  </si>
  <si>
    <t>경상남도 창원시 의창구 신촌본포로 12-20</t>
  </si>
  <si>
    <t>77A</t>
  </si>
  <si>
    <t>93A</t>
  </si>
  <si>
    <t>창원감계힐스테이트4차</t>
  </si>
  <si>
    <t>https://new.land.naver.com/complexes/108772?tab=detail&amp;rf=Y</t>
  </si>
  <si>
    <t>경상남도 창원시 의창구 북면 감계리 225-1</t>
  </si>
  <si>
    <t>경상남도 창원시 의창구 감계로 233</t>
  </si>
  <si>
    <t>대호</t>
  </si>
  <si>
    <t>https://new.land.naver.com/complexes/7759?tab=detail&amp;rf=Y</t>
  </si>
  <si>
    <t>경상남도 창원시 의창구 북면 신촌리 995-1</t>
  </si>
  <si>
    <t>경상남도 창원시 의창구 천주로 1053</t>
  </si>
  <si>
    <t>창원감계아내에코프리미엄</t>
  </si>
  <si>
    <t>2014.09.</t>
  </si>
  <si>
    <t>111A</t>
  </si>
  <si>
    <t>https://new.land.naver.com/complexes/104533?tab=detail&amp;rf=Y</t>
  </si>
  <si>
    <t>경상남도 창원시 의창구 북면 감계리 227-2</t>
  </si>
  <si>
    <t>경상남도 창원시 의창구 감계로 277</t>
  </si>
  <si>
    <t>111C</t>
  </si>
  <si>
    <t>111B</t>
  </si>
  <si>
    <t>창원무동STX칸2차</t>
  </si>
  <si>
    <t>2015.01.</t>
  </si>
  <si>
    <t>https://new.land.naver.com/complexes/105439?tab=detail&amp;rf=Y</t>
  </si>
  <si>
    <t>경상남도 창원시 의창구 북면 무동리 155-1</t>
  </si>
  <si>
    <t>경상남도 창원시 의창구 무동로267번길 10</t>
  </si>
  <si>
    <t>청우</t>
  </si>
  <si>
    <t>https://new.land.naver.com/complexes/128468?tab=detail&amp;rf=Y</t>
  </si>
  <si>
    <t>경상남도 창원시 의창구 북면 신촌리 959-1</t>
  </si>
  <si>
    <t>경상남도 창원시 의창구 천주로1083번길 10-1</t>
  </si>
  <si>
    <t>81B</t>
  </si>
  <si>
    <t>창원감계푸르지오</t>
  </si>
  <si>
    <t>2017.02.</t>
  </si>
  <si>
    <t>https://new.land.naver.com/complexes/109629?tab=detail&amp;rf=Y</t>
  </si>
  <si>
    <t>경상남도 창원시 의창구 북면 감계리 225-2</t>
  </si>
  <si>
    <t>경상남도 창원시 의창구 감계로 221</t>
  </si>
  <si>
    <t>창원감계힐스테이트3차</t>
  </si>
  <si>
    <t>2014.12.</t>
  </si>
  <si>
    <t>https://new.land.naver.com/complexes/105156?tab=detail&amp;rf=Y</t>
  </si>
  <si>
    <t>경상남도 창원시 의창구 북면 감계리 227-1</t>
  </si>
  <si>
    <t>경상남도 창원시 의창구 감계로 259</t>
  </si>
  <si>
    <t>114C</t>
  </si>
  <si>
    <t>창원무동휴먼빌1단지</t>
  </si>
  <si>
    <t>https://new.land.naver.com/complexes/102512?tab=detail&amp;rf=Y</t>
  </si>
  <si>
    <t>경상남도 창원시 의창구 북면 무동리 123-1</t>
  </si>
  <si>
    <t>경상남도 창원시 의창구 동곡로 33</t>
  </si>
  <si>
    <t>창원무동지구휴먼빌3단지</t>
  </si>
  <si>
    <t>https://new.land.naver.com/complexes/105152?tab=detail&amp;rf=Y</t>
  </si>
  <si>
    <t>경상남도 창원시 의창구 북면 무동리 144-1</t>
  </si>
  <si>
    <t>경상남도 창원시 의창구 무동로226번길 19</t>
  </si>
  <si>
    <t>115A</t>
  </si>
  <si>
    <t>감계휴먼빌</t>
  </si>
  <si>
    <t>https://new.land.naver.com/complexes/104218?tab=detail&amp;rf=Y</t>
  </si>
  <si>
    <t>경상남도 창원시 의창구 북면 감계리 229-1</t>
  </si>
  <si>
    <t>경상남도 창원시 의창구 감계로 297</t>
  </si>
  <si>
    <t>창원무동STX칸1차</t>
  </si>
  <si>
    <t>https://new.land.naver.com/complexes/105440?tab=detail&amp;rf=Y</t>
  </si>
  <si>
    <t>경상남도 창원시 의창구 북면 무동리 104-1</t>
  </si>
  <si>
    <t>경상남도 창원시 의창구 무동서로 76</t>
  </si>
  <si>
    <t>창원감계힐스테이트2차</t>
  </si>
  <si>
    <t>https://new.land.naver.com/complexes/110155?tab=detail&amp;rf=Y</t>
  </si>
  <si>
    <t>경상남도 창원시 의창구 북면 감계리 231-10</t>
  </si>
  <si>
    <t>경상남도 창원시 의창구 감계로 341</t>
  </si>
  <si>
    <t>창원감계아내에코프리미엄2차</t>
  </si>
  <si>
    <t>2019.01.</t>
  </si>
  <si>
    <t>https://new.land.naver.com/complexes/113261?tab=detail&amp;rf=Y</t>
  </si>
  <si>
    <t>경상남도 창원시 의창구 북면 감계리 232-1</t>
  </si>
  <si>
    <t>경상남도 창원시 의창구 감계로 342</t>
  </si>
  <si>
    <t>[서상동]</t>
  </si>
  <si>
    <t>일심골든타워</t>
  </si>
  <si>
    <t>2019.11.</t>
  </si>
  <si>
    <t>https://new.land.naver.com/complexes/135986?tab=detail&amp;rf=Y</t>
  </si>
  <si>
    <t>경상남도 창원시 의창구 서상동 213-2</t>
  </si>
  <si>
    <t>서상동</t>
  </si>
  <si>
    <t>경상남도 창원시 의창구 서상로12번길 29</t>
  </si>
  <si>
    <t>목화데파트</t>
  </si>
  <si>
    <t>1991.06.</t>
  </si>
  <si>
    <t>https://new.land.naver.com/complexes/125733?tab=detail&amp;rf=Y</t>
  </si>
  <si>
    <t>경상남도 창원시 의창구 서상동 309-8</t>
  </si>
  <si>
    <t>경상남도 창원시 의창구 의창대로211번길 2</t>
  </si>
  <si>
    <t>무학서문마을</t>
  </si>
  <si>
    <t>https://new.land.naver.com/complexes/7817?tab=detail&amp;rf=Y</t>
  </si>
  <si>
    <t>경상남도 창원시 의창구 서상동 11-5</t>
  </si>
  <si>
    <t>경상남도 창원시 의창구 서상로12번길 83-15</t>
  </si>
  <si>
    <t>중동대동다숲</t>
  </si>
  <si>
    <t>2005.12.</t>
  </si>
  <si>
    <t>https://new.land.naver.com/complexes/100905?tab=detail&amp;rf=Y</t>
  </si>
  <si>
    <t>경상남도 창원시 의창구 서상동 649</t>
  </si>
  <si>
    <t>경상남도 창원시 의창구 팔용로 512</t>
  </si>
  <si>
    <t>서상</t>
  </si>
  <si>
    <t>1984.06.</t>
  </si>
  <si>
    <t>https://new.land.naver.com/complexes/126779?tab=detail&amp;rf=Y</t>
  </si>
  <si>
    <t>경상남도 창원시 의창구 서상동 352-2</t>
  </si>
  <si>
    <t>경상남도 창원시 의창구 서상로 32-9</t>
  </si>
  <si>
    <t>[소계동]</t>
  </si>
  <si>
    <t>소계럭키</t>
  </si>
  <si>
    <t>1991.03.</t>
  </si>
  <si>
    <t>https://new.land.naver.com/complexes/7825?tab=detail&amp;rf=Y</t>
  </si>
  <si>
    <t>경상남도 창원시 의창구 소계동 468-1</t>
  </si>
  <si>
    <t>소계동</t>
  </si>
  <si>
    <t>경상남도 창원시 의창구 금강로379번길 16-9</t>
  </si>
  <si>
    <t>경상</t>
  </si>
  <si>
    <t>1984.04.</t>
  </si>
  <si>
    <t>53A</t>
  </si>
  <si>
    <t>https://new.land.naver.com/complexes/119181?tab=detail&amp;rf=Y</t>
  </si>
  <si>
    <t>경상남도 창원시 의창구 소계동 722-1</t>
  </si>
  <si>
    <t>경상남도 창원시 의창구 소계로 113</t>
  </si>
  <si>
    <t>54B</t>
  </si>
  <si>
    <t>[소답동]</t>
  </si>
  <si>
    <t>소답대림맨션</t>
  </si>
  <si>
    <t>https://new.land.naver.com/complexes/121043?tab=detail&amp;rf=Y</t>
  </si>
  <si>
    <t>경상남도 창원시 의창구 소답동 101-4</t>
  </si>
  <si>
    <t>소답동</t>
  </si>
  <si>
    <t>경상남도 창원시 의창구 읍성로67번길 27</t>
  </si>
  <si>
    <t>팔도맨션</t>
  </si>
  <si>
    <t>1994.02.</t>
  </si>
  <si>
    <t>https://new.land.naver.com/complexes/15794?tab=detail&amp;rf=Y</t>
  </si>
  <si>
    <t>경상남도 창원시 의창구 소답동 148-1</t>
  </si>
  <si>
    <t>경상남도 창원시 의창구 읍성로89번길 34</t>
  </si>
  <si>
    <t>금강매화</t>
  </si>
  <si>
    <t>https://new.land.naver.com/complexes/7831?tab=detail&amp;rf=Y</t>
  </si>
  <si>
    <t>경상남도 창원시 의창구 소답동 129-5</t>
  </si>
  <si>
    <t>경상남도 창원시 의창구 의안로56번길 31</t>
  </si>
  <si>
    <t>진보</t>
  </si>
  <si>
    <t>https://new.land.naver.com/complexes/15787?tab=detail&amp;rf=Y</t>
  </si>
  <si>
    <t>경상남도 창원시 의창구 소답동 149-4</t>
  </si>
  <si>
    <t>경상남도 창원시 의창구 의안로44번길 49-20</t>
  </si>
  <si>
    <t>78C</t>
  </si>
  <si>
    <t>강남케스빌</t>
  </si>
  <si>
    <t>2003.06.</t>
  </si>
  <si>
    <t>https://new.land.naver.com/complexes/121869?tab=detail&amp;rf=Y</t>
  </si>
  <si>
    <t>경상남도 창원시 의창구 소답동 143-3</t>
  </si>
  <si>
    <t>경상남도 창원시 의창구 의안로44번길 42</t>
  </si>
  <si>
    <t>92B</t>
  </si>
  <si>
    <t>영남보화맨션</t>
  </si>
  <si>
    <t>70B</t>
  </si>
  <si>
    <t>https://new.land.naver.com/complexes/115206?tab=detail&amp;rf=Y</t>
  </si>
  <si>
    <t>경상남도 창원시 의창구 소답동 112-1</t>
  </si>
  <si>
    <t>경상남도 창원시 의창구 의안로8번길 3</t>
  </si>
  <si>
    <t>70C</t>
  </si>
  <si>
    <t>72C</t>
  </si>
  <si>
    <t>80B</t>
  </si>
  <si>
    <t>80A</t>
  </si>
  <si>
    <t>대한맨션</t>
  </si>
  <si>
    <t>1995.03.</t>
  </si>
  <si>
    <t>62A</t>
  </si>
  <si>
    <t>https://new.land.naver.com/complexes/121870?tab=detail&amp;rf=Y</t>
  </si>
  <si>
    <t>경상남도 창원시 의창구 소답동 146-10</t>
  </si>
  <si>
    <t>경상남도 창원시 의창구 의안로56번길 39</t>
  </si>
  <si>
    <t>72B</t>
  </si>
  <si>
    <t>72A</t>
  </si>
  <si>
    <t>송림</t>
  </si>
  <si>
    <t>2000.08.</t>
  </si>
  <si>
    <t>https://new.land.naver.com/complexes/16820?tab=detail&amp;rf=Y</t>
  </si>
  <si>
    <t>경상남도 창원시 의창구 소답동 116-2</t>
  </si>
  <si>
    <t>경상남도 창원시 의창구 의안로18번길 18</t>
  </si>
  <si>
    <t>중산그린</t>
  </si>
  <si>
    <t>1994.10.</t>
  </si>
  <si>
    <t>https://new.land.naver.com/complexes/16821?tab=detail&amp;rf=Y</t>
  </si>
  <si>
    <t>경상남도 창원시 의창구 소답동 419-2</t>
  </si>
  <si>
    <t>경상남도 창원시 의창구 의안로70번길 11</t>
  </si>
  <si>
    <t>동일그린맨션</t>
  </si>
  <si>
    <t>https://new.land.naver.com/complexes/7837?tab=detail&amp;rf=Y</t>
  </si>
  <si>
    <t>경상남도 창원시 의창구 소답동 133-15</t>
  </si>
  <si>
    <t>경상남도 창원시 의창구 읍성로 90</t>
  </si>
  <si>
    <t>보람</t>
  </si>
  <si>
    <t>https://new.land.naver.com/complexes/7840?tab=detail&amp;rf=Y</t>
  </si>
  <si>
    <t>경상남도 창원시 의창구 소답동 144-2</t>
  </si>
  <si>
    <t>경상남도 창원시 의창구 읍성로89번길 8</t>
  </si>
  <si>
    <t>국제소답</t>
  </si>
  <si>
    <t>https://new.land.naver.com/complexes/121868?tab=detail&amp;rf=Y</t>
  </si>
  <si>
    <t>경상남도 창원시 의창구 소답동 148-3</t>
  </si>
  <si>
    <t>경상남도 창원시 의창구 의안로66번길 45</t>
  </si>
  <si>
    <t>72D</t>
  </si>
  <si>
    <t>72E</t>
  </si>
  <si>
    <t>73F</t>
  </si>
  <si>
    <t>73G</t>
  </si>
  <si>
    <t>73H</t>
  </si>
  <si>
    <t>금강목화</t>
  </si>
  <si>
    <t>1997.05.</t>
  </si>
  <si>
    <t>https://new.land.naver.com/complexes/7834?tab=detail&amp;rf=Y</t>
  </si>
  <si>
    <t>경상남도 창원시 의창구 소답동 129-13</t>
  </si>
  <si>
    <t>경상남도 창원시 의창구 읍성로89번길 19</t>
  </si>
  <si>
    <t>국도그랜드맨션</t>
  </si>
  <si>
    <t>1997.01.</t>
  </si>
  <si>
    <t>https://new.land.naver.com/complexes/100909?tab=detail&amp;rf=Y</t>
  </si>
  <si>
    <t>경상남도 창원시 의창구 소답동 110-1</t>
  </si>
  <si>
    <t>경상남도 창원시 의창구 의안로22번길 2</t>
  </si>
  <si>
    <t>세원</t>
  </si>
  <si>
    <t>https://new.land.naver.com/complexes/7841?tab=detail&amp;rf=Y</t>
  </si>
  <si>
    <t>경상남도 창원시 의창구 소답동 505-4</t>
  </si>
  <si>
    <t>경상남도 창원시 의창구 의안로70번길 25</t>
  </si>
  <si>
    <t>성진초원</t>
  </si>
  <si>
    <t>https://new.land.naver.com/complexes/15790?tab=detail&amp;rf=Y</t>
  </si>
  <si>
    <t>경상남도 창원시 의창구 소답동 145-3</t>
  </si>
  <si>
    <t>경상남도 창원시 의창구 의안로56번길 46</t>
  </si>
  <si>
    <t>대력그린빌</t>
  </si>
  <si>
    <t>2001.02.</t>
  </si>
  <si>
    <t>https://new.land.naver.com/complexes/16818?tab=detail&amp;rf=Y</t>
  </si>
  <si>
    <t>경상남도 창원시 의창구 소답동 143-24</t>
  </si>
  <si>
    <t>국도아트</t>
  </si>
  <si>
    <t>1994.05.</t>
  </si>
  <si>
    <t>https://new.land.naver.com/complexes/16817?tab=detail&amp;rf=Y</t>
  </si>
  <si>
    <t>경상남도 창원시 의창구 소답동 123-12</t>
  </si>
  <si>
    <t>경상남도 창원시 의창구 의안로56번길 20</t>
  </si>
  <si>
    <t>소답청학</t>
  </si>
  <si>
    <t>1994.09.</t>
  </si>
  <si>
    <t>65A</t>
  </si>
  <si>
    <t>https://new.land.naver.com/complexes/15789?tab=detail&amp;rf=Y</t>
  </si>
  <si>
    <t>경상남도 창원시 의창구 소답동 408-6</t>
  </si>
  <si>
    <t>경상남도 창원시 의창구 의안로70번길 21</t>
  </si>
  <si>
    <t>[중동]</t>
  </si>
  <si>
    <t>창원중동유니시티1단지</t>
  </si>
  <si>
    <t>2019.06.</t>
  </si>
  <si>
    <t>https://new.land.naver.com/complexes/115396?tab=detail&amp;rf=Y</t>
  </si>
  <si>
    <t>경상남도 창원시 의창구 중동 790</t>
  </si>
  <si>
    <t>중동</t>
  </si>
  <si>
    <t>경상남도 창원시 의창구 중동로 34</t>
  </si>
  <si>
    <t>116B</t>
  </si>
  <si>
    <t>117A</t>
  </si>
  <si>
    <t>185A</t>
  </si>
  <si>
    <t>186B</t>
  </si>
  <si>
    <t>창원중동유니시티4단지</t>
  </si>
  <si>
    <t>2019.12.</t>
  </si>
  <si>
    <t>https://new.land.naver.com/complexes/115529?tab=detail&amp;rf=Y</t>
  </si>
  <si>
    <t>경상남도 창원시 의창구 중동 788</t>
  </si>
  <si>
    <t>경상남도 창원시 의창구 중동로 78</t>
  </si>
  <si>
    <t>185B</t>
  </si>
  <si>
    <t>창원중동유니시티3단지</t>
  </si>
  <si>
    <t>https://new.land.naver.com/complexes/115528?tab=detail&amp;rf=Y</t>
  </si>
  <si>
    <t>경상남도 창원시 의창구 중동 786</t>
  </si>
  <si>
    <t>경상남도 창원시 의창구 중동로 77</t>
  </si>
  <si>
    <t>117B</t>
  </si>
  <si>
    <t>성동</t>
  </si>
  <si>
    <t>1995.08.</t>
  </si>
  <si>
    <t>https://new.land.naver.com/complexes/115143?tab=detail&amp;rf=Y</t>
  </si>
  <si>
    <t>경상남도 창원시 의창구 중동 407-2</t>
  </si>
  <si>
    <t>경상남도 창원시 의창구 의안로 15</t>
  </si>
  <si>
    <t>창원중동유니시티2단지</t>
  </si>
  <si>
    <t>https://new.land.naver.com/complexes/115397?tab=detail&amp;rf=Y</t>
  </si>
  <si>
    <t>경상남도 창원시 의창구 중동 785</t>
  </si>
  <si>
    <t>경상남도 창원시 의창구 중동로 33</t>
  </si>
  <si>
    <t>118A</t>
  </si>
  <si>
    <t>118B</t>
  </si>
  <si>
    <t>[팔용동]</t>
  </si>
  <si>
    <t>대동차룡</t>
  </si>
  <si>
    <t>https://new.land.naver.com/complexes/16847?tab=detail&amp;rf=Y</t>
  </si>
  <si>
    <t>경상남도 창원시 의창구 팔용동 124-3</t>
  </si>
  <si>
    <t>팔용동</t>
  </si>
  <si>
    <t>경상남도 창원시 의창구 반계로 95</t>
  </si>
  <si>
    <t>팔용벽산블루밍A단지</t>
  </si>
  <si>
    <t>2000.01.</t>
  </si>
  <si>
    <t>https://new.land.naver.com/complexes/7821?tab=detail&amp;rf=Y</t>
  </si>
  <si>
    <t>경상남도 창원시 의창구 팔용동 123-1</t>
  </si>
  <si>
    <t>경상남도 창원시 의창구 반계로 104-9</t>
  </si>
  <si>
    <t>벽산블루밍B단지</t>
  </si>
  <si>
    <t>https://new.land.naver.com/complexes/7822?tab=detail&amp;rf=Y</t>
  </si>
  <si>
    <t>경상남도 창원시 의창구 팔용동 122</t>
  </si>
  <si>
    <t>경상남도 창원시 의창구 반계로 104-8</t>
  </si>
  <si>
    <t>벽산블루밍C단지</t>
  </si>
  <si>
    <t>1999.08.</t>
  </si>
  <si>
    <t>https://new.land.naver.com/complexes/16851?tab=detail&amp;rf=Y</t>
  </si>
  <si>
    <t>경상남도 창원시 의창구 팔용동 125</t>
  </si>
  <si>
    <t>경상남도 창원시 의창구 남산로 20</t>
  </si>
  <si>
    <t>원풍</t>
  </si>
  <si>
    <t>2000.09.</t>
  </si>
  <si>
    <t>https://new.land.naver.com/complexes/16849?tab=detail&amp;rf=Y</t>
  </si>
  <si>
    <t>경상남도 창원시 의창구 팔용동 76</t>
  </si>
  <si>
    <t>경상남도 창원시 의창구 사화로90번길 6</t>
  </si>
  <si>
    <t>힐스테이트아티움시티</t>
  </si>
  <si>
    <t>2020.05.</t>
  </si>
  <si>
    <t>https://new.land.naver.com/complexes/115640?tab=detail&amp;rf=Y</t>
  </si>
  <si>
    <t>경상남도 창원시 의창구 팔용동 35-1</t>
  </si>
  <si>
    <t>경상남도 창원시 의창구 창원대로397번길 11</t>
  </si>
  <si>
    <t>극동</t>
  </si>
  <si>
    <t>1994.12.</t>
  </si>
  <si>
    <t>https://new.land.naver.com/complexes/7816?tab=detail&amp;rf=Y</t>
  </si>
  <si>
    <t>경상남도 창원시 의창구 팔용동 124-1</t>
  </si>
  <si>
    <t>경상남도 창원시 의창구 팔용로 446</t>
  </si>
  <si>
    <t>상아데파트</t>
  </si>
  <si>
    <t>1991.05.</t>
  </si>
  <si>
    <t>https://new.land.naver.com/complexes/124719?tab=detail&amp;rf=Y</t>
  </si>
  <si>
    <t>경상남도 창원시 의창구 팔용동 165-7</t>
  </si>
  <si>
    <t>경상남도 창원시 의창구 사화로9번길 26</t>
  </si>
  <si>
    <t>국제</t>
  </si>
  <si>
    <t>https://new.land.naver.com/complexes/16845?tab=detail&amp;rf=Y</t>
  </si>
  <si>
    <t>경상남도 창원시 의창구 팔용동 185-8</t>
  </si>
  <si>
    <t>경상남도 창원시 의창구 의창대로156번길 15-14</t>
  </si>
  <si>
    <t>대동중앙</t>
  </si>
  <si>
    <t>1993.09.</t>
  </si>
  <si>
    <t>https://new.land.naver.com/complexes/7819?tab=detail&amp;rf=Y</t>
  </si>
  <si>
    <t>경상남도 창원시 의창구 팔용동 124-2</t>
  </si>
  <si>
    <t>경상남도 창원시 의창구 반계로 101</t>
  </si>
  <si>
    <t>추출대상</t>
  </si>
  <si>
    <t>매전갭</t>
  </si>
  <si>
    <t>'92.08.</t>
  </si>
  <si>
    <t>복</t>
  </si>
  <si>
    <t>A+</t>
  </si>
  <si>
    <t>B+</t>
  </si>
  <si>
    <t>'23.12.</t>
  </si>
  <si>
    <t>계</t>
  </si>
  <si>
    <t>'89.03.</t>
  </si>
  <si>
    <t>5</t>
  </si>
  <si>
    <t>'97.02.</t>
  </si>
  <si>
    <t>'91.12.</t>
  </si>
  <si>
    <t>'96.03.</t>
  </si>
  <si>
    <t>'04.12.</t>
  </si>
  <si>
    <t>고</t>
  </si>
  <si>
    <t>'24.10.</t>
  </si>
  <si>
    <t>'10.06.</t>
  </si>
  <si>
    <t>중</t>
  </si>
  <si>
    <t>15</t>
  </si>
  <si>
    <t>7</t>
  </si>
  <si>
    <t>13</t>
  </si>
  <si>
    <t>'99.11.</t>
  </si>
  <si>
    <t>'11.10.</t>
  </si>
  <si>
    <t>14</t>
  </si>
  <si>
    <t>10</t>
  </si>
  <si>
    <t>'18.02.</t>
  </si>
  <si>
    <t>'13.06.</t>
  </si>
  <si>
    <t>'18.03.</t>
  </si>
  <si>
    <t>23</t>
  </si>
  <si>
    <t>'95.12.</t>
  </si>
  <si>
    <t>'14.03.</t>
  </si>
  <si>
    <t>6</t>
  </si>
  <si>
    <t>'16.10.</t>
  </si>
  <si>
    <t>'17.04.</t>
  </si>
  <si>
    <t>17</t>
  </si>
  <si>
    <t>'98.06.</t>
  </si>
  <si>
    <t>'14.09.</t>
  </si>
  <si>
    <t>'15.01.</t>
  </si>
  <si>
    <t>'17.02.</t>
  </si>
  <si>
    <t>'14.12.</t>
  </si>
  <si>
    <t>11</t>
  </si>
  <si>
    <t>9</t>
  </si>
  <si>
    <t>'17.10.</t>
  </si>
  <si>
    <t>'19.01.</t>
  </si>
  <si>
    <t>16</t>
  </si>
  <si>
    <t>'05.12.</t>
  </si>
  <si>
    <t>'91.03.</t>
  </si>
  <si>
    <t>'19.06.</t>
  </si>
  <si>
    <t>12</t>
  </si>
  <si>
    <t>18</t>
  </si>
  <si>
    <t>'19.12.</t>
  </si>
  <si>
    <t>28</t>
  </si>
  <si>
    <t>36</t>
  </si>
  <si>
    <t>29</t>
  </si>
  <si>
    <t>21</t>
  </si>
  <si>
    <t>25</t>
  </si>
  <si>
    <t>'00.01.</t>
  </si>
  <si>
    <t>'99.06.</t>
  </si>
  <si>
    <t>'99.08.</t>
  </si>
  <si>
    <t>'20.05.</t>
  </si>
  <si>
    <t>'94.12.</t>
  </si>
  <si>
    <t>'93.09.</t>
  </si>
  <si>
    <t>동명</t>
  </si>
  <si>
    <t>'19.04</t>
  </si>
  <si>
    <t>도계동 한마음코아</t>
    <phoneticPr fontId="2" type="noConversion"/>
  </si>
  <si>
    <t>92.08.</t>
    <phoneticPr fontId="2" type="noConversion"/>
  </si>
  <si>
    <t>23.12.</t>
    <phoneticPr fontId="2" type="noConversion"/>
  </si>
  <si>
    <t>89.03.</t>
    <phoneticPr fontId="2" type="noConversion"/>
  </si>
  <si>
    <t>동읍 우성전원</t>
    <phoneticPr fontId="2" type="noConversion"/>
  </si>
  <si>
    <t>91.12.</t>
    <phoneticPr fontId="2" type="noConversion"/>
  </si>
  <si>
    <t>동읍 우성전원</t>
    <phoneticPr fontId="2" type="noConversion"/>
  </si>
  <si>
    <t>동정동 동정오성</t>
    <phoneticPr fontId="2" type="noConversion"/>
  </si>
  <si>
    <t>96.03.</t>
    <phoneticPr fontId="2" type="noConversion"/>
  </si>
  <si>
    <t>동정동 동정흥한웰가</t>
    <phoneticPr fontId="2" type="noConversion"/>
  </si>
  <si>
    <t>04.12.</t>
    <phoneticPr fontId="2" type="noConversion"/>
  </si>
  <si>
    <t>24.10.</t>
    <phoneticPr fontId="2" type="noConversion"/>
  </si>
  <si>
    <t>명곡동 창원명곡A-1블록신혼희망타운</t>
    <phoneticPr fontId="2" type="noConversion"/>
  </si>
  <si>
    <t>명서동 두산위브</t>
    <phoneticPr fontId="2" type="noConversion"/>
  </si>
  <si>
    <t>10.06.</t>
    <phoneticPr fontId="2" type="noConversion"/>
  </si>
  <si>
    <t>99.11.</t>
    <phoneticPr fontId="2" type="noConversion"/>
  </si>
  <si>
    <t>봉곡동 늘푸른마을코오롱</t>
    <phoneticPr fontId="2" type="noConversion"/>
  </si>
  <si>
    <t>봉림동 엘에이치피닉스포레</t>
    <phoneticPr fontId="2" type="noConversion"/>
  </si>
  <si>
    <t>11.10.</t>
    <phoneticPr fontId="2" type="noConversion"/>
  </si>
  <si>
    <t>북면 창원무동동원로얄듀크</t>
    <phoneticPr fontId="2" type="noConversion"/>
  </si>
  <si>
    <t>북면 창원무동코아루파크</t>
    <phoneticPr fontId="2" type="noConversion"/>
  </si>
  <si>
    <t>18.02.</t>
    <phoneticPr fontId="2" type="noConversion"/>
  </si>
  <si>
    <t>북면 창원무동휴먼빌2단지</t>
    <phoneticPr fontId="2" type="noConversion"/>
  </si>
  <si>
    <t>13.06.</t>
    <phoneticPr fontId="2" type="noConversion"/>
  </si>
  <si>
    <t>북면 창원무동센텀파라디아</t>
    <phoneticPr fontId="2" type="noConversion"/>
  </si>
  <si>
    <t>18.03.</t>
    <phoneticPr fontId="2" type="noConversion"/>
  </si>
  <si>
    <t>북면 창원무동센텀파라디아</t>
    <phoneticPr fontId="2" type="noConversion"/>
  </si>
  <si>
    <t>14.03.</t>
    <phoneticPr fontId="2" type="noConversion"/>
  </si>
  <si>
    <t>16.10.</t>
    <phoneticPr fontId="2" type="noConversion"/>
  </si>
  <si>
    <t>북면 창원감계힐스테이트4차</t>
    <phoneticPr fontId="2" type="noConversion"/>
  </si>
  <si>
    <t>17.04.</t>
    <phoneticPr fontId="2" type="noConversion"/>
  </si>
  <si>
    <t>북면 창원무동STX칸2차</t>
    <phoneticPr fontId="2" type="noConversion"/>
  </si>
  <si>
    <t>15.01.</t>
    <phoneticPr fontId="2" type="noConversion"/>
  </si>
  <si>
    <t>북면 창원감계푸르지오</t>
    <phoneticPr fontId="2" type="noConversion"/>
  </si>
  <si>
    <t>17.02.</t>
    <phoneticPr fontId="2" type="noConversion"/>
  </si>
  <si>
    <t>14.12.</t>
    <phoneticPr fontId="2" type="noConversion"/>
  </si>
  <si>
    <t>13.06.</t>
    <phoneticPr fontId="2" type="noConversion"/>
  </si>
  <si>
    <t>북면 창원무동휴먼빌1단지</t>
    <phoneticPr fontId="2" type="noConversion"/>
  </si>
  <si>
    <t>북면 창원무동지구휴먼빌3단지</t>
    <phoneticPr fontId="2" type="noConversion"/>
  </si>
  <si>
    <t>19.01.</t>
    <phoneticPr fontId="2" type="noConversion"/>
  </si>
  <si>
    <t>서상동 중동대동다숲</t>
    <phoneticPr fontId="2" type="noConversion"/>
  </si>
  <si>
    <t>05.12.</t>
    <phoneticPr fontId="2" type="noConversion"/>
  </si>
  <si>
    <t>소계동 소계럭키</t>
    <phoneticPr fontId="2" type="noConversion"/>
  </si>
  <si>
    <t>91.03.</t>
    <phoneticPr fontId="2" type="noConversion"/>
  </si>
  <si>
    <t>19.06.</t>
    <phoneticPr fontId="2" type="noConversion"/>
  </si>
  <si>
    <t>중동 창원중동유니시티4단지</t>
    <phoneticPr fontId="2" type="noConversion"/>
  </si>
  <si>
    <t>19.12.</t>
    <phoneticPr fontId="2" type="noConversion"/>
  </si>
  <si>
    <t>중동 창원중동유니시티3단지</t>
    <phoneticPr fontId="2" type="noConversion"/>
  </si>
  <si>
    <t>중동 창원중동유니시티2단지</t>
    <phoneticPr fontId="2" type="noConversion"/>
  </si>
  <si>
    <t>팔용동 팔용벽산블루밍A단지</t>
    <phoneticPr fontId="2" type="noConversion"/>
  </si>
  <si>
    <t>팔용동 벽산블루밍B단지</t>
    <phoneticPr fontId="2" type="noConversion"/>
  </si>
  <si>
    <t>99.06.</t>
    <phoneticPr fontId="2" type="noConversion"/>
  </si>
  <si>
    <t>팔용동 벽산블루밍C단지</t>
    <phoneticPr fontId="2" type="noConversion"/>
  </si>
  <si>
    <t>99.08.</t>
    <phoneticPr fontId="2" type="noConversion"/>
  </si>
  <si>
    <t>팔용동 힐스테이트아티움시티</t>
    <phoneticPr fontId="2" type="noConversion"/>
  </si>
  <si>
    <t>20.05.</t>
    <phoneticPr fontId="2" type="noConversion"/>
  </si>
  <si>
    <t>팔용동 극동</t>
    <phoneticPr fontId="2" type="noConversion"/>
  </si>
  <si>
    <t>94.12.</t>
    <phoneticPr fontId="2" type="noConversion"/>
  </si>
  <si>
    <t>팔용동 대동중앙</t>
    <phoneticPr fontId="2" type="noConversion"/>
  </si>
  <si>
    <t>93.09.</t>
    <phoneticPr fontId="2" type="noConversion"/>
  </si>
  <si>
    <t>북면 창원무동휴먼빌2단지</t>
    <phoneticPr fontId="2" type="noConversion"/>
  </si>
  <si>
    <t>북면 창원감계힐스테이트2차</t>
    <phoneticPr fontId="2" type="noConversion"/>
  </si>
  <si>
    <t>17.10.</t>
    <phoneticPr fontId="2" type="noConversion"/>
  </si>
  <si>
    <t>00.01.</t>
    <phoneticPr fontId="2" type="noConversion"/>
  </si>
  <si>
    <t>동읍 창원한양립스더퍼스트</t>
    <phoneticPr fontId="2" type="noConversion"/>
  </si>
  <si>
    <t>동읍 창원한양립스더퍼스트</t>
    <phoneticPr fontId="2" type="noConversion"/>
  </si>
  <si>
    <t>동읍 삼진</t>
    <phoneticPr fontId="2" type="noConversion"/>
  </si>
  <si>
    <t>동읍 삼진</t>
    <phoneticPr fontId="2" type="noConversion"/>
  </si>
  <si>
    <t>동읍 동읍대한</t>
    <phoneticPr fontId="2" type="noConversion"/>
  </si>
  <si>
    <t>97.02.</t>
    <phoneticPr fontId="2" type="noConversion"/>
  </si>
  <si>
    <t>동읍 동읍대한</t>
    <phoneticPr fontId="2" type="noConversion"/>
  </si>
  <si>
    <t>97.02.</t>
    <phoneticPr fontId="2" type="noConversion"/>
  </si>
  <si>
    <t>동읍 우성전원</t>
    <phoneticPr fontId="2" type="noConversion"/>
  </si>
  <si>
    <t>91.12.</t>
    <phoneticPr fontId="2" type="noConversion"/>
  </si>
  <si>
    <t>동정동 동정오성</t>
    <phoneticPr fontId="2" type="noConversion"/>
  </si>
  <si>
    <t>96.03.</t>
    <phoneticPr fontId="2" type="noConversion"/>
  </si>
  <si>
    <t>동정동 동정흥한웰가</t>
    <phoneticPr fontId="2" type="noConversion"/>
  </si>
  <si>
    <t>동정동 동정흥한웰가</t>
    <phoneticPr fontId="2" type="noConversion"/>
  </si>
  <si>
    <t>명곡동 창원명곡A-1블록신혼희망타운</t>
    <phoneticPr fontId="2" type="noConversion"/>
  </si>
  <si>
    <t>24.10.</t>
    <phoneticPr fontId="2" type="noConversion"/>
  </si>
  <si>
    <t>명서동 두산위브</t>
    <phoneticPr fontId="2" type="noConversion"/>
  </si>
  <si>
    <t>10.06.</t>
    <phoneticPr fontId="2" type="noConversion"/>
  </si>
  <si>
    <t>봉곡동 늘푸른마을코오롱</t>
    <phoneticPr fontId="2" type="noConversion"/>
  </si>
  <si>
    <t>99.11.</t>
    <phoneticPr fontId="2" type="noConversion"/>
  </si>
  <si>
    <t>봉림동 엘에이치피닉스포레</t>
    <phoneticPr fontId="2" type="noConversion"/>
  </si>
  <si>
    <t>11.10.</t>
    <phoneticPr fontId="2" type="noConversion"/>
  </si>
  <si>
    <t>봉림동 엘에이치피닉스포레</t>
    <phoneticPr fontId="2" type="noConversion"/>
  </si>
  <si>
    <t>11.10.</t>
    <phoneticPr fontId="2" type="noConversion"/>
  </si>
  <si>
    <t>북면 창원무동동원로얄듀크</t>
    <phoneticPr fontId="2" type="noConversion"/>
  </si>
  <si>
    <t>23.12.</t>
    <phoneticPr fontId="2" type="noConversion"/>
  </si>
  <si>
    <t>북면 창원무동코아루파크</t>
    <phoneticPr fontId="2" type="noConversion"/>
  </si>
  <si>
    <t>18.02.</t>
    <phoneticPr fontId="2" type="noConversion"/>
  </si>
  <si>
    <t>북면 춘광2차</t>
    <phoneticPr fontId="2" type="noConversion"/>
  </si>
  <si>
    <t>95.12.</t>
    <phoneticPr fontId="2" type="noConversion"/>
  </si>
  <si>
    <t>북면 창원감계힐스테이트1차</t>
    <phoneticPr fontId="2" type="noConversion"/>
  </si>
  <si>
    <t>북면 창원감계힐스테이트1차</t>
    <phoneticPr fontId="2" type="noConversion"/>
  </si>
  <si>
    <t>북면 창원감계힐스테이트1차</t>
    <phoneticPr fontId="2" type="noConversion"/>
  </si>
  <si>
    <t>14.03.</t>
    <phoneticPr fontId="2" type="noConversion"/>
  </si>
  <si>
    <t>북면 창원동전월드메르디앙</t>
    <phoneticPr fontId="2" type="noConversion"/>
  </si>
  <si>
    <t>북면 창원감계힐스테이트4차</t>
    <phoneticPr fontId="2" type="noConversion"/>
  </si>
  <si>
    <t>북면 대호</t>
    <phoneticPr fontId="2" type="noConversion"/>
  </si>
  <si>
    <t>98.06.</t>
    <phoneticPr fontId="2" type="noConversion"/>
  </si>
  <si>
    <t>북면 창원감계아내에코프리미엄</t>
    <phoneticPr fontId="2" type="noConversion"/>
  </si>
  <si>
    <t>14.09.</t>
    <phoneticPr fontId="2" type="noConversion"/>
  </si>
  <si>
    <t>북면 창원감계아내에코프리미엄</t>
    <phoneticPr fontId="2" type="noConversion"/>
  </si>
  <si>
    <t>북면 창원감계아내에코프리미엄</t>
    <phoneticPr fontId="2" type="noConversion"/>
  </si>
  <si>
    <t>북면 창원무동STX칸2차</t>
    <phoneticPr fontId="2" type="noConversion"/>
  </si>
  <si>
    <t>15.01.</t>
    <phoneticPr fontId="2" type="noConversion"/>
  </si>
  <si>
    <t>북면 창원무동STX칸2차</t>
    <phoneticPr fontId="2" type="noConversion"/>
  </si>
  <si>
    <t>15.01.</t>
    <phoneticPr fontId="2" type="noConversion"/>
  </si>
  <si>
    <t>북면 창원감계푸르지오</t>
    <phoneticPr fontId="2" type="noConversion"/>
  </si>
  <si>
    <t>17.02.</t>
    <phoneticPr fontId="2" type="noConversion"/>
  </si>
  <si>
    <t>북면 창원감계푸르지오</t>
    <phoneticPr fontId="2" type="noConversion"/>
  </si>
  <si>
    <t>북면 창원감계푸르지오</t>
    <phoneticPr fontId="2" type="noConversion"/>
  </si>
  <si>
    <t>북면 창원감계힐스테이트3차</t>
    <phoneticPr fontId="2" type="noConversion"/>
  </si>
  <si>
    <t>14.12.</t>
    <phoneticPr fontId="2" type="noConversion"/>
  </si>
  <si>
    <t>북면 창원감계힐스테이트3차</t>
    <phoneticPr fontId="2" type="noConversion"/>
  </si>
  <si>
    <t>북면 감계휴먼빌</t>
    <phoneticPr fontId="2" type="noConversion"/>
  </si>
  <si>
    <t>북면 창원무동STX칸1차</t>
    <phoneticPr fontId="2" type="noConversion"/>
  </si>
  <si>
    <t>북면 창원감계아내에코프리미엄2차</t>
    <phoneticPr fontId="2" type="noConversion"/>
  </si>
  <si>
    <t>19.01.</t>
    <phoneticPr fontId="2" type="noConversion"/>
  </si>
  <si>
    <t>북면 창원감계아내에코프리미엄2차</t>
    <phoneticPr fontId="2" type="noConversion"/>
  </si>
  <si>
    <t>91.03.</t>
    <phoneticPr fontId="2" type="noConversion"/>
  </si>
  <si>
    <t>중동 창원중동유니시티1단지</t>
    <phoneticPr fontId="2" type="noConversion"/>
  </si>
  <si>
    <t>19.06.</t>
    <phoneticPr fontId="2" type="noConversion"/>
  </si>
  <si>
    <t>중동 창원중동유니시티4단지</t>
    <phoneticPr fontId="2" type="noConversion"/>
  </si>
  <si>
    <t>19.12.</t>
    <phoneticPr fontId="2" type="noConversion"/>
  </si>
  <si>
    <t>중동 창원중동유니시티3단지</t>
    <phoneticPr fontId="2" type="noConversion"/>
  </si>
  <si>
    <t>중동 창원중동유니시티3단지</t>
    <phoneticPr fontId="2" type="noConversion"/>
  </si>
  <si>
    <t>00.01.</t>
    <phoneticPr fontId="2" type="noConversion"/>
  </si>
  <si>
    <t>팔용동 힐스테이트아티움시티</t>
    <phoneticPr fontId="2" type="noConversion"/>
  </si>
  <si>
    <t>20.05.</t>
    <phoneticPr fontId="2" type="noConversion"/>
  </si>
  <si>
    <t>94.12.</t>
    <phoneticPr fontId="2" type="noConversion"/>
  </si>
  <si>
    <t>팔용동 극동</t>
    <phoneticPr fontId="2" type="noConversion"/>
  </si>
  <si>
    <t>94.12.</t>
    <phoneticPr fontId="2" type="noConversion"/>
  </si>
  <si>
    <t>팔용동 대동중앙</t>
    <phoneticPr fontId="2" type="noConversion"/>
  </si>
  <si>
    <t>93.09.</t>
    <phoneticPr fontId="2" type="noConversion"/>
  </si>
  <si>
    <t>23.12.</t>
    <phoneticPr fontId="2" type="noConversion"/>
  </si>
  <si>
    <t>동읍 동읍대한</t>
    <phoneticPr fontId="2" type="noConversion"/>
  </si>
  <si>
    <t>91.12.</t>
    <phoneticPr fontId="2" type="noConversion"/>
  </si>
  <si>
    <t>96.03.</t>
    <phoneticPr fontId="2" type="noConversion"/>
  </si>
  <si>
    <t>96.03.</t>
    <phoneticPr fontId="2" type="noConversion"/>
  </si>
  <si>
    <t>동정동 동정흥한웰가</t>
    <phoneticPr fontId="2" type="noConversion"/>
  </si>
  <si>
    <t>04.12.</t>
    <phoneticPr fontId="2" type="noConversion"/>
  </si>
  <si>
    <t>명곡동 창원명곡A-1블록신혼희망타운</t>
    <phoneticPr fontId="2" type="noConversion"/>
  </si>
  <si>
    <t>24.10.</t>
    <phoneticPr fontId="2" type="noConversion"/>
  </si>
  <si>
    <t>10.06.</t>
    <phoneticPr fontId="2" type="noConversion"/>
  </si>
  <si>
    <t>명서동 두산위브</t>
    <phoneticPr fontId="2" type="noConversion"/>
  </si>
  <si>
    <t>명서동 두산위브</t>
    <phoneticPr fontId="2" type="noConversion"/>
  </si>
  <si>
    <t>명서동 두산위브</t>
    <phoneticPr fontId="2" type="noConversion"/>
  </si>
  <si>
    <t>봉곡동 늘푸른마을코오롱</t>
    <phoneticPr fontId="2" type="noConversion"/>
  </si>
  <si>
    <t>11.10.</t>
    <phoneticPr fontId="2" type="noConversion"/>
  </si>
  <si>
    <t>봉림동 엘에이치피닉스포레</t>
    <phoneticPr fontId="2" type="noConversion"/>
  </si>
  <si>
    <t>11.10.</t>
    <phoneticPr fontId="2" type="noConversion"/>
  </si>
  <si>
    <t>11.10.</t>
    <phoneticPr fontId="2" type="noConversion"/>
  </si>
  <si>
    <t>18.03.</t>
    <phoneticPr fontId="2" type="noConversion"/>
  </si>
  <si>
    <t>18.03.</t>
    <phoneticPr fontId="2" type="noConversion"/>
  </si>
  <si>
    <t>북면 춘광2차</t>
    <phoneticPr fontId="2" type="noConversion"/>
  </si>
  <si>
    <t>95.12.</t>
    <phoneticPr fontId="2" type="noConversion"/>
  </si>
  <si>
    <t>북면 창원감계힐스테이트1차</t>
    <phoneticPr fontId="2" type="noConversion"/>
  </si>
  <si>
    <t>14.03.</t>
    <phoneticPr fontId="2" type="noConversion"/>
  </si>
  <si>
    <t>북면 창원감계힐스테이트1차</t>
    <phoneticPr fontId="2" type="noConversion"/>
  </si>
  <si>
    <t>16.10.</t>
    <phoneticPr fontId="2" type="noConversion"/>
  </si>
  <si>
    <t>북면 창원동전월드메르디앙</t>
    <phoneticPr fontId="2" type="noConversion"/>
  </si>
  <si>
    <t>16.10.</t>
    <phoneticPr fontId="2" type="noConversion"/>
  </si>
  <si>
    <t>북면 창원감계힐스테이트4차</t>
    <phoneticPr fontId="2" type="noConversion"/>
  </si>
  <si>
    <t>17.04.</t>
    <phoneticPr fontId="2" type="noConversion"/>
  </si>
  <si>
    <t>북면 창원감계힐스테이트4차</t>
    <phoneticPr fontId="2" type="noConversion"/>
  </si>
  <si>
    <t>북면 창원감계아내에코프리미엄</t>
    <phoneticPr fontId="2" type="noConversion"/>
  </si>
  <si>
    <t>15.01.</t>
    <phoneticPr fontId="2" type="noConversion"/>
  </si>
  <si>
    <t>북면 창원감계푸르지오</t>
    <phoneticPr fontId="2" type="noConversion"/>
  </si>
  <si>
    <t>17.02.</t>
    <phoneticPr fontId="2" type="noConversion"/>
  </si>
  <si>
    <t>북면 창원감계푸르지오</t>
    <phoneticPr fontId="2" type="noConversion"/>
  </si>
  <si>
    <t>14.12.</t>
    <phoneticPr fontId="2" type="noConversion"/>
  </si>
  <si>
    <t>13.06.</t>
    <phoneticPr fontId="2" type="noConversion"/>
  </si>
  <si>
    <t>14.12.</t>
    <phoneticPr fontId="2" type="noConversion"/>
  </si>
  <si>
    <t>북면 창원무동지구휴먼빌3단지</t>
    <phoneticPr fontId="2" type="noConversion"/>
  </si>
  <si>
    <t>14.12.</t>
    <phoneticPr fontId="2" type="noConversion"/>
  </si>
  <si>
    <t>북면 감계휴먼빌</t>
    <phoneticPr fontId="2" type="noConversion"/>
  </si>
  <si>
    <t>14.03.</t>
    <phoneticPr fontId="2" type="noConversion"/>
  </si>
  <si>
    <t>북면 감계휴먼빌</t>
    <phoneticPr fontId="2" type="noConversion"/>
  </si>
  <si>
    <t>북면 창원무동STX칸1차</t>
    <phoneticPr fontId="2" type="noConversion"/>
  </si>
  <si>
    <t>15.01.</t>
    <phoneticPr fontId="2" type="noConversion"/>
  </si>
  <si>
    <t>북면 창원감계힐스테이트2차</t>
    <phoneticPr fontId="2" type="noConversion"/>
  </si>
  <si>
    <t>17.10.</t>
    <phoneticPr fontId="2" type="noConversion"/>
  </si>
  <si>
    <t>19.01.</t>
    <phoneticPr fontId="2" type="noConversion"/>
  </si>
  <si>
    <t>북면 창원감계아내에코프리미엄2차</t>
    <phoneticPr fontId="2" type="noConversion"/>
  </si>
  <si>
    <t>서상동 중동대동다숲</t>
    <phoneticPr fontId="2" type="noConversion"/>
  </si>
  <si>
    <t>05.12.</t>
    <phoneticPr fontId="2" type="noConversion"/>
  </si>
  <si>
    <t>소계동 소계럭키</t>
    <phoneticPr fontId="2" type="noConversion"/>
  </si>
  <si>
    <t>중동 창원중동유니시티1단지</t>
    <phoneticPr fontId="2" type="noConversion"/>
  </si>
  <si>
    <t>19.06.</t>
    <phoneticPr fontId="2" type="noConversion"/>
  </si>
  <si>
    <t>중동 창원중동유니시티1단지</t>
    <phoneticPr fontId="2" type="noConversion"/>
  </si>
  <si>
    <t>19.06.</t>
    <phoneticPr fontId="2" type="noConversion"/>
  </si>
  <si>
    <t>중동 창원중동유니시티1단지</t>
    <phoneticPr fontId="2" type="noConversion"/>
  </si>
  <si>
    <t>중동 창원중동유니시티1단지</t>
    <phoneticPr fontId="2" type="noConversion"/>
  </si>
  <si>
    <t>19.12.</t>
    <phoneticPr fontId="2" type="noConversion"/>
  </si>
  <si>
    <t>중동 창원중동유니시티4단지</t>
    <phoneticPr fontId="2" type="noConversion"/>
  </si>
  <si>
    <t>중동 창원중동유니시티4단지</t>
    <phoneticPr fontId="2" type="noConversion"/>
  </si>
  <si>
    <t>19.12.</t>
    <phoneticPr fontId="2" type="noConversion"/>
  </si>
  <si>
    <t>중동 창원중동유니시티4단지</t>
    <phoneticPr fontId="2" type="noConversion"/>
  </si>
  <si>
    <t>중동 창원중동유니시티4단지</t>
    <phoneticPr fontId="2" type="noConversion"/>
  </si>
  <si>
    <t>19.12.</t>
    <phoneticPr fontId="2" type="noConversion"/>
  </si>
  <si>
    <t>중동 창원중동유니시티3단지</t>
    <phoneticPr fontId="2" type="noConversion"/>
  </si>
  <si>
    <t>19.12.</t>
    <phoneticPr fontId="2" type="noConversion"/>
  </si>
  <si>
    <t>19.12.</t>
    <phoneticPr fontId="2" type="noConversion"/>
  </si>
  <si>
    <t>중동 창원중동유니시티2단지</t>
    <phoneticPr fontId="2" type="noConversion"/>
  </si>
  <si>
    <t>19.06.</t>
    <phoneticPr fontId="2" type="noConversion"/>
  </si>
  <si>
    <t>팔용동 팔용벽산블루밍A단지</t>
    <phoneticPr fontId="2" type="noConversion"/>
  </si>
  <si>
    <t>00.01.</t>
    <phoneticPr fontId="2" type="noConversion"/>
  </si>
  <si>
    <t>팔용동 벽산블루밍B단지</t>
    <phoneticPr fontId="2" type="noConversion"/>
  </si>
  <si>
    <t>99.06.</t>
    <phoneticPr fontId="2" type="noConversion"/>
  </si>
  <si>
    <t>팔용동 벽산블루밍C단지</t>
    <phoneticPr fontId="2" type="noConversion"/>
  </si>
  <si>
    <t>99.08.</t>
    <phoneticPr fontId="2" type="noConversion"/>
  </si>
  <si>
    <t>중동</t>
    <phoneticPr fontId="2" type="noConversion"/>
  </si>
  <si>
    <t>팔용동</t>
    <phoneticPr fontId="2" type="noConversion"/>
  </si>
  <si>
    <t>명서동</t>
    <phoneticPr fontId="2" type="noConversion"/>
  </si>
  <si>
    <t>도계동</t>
    <phoneticPr fontId="2" type="noConversion"/>
  </si>
  <si>
    <t>북면</t>
    <phoneticPr fontId="2" type="noConversion"/>
  </si>
  <si>
    <t>창원중동유니시티4단지(35평/8.6)_x000D_
창원중동유니시티1단지(35평/8.5)_x000D_
창원중동유니시티3단지(36평/8.5)_x000D_
창원중동유니시티2단지(36평/8.3)</t>
    <phoneticPr fontId="2" type="noConversion"/>
  </si>
  <si>
    <t>창원중동유니시티4단지('19/8.6)_x000D_
창원중동유니시티1단지('19/8.5)_x000D_
창원중동유니시티3단지('19/8.5)_x000D_
창원중동유니시티2단지('19/8.3)</t>
    <phoneticPr fontId="2" type="noConversion"/>
  </si>
  <si>
    <t>창원중동유니시티1단지('19/7.9)_x000D_
창원중동유니시티3단지('19/7.5)_x000D_
창원중동유니시티2단지('19/7.5)_x000D_
창원중동유니시티4단지('19/7.2)</t>
    <phoneticPr fontId="2" type="noConversion"/>
  </si>
  <si>
    <t>창원중동유니시티1단지(30평/7.9)_x000D_
창원중동유니시티3단지(31평/7.5)_x000D_
창원중동유니시티2단지(31평/7.5)_x000D_
창원중동유니시티4단지(30평/7.2)_x000D_
창원중동유니시티4단지(25평/7.0)</t>
    <phoneticPr fontId="2" type="noConversion"/>
  </si>
  <si>
    <t>창원중동유니시티4단지('19/7.0)</t>
  </si>
  <si>
    <t>창원중동유니시티1단지(25평/6.3)_x000D_
창원중동유니시티3단지(25평/6.2)_x000D_
창원중동유니시티2단지(26평/6.2)</t>
    <phoneticPr fontId="2" type="noConversion"/>
  </si>
  <si>
    <t>창원중동유니시티1단지('19/6.3)_x000D_
창원중동유니시티3단지('19/6.2)_x000D_
창원중동유니시티2단지('19/6.2)</t>
    <phoneticPr fontId="2" type="noConversion"/>
  </si>
  <si>
    <t>두산위브(34평/5.8)</t>
  </si>
  <si>
    <t>두산위브('10/5.8)</t>
  </si>
  <si>
    <t>팔용벽산블루밍A단지(32평/4.7)_x000D_
벽산블루밍B단지(33평/4.3)</t>
    <phoneticPr fontId="2" type="noConversion"/>
  </si>
  <si>
    <t>팔용벽산블루밍A단지('00/4.7)_x000D_
벽산블루밍B단지('99/4.3)</t>
    <phoneticPr fontId="2" type="noConversion"/>
  </si>
  <si>
    <t>창원감계아내에코프리미엄2차(34평/4.0)</t>
  </si>
  <si>
    <t>창원감계아내에코프리미엄2차('19/4.0)</t>
  </si>
  <si>
    <t>벽산블루밍C단지('99/3.5)_x000D_
극동('94/3.1)</t>
    <phoneticPr fontId="2" type="noConversion"/>
  </si>
  <si>
    <t>창원감계힐스테이트2차('17/3.5)_x000D_
창원감계힐스테이트1차('14/3.0)</t>
    <phoneticPr fontId="2" type="noConversion"/>
  </si>
  <si>
    <t>창원감계푸르지오(34평/3.7)_x000D_
창원감계힐스테이트4차(35평/3.5)_x000D_
창원감계아내에코프리미엄2차(30평/3.5)_x000D_
창원감계힐스테이트2차(29평/3.5)_x000D_
창원감계힐스테이트1차(35평/3.3)_x000D_
창원감계힐스테이트3차(35평/3.3)_x000D_
창원감계아내에코프리미엄(34평/3.2)_x000D_
창원무동센텀파라디아(34평/3.1)_x000D_
창원감계힐스테이트1차(29평/3.0)_x000D_
감계휴먼빌(35평/3.0)</t>
    <phoneticPr fontId="2" type="noConversion"/>
  </si>
  <si>
    <t>창원감계푸르지오('17/3.7)_x000D_
창원감계힐스테이트4차('17/3.5)_x000D_
창원감계아내에코프리미엄2차('19/3.5)_x000D_
창원감계힐스테이트1차('14/3.3)_x000D_
창원감계힐스테이트3차('14/3.3)_x000D_
창원감계아내에코프리미엄('14/3.2)_x000D_
창원무동센텀파라디아('18/3.1)_x000D_
감계휴먼빌('14/3.0)</t>
    <phoneticPr fontId="2" type="noConversion"/>
  </si>
  <si>
    <t>벽산블루밍C단지(32평/3.5)_x000D_
극동(32평/3.1)_x000D_
벽산블루밍B단지(24평/3.1)_x000D_
팔용벽산블루밍A단지(24평/3.0)_x000D_
벽산블루밍C단지(24평/3.0)</t>
    <phoneticPr fontId="2" type="noConversion"/>
  </si>
  <si>
    <t>벽산블루밍B단지('99/3.1)_x000D_
팔용벽산블루밍A단지('00/3.0)_x000D_
벽산블루밍C단지('99/3.0)</t>
    <phoneticPr fontId="2" type="noConversion"/>
  </si>
  <si>
    <t>창원무동지구휴먼빌3단지('14/2.8)_x000D_
창원무동센텀파라디아('18/2.7)</t>
    <phoneticPr fontId="2" type="noConversion"/>
  </si>
  <si>
    <t>창원무동지구휴먼빌3단지(35평/2.8)_x000D_
창원감계힐스테이트2차(26평/2.8)_x000D_
창원감계아내에코프리미엄2차(26평/2.8)_x000D_
창원무동센텀파라디아(30평/2.7)_x000D_
창원감계푸르지오(26평/2.7)</t>
    <phoneticPr fontId="2" type="noConversion"/>
  </si>
  <si>
    <t>창원감계힐스테이트2차('17/2.8)_x000D_
창원감계아내에코프리미엄2차('19/2.8)_x000D_
창원감계푸르지오('17/2.7)</t>
    <phoneticPr fontId="2" type="noConversion"/>
  </si>
  <si>
    <t>창원무동STX칸1차('15/2.4)_x000D_
창원무동휴먼빌2단지('13/2.4)_x000D_
창원무동휴먼빌1단지('13/2.3)</t>
    <phoneticPr fontId="2" type="noConversion"/>
  </si>
  <si>
    <t>대동중앙(21평/2.4)_x000D_
극동(26평/2.3)</t>
    <phoneticPr fontId="2" type="noConversion"/>
  </si>
  <si>
    <t>대동중앙('93/2.4)_x000D_
극동('94/2.3)</t>
    <phoneticPr fontId="2" type="noConversion"/>
  </si>
  <si>
    <t>감계휴먼빌(25평/2.4)_x000D_
창원무동STX칸1차(34평/2.4)_x000D_
창원무동휴먼빌2단지(34평/2.4)_x000D_
창원무동휴먼빌1단지(34평/2.3)_x000D_
창원무동센텀파라디아(25평/2.2)</t>
    <phoneticPr fontId="2" type="noConversion"/>
  </si>
  <si>
    <t>감계휴먼빌('14/2.4)_x000D_
창원무동센텀파라디아('18/2.2)</t>
    <phoneticPr fontId="2" type="noConversion"/>
  </si>
  <si>
    <t>창원무동휴먼빌1단지(24평/2.0)</t>
  </si>
  <si>
    <t>창원무동휴먼빌1단지('13/2.0)</t>
  </si>
  <si>
    <t>극동(22평/1.8)</t>
  </si>
  <si>
    <t>극동('94/1.8)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</si>
</sst>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0" fontId="15" fillId="2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67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80" sqref="A180:XFD180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2.25" style="77" customWidth="1"/>
    <col min="23" max="23" width="5.625" style="77" bestFit="1" customWidth="1"/>
    <col min="24" max="24" width="4.5" style="77" customWidth="1"/>
    <col min="25" max="25" width="6.25" style="77" bestFit="1" customWidth="1"/>
    <col min="26" max="26" width="7.75" style="77" bestFit="1" customWidth="1"/>
    <col min="27" max="27" width="7" style="77" bestFit="1" customWidth="1"/>
    <col min="28" max="28" width="6.875" style="77" bestFit="1" customWidth="1"/>
    <col min="29" max="29" width="4.625" style="77" bestFit="1" customWidth="1"/>
    <col min="30" max="30" width="7.625" style="77" bestFit="1" customWidth="1"/>
    <col min="31" max="31" width="3.25" style="77" bestFit="1" customWidth="1"/>
    <col min="32" max="32" width="4.625" style="77" bestFit="1" customWidth="1"/>
    <col min="33" max="33" width="2.125" style="77" customWidth="1"/>
    <col min="34" max="34" width="22.5" style="77" bestFit="1" customWidth="1"/>
    <col min="35" max="35" width="4.625" style="77" bestFit="1" customWidth="1"/>
    <col min="36" max="40" width="4.625" style="77" customWidth="1"/>
    <col min="41" max="41" width="9.125" style="77" bestFit="1" customWidth="1"/>
    <col min="42" max="43" width="7.625" style="77" bestFit="1" customWidth="1"/>
    <col min="44" max="44" width="9.125" style="77" bestFit="1" customWidth="1"/>
    <col min="45" max="45" width="6.125" style="77" bestFit="1" customWidth="1"/>
    <col min="46" max="46" width="8.625" style="77" bestFit="1" customWidth="1"/>
    <col min="47" max="47" width="9.125" style="77" bestFit="1" customWidth="1"/>
    <col min="48" max="48" width="7.625" style="77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4" t="s">
        <v>2</v>
      </c>
      <c r="M1"/>
      <c r="N1" s="115" t="s">
        <v>3</v>
      </c>
      <c r="O1" s="114"/>
      <c r="P1" s="79">
        <v>0</v>
      </c>
      <c r="Q1" s="116" t="s">
        <v>4</v>
      </c>
      <c r="R1" s="117"/>
      <c r="S1" s="11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8" t="s">
        <v>7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8</v>
      </c>
      <c r="AY1" s="78" t="s">
        <v>9</v>
      </c>
      <c r="AZ1" s="46"/>
      <c r="BH1" s="25" t="s">
        <v>10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11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3" t="s">
        <v>16</v>
      </c>
      <c r="AP2" s="117"/>
      <c r="AQ2" s="114"/>
      <c r="AR2" s="113" t="s">
        <v>17</v>
      </c>
      <c r="AS2" s="114"/>
      <c r="AT2" s="113" t="s">
        <v>18</v>
      </c>
      <c r="AU2" s="114"/>
      <c r="AV2" s="33" t="s">
        <v>19</v>
      </c>
      <c r="AX2" s="45">
        <v>2020</v>
      </c>
      <c r="AY2" s="45">
        <v>9</v>
      </c>
      <c r="AZ2" s="47"/>
      <c r="BH2" s="25" t="s">
        <v>20</v>
      </c>
    </row>
    <row r="3" spans="1:60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8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8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8" t="s">
        <v>40</v>
      </c>
      <c r="V3" s="25"/>
      <c r="W3" s="33" t="s">
        <v>41</v>
      </c>
      <c r="X3" s="33" t="s">
        <v>25</v>
      </c>
      <c r="Y3" s="81" t="s">
        <v>28</v>
      </c>
      <c r="Z3" s="78" t="s">
        <v>42</v>
      </c>
      <c r="AA3" s="78" t="s">
        <v>43</v>
      </c>
      <c r="AB3" s="78" t="s">
        <v>32</v>
      </c>
      <c r="AC3" s="33" t="s">
        <v>33</v>
      </c>
      <c r="AD3" s="78" t="s">
        <v>44</v>
      </c>
      <c r="AE3" s="33" t="s">
        <v>38</v>
      </c>
      <c r="AF3" s="35" t="s">
        <v>45</v>
      </c>
      <c r="AG3" s="25"/>
      <c r="AH3" s="33" t="s">
        <v>21</v>
      </c>
      <c r="AI3" s="33" t="s">
        <v>25</v>
      </c>
      <c r="AJ3" s="33" t="s">
        <v>46</v>
      </c>
      <c r="AK3" s="33" t="s">
        <v>47</v>
      </c>
      <c r="AL3" s="33" t="s">
        <v>48</v>
      </c>
      <c r="AM3" s="33" t="s">
        <v>49</v>
      </c>
      <c r="AN3" s="33" t="s">
        <v>50</v>
      </c>
      <c r="AO3" s="33" t="s">
        <v>51</v>
      </c>
      <c r="AP3" s="33" t="s">
        <v>52</v>
      </c>
      <c r="AQ3" s="33" t="s">
        <v>53</v>
      </c>
      <c r="AR3" s="33" t="s">
        <v>54</v>
      </c>
      <c r="AS3" s="33" t="s">
        <v>55</v>
      </c>
      <c r="AT3" s="37" t="s">
        <v>56</v>
      </c>
      <c r="AU3" s="33" t="s">
        <v>57</v>
      </c>
      <c r="AV3" s="33" t="s">
        <v>19</v>
      </c>
      <c r="AX3" s="12" t="s">
        <v>58</v>
      </c>
      <c r="AY3" s="12" t="s">
        <v>59</v>
      </c>
      <c r="AZ3" s="49"/>
      <c r="BA3" s="50"/>
      <c r="BB3" s="82">
        <v>2010</v>
      </c>
      <c r="BC3" s="82">
        <v>2000</v>
      </c>
      <c r="BD3" s="82">
        <v>1990</v>
      </c>
      <c r="BE3" s="83">
        <v>1990</v>
      </c>
      <c r="BF3" s="38"/>
    </row>
    <row r="4" spans="1:60" s="38" customFormat="1" ht="12" x14ac:dyDescent="0.3">
      <c r="A4" s="110" t="s">
        <v>1004</v>
      </c>
      <c r="B4" s="111" t="s">
        <v>1005</v>
      </c>
      <c r="C4" s="112">
        <v>225</v>
      </c>
      <c r="D4" s="104">
        <v>64</v>
      </c>
      <c r="E4" s="106">
        <v>19</v>
      </c>
      <c r="F4" s="104">
        <v>49.4</v>
      </c>
      <c r="G4" s="17">
        <v>15</v>
      </c>
      <c r="H4" s="107">
        <v>225</v>
      </c>
      <c r="I4" s="108"/>
      <c r="J4" s="108"/>
      <c r="K4" s="108"/>
      <c r="L4" s="108"/>
      <c r="M4" s="109">
        <f t="shared" ref="M4:M14" si="0">I4-K4</f>
        <v>0</v>
      </c>
      <c r="N4" s="4" t="str">
        <f t="shared" ref="N4:N14" si="1">IF(ISERROR(K4/I4),"",K4/I4)</f>
        <v/>
      </c>
      <c r="O4" s="105">
        <f t="shared" ref="O4:O14" si="2">I4/E4</f>
        <v>0</v>
      </c>
      <c r="P4" s="105">
        <f t="shared" ref="P4:P14" si="3">K4/E4</f>
        <v>0</v>
      </c>
      <c r="Q4" s="75">
        <v>3</v>
      </c>
      <c r="R4" s="75">
        <v>1</v>
      </c>
      <c r="S4" s="75" t="s">
        <v>943</v>
      </c>
      <c r="T4" s="5">
        <v>63</v>
      </c>
      <c r="U4" s="9"/>
      <c r="W4" s="104">
        <f>D4</f>
        <v>64</v>
      </c>
      <c r="X4" s="106">
        <f>E4</f>
        <v>19</v>
      </c>
      <c r="Y4" s="102">
        <f>H4</f>
        <v>225</v>
      </c>
      <c r="Z4" s="109">
        <f>I4</f>
        <v>0</v>
      </c>
      <c r="AA4" s="109">
        <f t="shared" ref="AA4:AA14" si="4">K4</f>
        <v>0</v>
      </c>
      <c r="AB4" s="109">
        <f>M4</f>
        <v>0</v>
      </c>
      <c r="AC4" s="4" t="str">
        <f>N4</f>
        <v/>
      </c>
      <c r="AD4" s="105">
        <f>O4</f>
        <v>0</v>
      </c>
      <c r="AE4" s="75" t="str">
        <f t="shared" ref="AE4:AE14" si="5">S4</f>
        <v>복</v>
      </c>
      <c r="AF4" s="75" t="str">
        <f t="shared" ref="AF4:AF14" si="6">Q4&amp;"/"&amp;R4</f>
        <v>3/1</v>
      </c>
      <c r="AH4" s="20" t="str">
        <f>IF(A4="","",A4)</f>
        <v>도계동 한마음코아</v>
      </c>
      <c r="AI4" s="106">
        <f>IF(E4="","",E4)</f>
        <v>19</v>
      </c>
      <c r="AJ4" s="75" t="str">
        <f t="shared" ref="AJ4:AJ14" si="7">IF(AI4="","",$AJ$2)</f>
        <v>A-</v>
      </c>
      <c r="AK4" s="75" t="s">
        <v>14</v>
      </c>
      <c r="AL4" s="75" t="s">
        <v>944</v>
      </c>
      <c r="AM4" s="75" t="s">
        <v>945</v>
      </c>
      <c r="AN4" s="75" t="str">
        <f t="shared" ref="AN4:AN14" si="8">IF(AI4="","",$AN$2)</f>
        <v>C</v>
      </c>
      <c r="AO4" s="75" t="str">
        <f t="shared" ref="AO4:AO14" si="9">IF(N4="","",IF(N4&gt;=$AO$1/100,"O","X"))</f>
        <v/>
      </c>
      <c r="AP4" s="75" t="str">
        <f t="shared" ref="AP4:AP14" si="10">IF(I4="","",IF(I4&lt;=$AP$1,"O","X"))</f>
        <v/>
      </c>
      <c r="AQ4" s="75" t="str">
        <f t="shared" ref="AQ4:AQ14" si="11">IF(O4="","",IF(O4&lt;=$AQ$1,"O","X"))</f>
        <v>O</v>
      </c>
      <c r="AR4" s="75" t="str">
        <f t="shared" ref="AR4:AR14" si="12">IF(M4="","",IF(M4&lt;=$AR$1,"O","X"))</f>
        <v>O</v>
      </c>
      <c r="AS4" s="75" t="s">
        <v>2</v>
      </c>
      <c r="AT4" s="75" t="str">
        <f t="shared" ref="AT4:AT14" si="13">IF(OR(F4="",AI4=""),"",IF(AND((F4&lt;=85),(AI4&gt;=15)),"O","X"))</f>
        <v>O</v>
      </c>
      <c r="AU4" s="75" t="str">
        <f t="shared" ref="AU4:AU14" si="14">IF(C4="","",IF(C4&gt;=$AU$1,"O","X"))</f>
        <v>X</v>
      </c>
      <c r="AV4" s="75" t="str">
        <f t="shared" ref="AV4:AV14" si="15">IF(AO4="","",IF(AND(AO4="O",AP4="O",AR4="O",AT4="O",AU4="O"),"후보","X"))</f>
        <v/>
      </c>
    </row>
    <row r="5" spans="1:60" s="38" customFormat="1" ht="12" x14ac:dyDescent="0.3">
      <c r="A5" s="110" t="s">
        <v>1068</v>
      </c>
      <c r="B5" s="111" t="s">
        <v>1006</v>
      </c>
      <c r="C5" s="112">
        <v>515</v>
      </c>
      <c r="D5" s="104">
        <v>94.6</v>
      </c>
      <c r="E5" s="106">
        <v>29</v>
      </c>
      <c r="F5" s="104">
        <v>68.8</v>
      </c>
      <c r="G5" s="17">
        <v>21</v>
      </c>
      <c r="H5" s="107">
        <v>263</v>
      </c>
      <c r="I5" s="108"/>
      <c r="J5" s="108"/>
      <c r="K5" s="108"/>
      <c r="L5" s="108"/>
      <c r="M5" s="109">
        <f t="shared" si="0"/>
        <v>0</v>
      </c>
      <c r="N5" s="4" t="str">
        <f t="shared" si="1"/>
        <v/>
      </c>
      <c r="O5" s="105">
        <f t="shared" si="2"/>
        <v>0</v>
      </c>
      <c r="P5" s="105">
        <f t="shared" si="3"/>
        <v>0</v>
      </c>
      <c r="Q5" s="75">
        <v>3</v>
      </c>
      <c r="R5" s="75">
        <v>2</v>
      </c>
      <c r="S5" s="75" t="s">
        <v>947</v>
      </c>
      <c r="T5" s="5">
        <v>94</v>
      </c>
      <c r="U5" s="9"/>
      <c r="W5" s="104">
        <f t="shared" ref="W5:X20" si="16">D5</f>
        <v>94.6</v>
      </c>
      <c r="X5" s="106">
        <f t="shared" si="16"/>
        <v>29</v>
      </c>
      <c r="Y5" s="102">
        <f t="shared" ref="Y5:Z20" si="17">H5</f>
        <v>263</v>
      </c>
      <c r="Z5" s="109">
        <f t="shared" si="17"/>
        <v>0</v>
      </c>
      <c r="AA5" s="109">
        <f t="shared" si="4"/>
        <v>0</v>
      </c>
      <c r="AB5" s="109">
        <f t="shared" ref="AB5:AD20" si="18">M5</f>
        <v>0</v>
      </c>
      <c r="AC5" s="4" t="str">
        <f t="shared" si="18"/>
        <v/>
      </c>
      <c r="AD5" s="105">
        <f t="shared" si="18"/>
        <v>0</v>
      </c>
      <c r="AE5" s="75" t="str">
        <f t="shared" si="5"/>
        <v>계</v>
      </c>
      <c r="AF5" s="75" t="str">
        <f t="shared" si="6"/>
        <v>3/2</v>
      </c>
      <c r="AH5" s="20" t="str">
        <f t="shared" ref="AH5:AH28" si="19">IF(A5="","",A5)</f>
        <v>동읍 창원한양립스더퍼스트</v>
      </c>
      <c r="AI5" s="106">
        <f t="shared" ref="AI5:AI68" si="20">IF(E5="","",E5)</f>
        <v>29</v>
      </c>
      <c r="AJ5" s="75" t="str">
        <f t="shared" si="7"/>
        <v>A-</v>
      </c>
      <c r="AK5" s="75" t="s">
        <v>14</v>
      </c>
      <c r="AL5" s="75" t="s">
        <v>944</v>
      </c>
      <c r="AM5" s="75" t="s">
        <v>945</v>
      </c>
      <c r="AN5" s="75" t="str">
        <f t="shared" si="8"/>
        <v>C</v>
      </c>
      <c r="AO5" s="75" t="str">
        <f t="shared" si="9"/>
        <v/>
      </c>
      <c r="AP5" s="75" t="str">
        <f t="shared" si="10"/>
        <v/>
      </c>
      <c r="AQ5" s="75" t="str">
        <f t="shared" si="11"/>
        <v>O</v>
      </c>
      <c r="AR5" s="75" t="str">
        <f t="shared" si="12"/>
        <v>O</v>
      </c>
      <c r="AS5" s="75" t="s">
        <v>2</v>
      </c>
      <c r="AT5" s="75" t="str">
        <f t="shared" si="13"/>
        <v>O</v>
      </c>
      <c r="AU5" s="75" t="str">
        <f t="shared" si="14"/>
        <v>O</v>
      </c>
      <c r="AV5" s="75" t="str">
        <f t="shared" si="15"/>
        <v/>
      </c>
    </row>
    <row r="6" spans="1:60" s="38" customFormat="1" ht="12" x14ac:dyDescent="0.3">
      <c r="A6" s="110" t="s">
        <v>1069</v>
      </c>
      <c r="B6" s="111" t="s">
        <v>1006</v>
      </c>
      <c r="C6" s="112">
        <v>515</v>
      </c>
      <c r="D6" s="104">
        <v>99</v>
      </c>
      <c r="E6" s="106">
        <v>30</v>
      </c>
      <c r="F6" s="104">
        <v>70.900000000000006</v>
      </c>
      <c r="G6" s="17">
        <v>21</v>
      </c>
      <c r="H6" s="107">
        <v>146</v>
      </c>
      <c r="I6" s="108"/>
      <c r="J6" s="108"/>
      <c r="K6" s="108"/>
      <c r="L6" s="108"/>
      <c r="M6" s="109">
        <f t="shared" si="0"/>
        <v>0</v>
      </c>
      <c r="N6" s="4" t="str">
        <f t="shared" si="1"/>
        <v/>
      </c>
      <c r="O6" s="105">
        <f t="shared" si="2"/>
        <v>0</v>
      </c>
      <c r="P6" s="105">
        <f t="shared" si="3"/>
        <v>0</v>
      </c>
      <c r="Q6" s="75">
        <v>3</v>
      </c>
      <c r="R6" s="75">
        <v>2</v>
      </c>
      <c r="S6" s="75" t="s">
        <v>947</v>
      </c>
      <c r="T6" s="5">
        <v>98</v>
      </c>
      <c r="U6" s="9"/>
      <c r="W6" s="104">
        <f t="shared" si="16"/>
        <v>99</v>
      </c>
      <c r="X6" s="106">
        <f t="shared" si="16"/>
        <v>30</v>
      </c>
      <c r="Y6" s="102">
        <f t="shared" si="17"/>
        <v>146</v>
      </c>
      <c r="Z6" s="109">
        <f t="shared" si="17"/>
        <v>0</v>
      </c>
      <c r="AA6" s="109">
        <f t="shared" si="4"/>
        <v>0</v>
      </c>
      <c r="AB6" s="109">
        <f t="shared" si="18"/>
        <v>0</v>
      </c>
      <c r="AC6" s="4" t="str">
        <f t="shared" si="18"/>
        <v/>
      </c>
      <c r="AD6" s="105">
        <f t="shared" si="18"/>
        <v>0</v>
      </c>
      <c r="AE6" s="75" t="str">
        <f t="shared" si="5"/>
        <v>계</v>
      </c>
      <c r="AF6" s="75" t="str">
        <f t="shared" si="6"/>
        <v>3/2</v>
      </c>
      <c r="AH6" s="20" t="str">
        <f t="shared" si="19"/>
        <v>동읍 창원한양립스더퍼스트</v>
      </c>
      <c r="AI6" s="106">
        <f t="shared" si="20"/>
        <v>30</v>
      </c>
      <c r="AJ6" s="75" t="str">
        <f t="shared" si="7"/>
        <v>A-</v>
      </c>
      <c r="AK6" s="75" t="s">
        <v>14</v>
      </c>
      <c r="AL6" s="75" t="s">
        <v>944</v>
      </c>
      <c r="AM6" s="75" t="s">
        <v>945</v>
      </c>
      <c r="AN6" s="75" t="str">
        <f t="shared" si="8"/>
        <v>C</v>
      </c>
      <c r="AO6" s="75" t="str">
        <f t="shared" si="9"/>
        <v/>
      </c>
      <c r="AP6" s="75" t="str">
        <f t="shared" si="10"/>
        <v/>
      </c>
      <c r="AQ6" s="75" t="str">
        <f t="shared" si="11"/>
        <v>O</v>
      </c>
      <c r="AR6" s="75" t="str">
        <f t="shared" si="12"/>
        <v>O</v>
      </c>
      <c r="AS6" s="75" t="s">
        <v>2</v>
      </c>
      <c r="AT6" s="75" t="str">
        <f t="shared" si="13"/>
        <v>O</v>
      </c>
      <c r="AU6" s="75" t="str">
        <f t="shared" si="14"/>
        <v>O</v>
      </c>
      <c r="AV6" s="75" t="str">
        <f t="shared" si="15"/>
        <v/>
      </c>
    </row>
    <row r="7" spans="1:60" s="38" customFormat="1" ht="12" x14ac:dyDescent="0.3">
      <c r="A7" s="110" t="s">
        <v>1069</v>
      </c>
      <c r="B7" s="111" t="s">
        <v>1006</v>
      </c>
      <c r="C7" s="112">
        <v>515</v>
      </c>
      <c r="D7" s="104">
        <v>116.3</v>
      </c>
      <c r="E7" s="106">
        <v>35</v>
      </c>
      <c r="F7" s="104">
        <v>84.9</v>
      </c>
      <c r="G7" s="17">
        <v>26</v>
      </c>
      <c r="H7" s="107">
        <v>106</v>
      </c>
      <c r="I7" s="108"/>
      <c r="J7" s="108"/>
      <c r="K7" s="108"/>
      <c r="L7" s="108"/>
      <c r="M7" s="109">
        <f t="shared" si="0"/>
        <v>0</v>
      </c>
      <c r="N7" s="4" t="str">
        <f t="shared" si="1"/>
        <v/>
      </c>
      <c r="O7" s="105">
        <f t="shared" si="2"/>
        <v>0</v>
      </c>
      <c r="P7" s="105">
        <f t="shared" si="3"/>
        <v>0</v>
      </c>
      <c r="Q7" s="75">
        <v>4</v>
      </c>
      <c r="R7" s="75">
        <v>2</v>
      </c>
      <c r="S7" s="75" t="s">
        <v>947</v>
      </c>
      <c r="T7" s="5">
        <v>116</v>
      </c>
      <c r="U7" s="9"/>
      <c r="W7" s="104">
        <f t="shared" si="16"/>
        <v>116.3</v>
      </c>
      <c r="X7" s="106">
        <f t="shared" si="16"/>
        <v>35</v>
      </c>
      <c r="Y7" s="102">
        <f t="shared" si="17"/>
        <v>106</v>
      </c>
      <c r="Z7" s="109">
        <f t="shared" si="17"/>
        <v>0</v>
      </c>
      <c r="AA7" s="109">
        <f t="shared" si="4"/>
        <v>0</v>
      </c>
      <c r="AB7" s="109">
        <f t="shared" si="18"/>
        <v>0</v>
      </c>
      <c r="AC7" s="4" t="str">
        <f t="shared" si="18"/>
        <v/>
      </c>
      <c r="AD7" s="105">
        <f t="shared" si="18"/>
        <v>0</v>
      </c>
      <c r="AE7" s="75" t="str">
        <f t="shared" si="5"/>
        <v>계</v>
      </c>
      <c r="AF7" s="75" t="str">
        <f t="shared" si="6"/>
        <v>4/2</v>
      </c>
      <c r="AH7" s="20" t="str">
        <f t="shared" si="19"/>
        <v>동읍 창원한양립스더퍼스트</v>
      </c>
      <c r="AI7" s="106">
        <f t="shared" si="20"/>
        <v>35</v>
      </c>
      <c r="AJ7" s="75" t="str">
        <f t="shared" si="7"/>
        <v>A-</v>
      </c>
      <c r="AK7" s="75" t="s">
        <v>14</v>
      </c>
      <c r="AL7" s="75" t="s">
        <v>944</v>
      </c>
      <c r="AM7" s="75" t="s">
        <v>945</v>
      </c>
      <c r="AN7" s="75" t="str">
        <f t="shared" si="8"/>
        <v>C</v>
      </c>
      <c r="AO7" s="75" t="str">
        <f t="shared" si="9"/>
        <v/>
      </c>
      <c r="AP7" s="75" t="str">
        <f t="shared" si="10"/>
        <v/>
      </c>
      <c r="AQ7" s="75" t="str">
        <f t="shared" si="11"/>
        <v>O</v>
      </c>
      <c r="AR7" s="75" t="str">
        <f t="shared" si="12"/>
        <v>O</v>
      </c>
      <c r="AS7" s="75" t="s">
        <v>2</v>
      </c>
      <c r="AT7" s="75" t="str">
        <f t="shared" si="13"/>
        <v>O</v>
      </c>
      <c r="AU7" s="75" t="str">
        <f t="shared" si="14"/>
        <v>O</v>
      </c>
      <c r="AV7" s="75" t="str">
        <f t="shared" si="15"/>
        <v/>
      </c>
    </row>
    <row r="8" spans="1:60" s="38" customFormat="1" ht="12" x14ac:dyDescent="0.3">
      <c r="A8" s="110" t="s">
        <v>1070</v>
      </c>
      <c r="B8" s="111" t="s">
        <v>1007</v>
      </c>
      <c r="C8" s="112">
        <v>325</v>
      </c>
      <c r="D8" s="104">
        <v>48.8</v>
      </c>
      <c r="E8" s="106">
        <v>15</v>
      </c>
      <c r="F8" s="104">
        <v>42.6</v>
      </c>
      <c r="G8" s="17">
        <v>13</v>
      </c>
      <c r="H8" s="107">
        <v>50</v>
      </c>
      <c r="I8" s="108"/>
      <c r="J8" s="108"/>
      <c r="K8" s="108"/>
      <c r="L8" s="108"/>
      <c r="M8" s="109">
        <f t="shared" si="0"/>
        <v>0</v>
      </c>
      <c r="N8" s="4" t="str">
        <f t="shared" si="1"/>
        <v/>
      </c>
      <c r="O8" s="105">
        <f t="shared" si="2"/>
        <v>0</v>
      </c>
      <c r="P8" s="105">
        <f t="shared" si="3"/>
        <v>0</v>
      </c>
      <c r="Q8" s="75">
        <v>2</v>
      </c>
      <c r="R8" s="75">
        <v>1</v>
      </c>
      <c r="S8" s="75" t="s">
        <v>947</v>
      </c>
      <c r="T8" s="5">
        <v>48</v>
      </c>
      <c r="U8" s="9"/>
      <c r="W8" s="104">
        <f t="shared" si="16"/>
        <v>48.8</v>
      </c>
      <c r="X8" s="106">
        <f t="shared" si="16"/>
        <v>15</v>
      </c>
      <c r="Y8" s="102">
        <f t="shared" si="17"/>
        <v>50</v>
      </c>
      <c r="Z8" s="109">
        <f t="shared" si="17"/>
        <v>0</v>
      </c>
      <c r="AA8" s="109">
        <f t="shared" si="4"/>
        <v>0</v>
      </c>
      <c r="AB8" s="109">
        <f t="shared" si="18"/>
        <v>0</v>
      </c>
      <c r="AC8" s="4" t="str">
        <f t="shared" si="18"/>
        <v/>
      </c>
      <c r="AD8" s="105">
        <f t="shared" si="18"/>
        <v>0</v>
      </c>
      <c r="AE8" s="75" t="str">
        <f t="shared" si="5"/>
        <v>계</v>
      </c>
      <c r="AF8" s="75" t="str">
        <f t="shared" si="6"/>
        <v>2/1</v>
      </c>
      <c r="AH8" s="20" t="str">
        <f t="shared" si="19"/>
        <v>동읍 삼진</v>
      </c>
      <c r="AI8" s="106">
        <f t="shared" si="20"/>
        <v>15</v>
      </c>
      <c r="AJ8" s="75" t="str">
        <f t="shared" si="7"/>
        <v>A-</v>
      </c>
      <c r="AK8" s="75" t="s">
        <v>14</v>
      </c>
      <c r="AL8" s="75" t="s">
        <v>944</v>
      </c>
      <c r="AM8" s="75" t="s">
        <v>945</v>
      </c>
      <c r="AN8" s="75" t="str">
        <f t="shared" si="8"/>
        <v>C</v>
      </c>
      <c r="AO8" s="75" t="str">
        <f t="shared" si="9"/>
        <v/>
      </c>
      <c r="AP8" s="75" t="str">
        <f t="shared" si="10"/>
        <v/>
      </c>
      <c r="AQ8" s="75" t="str">
        <f t="shared" si="11"/>
        <v>O</v>
      </c>
      <c r="AR8" s="75" t="str">
        <f t="shared" si="12"/>
        <v>O</v>
      </c>
      <c r="AS8" s="75" t="s">
        <v>2</v>
      </c>
      <c r="AT8" s="75" t="str">
        <f t="shared" si="13"/>
        <v>O</v>
      </c>
      <c r="AU8" s="75" t="str">
        <f t="shared" si="14"/>
        <v>O</v>
      </c>
      <c r="AV8" s="75" t="str">
        <f t="shared" si="15"/>
        <v/>
      </c>
    </row>
    <row r="9" spans="1:60" s="38" customFormat="1" ht="12" x14ac:dyDescent="0.3">
      <c r="A9" s="110" t="s">
        <v>1070</v>
      </c>
      <c r="B9" s="111" t="s">
        <v>1007</v>
      </c>
      <c r="C9" s="112">
        <v>325</v>
      </c>
      <c r="D9" s="104">
        <v>55.7</v>
      </c>
      <c r="E9" s="106">
        <v>17</v>
      </c>
      <c r="F9" s="104">
        <v>49.6</v>
      </c>
      <c r="G9" s="17">
        <v>15</v>
      </c>
      <c r="H9" s="107">
        <v>70</v>
      </c>
      <c r="I9" s="108">
        <v>6500</v>
      </c>
      <c r="J9" s="108" t="s">
        <v>949</v>
      </c>
      <c r="K9" s="108"/>
      <c r="L9" s="108"/>
      <c r="M9" s="109">
        <f t="shared" si="0"/>
        <v>6500</v>
      </c>
      <c r="N9" s="4">
        <f t="shared" si="1"/>
        <v>0</v>
      </c>
      <c r="O9" s="105">
        <f t="shared" si="2"/>
        <v>382.35294117647061</v>
      </c>
      <c r="P9" s="105">
        <f t="shared" si="3"/>
        <v>0</v>
      </c>
      <c r="Q9" s="75">
        <v>2</v>
      </c>
      <c r="R9" s="75">
        <v>1</v>
      </c>
      <c r="S9" s="75" t="s">
        <v>947</v>
      </c>
      <c r="T9" s="5">
        <v>55</v>
      </c>
      <c r="U9" s="9"/>
      <c r="W9" s="104">
        <f t="shared" si="16"/>
        <v>55.7</v>
      </c>
      <c r="X9" s="106">
        <f t="shared" si="16"/>
        <v>17</v>
      </c>
      <c r="Y9" s="102">
        <f t="shared" si="17"/>
        <v>70</v>
      </c>
      <c r="Z9" s="109">
        <f t="shared" si="17"/>
        <v>6500</v>
      </c>
      <c r="AA9" s="109">
        <f t="shared" si="4"/>
        <v>0</v>
      </c>
      <c r="AB9" s="109">
        <f t="shared" si="18"/>
        <v>6500</v>
      </c>
      <c r="AC9" s="4">
        <f t="shared" si="18"/>
        <v>0</v>
      </c>
      <c r="AD9" s="105">
        <f t="shared" si="18"/>
        <v>382.35294117647061</v>
      </c>
      <c r="AE9" s="75" t="str">
        <f t="shared" si="5"/>
        <v>계</v>
      </c>
      <c r="AF9" s="75" t="str">
        <f t="shared" si="6"/>
        <v>2/1</v>
      </c>
      <c r="AH9" s="20" t="str">
        <f t="shared" si="19"/>
        <v>동읍 삼진</v>
      </c>
      <c r="AI9" s="106">
        <f t="shared" si="20"/>
        <v>17</v>
      </c>
      <c r="AJ9" s="75" t="str">
        <f t="shared" si="7"/>
        <v>A-</v>
      </c>
      <c r="AK9" s="75" t="s">
        <v>14</v>
      </c>
      <c r="AL9" s="75" t="s">
        <v>944</v>
      </c>
      <c r="AM9" s="75" t="s">
        <v>945</v>
      </c>
      <c r="AN9" s="75" t="str">
        <f t="shared" si="8"/>
        <v>C</v>
      </c>
      <c r="AO9" s="75" t="str">
        <f t="shared" si="9"/>
        <v>X</v>
      </c>
      <c r="AP9" s="75" t="str">
        <f t="shared" si="10"/>
        <v>O</v>
      </c>
      <c r="AQ9" s="75" t="str">
        <f t="shared" si="11"/>
        <v>O</v>
      </c>
      <c r="AR9" s="75" t="str">
        <f t="shared" si="12"/>
        <v>X</v>
      </c>
      <c r="AS9" s="75" t="s">
        <v>2</v>
      </c>
      <c r="AT9" s="75" t="str">
        <f t="shared" si="13"/>
        <v>O</v>
      </c>
      <c r="AU9" s="75" t="str">
        <f t="shared" si="14"/>
        <v>O</v>
      </c>
      <c r="AV9" s="75" t="str">
        <f t="shared" si="15"/>
        <v>X</v>
      </c>
    </row>
    <row r="10" spans="1:60" s="38" customFormat="1" ht="12" x14ac:dyDescent="0.3">
      <c r="A10" s="110" t="s">
        <v>1071</v>
      </c>
      <c r="B10" s="111" t="s">
        <v>1007</v>
      </c>
      <c r="C10" s="112">
        <v>325</v>
      </c>
      <c r="D10" s="104">
        <v>58.7</v>
      </c>
      <c r="E10" s="106">
        <v>18</v>
      </c>
      <c r="F10" s="104">
        <v>52.2</v>
      </c>
      <c r="G10" s="17">
        <v>16</v>
      </c>
      <c r="H10" s="107">
        <v>200</v>
      </c>
      <c r="I10" s="108"/>
      <c r="J10" s="108"/>
      <c r="K10" s="108"/>
      <c r="L10" s="108"/>
      <c r="M10" s="109">
        <f t="shared" si="0"/>
        <v>0</v>
      </c>
      <c r="N10" s="4" t="str">
        <f t="shared" si="1"/>
        <v/>
      </c>
      <c r="O10" s="105">
        <f t="shared" si="2"/>
        <v>0</v>
      </c>
      <c r="P10" s="105">
        <f t="shared" si="3"/>
        <v>0</v>
      </c>
      <c r="Q10" s="75">
        <v>2</v>
      </c>
      <c r="R10" s="75">
        <v>1</v>
      </c>
      <c r="S10" s="75" t="s">
        <v>947</v>
      </c>
      <c r="T10" s="5">
        <v>58</v>
      </c>
      <c r="U10" s="9"/>
      <c r="W10" s="104">
        <f t="shared" si="16"/>
        <v>58.7</v>
      </c>
      <c r="X10" s="106">
        <f t="shared" si="16"/>
        <v>18</v>
      </c>
      <c r="Y10" s="102">
        <f t="shared" si="17"/>
        <v>200</v>
      </c>
      <c r="Z10" s="109">
        <f t="shared" si="17"/>
        <v>0</v>
      </c>
      <c r="AA10" s="109">
        <f t="shared" si="4"/>
        <v>0</v>
      </c>
      <c r="AB10" s="109">
        <f t="shared" si="18"/>
        <v>0</v>
      </c>
      <c r="AC10" s="4" t="str">
        <f t="shared" si="18"/>
        <v/>
      </c>
      <c r="AD10" s="105">
        <f t="shared" si="18"/>
        <v>0</v>
      </c>
      <c r="AE10" s="75" t="str">
        <f t="shared" si="5"/>
        <v>계</v>
      </c>
      <c r="AF10" s="75" t="str">
        <f t="shared" si="6"/>
        <v>2/1</v>
      </c>
      <c r="AH10" s="20" t="str">
        <f t="shared" si="19"/>
        <v>동읍 삼진</v>
      </c>
      <c r="AI10" s="106">
        <f t="shared" si="20"/>
        <v>18</v>
      </c>
      <c r="AJ10" s="75" t="str">
        <f t="shared" si="7"/>
        <v>A-</v>
      </c>
      <c r="AK10" s="75" t="s">
        <v>14</v>
      </c>
      <c r="AL10" s="75" t="s">
        <v>944</v>
      </c>
      <c r="AM10" s="75" t="s">
        <v>945</v>
      </c>
      <c r="AN10" s="75" t="str">
        <f t="shared" si="8"/>
        <v>C</v>
      </c>
      <c r="AO10" s="75" t="str">
        <f t="shared" si="9"/>
        <v/>
      </c>
      <c r="AP10" s="75" t="str">
        <f t="shared" si="10"/>
        <v/>
      </c>
      <c r="AQ10" s="75" t="str">
        <f t="shared" si="11"/>
        <v>O</v>
      </c>
      <c r="AR10" s="75" t="str">
        <f t="shared" si="12"/>
        <v>O</v>
      </c>
      <c r="AS10" s="75" t="s">
        <v>2</v>
      </c>
      <c r="AT10" s="75" t="str">
        <f t="shared" si="13"/>
        <v>O</v>
      </c>
      <c r="AU10" s="75" t="str">
        <f t="shared" si="14"/>
        <v>O</v>
      </c>
      <c r="AV10" s="75" t="str">
        <f t="shared" si="15"/>
        <v/>
      </c>
    </row>
    <row r="11" spans="1:60" s="38" customFormat="1" ht="12" x14ac:dyDescent="0.3">
      <c r="A11" s="110" t="s">
        <v>1070</v>
      </c>
      <c r="B11" s="111" t="s">
        <v>1007</v>
      </c>
      <c r="C11" s="112">
        <v>325</v>
      </c>
      <c r="D11" s="104">
        <v>69.3</v>
      </c>
      <c r="E11" s="106">
        <v>21</v>
      </c>
      <c r="F11" s="104">
        <v>56.6</v>
      </c>
      <c r="G11" s="17">
        <v>17</v>
      </c>
      <c r="H11" s="107">
        <v>5</v>
      </c>
      <c r="I11" s="108"/>
      <c r="J11" s="108"/>
      <c r="K11" s="108"/>
      <c r="L11" s="108"/>
      <c r="M11" s="109">
        <f t="shared" si="0"/>
        <v>0</v>
      </c>
      <c r="N11" s="4" t="str">
        <f t="shared" si="1"/>
        <v/>
      </c>
      <c r="O11" s="105">
        <f t="shared" si="2"/>
        <v>0</v>
      </c>
      <c r="P11" s="105">
        <f t="shared" si="3"/>
        <v>0</v>
      </c>
      <c r="Q11" s="75">
        <v>3</v>
      </c>
      <c r="R11" s="75">
        <v>1</v>
      </c>
      <c r="S11" s="75" t="s">
        <v>947</v>
      </c>
      <c r="T11" s="5">
        <v>69</v>
      </c>
      <c r="U11" s="9"/>
      <c r="W11" s="104">
        <f t="shared" si="16"/>
        <v>69.3</v>
      </c>
      <c r="X11" s="106">
        <f t="shared" si="16"/>
        <v>21</v>
      </c>
      <c r="Y11" s="102">
        <f t="shared" si="17"/>
        <v>5</v>
      </c>
      <c r="Z11" s="109">
        <f t="shared" si="17"/>
        <v>0</v>
      </c>
      <c r="AA11" s="109">
        <f t="shared" si="4"/>
        <v>0</v>
      </c>
      <c r="AB11" s="109">
        <f t="shared" si="18"/>
        <v>0</v>
      </c>
      <c r="AC11" s="4" t="str">
        <f t="shared" si="18"/>
        <v/>
      </c>
      <c r="AD11" s="105">
        <f t="shared" si="18"/>
        <v>0</v>
      </c>
      <c r="AE11" s="75" t="str">
        <f t="shared" si="5"/>
        <v>계</v>
      </c>
      <c r="AF11" s="75" t="str">
        <f t="shared" si="6"/>
        <v>3/1</v>
      </c>
      <c r="AH11" s="20" t="str">
        <f t="shared" si="19"/>
        <v>동읍 삼진</v>
      </c>
      <c r="AI11" s="106">
        <f t="shared" si="20"/>
        <v>21</v>
      </c>
      <c r="AJ11" s="75" t="str">
        <f t="shared" si="7"/>
        <v>A-</v>
      </c>
      <c r="AK11" s="75" t="s">
        <v>14</v>
      </c>
      <c r="AL11" s="75" t="s">
        <v>944</v>
      </c>
      <c r="AM11" s="75" t="s">
        <v>945</v>
      </c>
      <c r="AN11" s="75" t="str">
        <f t="shared" si="8"/>
        <v>C</v>
      </c>
      <c r="AO11" s="75" t="str">
        <f t="shared" si="9"/>
        <v/>
      </c>
      <c r="AP11" s="75" t="str">
        <f t="shared" si="10"/>
        <v/>
      </c>
      <c r="AQ11" s="75" t="str">
        <f t="shared" si="11"/>
        <v>O</v>
      </c>
      <c r="AR11" s="75" t="str">
        <f t="shared" si="12"/>
        <v>O</v>
      </c>
      <c r="AS11" s="75" t="s">
        <v>2</v>
      </c>
      <c r="AT11" s="75" t="str">
        <f t="shared" si="13"/>
        <v>O</v>
      </c>
      <c r="AU11" s="75" t="str">
        <f t="shared" si="14"/>
        <v>O</v>
      </c>
      <c r="AV11" s="75" t="str">
        <f t="shared" si="15"/>
        <v/>
      </c>
    </row>
    <row r="12" spans="1:60" s="38" customFormat="1" ht="12" x14ac:dyDescent="0.3">
      <c r="A12" s="110" t="s">
        <v>1072</v>
      </c>
      <c r="B12" s="111" t="s">
        <v>1073</v>
      </c>
      <c r="C12" s="112">
        <v>275</v>
      </c>
      <c r="D12" s="104">
        <v>76.8</v>
      </c>
      <c r="E12" s="106">
        <v>23</v>
      </c>
      <c r="F12" s="104">
        <v>59.9</v>
      </c>
      <c r="G12" s="17">
        <v>18</v>
      </c>
      <c r="H12" s="107">
        <v>121</v>
      </c>
      <c r="I12" s="108"/>
      <c r="J12" s="108"/>
      <c r="K12" s="108"/>
      <c r="L12" s="108"/>
      <c r="M12" s="109">
        <f t="shared" si="0"/>
        <v>0</v>
      </c>
      <c r="N12" s="4" t="str">
        <f t="shared" si="1"/>
        <v/>
      </c>
      <c r="O12" s="105">
        <f t="shared" si="2"/>
        <v>0</v>
      </c>
      <c r="P12" s="105">
        <f t="shared" si="3"/>
        <v>0</v>
      </c>
      <c r="Q12" s="75">
        <v>3</v>
      </c>
      <c r="R12" s="75">
        <v>1</v>
      </c>
      <c r="S12" s="75" t="s">
        <v>947</v>
      </c>
      <c r="T12" s="5">
        <v>76</v>
      </c>
      <c r="U12" s="9"/>
      <c r="W12" s="104">
        <f t="shared" si="16"/>
        <v>76.8</v>
      </c>
      <c r="X12" s="106">
        <f t="shared" si="16"/>
        <v>23</v>
      </c>
      <c r="Y12" s="102">
        <f t="shared" si="17"/>
        <v>121</v>
      </c>
      <c r="Z12" s="109">
        <f t="shared" si="17"/>
        <v>0</v>
      </c>
      <c r="AA12" s="109">
        <f t="shared" si="4"/>
        <v>0</v>
      </c>
      <c r="AB12" s="109">
        <f t="shared" si="18"/>
        <v>0</v>
      </c>
      <c r="AC12" s="4" t="str">
        <f t="shared" si="18"/>
        <v/>
      </c>
      <c r="AD12" s="105">
        <f t="shared" si="18"/>
        <v>0</v>
      </c>
      <c r="AE12" s="75" t="str">
        <f t="shared" si="5"/>
        <v>계</v>
      </c>
      <c r="AF12" s="75" t="str">
        <f t="shared" si="6"/>
        <v>3/1</v>
      </c>
      <c r="AH12" s="20" t="str">
        <f t="shared" si="19"/>
        <v>동읍 동읍대한</v>
      </c>
      <c r="AI12" s="106">
        <f t="shared" si="20"/>
        <v>23</v>
      </c>
      <c r="AJ12" s="75" t="str">
        <f t="shared" si="7"/>
        <v>A-</v>
      </c>
      <c r="AK12" s="75" t="s">
        <v>14</v>
      </c>
      <c r="AL12" s="75" t="s">
        <v>944</v>
      </c>
      <c r="AM12" s="75" t="s">
        <v>945</v>
      </c>
      <c r="AN12" s="75" t="str">
        <f t="shared" si="8"/>
        <v>C</v>
      </c>
      <c r="AO12" s="75" t="str">
        <f t="shared" si="9"/>
        <v/>
      </c>
      <c r="AP12" s="75" t="str">
        <f t="shared" si="10"/>
        <v/>
      </c>
      <c r="AQ12" s="75" t="str">
        <f t="shared" si="11"/>
        <v>O</v>
      </c>
      <c r="AR12" s="75" t="str">
        <f t="shared" si="12"/>
        <v>O</v>
      </c>
      <c r="AS12" s="75" t="s">
        <v>2</v>
      </c>
      <c r="AT12" s="75" t="str">
        <f t="shared" si="13"/>
        <v>O</v>
      </c>
      <c r="AU12" s="75" t="str">
        <f t="shared" si="14"/>
        <v>X</v>
      </c>
      <c r="AV12" s="75" t="str">
        <f t="shared" si="15"/>
        <v/>
      </c>
    </row>
    <row r="13" spans="1:60" s="38" customFormat="1" ht="12" x14ac:dyDescent="0.3">
      <c r="A13" s="110" t="s">
        <v>1072</v>
      </c>
      <c r="B13" s="111" t="s">
        <v>1073</v>
      </c>
      <c r="C13" s="112">
        <v>275</v>
      </c>
      <c r="D13" s="104">
        <v>101.3</v>
      </c>
      <c r="E13" s="106">
        <v>31</v>
      </c>
      <c r="F13" s="104">
        <v>79</v>
      </c>
      <c r="G13" s="17">
        <v>24</v>
      </c>
      <c r="H13" s="107">
        <v>40</v>
      </c>
      <c r="I13" s="108"/>
      <c r="J13" s="108"/>
      <c r="K13" s="108"/>
      <c r="L13" s="108"/>
      <c r="M13" s="109">
        <f t="shared" si="0"/>
        <v>0</v>
      </c>
      <c r="N13" s="4" t="str">
        <f t="shared" si="1"/>
        <v/>
      </c>
      <c r="O13" s="105">
        <f t="shared" si="2"/>
        <v>0</v>
      </c>
      <c r="P13" s="105">
        <f t="shared" si="3"/>
        <v>0</v>
      </c>
      <c r="Q13" s="75">
        <v>3</v>
      </c>
      <c r="R13" s="75">
        <v>1</v>
      </c>
      <c r="S13" s="75" t="s">
        <v>947</v>
      </c>
      <c r="T13" s="5">
        <v>101</v>
      </c>
      <c r="U13" s="9"/>
      <c r="W13" s="104">
        <f t="shared" si="16"/>
        <v>101.3</v>
      </c>
      <c r="X13" s="106">
        <f t="shared" si="16"/>
        <v>31</v>
      </c>
      <c r="Y13" s="102">
        <f t="shared" si="17"/>
        <v>40</v>
      </c>
      <c r="Z13" s="109">
        <f t="shared" si="17"/>
        <v>0</v>
      </c>
      <c r="AA13" s="109">
        <f t="shared" si="4"/>
        <v>0</v>
      </c>
      <c r="AB13" s="109">
        <f t="shared" si="18"/>
        <v>0</v>
      </c>
      <c r="AC13" s="4" t="str">
        <f t="shared" si="18"/>
        <v/>
      </c>
      <c r="AD13" s="105">
        <f t="shared" si="18"/>
        <v>0</v>
      </c>
      <c r="AE13" s="75" t="str">
        <f t="shared" si="5"/>
        <v>계</v>
      </c>
      <c r="AF13" s="75" t="str">
        <f t="shared" si="6"/>
        <v>3/1</v>
      </c>
      <c r="AH13" s="20" t="str">
        <f t="shared" si="19"/>
        <v>동읍 동읍대한</v>
      </c>
      <c r="AI13" s="106">
        <f t="shared" si="20"/>
        <v>31</v>
      </c>
      <c r="AJ13" s="75" t="str">
        <f t="shared" si="7"/>
        <v>A-</v>
      </c>
      <c r="AK13" s="75" t="s">
        <v>14</v>
      </c>
      <c r="AL13" s="75" t="s">
        <v>944</v>
      </c>
      <c r="AM13" s="75" t="s">
        <v>945</v>
      </c>
      <c r="AN13" s="75" t="str">
        <f t="shared" si="8"/>
        <v>C</v>
      </c>
      <c r="AO13" s="75" t="str">
        <f t="shared" si="9"/>
        <v/>
      </c>
      <c r="AP13" s="75" t="str">
        <f t="shared" si="10"/>
        <v/>
      </c>
      <c r="AQ13" s="75" t="str">
        <f t="shared" si="11"/>
        <v>O</v>
      </c>
      <c r="AR13" s="75" t="str">
        <f t="shared" si="12"/>
        <v>O</v>
      </c>
      <c r="AS13" s="75" t="s">
        <v>2</v>
      </c>
      <c r="AT13" s="75" t="str">
        <f t="shared" si="13"/>
        <v>O</v>
      </c>
      <c r="AU13" s="75" t="str">
        <f t="shared" si="14"/>
        <v>X</v>
      </c>
      <c r="AV13" s="75" t="str">
        <f t="shared" si="15"/>
        <v/>
      </c>
    </row>
    <row r="14" spans="1:60" s="38" customFormat="1" ht="12" x14ac:dyDescent="0.3">
      <c r="A14" s="110" t="s">
        <v>1074</v>
      </c>
      <c r="B14" s="111" t="s">
        <v>1075</v>
      </c>
      <c r="C14" s="112">
        <v>275</v>
      </c>
      <c r="D14" s="104">
        <v>108.9</v>
      </c>
      <c r="E14" s="106">
        <v>33</v>
      </c>
      <c r="F14" s="104">
        <v>85</v>
      </c>
      <c r="G14" s="17">
        <v>26</v>
      </c>
      <c r="H14" s="107">
        <v>114</v>
      </c>
      <c r="I14" s="108"/>
      <c r="J14" s="108"/>
      <c r="K14" s="108"/>
      <c r="L14" s="108"/>
      <c r="M14" s="109">
        <f t="shared" si="0"/>
        <v>0</v>
      </c>
      <c r="N14" s="4" t="str">
        <f t="shared" si="1"/>
        <v/>
      </c>
      <c r="O14" s="105">
        <f t="shared" si="2"/>
        <v>0</v>
      </c>
      <c r="P14" s="105">
        <f t="shared" si="3"/>
        <v>0</v>
      </c>
      <c r="Q14" s="75">
        <v>3</v>
      </c>
      <c r="R14" s="75">
        <v>2</v>
      </c>
      <c r="S14" s="75" t="s">
        <v>947</v>
      </c>
      <c r="T14" s="5">
        <v>108</v>
      </c>
      <c r="U14" s="9"/>
      <c r="W14" s="104">
        <f t="shared" si="16"/>
        <v>108.9</v>
      </c>
      <c r="X14" s="106">
        <f t="shared" si="16"/>
        <v>33</v>
      </c>
      <c r="Y14" s="102">
        <f t="shared" si="17"/>
        <v>114</v>
      </c>
      <c r="Z14" s="109">
        <f t="shared" si="17"/>
        <v>0</v>
      </c>
      <c r="AA14" s="109">
        <f t="shared" si="4"/>
        <v>0</v>
      </c>
      <c r="AB14" s="109">
        <f t="shared" si="18"/>
        <v>0</v>
      </c>
      <c r="AC14" s="4" t="str">
        <f t="shared" si="18"/>
        <v/>
      </c>
      <c r="AD14" s="105">
        <f t="shared" si="18"/>
        <v>0</v>
      </c>
      <c r="AE14" s="75" t="str">
        <f t="shared" si="5"/>
        <v>계</v>
      </c>
      <c r="AF14" s="75" t="str">
        <f t="shared" si="6"/>
        <v>3/2</v>
      </c>
      <c r="AH14" s="20" t="str">
        <f t="shared" si="19"/>
        <v>동읍 동읍대한</v>
      </c>
      <c r="AI14" s="106">
        <f t="shared" si="20"/>
        <v>33</v>
      </c>
      <c r="AJ14" s="75" t="str">
        <f t="shared" si="7"/>
        <v>A-</v>
      </c>
      <c r="AK14" s="75" t="s">
        <v>14</v>
      </c>
      <c r="AL14" s="75" t="s">
        <v>944</v>
      </c>
      <c r="AM14" s="75" t="s">
        <v>945</v>
      </c>
      <c r="AN14" s="75" t="str">
        <f t="shared" si="8"/>
        <v>C</v>
      </c>
      <c r="AO14" s="75" t="str">
        <f t="shared" si="9"/>
        <v/>
      </c>
      <c r="AP14" s="75" t="str">
        <f t="shared" si="10"/>
        <v/>
      </c>
      <c r="AQ14" s="75" t="str">
        <f t="shared" si="11"/>
        <v>O</v>
      </c>
      <c r="AR14" s="75" t="str">
        <f t="shared" si="12"/>
        <v>O</v>
      </c>
      <c r="AS14" s="75" t="s">
        <v>2</v>
      </c>
      <c r="AT14" s="75" t="str">
        <f t="shared" si="13"/>
        <v>O</v>
      </c>
      <c r="AU14" s="75" t="str">
        <f t="shared" si="14"/>
        <v>X</v>
      </c>
      <c r="AV14" s="75" t="str">
        <f t="shared" si="15"/>
        <v/>
      </c>
    </row>
    <row r="15" spans="1:60" s="38" customFormat="1" ht="12" x14ac:dyDescent="0.3">
      <c r="A15" s="110" t="s">
        <v>1076</v>
      </c>
      <c r="B15" s="111" t="s">
        <v>1077</v>
      </c>
      <c r="C15" s="112">
        <v>220</v>
      </c>
      <c r="D15" s="104">
        <v>65.599999999999994</v>
      </c>
      <c r="E15" s="106">
        <v>20</v>
      </c>
      <c r="F15" s="104">
        <v>59.4</v>
      </c>
      <c r="G15" s="17">
        <v>18</v>
      </c>
      <c r="H15" s="107">
        <v>6</v>
      </c>
      <c r="I15" s="108"/>
      <c r="J15" s="108"/>
      <c r="K15" s="108"/>
      <c r="L15" s="108"/>
      <c r="M15" s="109">
        <f t="shared" ref="M15:M22" si="21">I15-K15</f>
        <v>0</v>
      </c>
      <c r="N15" s="4" t="str">
        <f t="shared" ref="N15:N22" si="22">IF(ISERROR(K15/I15),"",K15/I15)</f>
        <v/>
      </c>
      <c r="O15" s="105">
        <f t="shared" ref="O15:O22" si="23">I15/E15</f>
        <v>0</v>
      </c>
      <c r="P15" s="105">
        <f t="shared" ref="P15:P22" si="24">K15/E15</f>
        <v>0</v>
      </c>
      <c r="Q15" s="75">
        <v>2</v>
      </c>
      <c r="R15" s="75">
        <v>1</v>
      </c>
      <c r="S15" s="75" t="s">
        <v>947</v>
      </c>
      <c r="T15" s="5">
        <v>65</v>
      </c>
      <c r="U15" s="9"/>
      <c r="W15" s="104">
        <f t="shared" si="16"/>
        <v>65.599999999999994</v>
      </c>
      <c r="X15" s="106">
        <f t="shared" si="16"/>
        <v>20</v>
      </c>
      <c r="Y15" s="102">
        <f t="shared" si="17"/>
        <v>6</v>
      </c>
      <c r="Z15" s="109">
        <f t="shared" si="17"/>
        <v>0</v>
      </c>
      <c r="AA15" s="109">
        <f t="shared" ref="AA15:AA22" si="25">K15</f>
        <v>0</v>
      </c>
      <c r="AB15" s="109">
        <f t="shared" si="18"/>
        <v>0</v>
      </c>
      <c r="AC15" s="4" t="str">
        <f t="shared" si="18"/>
        <v/>
      </c>
      <c r="AD15" s="105">
        <f t="shared" si="18"/>
        <v>0</v>
      </c>
      <c r="AE15" s="75" t="str">
        <f t="shared" ref="AE15:AE22" si="26">S15</f>
        <v>계</v>
      </c>
      <c r="AF15" s="75" t="str">
        <f t="shared" ref="AF15:AF22" si="27">Q15&amp;"/"&amp;R15</f>
        <v>2/1</v>
      </c>
      <c r="AH15" s="20" t="str">
        <f t="shared" si="19"/>
        <v>동읍 우성전원</v>
      </c>
      <c r="AI15" s="106">
        <f t="shared" si="20"/>
        <v>20</v>
      </c>
      <c r="AJ15" s="75" t="str">
        <f t="shared" ref="AJ15:AJ22" si="28">IF(AI15="","",$AJ$2)</f>
        <v>A-</v>
      </c>
      <c r="AK15" s="75" t="s">
        <v>14</v>
      </c>
      <c r="AL15" s="75" t="s">
        <v>944</v>
      </c>
      <c r="AM15" s="75" t="s">
        <v>945</v>
      </c>
      <c r="AN15" s="75" t="str">
        <f t="shared" ref="AN15:AN22" si="29">IF(AI15="","",$AN$2)</f>
        <v>C</v>
      </c>
      <c r="AO15" s="75" t="str">
        <f t="shared" ref="AO15:AO22" si="30">IF(N15="","",IF(N15&gt;=$AO$1/100,"O","X"))</f>
        <v/>
      </c>
      <c r="AP15" s="75" t="str">
        <f t="shared" ref="AP15:AP22" si="31">IF(I15="","",IF(I15&lt;=$AP$1,"O","X"))</f>
        <v/>
      </c>
      <c r="AQ15" s="75" t="str">
        <f t="shared" ref="AQ15:AQ22" si="32">IF(O15="","",IF(O15&lt;=$AQ$1,"O","X"))</f>
        <v>O</v>
      </c>
      <c r="AR15" s="75" t="str">
        <f t="shared" ref="AR15:AR22" si="33">IF(M15="","",IF(M15&lt;=$AR$1,"O","X"))</f>
        <v>O</v>
      </c>
      <c r="AS15" s="75" t="s">
        <v>2</v>
      </c>
      <c r="AT15" s="75" t="str">
        <f t="shared" ref="AT15:AT22" si="34">IF(OR(F15="",AI15=""),"",IF(AND((F15&lt;=85),(AI15&gt;=15)),"O","X"))</f>
        <v>O</v>
      </c>
      <c r="AU15" s="75" t="str">
        <f t="shared" ref="AU15:AU22" si="35">IF(C15="","",IF(C15&gt;=$AU$1,"O","X"))</f>
        <v>X</v>
      </c>
      <c r="AV15" s="75" t="str">
        <f t="shared" ref="AV15:AV22" si="36">IF(AO15="","",IF(AND(AO15="O",AP15="O",AR15="O",AT15="O",AU15="O"),"후보","X"))</f>
        <v/>
      </c>
    </row>
    <row r="16" spans="1:60" s="38" customFormat="1" ht="12" x14ac:dyDescent="0.3">
      <c r="A16" s="110" t="s">
        <v>1076</v>
      </c>
      <c r="B16" s="111" t="s">
        <v>1077</v>
      </c>
      <c r="C16" s="112">
        <v>220</v>
      </c>
      <c r="D16" s="104">
        <v>72.599999999999994</v>
      </c>
      <c r="E16" s="106">
        <v>22</v>
      </c>
      <c r="F16" s="104">
        <v>66.400000000000006</v>
      </c>
      <c r="G16" s="17">
        <v>20</v>
      </c>
      <c r="H16" s="107">
        <v>78</v>
      </c>
      <c r="I16" s="108"/>
      <c r="J16" s="108"/>
      <c r="K16" s="108"/>
      <c r="L16" s="108"/>
      <c r="M16" s="109">
        <f t="shared" si="21"/>
        <v>0</v>
      </c>
      <c r="N16" s="4" t="str">
        <f t="shared" si="22"/>
        <v/>
      </c>
      <c r="O16" s="105">
        <f t="shared" si="23"/>
        <v>0</v>
      </c>
      <c r="P16" s="105">
        <f t="shared" si="24"/>
        <v>0</v>
      </c>
      <c r="Q16" s="75">
        <v>3</v>
      </c>
      <c r="R16" s="75">
        <v>1</v>
      </c>
      <c r="S16" s="75" t="s">
        <v>947</v>
      </c>
      <c r="T16" s="5">
        <v>72</v>
      </c>
      <c r="U16" s="9"/>
      <c r="W16" s="104">
        <f t="shared" si="16"/>
        <v>72.599999999999994</v>
      </c>
      <c r="X16" s="106">
        <f t="shared" si="16"/>
        <v>22</v>
      </c>
      <c r="Y16" s="102">
        <f t="shared" si="17"/>
        <v>78</v>
      </c>
      <c r="Z16" s="109">
        <f t="shared" si="17"/>
        <v>0</v>
      </c>
      <c r="AA16" s="109">
        <f t="shared" si="25"/>
        <v>0</v>
      </c>
      <c r="AB16" s="109">
        <f t="shared" si="18"/>
        <v>0</v>
      </c>
      <c r="AC16" s="4" t="str">
        <f t="shared" si="18"/>
        <v/>
      </c>
      <c r="AD16" s="105">
        <f t="shared" si="18"/>
        <v>0</v>
      </c>
      <c r="AE16" s="75" t="str">
        <f t="shared" si="26"/>
        <v>계</v>
      </c>
      <c r="AF16" s="75" t="str">
        <f t="shared" si="27"/>
        <v>3/1</v>
      </c>
      <c r="AH16" s="20" t="str">
        <f t="shared" si="19"/>
        <v>동읍 우성전원</v>
      </c>
      <c r="AI16" s="106">
        <f t="shared" si="20"/>
        <v>22</v>
      </c>
      <c r="AJ16" s="75" t="str">
        <f t="shared" si="28"/>
        <v>A-</v>
      </c>
      <c r="AK16" s="75" t="s">
        <v>14</v>
      </c>
      <c r="AL16" s="75" t="s">
        <v>944</v>
      </c>
      <c r="AM16" s="75" t="s">
        <v>945</v>
      </c>
      <c r="AN16" s="75" t="str">
        <f t="shared" si="29"/>
        <v>C</v>
      </c>
      <c r="AO16" s="75" t="str">
        <f t="shared" si="30"/>
        <v/>
      </c>
      <c r="AP16" s="75" t="str">
        <f t="shared" si="31"/>
        <v/>
      </c>
      <c r="AQ16" s="75" t="str">
        <f t="shared" si="32"/>
        <v>O</v>
      </c>
      <c r="AR16" s="75" t="str">
        <f t="shared" si="33"/>
        <v>O</v>
      </c>
      <c r="AS16" s="75" t="s">
        <v>2</v>
      </c>
      <c r="AT16" s="75" t="str">
        <f t="shared" si="34"/>
        <v>O</v>
      </c>
      <c r="AU16" s="75" t="str">
        <f t="shared" si="35"/>
        <v>X</v>
      </c>
      <c r="AV16" s="75" t="str">
        <f t="shared" si="36"/>
        <v/>
      </c>
    </row>
    <row r="17" spans="1:48" s="38" customFormat="1" ht="12" x14ac:dyDescent="0.3">
      <c r="A17" s="110" t="s">
        <v>1076</v>
      </c>
      <c r="B17" s="111" t="s">
        <v>1077</v>
      </c>
      <c r="C17" s="112">
        <v>220</v>
      </c>
      <c r="D17" s="104">
        <v>75.8</v>
      </c>
      <c r="E17" s="106">
        <v>23</v>
      </c>
      <c r="F17" s="104">
        <v>69.599999999999994</v>
      </c>
      <c r="G17" s="17">
        <v>21</v>
      </c>
      <c r="H17" s="107">
        <v>72</v>
      </c>
      <c r="I17" s="108"/>
      <c r="J17" s="108"/>
      <c r="K17" s="108"/>
      <c r="L17" s="108"/>
      <c r="M17" s="109">
        <f t="shared" si="21"/>
        <v>0</v>
      </c>
      <c r="N17" s="4" t="str">
        <f t="shared" si="22"/>
        <v/>
      </c>
      <c r="O17" s="105">
        <f t="shared" si="23"/>
        <v>0</v>
      </c>
      <c r="P17" s="105">
        <f t="shared" si="24"/>
        <v>0</v>
      </c>
      <c r="Q17" s="75">
        <v>3</v>
      </c>
      <c r="R17" s="75">
        <v>1</v>
      </c>
      <c r="S17" s="75" t="s">
        <v>947</v>
      </c>
      <c r="T17" s="5">
        <v>75</v>
      </c>
      <c r="U17" s="9"/>
      <c r="W17" s="104">
        <f t="shared" si="16"/>
        <v>75.8</v>
      </c>
      <c r="X17" s="106">
        <f t="shared" si="16"/>
        <v>23</v>
      </c>
      <c r="Y17" s="102">
        <f t="shared" si="17"/>
        <v>72</v>
      </c>
      <c r="Z17" s="109">
        <f t="shared" si="17"/>
        <v>0</v>
      </c>
      <c r="AA17" s="109">
        <f t="shared" si="25"/>
        <v>0</v>
      </c>
      <c r="AB17" s="109">
        <f t="shared" si="18"/>
        <v>0</v>
      </c>
      <c r="AC17" s="4" t="str">
        <f t="shared" si="18"/>
        <v/>
      </c>
      <c r="AD17" s="105">
        <f t="shared" si="18"/>
        <v>0</v>
      </c>
      <c r="AE17" s="75" t="str">
        <f t="shared" si="26"/>
        <v>계</v>
      </c>
      <c r="AF17" s="75" t="str">
        <f t="shared" si="27"/>
        <v>3/1</v>
      </c>
      <c r="AH17" s="20" t="str">
        <f t="shared" si="19"/>
        <v>동읍 우성전원</v>
      </c>
      <c r="AI17" s="106">
        <f t="shared" si="20"/>
        <v>23</v>
      </c>
      <c r="AJ17" s="75" t="str">
        <f t="shared" si="28"/>
        <v>A-</v>
      </c>
      <c r="AK17" s="75" t="s">
        <v>14</v>
      </c>
      <c r="AL17" s="75" t="s">
        <v>944</v>
      </c>
      <c r="AM17" s="75" t="s">
        <v>945</v>
      </c>
      <c r="AN17" s="75" t="str">
        <f t="shared" si="29"/>
        <v>C</v>
      </c>
      <c r="AO17" s="75" t="str">
        <f t="shared" si="30"/>
        <v/>
      </c>
      <c r="AP17" s="75" t="str">
        <f t="shared" si="31"/>
        <v/>
      </c>
      <c r="AQ17" s="75" t="str">
        <f t="shared" si="32"/>
        <v>O</v>
      </c>
      <c r="AR17" s="75" t="str">
        <f t="shared" si="33"/>
        <v>O</v>
      </c>
      <c r="AS17" s="75" t="s">
        <v>2</v>
      </c>
      <c r="AT17" s="75" t="str">
        <f t="shared" si="34"/>
        <v>O</v>
      </c>
      <c r="AU17" s="75" t="str">
        <f t="shared" si="35"/>
        <v>X</v>
      </c>
      <c r="AV17" s="75" t="str">
        <f t="shared" si="36"/>
        <v/>
      </c>
    </row>
    <row r="18" spans="1:48" s="38" customFormat="1" ht="12" x14ac:dyDescent="0.3">
      <c r="A18" s="110" t="s">
        <v>1076</v>
      </c>
      <c r="B18" s="111" t="s">
        <v>1009</v>
      </c>
      <c r="C18" s="112">
        <v>220</v>
      </c>
      <c r="D18" s="104">
        <v>81.7</v>
      </c>
      <c r="E18" s="106">
        <v>25</v>
      </c>
      <c r="F18" s="104">
        <v>75.400000000000006</v>
      </c>
      <c r="G18" s="17">
        <v>23</v>
      </c>
      <c r="H18" s="107">
        <v>40</v>
      </c>
      <c r="I18" s="108"/>
      <c r="J18" s="108"/>
      <c r="K18" s="108"/>
      <c r="L18" s="108"/>
      <c r="M18" s="109">
        <f t="shared" si="21"/>
        <v>0</v>
      </c>
      <c r="N18" s="4" t="str">
        <f t="shared" si="22"/>
        <v/>
      </c>
      <c r="O18" s="105">
        <f t="shared" si="23"/>
        <v>0</v>
      </c>
      <c r="P18" s="105">
        <f t="shared" si="24"/>
        <v>0</v>
      </c>
      <c r="Q18" s="75">
        <v>3</v>
      </c>
      <c r="R18" s="75">
        <v>1</v>
      </c>
      <c r="S18" s="75" t="s">
        <v>947</v>
      </c>
      <c r="T18" s="5">
        <v>81</v>
      </c>
      <c r="U18" s="9"/>
      <c r="W18" s="104">
        <f t="shared" si="16"/>
        <v>81.7</v>
      </c>
      <c r="X18" s="106">
        <f t="shared" si="16"/>
        <v>25</v>
      </c>
      <c r="Y18" s="102">
        <f t="shared" si="17"/>
        <v>40</v>
      </c>
      <c r="Z18" s="109">
        <f t="shared" si="17"/>
        <v>0</v>
      </c>
      <c r="AA18" s="109">
        <f t="shared" si="25"/>
        <v>0</v>
      </c>
      <c r="AB18" s="109">
        <f t="shared" si="18"/>
        <v>0</v>
      </c>
      <c r="AC18" s="4" t="str">
        <f t="shared" si="18"/>
        <v/>
      </c>
      <c r="AD18" s="105">
        <f t="shared" si="18"/>
        <v>0</v>
      </c>
      <c r="AE18" s="75" t="str">
        <f t="shared" si="26"/>
        <v>계</v>
      </c>
      <c r="AF18" s="75" t="str">
        <f t="shared" si="27"/>
        <v>3/1</v>
      </c>
      <c r="AH18" s="20" t="str">
        <f t="shared" si="19"/>
        <v>동읍 우성전원</v>
      </c>
      <c r="AI18" s="106">
        <f t="shared" si="20"/>
        <v>25</v>
      </c>
      <c r="AJ18" s="75" t="str">
        <f t="shared" si="28"/>
        <v>A-</v>
      </c>
      <c r="AK18" s="75" t="s">
        <v>14</v>
      </c>
      <c r="AL18" s="75" t="s">
        <v>944</v>
      </c>
      <c r="AM18" s="75" t="s">
        <v>945</v>
      </c>
      <c r="AN18" s="75" t="str">
        <f t="shared" si="29"/>
        <v>C</v>
      </c>
      <c r="AO18" s="75" t="str">
        <f t="shared" si="30"/>
        <v/>
      </c>
      <c r="AP18" s="75" t="str">
        <f t="shared" si="31"/>
        <v/>
      </c>
      <c r="AQ18" s="75" t="str">
        <f t="shared" si="32"/>
        <v>O</v>
      </c>
      <c r="AR18" s="75" t="str">
        <f t="shared" si="33"/>
        <v>O</v>
      </c>
      <c r="AS18" s="75" t="s">
        <v>2</v>
      </c>
      <c r="AT18" s="75" t="str">
        <f t="shared" si="34"/>
        <v>O</v>
      </c>
      <c r="AU18" s="75" t="str">
        <f t="shared" si="35"/>
        <v>X</v>
      </c>
      <c r="AV18" s="75" t="str">
        <f t="shared" si="36"/>
        <v/>
      </c>
    </row>
    <row r="19" spans="1:48" s="38" customFormat="1" ht="12" x14ac:dyDescent="0.3">
      <c r="A19" s="110" t="s">
        <v>1076</v>
      </c>
      <c r="B19" s="111" t="s">
        <v>1077</v>
      </c>
      <c r="C19" s="112">
        <v>220</v>
      </c>
      <c r="D19" s="104">
        <v>85.6</v>
      </c>
      <c r="E19" s="106">
        <v>26</v>
      </c>
      <c r="F19" s="104">
        <v>79.3</v>
      </c>
      <c r="G19" s="17">
        <v>24</v>
      </c>
      <c r="H19" s="107">
        <v>6</v>
      </c>
      <c r="I19" s="108"/>
      <c r="J19" s="108"/>
      <c r="K19" s="108"/>
      <c r="L19" s="108"/>
      <c r="M19" s="109">
        <f t="shared" si="21"/>
        <v>0</v>
      </c>
      <c r="N19" s="4" t="str">
        <f t="shared" si="22"/>
        <v/>
      </c>
      <c r="O19" s="105">
        <f t="shared" si="23"/>
        <v>0</v>
      </c>
      <c r="P19" s="105">
        <f t="shared" si="24"/>
        <v>0</v>
      </c>
      <c r="Q19" s="75">
        <v>3</v>
      </c>
      <c r="R19" s="75">
        <v>1</v>
      </c>
      <c r="S19" s="75" t="s">
        <v>947</v>
      </c>
      <c r="T19" s="5" t="s">
        <v>188</v>
      </c>
      <c r="U19" s="9"/>
      <c r="W19" s="104">
        <f t="shared" si="16"/>
        <v>85.6</v>
      </c>
      <c r="X19" s="106">
        <f t="shared" si="16"/>
        <v>26</v>
      </c>
      <c r="Y19" s="102">
        <f t="shared" si="17"/>
        <v>6</v>
      </c>
      <c r="Z19" s="109">
        <f t="shared" si="17"/>
        <v>0</v>
      </c>
      <c r="AA19" s="109">
        <f t="shared" si="25"/>
        <v>0</v>
      </c>
      <c r="AB19" s="109">
        <f t="shared" si="18"/>
        <v>0</v>
      </c>
      <c r="AC19" s="4" t="str">
        <f t="shared" si="18"/>
        <v/>
      </c>
      <c r="AD19" s="105">
        <f t="shared" si="18"/>
        <v>0</v>
      </c>
      <c r="AE19" s="75" t="str">
        <f t="shared" si="26"/>
        <v>계</v>
      </c>
      <c r="AF19" s="75" t="str">
        <f t="shared" si="27"/>
        <v>3/1</v>
      </c>
      <c r="AH19" s="20" t="str">
        <f t="shared" si="19"/>
        <v>동읍 우성전원</v>
      </c>
      <c r="AI19" s="106">
        <f t="shared" si="20"/>
        <v>26</v>
      </c>
      <c r="AJ19" s="75" t="str">
        <f t="shared" si="28"/>
        <v>A-</v>
      </c>
      <c r="AK19" s="75" t="s">
        <v>14</v>
      </c>
      <c r="AL19" s="75" t="s">
        <v>944</v>
      </c>
      <c r="AM19" s="75" t="s">
        <v>945</v>
      </c>
      <c r="AN19" s="75" t="str">
        <f t="shared" si="29"/>
        <v>C</v>
      </c>
      <c r="AO19" s="75" t="str">
        <f t="shared" si="30"/>
        <v/>
      </c>
      <c r="AP19" s="75" t="str">
        <f t="shared" si="31"/>
        <v/>
      </c>
      <c r="AQ19" s="75" t="str">
        <f t="shared" si="32"/>
        <v>O</v>
      </c>
      <c r="AR19" s="75" t="str">
        <f t="shared" si="33"/>
        <v>O</v>
      </c>
      <c r="AS19" s="75" t="s">
        <v>2</v>
      </c>
      <c r="AT19" s="75" t="str">
        <f t="shared" si="34"/>
        <v>O</v>
      </c>
      <c r="AU19" s="75" t="str">
        <f t="shared" si="35"/>
        <v>X</v>
      </c>
      <c r="AV19" s="75" t="str">
        <f t="shared" si="36"/>
        <v/>
      </c>
    </row>
    <row r="20" spans="1:48" s="38" customFormat="1" ht="12" x14ac:dyDescent="0.3">
      <c r="A20" s="110" t="s">
        <v>1076</v>
      </c>
      <c r="B20" s="111" t="s">
        <v>1009</v>
      </c>
      <c r="C20" s="112">
        <v>220</v>
      </c>
      <c r="D20" s="104">
        <v>86.6</v>
      </c>
      <c r="E20" s="106">
        <v>26</v>
      </c>
      <c r="F20" s="104">
        <v>80.400000000000006</v>
      </c>
      <c r="G20" s="17">
        <v>24</v>
      </c>
      <c r="H20" s="107">
        <v>6</v>
      </c>
      <c r="I20" s="108"/>
      <c r="J20" s="108"/>
      <c r="K20" s="108"/>
      <c r="L20" s="108"/>
      <c r="M20" s="109">
        <f t="shared" si="21"/>
        <v>0</v>
      </c>
      <c r="N20" s="4" t="str">
        <f t="shared" si="22"/>
        <v/>
      </c>
      <c r="O20" s="105">
        <f t="shared" si="23"/>
        <v>0</v>
      </c>
      <c r="P20" s="105">
        <f t="shared" si="24"/>
        <v>0</v>
      </c>
      <c r="Q20" s="75">
        <v>3</v>
      </c>
      <c r="R20" s="75">
        <v>1</v>
      </c>
      <c r="S20" s="75" t="s">
        <v>947</v>
      </c>
      <c r="T20" s="5" t="s">
        <v>228</v>
      </c>
      <c r="U20" s="9"/>
      <c r="W20" s="104">
        <f t="shared" si="16"/>
        <v>86.6</v>
      </c>
      <c r="X20" s="106">
        <f t="shared" si="16"/>
        <v>26</v>
      </c>
      <c r="Y20" s="102">
        <f t="shared" si="17"/>
        <v>6</v>
      </c>
      <c r="Z20" s="109">
        <f t="shared" si="17"/>
        <v>0</v>
      </c>
      <c r="AA20" s="109">
        <f t="shared" si="25"/>
        <v>0</v>
      </c>
      <c r="AB20" s="109">
        <f t="shared" si="18"/>
        <v>0</v>
      </c>
      <c r="AC20" s="4" t="str">
        <f t="shared" si="18"/>
        <v/>
      </c>
      <c r="AD20" s="105">
        <f t="shared" si="18"/>
        <v>0</v>
      </c>
      <c r="AE20" s="75" t="str">
        <f t="shared" si="26"/>
        <v>계</v>
      </c>
      <c r="AF20" s="75" t="str">
        <f t="shared" si="27"/>
        <v>3/1</v>
      </c>
      <c r="AH20" s="20" t="str">
        <f t="shared" si="19"/>
        <v>동읍 우성전원</v>
      </c>
      <c r="AI20" s="106">
        <f t="shared" si="20"/>
        <v>26</v>
      </c>
      <c r="AJ20" s="75" t="str">
        <f t="shared" si="28"/>
        <v>A-</v>
      </c>
      <c r="AK20" s="75" t="s">
        <v>14</v>
      </c>
      <c r="AL20" s="75" t="s">
        <v>944</v>
      </c>
      <c r="AM20" s="75" t="s">
        <v>945</v>
      </c>
      <c r="AN20" s="75" t="str">
        <f t="shared" si="29"/>
        <v>C</v>
      </c>
      <c r="AO20" s="75" t="str">
        <f t="shared" si="30"/>
        <v/>
      </c>
      <c r="AP20" s="75" t="str">
        <f t="shared" si="31"/>
        <v/>
      </c>
      <c r="AQ20" s="75" t="str">
        <f t="shared" si="32"/>
        <v>O</v>
      </c>
      <c r="AR20" s="75" t="str">
        <f t="shared" si="33"/>
        <v>O</v>
      </c>
      <c r="AS20" s="75" t="s">
        <v>2</v>
      </c>
      <c r="AT20" s="75" t="str">
        <f t="shared" si="34"/>
        <v>O</v>
      </c>
      <c r="AU20" s="75" t="str">
        <f t="shared" si="35"/>
        <v>X</v>
      </c>
      <c r="AV20" s="75" t="str">
        <f t="shared" si="36"/>
        <v/>
      </c>
    </row>
    <row r="21" spans="1:48" s="38" customFormat="1" ht="12" x14ac:dyDescent="0.3">
      <c r="A21" s="110" t="s">
        <v>1076</v>
      </c>
      <c r="B21" s="111" t="s">
        <v>1077</v>
      </c>
      <c r="C21" s="112">
        <v>220</v>
      </c>
      <c r="D21" s="104">
        <v>87.4</v>
      </c>
      <c r="E21" s="106">
        <v>26</v>
      </c>
      <c r="F21" s="104">
        <v>81.2</v>
      </c>
      <c r="G21" s="17">
        <v>25</v>
      </c>
      <c r="H21" s="107">
        <v>6</v>
      </c>
      <c r="I21" s="108"/>
      <c r="J21" s="108"/>
      <c r="K21" s="108"/>
      <c r="L21" s="108"/>
      <c r="M21" s="109">
        <f t="shared" si="21"/>
        <v>0</v>
      </c>
      <c r="N21" s="4" t="str">
        <f t="shared" si="22"/>
        <v/>
      </c>
      <c r="O21" s="105">
        <f t="shared" si="23"/>
        <v>0</v>
      </c>
      <c r="P21" s="105">
        <f t="shared" si="24"/>
        <v>0</v>
      </c>
      <c r="Q21" s="75">
        <v>3</v>
      </c>
      <c r="R21" s="75">
        <v>1</v>
      </c>
      <c r="S21" s="75" t="s">
        <v>947</v>
      </c>
      <c r="T21" s="5" t="s">
        <v>437</v>
      </c>
      <c r="U21" s="9"/>
      <c r="W21" s="104">
        <f t="shared" ref="W21:X26" si="37">D21</f>
        <v>87.4</v>
      </c>
      <c r="X21" s="106">
        <f t="shared" si="37"/>
        <v>26</v>
      </c>
      <c r="Y21" s="102">
        <f t="shared" ref="Y21:Z26" si="38">H21</f>
        <v>6</v>
      </c>
      <c r="Z21" s="109">
        <f t="shared" si="38"/>
        <v>0</v>
      </c>
      <c r="AA21" s="109">
        <f t="shared" si="25"/>
        <v>0</v>
      </c>
      <c r="AB21" s="109">
        <f t="shared" ref="AB21:AD36" si="39">M21</f>
        <v>0</v>
      </c>
      <c r="AC21" s="4" t="str">
        <f t="shared" si="39"/>
        <v/>
      </c>
      <c r="AD21" s="105">
        <f t="shared" si="39"/>
        <v>0</v>
      </c>
      <c r="AE21" s="75" t="str">
        <f t="shared" si="26"/>
        <v>계</v>
      </c>
      <c r="AF21" s="75" t="str">
        <f t="shared" si="27"/>
        <v>3/1</v>
      </c>
      <c r="AH21" s="20" t="str">
        <f t="shared" si="19"/>
        <v>동읍 우성전원</v>
      </c>
      <c r="AI21" s="106">
        <f t="shared" si="20"/>
        <v>26</v>
      </c>
      <c r="AJ21" s="75" t="str">
        <f t="shared" si="28"/>
        <v>A-</v>
      </c>
      <c r="AK21" s="75" t="s">
        <v>14</v>
      </c>
      <c r="AL21" s="75" t="s">
        <v>944</v>
      </c>
      <c r="AM21" s="75" t="s">
        <v>945</v>
      </c>
      <c r="AN21" s="75" t="str">
        <f t="shared" si="29"/>
        <v>C</v>
      </c>
      <c r="AO21" s="75" t="str">
        <f t="shared" si="30"/>
        <v/>
      </c>
      <c r="AP21" s="75" t="str">
        <f t="shared" si="31"/>
        <v/>
      </c>
      <c r="AQ21" s="75" t="str">
        <f t="shared" si="32"/>
        <v>O</v>
      </c>
      <c r="AR21" s="75" t="str">
        <f t="shared" si="33"/>
        <v>O</v>
      </c>
      <c r="AS21" s="75" t="s">
        <v>2</v>
      </c>
      <c r="AT21" s="75" t="str">
        <f t="shared" si="34"/>
        <v>O</v>
      </c>
      <c r="AU21" s="75" t="str">
        <f t="shared" si="35"/>
        <v>X</v>
      </c>
      <c r="AV21" s="75" t="str">
        <f t="shared" si="36"/>
        <v/>
      </c>
    </row>
    <row r="22" spans="1:48" s="38" customFormat="1" ht="12" x14ac:dyDescent="0.3">
      <c r="A22" s="110" t="s">
        <v>1076</v>
      </c>
      <c r="B22" s="111" t="s">
        <v>1077</v>
      </c>
      <c r="C22" s="112">
        <v>220</v>
      </c>
      <c r="D22" s="104">
        <v>93.7</v>
      </c>
      <c r="E22" s="106">
        <v>28</v>
      </c>
      <c r="F22" s="104">
        <v>81.2</v>
      </c>
      <c r="G22" s="17">
        <v>25</v>
      </c>
      <c r="H22" s="107">
        <v>6</v>
      </c>
      <c r="I22" s="108"/>
      <c r="J22" s="108"/>
      <c r="K22" s="108"/>
      <c r="L22" s="108"/>
      <c r="M22" s="109">
        <f t="shared" si="21"/>
        <v>0</v>
      </c>
      <c r="N22" s="4" t="str">
        <f t="shared" si="22"/>
        <v/>
      </c>
      <c r="O22" s="105">
        <f t="shared" si="23"/>
        <v>0</v>
      </c>
      <c r="P22" s="105">
        <f t="shared" si="24"/>
        <v>0</v>
      </c>
      <c r="Q22" s="75">
        <v>3</v>
      </c>
      <c r="R22" s="75">
        <v>1</v>
      </c>
      <c r="S22" s="75" t="s">
        <v>947</v>
      </c>
      <c r="T22" s="5">
        <v>93</v>
      </c>
      <c r="U22" s="9"/>
      <c r="W22" s="104">
        <f t="shared" si="37"/>
        <v>93.7</v>
      </c>
      <c r="X22" s="106">
        <f t="shared" si="37"/>
        <v>28</v>
      </c>
      <c r="Y22" s="102">
        <f t="shared" si="38"/>
        <v>6</v>
      </c>
      <c r="Z22" s="109">
        <f t="shared" si="38"/>
        <v>0</v>
      </c>
      <c r="AA22" s="109">
        <f t="shared" si="25"/>
        <v>0</v>
      </c>
      <c r="AB22" s="109">
        <f t="shared" si="39"/>
        <v>0</v>
      </c>
      <c r="AC22" s="4" t="str">
        <f t="shared" si="39"/>
        <v/>
      </c>
      <c r="AD22" s="105">
        <f t="shared" si="39"/>
        <v>0</v>
      </c>
      <c r="AE22" s="75" t="str">
        <f t="shared" si="26"/>
        <v>계</v>
      </c>
      <c r="AF22" s="75" t="str">
        <f t="shared" si="27"/>
        <v>3/1</v>
      </c>
      <c r="AH22" s="20" t="str">
        <f t="shared" si="19"/>
        <v>동읍 우성전원</v>
      </c>
      <c r="AI22" s="106">
        <f t="shared" si="20"/>
        <v>28</v>
      </c>
      <c r="AJ22" s="75" t="str">
        <f t="shared" si="28"/>
        <v>A-</v>
      </c>
      <c r="AK22" s="75" t="s">
        <v>14</v>
      </c>
      <c r="AL22" s="75" t="s">
        <v>944</v>
      </c>
      <c r="AM22" s="75" t="s">
        <v>945</v>
      </c>
      <c r="AN22" s="75" t="str">
        <f t="shared" si="29"/>
        <v>C</v>
      </c>
      <c r="AO22" s="75" t="str">
        <f t="shared" si="30"/>
        <v/>
      </c>
      <c r="AP22" s="75" t="str">
        <f t="shared" si="31"/>
        <v/>
      </c>
      <c r="AQ22" s="75" t="str">
        <f t="shared" si="32"/>
        <v>O</v>
      </c>
      <c r="AR22" s="75" t="str">
        <f t="shared" si="33"/>
        <v>O</v>
      </c>
      <c r="AS22" s="75" t="s">
        <v>2</v>
      </c>
      <c r="AT22" s="75" t="str">
        <f t="shared" si="34"/>
        <v>O</v>
      </c>
      <c r="AU22" s="75" t="str">
        <f t="shared" si="35"/>
        <v>X</v>
      </c>
      <c r="AV22" s="75" t="str">
        <f t="shared" si="36"/>
        <v/>
      </c>
    </row>
    <row r="23" spans="1:48" s="38" customFormat="1" ht="12" x14ac:dyDescent="0.3">
      <c r="A23" s="110" t="s">
        <v>1078</v>
      </c>
      <c r="B23" s="111" t="s">
        <v>1079</v>
      </c>
      <c r="C23" s="112">
        <v>254</v>
      </c>
      <c r="D23" s="104">
        <v>56.2</v>
      </c>
      <c r="E23" s="106">
        <v>17</v>
      </c>
      <c r="F23" s="104">
        <v>41.8</v>
      </c>
      <c r="G23" s="17">
        <v>13</v>
      </c>
      <c r="H23" s="107">
        <v>32</v>
      </c>
      <c r="I23" s="108"/>
      <c r="J23" s="108"/>
      <c r="K23" s="108"/>
      <c r="L23" s="108"/>
      <c r="M23" s="109">
        <f t="shared" ref="M23:M32" si="40">I23-K23</f>
        <v>0</v>
      </c>
      <c r="N23" s="4" t="str">
        <f t="shared" ref="N23:N32" si="41">IF(ISERROR(K23/I23),"",K23/I23)</f>
        <v/>
      </c>
      <c r="O23" s="105">
        <f t="shared" ref="O23:O32" si="42">I23/E23</f>
        <v>0</v>
      </c>
      <c r="P23" s="105">
        <f t="shared" ref="P23:P32" si="43">K23/E23</f>
        <v>0</v>
      </c>
      <c r="Q23" s="75">
        <v>2</v>
      </c>
      <c r="R23" s="75">
        <v>1</v>
      </c>
      <c r="S23" s="75" t="s">
        <v>947</v>
      </c>
      <c r="T23" s="5">
        <v>56</v>
      </c>
      <c r="U23" s="9"/>
      <c r="W23" s="104">
        <f t="shared" si="37"/>
        <v>56.2</v>
      </c>
      <c r="X23" s="106">
        <f t="shared" si="37"/>
        <v>17</v>
      </c>
      <c r="Y23" s="102">
        <f t="shared" si="38"/>
        <v>32</v>
      </c>
      <c r="Z23" s="109">
        <f t="shared" si="38"/>
        <v>0</v>
      </c>
      <c r="AA23" s="109">
        <f t="shared" ref="AA23:AA32" si="44">K23</f>
        <v>0</v>
      </c>
      <c r="AB23" s="109">
        <f t="shared" si="39"/>
        <v>0</v>
      </c>
      <c r="AC23" s="4" t="str">
        <f t="shared" si="39"/>
        <v/>
      </c>
      <c r="AD23" s="105">
        <f t="shared" si="39"/>
        <v>0</v>
      </c>
      <c r="AE23" s="75" t="str">
        <f t="shared" ref="AE23:AE32" si="45">S23</f>
        <v>계</v>
      </c>
      <c r="AF23" s="75" t="str">
        <f t="shared" ref="AF23:AF32" si="46">Q23&amp;"/"&amp;R23</f>
        <v>2/1</v>
      </c>
      <c r="AH23" s="20" t="str">
        <f t="shared" si="19"/>
        <v>동정동 동정오성</v>
      </c>
      <c r="AI23" s="106">
        <f t="shared" si="20"/>
        <v>17</v>
      </c>
      <c r="AJ23" s="75" t="str">
        <f t="shared" ref="AJ23:AJ32" si="47">IF(AI23="","",$AJ$2)</f>
        <v>A-</v>
      </c>
      <c r="AK23" s="75" t="s">
        <v>14</v>
      </c>
      <c r="AL23" s="75" t="s">
        <v>944</v>
      </c>
      <c r="AM23" s="75" t="s">
        <v>945</v>
      </c>
      <c r="AN23" s="75" t="str">
        <f t="shared" ref="AN23:AN32" si="48">IF(AI23="","",$AN$2)</f>
        <v>C</v>
      </c>
      <c r="AO23" s="75" t="str">
        <f t="shared" ref="AO23:AO32" si="49">IF(N23="","",IF(N23&gt;=$AO$1/100,"O","X"))</f>
        <v/>
      </c>
      <c r="AP23" s="75" t="str">
        <f t="shared" ref="AP23:AP32" si="50">IF(I23="","",IF(I23&lt;=$AP$1,"O","X"))</f>
        <v/>
      </c>
      <c r="AQ23" s="75" t="str">
        <f t="shared" ref="AQ23:AQ32" si="51">IF(O23="","",IF(O23&lt;=$AQ$1,"O","X"))</f>
        <v>O</v>
      </c>
      <c r="AR23" s="75" t="str">
        <f t="shared" ref="AR23:AR32" si="52">IF(M23="","",IF(M23&lt;=$AR$1,"O","X"))</f>
        <v>O</v>
      </c>
      <c r="AS23" s="75" t="s">
        <v>2</v>
      </c>
      <c r="AT23" s="75" t="str">
        <f t="shared" ref="AT23:AT32" si="53">IF(OR(F23="",AI23=""),"",IF(AND((F23&lt;=85),(AI23&gt;=15)),"O","X"))</f>
        <v>O</v>
      </c>
      <c r="AU23" s="75" t="str">
        <f t="shared" ref="AU23:AU32" si="54">IF(C23="","",IF(C23&gt;=$AU$1,"O","X"))</f>
        <v>X</v>
      </c>
      <c r="AV23" s="75" t="str">
        <f t="shared" ref="AV23:AV32" si="55">IF(AO23="","",IF(AND(AO23="O",AP23="O",AR23="O",AT23="O",AU23="O"),"후보","X"))</f>
        <v/>
      </c>
    </row>
    <row r="24" spans="1:48" s="38" customFormat="1" ht="12" x14ac:dyDescent="0.3">
      <c r="A24" s="110" t="s">
        <v>1078</v>
      </c>
      <c r="B24" s="111" t="s">
        <v>1012</v>
      </c>
      <c r="C24" s="112">
        <v>254</v>
      </c>
      <c r="D24" s="104">
        <v>67</v>
      </c>
      <c r="E24" s="106">
        <v>20</v>
      </c>
      <c r="F24" s="104">
        <v>53.3</v>
      </c>
      <c r="G24" s="17">
        <v>16</v>
      </c>
      <c r="H24" s="107">
        <v>1</v>
      </c>
      <c r="I24" s="108"/>
      <c r="J24" s="108"/>
      <c r="K24" s="108"/>
      <c r="L24" s="108"/>
      <c r="M24" s="109">
        <f t="shared" si="40"/>
        <v>0</v>
      </c>
      <c r="N24" s="4" t="str">
        <f t="shared" si="41"/>
        <v/>
      </c>
      <c r="O24" s="105">
        <f t="shared" si="42"/>
        <v>0</v>
      </c>
      <c r="P24" s="105">
        <f t="shared" si="43"/>
        <v>0</v>
      </c>
      <c r="Q24" s="75">
        <v>2</v>
      </c>
      <c r="R24" s="75">
        <v>1</v>
      </c>
      <c r="S24" s="75" t="s">
        <v>947</v>
      </c>
      <c r="T24" s="5">
        <v>67</v>
      </c>
      <c r="U24" s="9"/>
      <c r="W24" s="104">
        <f t="shared" si="37"/>
        <v>67</v>
      </c>
      <c r="X24" s="106">
        <f t="shared" si="37"/>
        <v>20</v>
      </c>
      <c r="Y24" s="102">
        <f t="shared" si="38"/>
        <v>1</v>
      </c>
      <c r="Z24" s="109">
        <f t="shared" si="38"/>
        <v>0</v>
      </c>
      <c r="AA24" s="109">
        <f t="shared" si="44"/>
        <v>0</v>
      </c>
      <c r="AB24" s="109">
        <f t="shared" si="39"/>
        <v>0</v>
      </c>
      <c r="AC24" s="4" t="str">
        <f t="shared" si="39"/>
        <v/>
      </c>
      <c r="AD24" s="105">
        <f t="shared" si="39"/>
        <v>0</v>
      </c>
      <c r="AE24" s="75" t="str">
        <f t="shared" si="45"/>
        <v>계</v>
      </c>
      <c r="AF24" s="75" t="str">
        <f t="shared" si="46"/>
        <v>2/1</v>
      </c>
      <c r="AH24" s="20" t="str">
        <f t="shared" si="19"/>
        <v>동정동 동정오성</v>
      </c>
      <c r="AI24" s="106">
        <f t="shared" si="20"/>
        <v>20</v>
      </c>
      <c r="AJ24" s="75" t="str">
        <f t="shared" si="47"/>
        <v>A-</v>
      </c>
      <c r="AK24" s="75" t="s">
        <v>14</v>
      </c>
      <c r="AL24" s="75" t="s">
        <v>944</v>
      </c>
      <c r="AM24" s="75" t="s">
        <v>945</v>
      </c>
      <c r="AN24" s="75" t="str">
        <f t="shared" si="48"/>
        <v>C</v>
      </c>
      <c r="AO24" s="75" t="str">
        <f t="shared" si="49"/>
        <v/>
      </c>
      <c r="AP24" s="75" t="str">
        <f t="shared" si="50"/>
        <v/>
      </c>
      <c r="AQ24" s="75" t="str">
        <f t="shared" si="51"/>
        <v>O</v>
      </c>
      <c r="AR24" s="75" t="str">
        <f t="shared" si="52"/>
        <v>O</v>
      </c>
      <c r="AS24" s="75" t="s">
        <v>2</v>
      </c>
      <c r="AT24" s="75" t="str">
        <f t="shared" si="53"/>
        <v>O</v>
      </c>
      <c r="AU24" s="75" t="str">
        <f t="shared" si="54"/>
        <v>X</v>
      </c>
      <c r="AV24" s="75" t="str">
        <f t="shared" si="55"/>
        <v/>
      </c>
    </row>
    <row r="25" spans="1:48" s="38" customFormat="1" ht="12" x14ac:dyDescent="0.3">
      <c r="A25" s="110" t="s">
        <v>1078</v>
      </c>
      <c r="B25" s="111" t="s">
        <v>1079</v>
      </c>
      <c r="C25" s="112">
        <v>254</v>
      </c>
      <c r="D25" s="104">
        <v>73.7</v>
      </c>
      <c r="E25" s="106">
        <v>22</v>
      </c>
      <c r="F25" s="104">
        <v>60</v>
      </c>
      <c r="G25" s="17">
        <v>18</v>
      </c>
      <c r="H25" s="107">
        <v>109</v>
      </c>
      <c r="I25" s="108"/>
      <c r="J25" s="108"/>
      <c r="K25" s="108"/>
      <c r="L25" s="108"/>
      <c r="M25" s="109">
        <f t="shared" si="40"/>
        <v>0</v>
      </c>
      <c r="N25" s="4" t="str">
        <f t="shared" si="41"/>
        <v/>
      </c>
      <c r="O25" s="105">
        <f t="shared" si="42"/>
        <v>0</v>
      </c>
      <c r="P25" s="105">
        <f t="shared" si="43"/>
        <v>0</v>
      </c>
      <c r="Q25" s="75">
        <v>3</v>
      </c>
      <c r="R25" s="75">
        <v>1</v>
      </c>
      <c r="S25" s="75" t="s">
        <v>947</v>
      </c>
      <c r="T25" s="5">
        <v>73</v>
      </c>
      <c r="U25" s="9"/>
      <c r="W25" s="104">
        <f t="shared" si="37"/>
        <v>73.7</v>
      </c>
      <c r="X25" s="106">
        <f t="shared" si="37"/>
        <v>22</v>
      </c>
      <c r="Y25" s="102">
        <f t="shared" si="38"/>
        <v>109</v>
      </c>
      <c r="Z25" s="109">
        <f t="shared" si="38"/>
        <v>0</v>
      </c>
      <c r="AA25" s="109">
        <f t="shared" si="44"/>
        <v>0</v>
      </c>
      <c r="AB25" s="109">
        <f t="shared" si="39"/>
        <v>0</v>
      </c>
      <c r="AC25" s="4" t="str">
        <f t="shared" si="39"/>
        <v/>
      </c>
      <c r="AD25" s="105">
        <f t="shared" si="39"/>
        <v>0</v>
      </c>
      <c r="AE25" s="75" t="str">
        <f t="shared" si="45"/>
        <v>계</v>
      </c>
      <c r="AF25" s="75" t="str">
        <f t="shared" si="46"/>
        <v>3/1</v>
      </c>
      <c r="AH25" s="20" t="str">
        <f t="shared" si="19"/>
        <v>동정동 동정오성</v>
      </c>
      <c r="AI25" s="106">
        <f t="shared" si="20"/>
        <v>22</v>
      </c>
      <c r="AJ25" s="75" t="str">
        <f t="shared" si="47"/>
        <v>A-</v>
      </c>
      <c r="AK25" s="75" t="s">
        <v>14</v>
      </c>
      <c r="AL25" s="75" t="s">
        <v>944</v>
      </c>
      <c r="AM25" s="75" t="s">
        <v>945</v>
      </c>
      <c r="AN25" s="75" t="str">
        <f t="shared" si="48"/>
        <v>C</v>
      </c>
      <c r="AO25" s="75" t="str">
        <f t="shared" si="49"/>
        <v/>
      </c>
      <c r="AP25" s="75" t="str">
        <f t="shared" si="50"/>
        <v/>
      </c>
      <c r="AQ25" s="75" t="str">
        <f t="shared" si="51"/>
        <v>O</v>
      </c>
      <c r="AR25" s="75" t="str">
        <f t="shared" si="52"/>
        <v>O</v>
      </c>
      <c r="AS25" s="75" t="s">
        <v>2</v>
      </c>
      <c r="AT25" s="75" t="str">
        <f t="shared" si="53"/>
        <v>O</v>
      </c>
      <c r="AU25" s="75" t="str">
        <f t="shared" si="54"/>
        <v>X</v>
      </c>
      <c r="AV25" s="75" t="str">
        <f t="shared" si="55"/>
        <v/>
      </c>
    </row>
    <row r="26" spans="1:48" s="38" customFormat="1" ht="12" x14ac:dyDescent="0.3">
      <c r="A26" s="110" t="s">
        <v>1078</v>
      </c>
      <c r="B26" s="111" t="s">
        <v>1079</v>
      </c>
      <c r="C26" s="112">
        <v>254</v>
      </c>
      <c r="D26" s="104">
        <v>96.6</v>
      </c>
      <c r="E26" s="106">
        <v>29</v>
      </c>
      <c r="F26" s="104">
        <v>84.7</v>
      </c>
      <c r="G26" s="17">
        <v>26</v>
      </c>
      <c r="H26" s="107">
        <v>112</v>
      </c>
      <c r="I26" s="108"/>
      <c r="J26" s="108"/>
      <c r="K26" s="108"/>
      <c r="L26" s="108"/>
      <c r="M26" s="109">
        <f t="shared" si="40"/>
        <v>0</v>
      </c>
      <c r="N26" s="4" t="str">
        <f t="shared" si="41"/>
        <v/>
      </c>
      <c r="O26" s="105">
        <f t="shared" si="42"/>
        <v>0</v>
      </c>
      <c r="P26" s="105">
        <f t="shared" si="43"/>
        <v>0</v>
      </c>
      <c r="Q26" s="75">
        <v>3</v>
      </c>
      <c r="R26" s="75">
        <v>2</v>
      </c>
      <c r="S26" s="75" t="s">
        <v>947</v>
      </c>
      <c r="T26" s="5">
        <v>96</v>
      </c>
      <c r="U26" s="9"/>
      <c r="W26" s="104">
        <f t="shared" si="37"/>
        <v>96.6</v>
      </c>
      <c r="X26" s="106">
        <f t="shared" si="37"/>
        <v>29</v>
      </c>
      <c r="Y26" s="102">
        <f t="shared" si="38"/>
        <v>112</v>
      </c>
      <c r="Z26" s="109">
        <f t="shared" si="38"/>
        <v>0</v>
      </c>
      <c r="AA26" s="109">
        <f t="shared" si="44"/>
        <v>0</v>
      </c>
      <c r="AB26" s="109">
        <f t="shared" si="39"/>
        <v>0</v>
      </c>
      <c r="AC26" s="4" t="str">
        <f t="shared" si="39"/>
        <v/>
      </c>
      <c r="AD26" s="105">
        <f t="shared" si="39"/>
        <v>0</v>
      </c>
      <c r="AE26" s="75" t="str">
        <f t="shared" si="45"/>
        <v>계</v>
      </c>
      <c r="AF26" s="75" t="str">
        <f t="shared" si="46"/>
        <v>3/2</v>
      </c>
      <c r="AH26" s="20" t="str">
        <f t="shared" si="19"/>
        <v>동정동 동정오성</v>
      </c>
      <c r="AI26" s="106">
        <f t="shared" si="20"/>
        <v>29</v>
      </c>
      <c r="AJ26" s="75" t="str">
        <f t="shared" si="47"/>
        <v>A-</v>
      </c>
      <c r="AK26" s="75" t="s">
        <v>14</v>
      </c>
      <c r="AL26" s="75" t="s">
        <v>944</v>
      </c>
      <c r="AM26" s="75" t="s">
        <v>945</v>
      </c>
      <c r="AN26" s="75" t="str">
        <f t="shared" si="48"/>
        <v>C</v>
      </c>
      <c r="AO26" s="75" t="str">
        <f t="shared" si="49"/>
        <v/>
      </c>
      <c r="AP26" s="75" t="str">
        <f t="shared" si="50"/>
        <v/>
      </c>
      <c r="AQ26" s="75" t="str">
        <f t="shared" si="51"/>
        <v>O</v>
      </c>
      <c r="AR26" s="75" t="str">
        <f t="shared" si="52"/>
        <v>O</v>
      </c>
      <c r="AS26" s="75" t="s">
        <v>2</v>
      </c>
      <c r="AT26" s="75" t="str">
        <f t="shared" si="53"/>
        <v>O</v>
      </c>
      <c r="AU26" s="75" t="str">
        <f t="shared" si="54"/>
        <v>X</v>
      </c>
      <c r="AV26" s="75" t="str">
        <f t="shared" si="55"/>
        <v/>
      </c>
    </row>
    <row r="27" spans="1:48" s="38" customFormat="1" ht="12" x14ac:dyDescent="0.3">
      <c r="A27" s="110" t="s">
        <v>1080</v>
      </c>
      <c r="B27" s="111" t="s">
        <v>1014</v>
      </c>
      <c r="C27" s="112">
        <v>418</v>
      </c>
      <c r="D27" s="104">
        <v>105</v>
      </c>
      <c r="E27" s="106">
        <v>32</v>
      </c>
      <c r="F27" s="104">
        <v>84.9</v>
      </c>
      <c r="G27" s="17">
        <v>26</v>
      </c>
      <c r="H27" s="107">
        <v>311</v>
      </c>
      <c r="I27" s="108">
        <v>33500</v>
      </c>
      <c r="J27" s="108" t="s">
        <v>954</v>
      </c>
      <c r="K27" s="108"/>
      <c r="L27" s="108"/>
      <c r="M27" s="109">
        <f t="shared" si="40"/>
        <v>33500</v>
      </c>
      <c r="N27" s="4">
        <f t="shared" si="41"/>
        <v>0</v>
      </c>
      <c r="O27" s="105">
        <f t="shared" si="42"/>
        <v>1046.875</v>
      </c>
      <c r="P27" s="105">
        <f t="shared" si="43"/>
        <v>0</v>
      </c>
      <c r="Q27" s="75">
        <v>3</v>
      </c>
      <c r="R27" s="75">
        <v>2</v>
      </c>
      <c r="S27" s="75" t="s">
        <v>947</v>
      </c>
      <c r="T27" s="5">
        <v>105</v>
      </c>
      <c r="U27" s="9"/>
      <c r="W27" s="104">
        <f>D27</f>
        <v>105</v>
      </c>
      <c r="X27" s="106">
        <f>E27</f>
        <v>32</v>
      </c>
      <c r="Y27" s="102">
        <f>H27</f>
        <v>311</v>
      </c>
      <c r="Z27" s="109">
        <f>I27</f>
        <v>33500</v>
      </c>
      <c r="AA27" s="109">
        <f t="shared" si="44"/>
        <v>0</v>
      </c>
      <c r="AB27" s="109">
        <f t="shared" si="39"/>
        <v>33500</v>
      </c>
      <c r="AC27" s="4">
        <f t="shared" si="39"/>
        <v>0</v>
      </c>
      <c r="AD27" s="105">
        <f t="shared" si="39"/>
        <v>1046.875</v>
      </c>
      <c r="AE27" s="75" t="str">
        <f t="shared" si="45"/>
        <v>계</v>
      </c>
      <c r="AF27" s="75" t="str">
        <f t="shared" si="46"/>
        <v>3/2</v>
      </c>
      <c r="AH27" s="20" t="str">
        <f t="shared" si="19"/>
        <v>동정동 동정흥한웰가</v>
      </c>
      <c r="AI27" s="106">
        <f t="shared" si="20"/>
        <v>32</v>
      </c>
      <c r="AJ27" s="75" t="str">
        <f t="shared" si="47"/>
        <v>A-</v>
      </c>
      <c r="AK27" s="75" t="s">
        <v>14</v>
      </c>
      <c r="AL27" s="75" t="s">
        <v>944</v>
      </c>
      <c r="AM27" s="75" t="s">
        <v>945</v>
      </c>
      <c r="AN27" s="75" t="str">
        <f t="shared" si="48"/>
        <v>C</v>
      </c>
      <c r="AO27" s="75" t="str">
        <f t="shared" si="49"/>
        <v>X</v>
      </c>
      <c r="AP27" s="75" t="str">
        <f t="shared" si="50"/>
        <v>O</v>
      </c>
      <c r="AQ27" s="75" t="str">
        <f t="shared" si="51"/>
        <v>X</v>
      </c>
      <c r="AR27" s="75" t="str">
        <f t="shared" si="52"/>
        <v>X</v>
      </c>
      <c r="AS27" s="75" t="s">
        <v>2</v>
      </c>
      <c r="AT27" s="75" t="str">
        <f t="shared" si="53"/>
        <v>O</v>
      </c>
      <c r="AU27" s="75" t="str">
        <f t="shared" si="54"/>
        <v>O</v>
      </c>
      <c r="AV27" s="75" t="str">
        <f t="shared" si="55"/>
        <v>X</v>
      </c>
    </row>
    <row r="28" spans="1:48" s="38" customFormat="1" ht="12" x14ac:dyDescent="0.3">
      <c r="A28" s="110" t="s">
        <v>1081</v>
      </c>
      <c r="B28" s="111" t="s">
        <v>1014</v>
      </c>
      <c r="C28" s="112">
        <v>418</v>
      </c>
      <c r="D28" s="104">
        <v>144.69999999999999</v>
      </c>
      <c r="E28" s="106">
        <v>44</v>
      </c>
      <c r="F28" s="104">
        <v>117</v>
      </c>
      <c r="G28" s="17">
        <v>35</v>
      </c>
      <c r="H28" s="107">
        <v>107</v>
      </c>
      <c r="I28" s="108">
        <v>44000</v>
      </c>
      <c r="J28" s="108" t="s">
        <v>954</v>
      </c>
      <c r="K28" s="108"/>
      <c r="L28" s="108"/>
      <c r="M28" s="109">
        <f t="shared" si="40"/>
        <v>44000</v>
      </c>
      <c r="N28" s="4">
        <f t="shared" si="41"/>
        <v>0</v>
      </c>
      <c r="O28" s="105">
        <f t="shared" si="42"/>
        <v>1000</v>
      </c>
      <c r="P28" s="105">
        <f t="shared" si="43"/>
        <v>0</v>
      </c>
      <c r="Q28" s="75">
        <v>4</v>
      </c>
      <c r="R28" s="75">
        <v>2</v>
      </c>
      <c r="S28" s="75" t="s">
        <v>947</v>
      </c>
      <c r="T28" s="5">
        <v>144</v>
      </c>
      <c r="U28" s="9"/>
      <c r="W28" s="104">
        <f>D28</f>
        <v>144.69999999999999</v>
      </c>
      <c r="X28" s="106">
        <f>E28</f>
        <v>44</v>
      </c>
      <c r="Y28" s="102">
        <f>H28</f>
        <v>107</v>
      </c>
      <c r="Z28" s="109">
        <f>I28</f>
        <v>44000</v>
      </c>
      <c r="AA28" s="109">
        <f t="shared" si="44"/>
        <v>0</v>
      </c>
      <c r="AB28" s="109">
        <f t="shared" si="39"/>
        <v>44000</v>
      </c>
      <c r="AC28" s="4">
        <f t="shared" si="39"/>
        <v>0</v>
      </c>
      <c r="AD28" s="105">
        <f t="shared" si="39"/>
        <v>1000</v>
      </c>
      <c r="AE28" s="75" t="str">
        <f t="shared" si="45"/>
        <v>계</v>
      </c>
      <c r="AF28" s="75" t="str">
        <f t="shared" si="46"/>
        <v>4/2</v>
      </c>
      <c r="AH28" s="20" t="str">
        <f t="shared" si="19"/>
        <v>동정동 동정흥한웰가</v>
      </c>
      <c r="AI28" s="106">
        <f t="shared" si="20"/>
        <v>44</v>
      </c>
      <c r="AJ28" s="75" t="str">
        <f t="shared" si="47"/>
        <v>A-</v>
      </c>
      <c r="AK28" s="75" t="s">
        <v>14</v>
      </c>
      <c r="AL28" s="75" t="s">
        <v>944</v>
      </c>
      <c r="AM28" s="75" t="s">
        <v>945</v>
      </c>
      <c r="AN28" s="75" t="str">
        <f t="shared" si="48"/>
        <v>C</v>
      </c>
      <c r="AO28" s="75" t="str">
        <f t="shared" si="49"/>
        <v>X</v>
      </c>
      <c r="AP28" s="75" t="str">
        <f t="shared" si="50"/>
        <v>O</v>
      </c>
      <c r="AQ28" s="75" t="str">
        <f t="shared" si="51"/>
        <v>O</v>
      </c>
      <c r="AR28" s="75" t="str">
        <f t="shared" si="52"/>
        <v>X</v>
      </c>
      <c r="AS28" s="75" t="s">
        <v>2</v>
      </c>
      <c r="AT28" s="75" t="str">
        <f t="shared" si="53"/>
        <v>X</v>
      </c>
      <c r="AU28" s="75" t="str">
        <f t="shared" si="54"/>
        <v>O</v>
      </c>
      <c r="AV28" s="75" t="str">
        <f t="shared" si="55"/>
        <v>X</v>
      </c>
    </row>
    <row r="29" spans="1:48" s="38" customFormat="1" ht="24" x14ac:dyDescent="0.3">
      <c r="A29" s="110" t="s">
        <v>1082</v>
      </c>
      <c r="B29" s="111" t="s">
        <v>1083</v>
      </c>
      <c r="C29" s="112">
        <v>395</v>
      </c>
      <c r="D29" s="104">
        <v>78.900000000000006</v>
      </c>
      <c r="E29" s="106">
        <v>24</v>
      </c>
      <c r="F29" s="104">
        <v>55.9</v>
      </c>
      <c r="G29" s="17">
        <v>17</v>
      </c>
      <c r="H29" s="107">
        <v>172</v>
      </c>
      <c r="I29" s="108"/>
      <c r="J29" s="108"/>
      <c r="K29" s="108"/>
      <c r="L29" s="108"/>
      <c r="M29" s="109">
        <f t="shared" si="40"/>
        <v>0</v>
      </c>
      <c r="N29" s="4" t="str">
        <f t="shared" si="41"/>
        <v/>
      </c>
      <c r="O29" s="105">
        <f t="shared" si="42"/>
        <v>0</v>
      </c>
      <c r="P29" s="105">
        <f t="shared" si="43"/>
        <v>0</v>
      </c>
      <c r="Q29" s="75">
        <v>2</v>
      </c>
      <c r="R29" s="75">
        <v>2</v>
      </c>
      <c r="S29" s="75" t="s">
        <v>947</v>
      </c>
      <c r="T29" s="5" t="s">
        <v>531</v>
      </c>
      <c r="U29" s="9"/>
      <c r="W29" s="104">
        <f t="shared" ref="W29:X44" si="56">D29</f>
        <v>78.900000000000006</v>
      </c>
      <c r="X29" s="106">
        <f t="shared" si="56"/>
        <v>24</v>
      </c>
      <c r="Y29" s="102">
        <f t="shared" ref="Y29:Z44" si="57">H29</f>
        <v>172</v>
      </c>
      <c r="Z29" s="109">
        <f t="shared" si="57"/>
        <v>0</v>
      </c>
      <c r="AA29" s="109">
        <f t="shared" si="44"/>
        <v>0</v>
      </c>
      <c r="AB29" s="109">
        <f t="shared" si="39"/>
        <v>0</v>
      </c>
      <c r="AC29" s="4" t="str">
        <f t="shared" si="39"/>
        <v/>
      </c>
      <c r="AD29" s="105">
        <f t="shared" si="39"/>
        <v>0</v>
      </c>
      <c r="AE29" s="75" t="str">
        <f t="shared" si="45"/>
        <v>계</v>
      </c>
      <c r="AF29" s="75" t="str">
        <f t="shared" si="46"/>
        <v>2/2</v>
      </c>
      <c r="AH29" s="20" t="str">
        <f>IF(A29="","",A29)</f>
        <v>명곡동 창원명곡A-1블록신혼희망타운</v>
      </c>
      <c r="AI29" s="106">
        <f t="shared" si="20"/>
        <v>24</v>
      </c>
      <c r="AJ29" s="75" t="str">
        <f t="shared" si="47"/>
        <v>A-</v>
      </c>
      <c r="AK29" s="75" t="s">
        <v>14</v>
      </c>
      <c r="AL29" s="75" t="s">
        <v>944</v>
      </c>
      <c r="AM29" s="75" t="s">
        <v>945</v>
      </c>
      <c r="AN29" s="75" t="str">
        <f t="shared" si="48"/>
        <v>C</v>
      </c>
      <c r="AO29" s="75" t="str">
        <f t="shared" si="49"/>
        <v/>
      </c>
      <c r="AP29" s="75" t="str">
        <f t="shared" si="50"/>
        <v/>
      </c>
      <c r="AQ29" s="75" t="str">
        <f t="shared" si="51"/>
        <v>O</v>
      </c>
      <c r="AR29" s="75" t="str">
        <f t="shared" si="52"/>
        <v>O</v>
      </c>
      <c r="AS29" s="75" t="s">
        <v>2</v>
      </c>
      <c r="AT29" s="75" t="str">
        <f t="shared" si="53"/>
        <v>O</v>
      </c>
      <c r="AU29" s="75" t="str">
        <f t="shared" si="54"/>
        <v>O</v>
      </c>
      <c r="AV29" s="75" t="str">
        <f t="shared" si="55"/>
        <v/>
      </c>
    </row>
    <row r="30" spans="1:48" s="38" customFormat="1" ht="24" x14ac:dyDescent="0.3">
      <c r="A30" s="110" t="s">
        <v>1082</v>
      </c>
      <c r="B30" s="111" t="s">
        <v>1083</v>
      </c>
      <c r="C30" s="112">
        <v>395</v>
      </c>
      <c r="D30" s="104">
        <v>78.900000000000006</v>
      </c>
      <c r="E30" s="106">
        <v>24</v>
      </c>
      <c r="F30" s="104">
        <v>55.9</v>
      </c>
      <c r="G30" s="17">
        <v>17</v>
      </c>
      <c r="H30" s="107">
        <v>61</v>
      </c>
      <c r="I30" s="108"/>
      <c r="J30" s="108"/>
      <c r="K30" s="108"/>
      <c r="L30" s="108"/>
      <c r="M30" s="109">
        <f t="shared" si="40"/>
        <v>0</v>
      </c>
      <c r="N30" s="4" t="str">
        <f t="shared" si="41"/>
        <v/>
      </c>
      <c r="O30" s="105">
        <f t="shared" si="42"/>
        <v>0</v>
      </c>
      <c r="P30" s="105">
        <f t="shared" si="43"/>
        <v>0</v>
      </c>
      <c r="Q30" s="75">
        <v>2</v>
      </c>
      <c r="R30" s="75">
        <v>2</v>
      </c>
      <c r="S30" s="75" t="s">
        <v>947</v>
      </c>
      <c r="T30" s="5" t="s">
        <v>535</v>
      </c>
      <c r="U30" s="9"/>
      <c r="W30" s="104">
        <f t="shared" si="56"/>
        <v>78.900000000000006</v>
      </c>
      <c r="X30" s="106">
        <f t="shared" si="56"/>
        <v>24</v>
      </c>
      <c r="Y30" s="102">
        <f t="shared" si="57"/>
        <v>61</v>
      </c>
      <c r="Z30" s="109">
        <f t="shared" si="57"/>
        <v>0</v>
      </c>
      <c r="AA30" s="109">
        <f t="shared" si="44"/>
        <v>0</v>
      </c>
      <c r="AB30" s="109">
        <f t="shared" si="39"/>
        <v>0</v>
      </c>
      <c r="AC30" s="4" t="str">
        <f t="shared" si="39"/>
        <v/>
      </c>
      <c r="AD30" s="105">
        <f t="shared" si="39"/>
        <v>0</v>
      </c>
      <c r="AE30" s="75" t="str">
        <f t="shared" si="45"/>
        <v>계</v>
      </c>
      <c r="AF30" s="75" t="str">
        <f t="shared" si="46"/>
        <v>2/2</v>
      </c>
      <c r="AH30" s="20" t="str">
        <f>IF(A30="","",A30)</f>
        <v>명곡동 창원명곡A-1블록신혼희망타운</v>
      </c>
      <c r="AI30" s="106">
        <f t="shared" si="20"/>
        <v>24</v>
      </c>
      <c r="AJ30" s="75" t="str">
        <f t="shared" si="47"/>
        <v>A-</v>
      </c>
      <c r="AK30" s="75" t="s">
        <v>14</v>
      </c>
      <c r="AL30" s="75" t="s">
        <v>944</v>
      </c>
      <c r="AM30" s="75" t="s">
        <v>945</v>
      </c>
      <c r="AN30" s="75" t="str">
        <f t="shared" si="48"/>
        <v>C</v>
      </c>
      <c r="AO30" s="75" t="str">
        <f t="shared" si="49"/>
        <v/>
      </c>
      <c r="AP30" s="75" t="str">
        <f t="shared" si="50"/>
        <v/>
      </c>
      <c r="AQ30" s="75" t="str">
        <f t="shared" si="51"/>
        <v>O</v>
      </c>
      <c r="AR30" s="75" t="str">
        <f t="shared" si="52"/>
        <v>O</v>
      </c>
      <c r="AS30" s="75" t="s">
        <v>2</v>
      </c>
      <c r="AT30" s="75" t="str">
        <f t="shared" si="53"/>
        <v>O</v>
      </c>
      <c r="AU30" s="75" t="str">
        <f t="shared" si="54"/>
        <v>O</v>
      </c>
      <c r="AV30" s="75" t="str">
        <f t="shared" si="55"/>
        <v/>
      </c>
    </row>
    <row r="31" spans="1:48" s="38" customFormat="1" ht="24" x14ac:dyDescent="0.3">
      <c r="A31" s="110" t="s">
        <v>1016</v>
      </c>
      <c r="B31" s="111" t="s">
        <v>1083</v>
      </c>
      <c r="C31" s="112">
        <v>395</v>
      </c>
      <c r="D31" s="104">
        <v>78.599999999999994</v>
      </c>
      <c r="E31" s="106">
        <v>24</v>
      </c>
      <c r="F31" s="104">
        <v>55.7</v>
      </c>
      <c r="G31" s="17">
        <v>17</v>
      </c>
      <c r="H31" s="107">
        <v>20</v>
      </c>
      <c r="I31" s="108"/>
      <c r="J31" s="108"/>
      <c r="K31" s="108"/>
      <c r="L31" s="108"/>
      <c r="M31" s="109">
        <f t="shared" si="40"/>
        <v>0</v>
      </c>
      <c r="N31" s="4" t="str">
        <f t="shared" si="41"/>
        <v/>
      </c>
      <c r="O31" s="105">
        <f t="shared" si="42"/>
        <v>0</v>
      </c>
      <c r="P31" s="105">
        <f t="shared" si="43"/>
        <v>0</v>
      </c>
      <c r="Q31" s="75">
        <v>2</v>
      </c>
      <c r="R31" s="75">
        <v>2</v>
      </c>
      <c r="S31" s="75" t="s">
        <v>947</v>
      </c>
      <c r="T31" s="5" t="s">
        <v>536</v>
      </c>
      <c r="U31" s="9"/>
      <c r="W31" s="104">
        <f t="shared" si="56"/>
        <v>78.599999999999994</v>
      </c>
      <c r="X31" s="106">
        <f t="shared" si="56"/>
        <v>24</v>
      </c>
      <c r="Y31" s="102">
        <f t="shared" si="57"/>
        <v>20</v>
      </c>
      <c r="Z31" s="109">
        <f t="shared" si="57"/>
        <v>0</v>
      </c>
      <c r="AA31" s="109">
        <f t="shared" si="44"/>
        <v>0</v>
      </c>
      <c r="AB31" s="109">
        <f t="shared" si="39"/>
        <v>0</v>
      </c>
      <c r="AC31" s="4" t="str">
        <f t="shared" si="39"/>
        <v/>
      </c>
      <c r="AD31" s="105">
        <f t="shared" si="39"/>
        <v>0</v>
      </c>
      <c r="AE31" s="75" t="str">
        <f t="shared" si="45"/>
        <v>계</v>
      </c>
      <c r="AF31" s="75" t="str">
        <f t="shared" si="46"/>
        <v>2/2</v>
      </c>
      <c r="AH31" s="20" t="str">
        <f>IF(A31="","",A31)</f>
        <v>명곡동 창원명곡A-1블록신혼희망타운</v>
      </c>
      <c r="AI31" s="106">
        <f t="shared" si="20"/>
        <v>24</v>
      </c>
      <c r="AJ31" s="75" t="str">
        <f t="shared" si="47"/>
        <v>A-</v>
      </c>
      <c r="AK31" s="75" t="s">
        <v>14</v>
      </c>
      <c r="AL31" s="75" t="s">
        <v>944</v>
      </c>
      <c r="AM31" s="75" t="s">
        <v>945</v>
      </c>
      <c r="AN31" s="75" t="str">
        <f t="shared" si="48"/>
        <v>C</v>
      </c>
      <c r="AO31" s="75" t="str">
        <f t="shared" si="49"/>
        <v/>
      </c>
      <c r="AP31" s="75" t="str">
        <f t="shared" si="50"/>
        <v/>
      </c>
      <c r="AQ31" s="75" t="str">
        <f t="shared" si="51"/>
        <v>O</v>
      </c>
      <c r="AR31" s="75" t="str">
        <f t="shared" si="52"/>
        <v>O</v>
      </c>
      <c r="AS31" s="75" t="s">
        <v>2</v>
      </c>
      <c r="AT31" s="75" t="str">
        <f t="shared" si="53"/>
        <v>O</v>
      </c>
      <c r="AU31" s="75" t="str">
        <f t="shared" si="54"/>
        <v>O</v>
      </c>
      <c r="AV31" s="75" t="str">
        <f t="shared" si="55"/>
        <v/>
      </c>
    </row>
    <row r="32" spans="1:48" s="38" customFormat="1" ht="24" x14ac:dyDescent="0.3">
      <c r="A32" s="110" t="s">
        <v>1082</v>
      </c>
      <c r="B32" s="111" t="s">
        <v>1015</v>
      </c>
      <c r="C32" s="112">
        <v>395</v>
      </c>
      <c r="D32" s="104">
        <v>78.5</v>
      </c>
      <c r="E32" s="106">
        <v>24</v>
      </c>
      <c r="F32" s="104">
        <v>55.6</v>
      </c>
      <c r="G32" s="17">
        <v>17</v>
      </c>
      <c r="H32" s="107">
        <v>10</v>
      </c>
      <c r="I32" s="108"/>
      <c r="J32" s="108"/>
      <c r="K32" s="108"/>
      <c r="L32" s="108"/>
      <c r="M32" s="109">
        <f t="shared" si="40"/>
        <v>0</v>
      </c>
      <c r="N32" s="4" t="str">
        <f t="shared" si="41"/>
        <v/>
      </c>
      <c r="O32" s="105">
        <f t="shared" si="42"/>
        <v>0</v>
      </c>
      <c r="P32" s="105">
        <f t="shared" si="43"/>
        <v>0</v>
      </c>
      <c r="Q32" s="75">
        <v>2</v>
      </c>
      <c r="R32" s="75">
        <v>2</v>
      </c>
      <c r="S32" s="75" t="s">
        <v>947</v>
      </c>
      <c r="T32" s="5" t="s">
        <v>537</v>
      </c>
      <c r="U32" s="9"/>
      <c r="W32" s="104">
        <f t="shared" si="56"/>
        <v>78.5</v>
      </c>
      <c r="X32" s="106">
        <f t="shared" si="56"/>
        <v>24</v>
      </c>
      <c r="Y32" s="102">
        <f t="shared" si="57"/>
        <v>10</v>
      </c>
      <c r="Z32" s="109">
        <f t="shared" si="57"/>
        <v>0</v>
      </c>
      <c r="AA32" s="109">
        <f t="shared" si="44"/>
        <v>0</v>
      </c>
      <c r="AB32" s="109">
        <f t="shared" si="39"/>
        <v>0</v>
      </c>
      <c r="AC32" s="4" t="str">
        <f t="shared" si="39"/>
        <v/>
      </c>
      <c r="AD32" s="105">
        <f t="shared" si="39"/>
        <v>0</v>
      </c>
      <c r="AE32" s="75" t="str">
        <f t="shared" si="45"/>
        <v>계</v>
      </c>
      <c r="AF32" s="75" t="str">
        <f t="shared" si="46"/>
        <v>2/2</v>
      </c>
      <c r="AH32" s="20" t="str">
        <f>IF(A32="","",A32)</f>
        <v>명곡동 창원명곡A-1블록신혼희망타운</v>
      </c>
      <c r="AI32" s="106">
        <f t="shared" si="20"/>
        <v>24</v>
      </c>
      <c r="AJ32" s="75" t="str">
        <f t="shared" si="47"/>
        <v>A-</v>
      </c>
      <c r="AK32" s="75" t="s">
        <v>14</v>
      </c>
      <c r="AL32" s="75" t="s">
        <v>944</v>
      </c>
      <c r="AM32" s="75" t="s">
        <v>945</v>
      </c>
      <c r="AN32" s="75" t="str">
        <f t="shared" si="48"/>
        <v>C</v>
      </c>
      <c r="AO32" s="75" t="str">
        <f t="shared" si="49"/>
        <v/>
      </c>
      <c r="AP32" s="75" t="str">
        <f t="shared" si="50"/>
        <v/>
      </c>
      <c r="AQ32" s="75" t="str">
        <f t="shared" si="51"/>
        <v>O</v>
      </c>
      <c r="AR32" s="75" t="str">
        <f t="shared" si="52"/>
        <v>O</v>
      </c>
      <c r="AS32" s="75" t="s">
        <v>2</v>
      </c>
      <c r="AT32" s="75" t="str">
        <f t="shared" si="53"/>
        <v>O</v>
      </c>
      <c r="AU32" s="75" t="str">
        <f t="shared" si="54"/>
        <v>O</v>
      </c>
      <c r="AV32" s="75" t="str">
        <f t="shared" si="55"/>
        <v/>
      </c>
    </row>
    <row r="33" spans="1:48" s="38" customFormat="1" ht="12" x14ac:dyDescent="0.3">
      <c r="A33" s="110" t="s">
        <v>1084</v>
      </c>
      <c r="B33" s="111" t="s">
        <v>1085</v>
      </c>
      <c r="C33" s="112">
        <v>1522</v>
      </c>
      <c r="D33" s="104">
        <v>113.1</v>
      </c>
      <c r="E33" s="106">
        <v>34</v>
      </c>
      <c r="F33" s="104">
        <v>85</v>
      </c>
      <c r="G33" s="17">
        <v>26</v>
      </c>
      <c r="H33" s="107">
        <v>294</v>
      </c>
      <c r="I33" s="108">
        <v>58000</v>
      </c>
      <c r="J33" s="108" t="s">
        <v>957</v>
      </c>
      <c r="K33" s="108"/>
      <c r="L33" s="108"/>
      <c r="M33" s="109">
        <f t="shared" ref="M33:M45" si="58">I33-K33</f>
        <v>58000</v>
      </c>
      <c r="N33" s="4">
        <f t="shared" ref="N33:N45" si="59">IF(ISERROR(K33/I33),"",K33/I33)</f>
        <v>0</v>
      </c>
      <c r="O33" s="105">
        <f t="shared" ref="O33:O45" si="60">I33/E33</f>
        <v>1705.8823529411766</v>
      </c>
      <c r="P33" s="105">
        <f t="shared" ref="P33:P45" si="61">K33/E33</f>
        <v>0</v>
      </c>
      <c r="Q33" s="75">
        <v>3</v>
      </c>
      <c r="R33" s="75">
        <v>2</v>
      </c>
      <c r="S33" s="75" t="s">
        <v>947</v>
      </c>
      <c r="T33" s="5">
        <v>113</v>
      </c>
      <c r="U33" s="9"/>
      <c r="W33" s="104">
        <f t="shared" si="56"/>
        <v>113.1</v>
      </c>
      <c r="X33" s="106">
        <f t="shared" si="56"/>
        <v>34</v>
      </c>
      <c r="Y33" s="102">
        <f t="shared" si="57"/>
        <v>294</v>
      </c>
      <c r="Z33" s="109">
        <f t="shared" si="57"/>
        <v>58000</v>
      </c>
      <c r="AA33" s="109">
        <f t="shared" ref="AA33:AA45" si="62">K33</f>
        <v>0</v>
      </c>
      <c r="AB33" s="109">
        <f t="shared" si="39"/>
        <v>58000</v>
      </c>
      <c r="AC33" s="4">
        <f t="shared" si="39"/>
        <v>0</v>
      </c>
      <c r="AD33" s="105">
        <f t="shared" si="39"/>
        <v>1705.8823529411766</v>
      </c>
      <c r="AE33" s="75" t="str">
        <f t="shared" ref="AE33:AE45" si="63">S33</f>
        <v>계</v>
      </c>
      <c r="AF33" s="75" t="str">
        <f t="shared" ref="AF33:AF45" si="64">Q33&amp;"/"&amp;R33</f>
        <v>3/2</v>
      </c>
      <c r="AH33" s="20" t="str">
        <f t="shared" ref="AH33:AH45" si="65">IF(A33="","",A33)</f>
        <v>명서동 두산위브</v>
      </c>
      <c r="AI33" s="106">
        <f t="shared" si="20"/>
        <v>34</v>
      </c>
      <c r="AJ33" s="75" t="str">
        <f t="shared" ref="AJ33:AJ45" si="66">IF(AI33="","",$AJ$2)</f>
        <v>A-</v>
      </c>
      <c r="AK33" s="75" t="s">
        <v>14</v>
      </c>
      <c r="AL33" s="75" t="s">
        <v>944</v>
      </c>
      <c r="AM33" s="75" t="s">
        <v>945</v>
      </c>
      <c r="AN33" s="75" t="str">
        <f t="shared" ref="AN33:AN45" si="67">IF(AI33="","",$AN$2)</f>
        <v>C</v>
      </c>
      <c r="AO33" s="75" t="str">
        <f t="shared" ref="AO33:AO45" si="68">IF(N33="","",IF(N33&gt;=$AO$1/100,"O","X"))</f>
        <v>X</v>
      </c>
      <c r="AP33" s="75" t="str">
        <f t="shared" ref="AP33:AP45" si="69">IF(I33="","",IF(I33&lt;=$AP$1,"O","X"))</f>
        <v>X</v>
      </c>
      <c r="AQ33" s="75" t="str">
        <f t="shared" ref="AQ33:AQ45" si="70">IF(O33="","",IF(O33&lt;=$AQ$1,"O","X"))</f>
        <v>X</v>
      </c>
      <c r="AR33" s="75" t="str">
        <f t="shared" ref="AR33:AR45" si="71">IF(M33="","",IF(M33&lt;=$AR$1,"O","X"))</f>
        <v>X</v>
      </c>
      <c r="AS33" s="75" t="s">
        <v>2</v>
      </c>
      <c r="AT33" s="75" t="str">
        <f t="shared" ref="AT33:AT45" si="72">IF(OR(F33="",AI33=""),"",IF(AND((F33&lt;=85),(AI33&gt;=15)),"O","X"))</f>
        <v>O</v>
      </c>
      <c r="AU33" s="75" t="str">
        <f t="shared" ref="AU33:AU45" si="73">IF(C33="","",IF(C33&gt;=$AU$1,"O","X"))</f>
        <v>O</v>
      </c>
      <c r="AV33" s="75" t="str">
        <f t="shared" ref="AV33:AV45" si="74">IF(AO33="","",IF(AND(AO33="O",AP33="O",AR33="O",AT33="O",AU33="O"),"후보","X"))</f>
        <v>X</v>
      </c>
    </row>
    <row r="34" spans="1:48" s="38" customFormat="1" ht="12" x14ac:dyDescent="0.3">
      <c r="A34" s="110" t="s">
        <v>1084</v>
      </c>
      <c r="B34" s="111" t="s">
        <v>1085</v>
      </c>
      <c r="C34" s="112">
        <v>1522</v>
      </c>
      <c r="D34" s="104">
        <v>128.4</v>
      </c>
      <c r="E34" s="106">
        <v>39</v>
      </c>
      <c r="F34" s="104">
        <v>103.8</v>
      </c>
      <c r="G34" s="17">
        <v>31</v>
      </c>
      <c r="H34" s="107">
        <v>120</v>
      </c>
      <c r="I34" s="108">
        <v>65000</v>
      </c>
      <c r="J34" s="108" t="s">
        <v>958</v>
      </c>
      <c r="K34" s="108">
        <v>48000</v>
      </c>
      <c r="L34" s="108" t="s">
        <v>958</v>
      </c>
      <c r="M34" s="109">
        <f t="shared" si="58"/>
        <v>17000</v>
      </c>
      <c r="N34" s="4">
        <f t="shared" si="59"/>
        <v>0.7384615384615385</v>
      </c>
      <c r="O34" s="105">
        <f t="shared" si="60"/>
        <v>1666.6666666666667</v>
      </c>
      <c r="P34" s="105">
        <f t="shared" si="61"/>
        <v>1230.7692307692307</v>
      </c>
      <c r="Q34" s="75">
        <v>3</v>
      </c>
      <c r="R34" s="75">
        <v>2</v>
      </c>
      <c r="S34" s="75" t="s">
        <v>943</v>
      </c>
      <c r="T34" s="5" t="s">
        <v>545</v>
      </c>
      <c r="U34" s="9"/>
      <c r="W34" s="104">
        <f t="shared" si="56"/>
        <v>128.4</v>
      </c>
      <c r="X34" s="106">
        <f t="shared" si="56"/>
        <v>39</v>
      </c>
      <c r="Y34" s="102">
        <f t="shared" si="57"/>
        <v>120</v>
      </c>
      <c r="Z34" s="109">
        <f t="shared" si="57"/>
        <v>65000</v>
      </c>
      <c r="AA34" s="109">
        <f t="shared" si="62"/>
        <v>48000</v>
      </c>
      <c r="AB34" s="109">
        <f t="shared" si="39"/>
        <v>17000</v>
      </c>
      <c r="AC34" s="4">
        <f t="shared" si="39"/>
        <v>0.7384615384615385</v>
      </c>
      <c r="AD34" s="105">
        <f t="shared" si="39"/>
        <v>1666.6666666666667</v>
      </c>
      <c r="AE34" s="75" t="str">
        <f t="shared" si="63"/>
        <v>복</v>
      </c>
      <c r="AF34" s="75" t="str">
        <f t="shared" si="64"/>
        <v>3/2</v>
      </c>
      <c r="AH34" s="20" t="str">
        <f t="shared" si="65"/>
        <v>명서동 두산위브</v>
      </c>
      <c r="AI34" s="106">
        <f t="shared" si="20"/>
        <v>39</v>
      </c>
      <c r="AJ34" s="75" t="str">
        <f t="shared" si="66"/>
        <v>A-</v>
      </c>
      <c r="AK34" s="75" t="s">
        <v>14</v>
      </c>
      <c r="AL34" s="75" t="s">
        <v>944</v>
      </c>
      <c r="AM34" s="75" t="s">
        <v>945</v>
      </c>
      <c r="AN34" s="75" t="str">
        <f t="shared" si="67"/>
        <v>C</v>
      </c>
      <c r="AO34" s="75" t="str">
        <f t="shared" si="68"/>
        <v>X</v>
      </c>
      <c r="AP34" s="75" t="str">
        <f t="shared" si="69"/>
        <v>X</v>
      </c>
      <c r="AQ34" s="75" t="str">
        <f t="shared" si="70"/>
        <v>X</v>
      </c>
      <c r="AR34" s="75" t="str">
        <f t="shared" si="71"/>
        <v>X</v>
      </c>
      <c r="AS34" s="75" t="s">
        <v>2</v>
      </c>
      <c r="AT34" s="75" t="str">
        <f t="shared" si="72"/>
        <v>X</v>
      </c>
      <c r="AU34" s="75" t="str">
        <f t="shared" si="73"/>
        <v>O</v>
      </c>
      <c r="AV34" s="75" t="str">
        <f t="shared" si="74"/>
        <v>X</v>
      </c>
    </row>
    <row r="35" spans="1:48" s="38" customFormat="1" ht="12" x14ac:dyDescent="0.3">
      <c r="A35" s="110" t="s">
        <v>1084</v>
      </c>
      <c r="B35" s="111" t="s">
        <v>1018</v>
      </c>
      <c r="C35" s="112">
        <v>1522</v>
      </c>
      <c r="D35" s="104">
        <v>128.19999999999999</v>
      </c>
      <c r="E35" s="106">
        <v>39</v>
      </c>
      <c r="F35" s="104">
        <v>103.6</v>
      </c>
      <c r="G35" s="17">
        <v>31</v>
      </c>
      <c r="H35" s="107">
        <v>112</v>
      </c>
      <c r="I35" s="108"/>
      <c r="J35" s="108"/>
      <c r="K35" s="108"/>
      <c r="L35" s="108"/>
      <c r="M35" s="109">
        <f t="shared" si="58"/>
        <v>0</v>
      </c>
      <c r="N35" s="4" t="str">
        <f t="shared" si="59"/>
        <v/>
      </c>
      <c r="O35" s="105">
        <f t="shared" si="60"/>
        <v>0</v>
      </c>
      <c r="P35" s="105">
        <f t="shared" si="61"/>
        <v>0</v>
      </c>
      <c r="Q35" s="75">
        <v>3</v>
      </c>
      <c r="R35" s="75">
        <v>2</v>
      </c>
      <c r="S35" s="75" t="s">
        <v>943</v>
      </c>
      <c r="T35" s="5" t="s">
        <v>546</v>
      </c>
      <c r="U35" s="9"/>
      <c r="W35" s="104">
        <f t="shared" si="56"/>
        <v>128.19999999999999</v>
      </c>
      <c r="X35" s="106">
        <f t="shared" si="56"/>
        <v>39</v>
      </c>
      <c r="Y35" s="102">
        <f t="shared" si="57"/>
        <v>112</v>
      </c>
      <c r="Z35" s="109">
        <f t="shared" si="57"/>
        <v>0</v>
      </c>
      <c r="AA35" s="109">
        <f t="shared" si="62"/>
        <v>0</v>
      </c>
      <c r="AB35" s="109">
        <f t="shared" si="39"/>
        <v>0</v>
      </c>
      <c r="AC35" s="4" t="str">
        <f t="shared" si="39"/>
        <v/>
      </c>
      <c r="AD35" s="105">
        <f t="shared" si="39"/>
        <v>0</v>
      </c>
      <c r="AE35" s="75" t="str">
        <f t="shared" si="63"/>
        <v>복</v>
      </c>
      <c r="AF35" s="75" t="str">
        <f t="shared" si="64"/>
        <v>3/2</v>
      </c>
      <c r="AH35" s="20" t="str">
        <f t="shared" si="65"/>
        <v>명서동 두산위브</v>
      </c>
      <c r="AI35" s="106">
        <f t="shared" si="20"/>
        <v>39</v>
      </c>
      <c r="AJ35" s="75" t="str">
        <f t="shared" si="66"/>
        <v>A-</v>
      </c>
      <c r="AK35" s="75" t="s">
        <v>14</v>
      </c>
      <c r="AL35" s="75" t="s">
        <v>944</v>
      </c>
      <c r="AM35" s="75" t="s">
        <v>945</v>
      </c>
      <c r="AN35" s="75" t="str">
        <f t="shared" si="67"/>
        <v>C</v>
      </c>
      <c r="AO35" s="75" t="str">
        <f t="shared" si="68"/>
        <v/>
      </c>
      <c r="AP35" s="75" t="str">
        <f t="shared" si="69"/>
        <v/>
      </c>
      <c r="AQ35" s="75" t="str">
        <f t="shared" si="70"/>
        <v>O</v>
      </c>
      <c r="AR35" s="75" t="str">
        <f t="shared" si="71"/>
        <v>O</v>
      </c>
      <c r="AS35" s="75" t="s">
        <v>2</v>
      </c>
      <c r="AT35" s="75" t="str">
        <f t="shared" si="72"/>
        <v>X</v>
      </c>
      <c r="AU35" s="75" t="str">
        <f t="shared" si="73"/>
        <v>O</v>
      </c>
      <c r="AV35" s="75" t="str">
        <f t="shared" si="74"/>
        <v/>
      </c>
    </row>
    <row r="36" spans="1:48" s="38" customFormat="1" ht="12" x14ac:dyDescent="0.3">
      <c r="A36" s="110" t="s">
        <v>1084</v>
      </c>
      <c r="B36" s="111" t="s">
        <v>1085</v>
      </c>
      <c r="C36" s="112">
        <v>1522</v>
      </c>
      <c r="D36" s="104">
        <v>128.19999999999999</v>
      </c>
      <c r="E36" s="106">
        <v>39</v>
      </c>
      <c r="F36" s="104">
        <v>103.5</v>
      </c>
      <c r="G36" s="17">
        <v>31</v>
      </c>
      <c r="H36" s="107">
        <v>56</v>
      </c>
      <c r="I36" s="108">
        <v>61000</v>
      </c>
      <c r="J36" s="108" t="s">
        <v>959</v>
      </c>
      <c r="K36" s="108"/>
      <c r="L36" s="108"/>
      <c r="M36" s="109">
        <f t="shared" si="58"/>
        <v>61000</v>
      </c>
      <c r="N36" s="4">
        <f t="shared" si="59"/>
        <v>0</v>
      </c>
      <c r="O36" s="105">
        <f t="shared" si="60"/>
        <v>1564.1025641025642</v>
      </c>
      <c r="P36" s="105">
        <f t="shared" si="61"/>
        <v>0</v>
      </c>
      <c r="Q36" s="75">
        <v>3</v>
      </c>
      <c r="R36" s="75">
        <v>2</v>
      </c>
      <c r="S36" s="75" t="s">
        <v>943</v>
      </c>
      <c r="T36" s="5" t="s">
        <v>291</v>
      </c>
      <c r="U36" s="9"/>
      <c r="W36" s="104">
        <f t="shared" si="56"/>
        <v>128.19999999999999</v>
      </c>
      <c r="X36" s="106">
        <f t="shared" si="56"/>
        <v>39</v>
      </c>
      <c r="Y36" s="102">
        <f t="shared" si="57"/>
        <v>56</v>
      </c>
      <c r="Z36" s="109">
        <f t="shared" si="57"/>
        <v>61000</v>
      </c>
      <c r="AA36" s="109">
        <f t="shared" si="62"/>
        <v>0</v>
      </c>
      <c r="AB36" s="109">
        <f t="shared" si="39"/>
        <v>61000</v>
      </c>
      <c r="AC36" s="4">
        <f t="shared" si="39"/>
        <v>0</v>
      </c>
      <c r="AD36" s="105">
        <f t="shared" si="39"/>
        <v>1564.1025641025642</v>
      </c>
      <c r="AE36" s="75" t="str">
        <f t="shared" si="63"/>
        <v>복</v>
      </c>
      <c r="AF36" s="75" t="str">
        <f t="shared" si="64"/>
        <v>3/2</v>
      </c>
      <c r="AH36" s="20" t="str">
        <f t="shared" si="65"/>
        <v>명서동 두산위브</v>
      </c>
      <c r="AI36" s="106">
        <f t="shared" si="20"/>
        <v>39</v>
      </c>
      <c r="AJ36" s="75" t="str">
        <f t="shared" si="66"/>
        <v>A-</v>
      </c>
      <c r="AK36" s="75" t="s">
        <v>14</v>
      </c>
      <c r="AL36" s="75" t="s">
        <v>944</v>
      </c>
      <c r="AM36" s="75" t="s">
        <v>945</v>
      </c>
      <c r="AN36" s="75" t="str">
        <f t="shared" si="67"/>
        <v>C</v>
      </c>
      <c r="AO36" s="75" t="str">
        <f t="shared" si="68"/>
        <v>X</v>
      </c>
      <c r="AP36" s="75" t="str">
        <f t="shared" si="69"/>
        <v>X</v>
      </c>
      <c r="AQ36" s="75" t="str">
        <f t="shared" si="70"/>
        <v>X</v>
      </c>
      <c r="AR36" s="75" t="str">
        <f t="shared" si="71"/>
        <v>X</v>
      </c>
      <c r="AS36" s="75" t="s">
        <v>2</v>
      </c>
      <c r="AT36" s="75" t="str">
        <f t="shared" si="72"/>
        <v>X</v>
      </c>
      <c r="AU36" s="75" t="str">
        <f t="shared" si="73"/>
        <v>O</v>
      </c>
      <c r="AV36" s="75" t="str">
        <f t="shared" si="74"/>
        <v>X</v>
      </c>
    </row>
    <row r="37" spans="1:48" s="38" customFormat="1" ht="12" x14ac:dyDescent="0.3">
      <c r="A37" s="110" t="s">
        <v>1084</v>
      </c>
      <c r="B37" s="111" t="s">
        <v>1018</v>
      </c>
      <c r="C37" s="112">
        <v>1522</v>
      </c>
      <c r="D37" s="104">
        <v>145.4</v>
      </c>
      <c r="E37" s="106">
        <v>44</v>
      </c>
      <c r="F37" s="104">
        <v>118.2</v>
      </c>
      <c r="G37" s="17">
        <v>36</v>
      </c>
      <c r="H37" s="107">
        <v>30</v>
      </c>
      <c r="I37" s="108"/>
      <c r="J37" s="108"/>
      <c r="K37" s="108"/>
      <c r="L37" s="108"/>
      <c r="M37" s="109">
        <f t="shared" si="58"/>
        <v>0</v>
      </c>
      <c r="N37" s="4" t="str">
        <f t="shared" si="59"/>
        <v/>
      </c>
      <c r="O37" s="105">
        <f t="shared" si="60"/>
        <v>0</v>
      </c>
      <c r="P37" s="105">
        <f t="shared" si="61"/>
        <v>0</v>
      </c>
      <c r="Q37" s="75">
        <v>4</v>
      </c>
      <c r="R37" s="75">
        <v>2</v>
      </c>
      <c r="S37" s="75" t="s">
        <v>947</v>
      </c>
      <c r="T37" s="5" t="s">
        <v>547</v>
      </c>
      <c r="U37" s="9"/>
      <c r="W37" s="104">
        <f t="shared" si="56"/>
        <v>145.4</v>
      </c>
      <c r="X37" s="106">
        <f t="shared" si="56"/>
        <v>44</v>
      </c>
      <c r="Y37" s="102">
        <f t="shared" si="57"/>
        <v>30</v>
      </c>
      <c r="Z37" s="109">
        <f t="shared" si="57"/>
        <v>0</v>
      </c>
      <c r="AA37" s="109">
        <f t="shared" si="62"/>
        <v>0</v>
      </c>
      <c r="AB37" s="109">
        <f t="shared" ref="AB37:AD52" si="75">M37</f>
        <v>0</v>
      </c>
      <c r="AC37" s="4" t="str">
        <f t="shared" si="75"/>
        <v/>
      </c>
      <c r="AD37" s="105">
        <f t="shared" si="75"/>
        <v>0</v>
      </c>
      <c r="AE37" s="75" t="str">
        <f t="shared" si="63"/>
        <v>계</v>
      </c>
      <c r="AF37" s="75" t="str">
        <f t="shared" si="64"/>
        <v>4/2</v>
      </c>
      <c r="AH37" s="20" t="str">
        <f t="shared" si="65"/>
        <v>명서동 두산위브</v>
      </c>
      <c r="AI37" s="106">
        <f t="shared" si="20"/>
        <v>44</v>
      </c>
      <c r="AJ37" s="75" t="str">
        <f t="shared" si="66"/>
        <v>A-</v>
      </c>
      <c r="AK37" s="75" t="s">
        <v>14</v>
      </c>
      <c r="AL37" s="75" t="s">
        <v>944</v>
      </c>
      <c r="AM37" s="75" t="s">
        <v>945</v>
      </c>
      <c r="AN37" s="75" t="str">
        <f t="shared" si="67"/>
        <v>C</v>
      </c>
      <c r="AO37" s="75" t="str">
        <f t="shared" si="68"/>
        <v/>
      </c>
      <c r="AP37" s="75" t="str">
        <f t="shared" si="69"/>
        <v/>
      </c>
      <c r="AQ37" s="75" t="str">
        <f t="shared" si="70"/>
        <v>O</v>
      </c>
      <c r="AR37" s="75" t="str">
        <f t="shared" si="71"/>
        <v>O</v>
      </c>
      <c r="AS37" s="75" t="s">
        <v>2</v>
      </c>
      <c r="AT37" s="75" t="str">
        <f t="shared" si="72"/>
        <v>X</v>
      </c>
      <c r="AU37" s="75" t="str">
        <f t="shared" si="73"/>
        <v>O</v>
      </c>
      <c r="AV37" s="75" t="str">
        <f t="shared" si="74"/>
        <v/>
      </c>
    </row>
    <row r="38" spans="1:48" s="38" customFormat="1" ht="12" x14ac:dyDescent="0.3">
      <c r="A38" s="110" t="s">
        <v>1084</v>
      </c>
      <c r="B38" s="111" t="s">
        <v>1085</v>
      </c>
      <c r="C38" s="112">
        <v>1522</v>
      </c>
      <c r="D38" s="104">
        <v>145</v>
      </c>
      <c r="E38" s="106">
        <v>44</v>
      </c>
      <c r="F38" s="104">
        <v>117.3</v>
      </c>
      <c r="G38" s="17">
        <v>35</v>
      </c>
      <c r="H38" s="107">
        <v>27</v>
      </c>
      <c r="I38" s="108"/>
      <c r="J38" s="108"/>
      <c r="K38" s="108"/>
      <c r="L38" s="108"/>
      <c r="M38" s="109">
        <f t="shared" si="58"/>
        <v>0</v>
      </c>
      <c r="N38" s="4" t="str">
        <f t="shared" si="59"/>
        <v/>
      </c>
      <c r="O38" s="105">
        <f t="shared" si="60"/>
        <v>0</v>
      </c>
      <c r="P38" s="105">
        <f t="shared" si="61"/>
        <v>0</v>
      </c>
      <c r="Q38" s="75">
        <v>4</v>
      </c>
      <c r="R38" s="75">
        <v>2</v>
      </c>
      <c r="S38" s="75" t="s">
        <v>947</v>
      </c>
      <c r="T38" s="5" t="s">
        <v>548</v>
      </c>
      <c r="U38" s="9"/>
      <c r="W38" s="104">
        <f t="shared" si="56"/>
        <v>145</v>
      </c>
      <c r="X38" s="106">
        <f t="shared" si="56"/>
        <v>44</v>
      </c>
      <c r="Y38" s="102">
        <f t="shared" si="57"/>
        <v>27</v>
      </c>
      <c r="Z38" s="109">
        <f t="shared" si="57"/>
        <v>0</v>
      </c>
      <c r="AA38" s="109">
        <f t="shared" si="62"/>
        <v>0</v>
      </c>
      <c r="AB38" s="109">
        <f t="shared" si="75"/>
        <v>0</v>
      </c>
      <c r="AC38" s="4" t="str">
        <f t="shared" si="75"/>
        <v/>
      </c>
      <c r="AD38" s="105">
        <f t="shared" si="75"/>
        <v>0</v>
      </c>
      <c r="AE38" s="75" t="str">
        <f t="shared" si="63"/>
        <v>계</v>
      </c>
      <c r="AF38" s="75" t="str">
        <f t="shared" si="64"/>
        <v>4/2</v>
      </c>
      <c r="AH38" s="20" t="str">
        <f t="shared" si="65"/>
        <v>명서동 두산위브</v>
      </c>
      <c r="AI38" s="106">
        <f t="shared" si="20"/>
        <v>44</v>
      </c>
      <c r="AJ38" s="75" t="str">
        <f t="shared" si="66"/>
        <v>A-</v>
      </c>
      <c r="AK38" s="75" t="s">
        <v>14</v>
      </c>
      <c r="AL38" s="75" t="s">
        <v>944</v>
      </c>
      <c r="AM38" s="75" t="s">
        <v>945</v>
      </c>
      <c r="AN38" s="75" t="str">
        <f t="shared" si="67"/>
        <v>C</v>
      </c>
      <c r="AO38" s="75" t="str">
        <f t="shared" si="68"/>
        <v/>
      </c>
      <c r="AP38" s="75" t="str">
        <f t="shared" si="69"/>
        <v/>
      </c>
      <c r="AQ38" s="75" t="str">
        <f t="shared" si="70"/>
        <v>O</v>
      </c>
      <c r="AR38" s="75" t="str">
        <f t="shared" si="71"/>
        <v>O</v>
      </c>
      <c r="AS38" s="75" t="s">
        <v>2</v>
      </c>
      <c r="AT38" s="75" t="str">
        <f t="shared" si="72"/>
        <v>X</v>
      </c>
      <c r="AU38" s="75" t="str">
        <f t="shared" si="73"/>
        <v>O</v>
      </c>
      <c r="AV38" s="75" t="str">
        <f t="shared" si="74"/>
        <v/>
      </c>
    </row>
    <row r="39" spans="1:48" s="38" customFormat="1" ht="12" x14ac:dyDescent="0.3">
      <c r="A39" s="110" t="s">
        <v>1084</v>
      </c>
      <c r="B39" s="111" t="s">
        <v>1085</v>
      </c>
      <c r="C39" s="112">
        <v>1522</v>
      </c>
      <c r="D39" s="104">
        <v>151.9</v>
      </c>
      <c r="E39" s="106">
        <v>46</v>
      </c>
      <c r="F39" s="104">
        <v>126</v>
      </c>
      <c r="G39" s="17">
        <v>38</v>
      </c>
      <c r="H39" s="107">
        <v>58</v>
      </c>
      <c r="I39" s="108">
        <v>70000</v>
      </c>
      <c r="J39" s="108" t="s">
        <v>954</v>
      </c>
      <c r="K39" s="108"/>
      <c r="L39" s="108"/>
      <c r="M39" s="109">
        <f t="shared" si="58"/>
        <v>70000</v>
      </c>
      <c r="N39" s="4">
        <f t="shared" si="59"/>
        <v>0</v>
      </c>
      <c r="O39" s="105">
        <f t="shared" si="60"/>
        <v>1521.7391304347825</v>
      </c>
      <c r="P39" s="105">
        <f t="shared" si="61"/>
        <v>0</v>
      </c>
      <c r="Q39" s="75">
        <v>3</v>
      </c>
      <c r="R39" s="75">
        <v>2</v>
      </c>
      <c r="S39" s="75" t="s">
        <v>943</v>
      </c>
      <c r="T39" s="5" t="s">
        <v>549</v>
      </c>
      <c r="U39" s="9"/>
      <c r="W39" s="104">
        <f t="shared" si="56"/>
        <v>151.9</v>
      </c>
      <c r="X39" s="106">
        <f t="shared" si="56"/>
        <v>46</v>
      </c>
      <c r="Y39" s="102">
        <f t="shared" si="57"/>
        <v>58</v>
      </c>
      <c r="Z39" s="109">
        <f t="shared" si="57"/>
        <v>70000</v>
      </c>
      <c r="AA39" s="109">
        <f t="shared" si="62"/>
        <v>0</v>
      </c>
      <c r="AB39" s="109">
        <f t="shared" si="75"/>
        <v>70000</v>
      </c>
      <c r="AC39" s="4">
        <f t="shared" si="75"/>
        <v>0</v>
      </c>
      <c r="AD39" s="105">
        <f t="shared" si="75"/>
        <v>1521.7391304347825</v>
      </c>
      <c r="AE39" s="75" t="str">
        <f t="shared" si="63"/>
        <v>복</v>
      </c>
      <c r="AF39" s="75" t="str">
        <f t="shared" si="64"/>
        <v>3/2</v>
      </c>
      <c r="AH39" s="20" t="str">
        <f t="shared" si="65"/>
        <v>명서동 두산위브</v>
      </c>
      <c r="AI39" s="106">
        <f t="shared" si="20"/>
        <v>46</v>
      </c>
      <c r="AJ39" s="75" t="str">
        <f t="shared" si="66"/>
        <v>A-</v>
      </c>
      <c r="AK39" s="75" t="s">
        <v>14</v>
      </c>
      <c r="AL39" s="75" t="s">
        <v>944</v>
      </c>
      <c r="AM39" s="75" t="s">
        <v>945</v>
      </c>
      <c r="AN39" s="75" t="str">
        <f t="shared" si="67"/>
        <v>C</v>
      </c>
      <c r="AO39" s="75" t="str">
        <f t="shared" si="68"/>
        <v>X</v>
      </c>
      <c r="AP39" s="75" t="str">
        <f t="shared" si="69"/>
        <v>X</v>
      </c>
      <c r="AQ39" s="75" t="str">
        <f t="shared" si="70"/>
        <v>X</v>
      </c>
      <c r="AR39" s="75" t="str">
        <f t="shared" si="71"/>
        <v>X</v>
      </c>
      <c r="AS39" s="75" t="s">
        <v>2</v>
      </c>
      <c r="AT39" s="75" t="str">
        <f t="shared" si="72"/>
        <v>X</v>
      </c>
      <c r="AU39" s="75" t="str">
        <f t="shared" si="73"/>
        <v>O</v>
      </c>
      <c r="AV39" s="75" t="str">
        <f t="shared" si="74"/>
        <v>X</v>
      </c>
    </row>
    <row r="40" spans="1:48" s="38" customFormat="1" ht="12" x14ac:dyDescent="0.3">
      <c r="A40" s="110" t="s">
        <v>1084</v>
      </c>
      <c r="B40" s="111" t="s">
        <v>1085</v>
      </c>
      <c r="C40" s="112">
        <v>1522</v>
      </c>
      <c r="D40" s="104">
        <v>151</v>
      </c>
      <c r="E40" s="106">
        <v>46</v>
      </c>
      <c r="F40" s="104">
        <v>126.1</v>
      </c>
      <c r="G40" s="17">
        <v>38</v>
      </c>
      <c r="H40" s="107">
        <v>56</v>
      </c>
      <c r="I40" s="108">
        <v>71000</v>
      </c>
      <c r="J40" s="108" t="s">
        <v>949</v>
      </c>
      <c r="K40" s="108">
        <v>53000</v>
      </c>
      <c r="L40" s="108" t="s">
        <v>957</v>
      </c>
      <c r="M40" s="109">
        <f t="shared" si="58"/>
        <v>18000</v>
      </c>
      <c r="N40" s="4">
        <f t="shared" si="59"/>
        <v>0.74647887323943662</v>
      </c>
      <c r="O40" s="105">
        <f t="shared" si="60"/>
        <v>1543.4782608695652</v>
      </c>
      <c r="P40" s="105">
        <f t="shared" si="61"/>
        <v>1152.1739130434783</v>
      </c>
      <c r="Q40" s="75">
        <v>4</v>
      </c>
      <c r="R40" s="75">
        <v>2</v>
      </c>
      <c r="S40" s="75" t="s">
        <v>943</v>
      </c>
      <c r="T40" s="5" t="s">
        <v>550</v>
      </c>
      <c r="U40" s="9"/>
      <c r="W40" s="104">
        <f t="shared" si="56"/>
        <v>151</v>
      </c>
      <c r="X40" s="106">
        <f t="shared" si="56"/>
        <v>46</v>
      </c>
      <c r="Y40" s="102">
        <f t="shared" si="57"/>
        <v>56</v>
      </c>
      <c r="Z40" s="109">
        <f t="shared" si="57"/>
        <v>71000</v>
      </c>
      <c r="AA40" s="109">
        <f t="shared" si="62"/>
        <v>53000</v>
      </c>
      <c r="AB40" s="109">
        <f t="shared" si="75"/>
        <v>18000</v>
      </c>
      <c r="AC40" s="4">
        <f t="shared" si="75"/>
        <v>0.74647887323943662</v>
      </c>
      <c r="AD40" s="105">
        <f t="shared" si="75"/>
        <v>1543.4782608695652</v>
      </c>
      <c r="AE40" s="75" t="str">
        <f t="shared" si="63"/>
        <v>복</v>
      </c>
      <c r="AF40" s="75" t="str">
        <f t="shared" si="64"/>
        <v>4/2</v>
      </c>
      <c r="AH40" s="20" t="str">
        <f t="shared" si="65"/>
        <v>명서동 두산위브</v>
      </c>
      <c r="AI40" s="106">
        <f t="shared" si="20"/>
        <v>46</v>
      </c>
      <c r="AJ40" s="75" t="str">
        <f t="shared" si="66"/>
        <v>A-</v>
      </c>
      <c r="AK40" s="75" t="s">
        <v>14</v>
      </c>
      <c r="AL40" s="75" t="s">
        <v>944</v>
      </c>
      <c r="AM40" s="75" t="s">
        <v>945</v>
      </c>
      <c r="AN40" s="75" t="str">
        <f t="shared" si="67"/>
        <v>C</v>
      </c>
      <c r="AO40" s="75" t="str">
        <f t="shared" si="68"/>
        <v>X</v>
      </c>
      <c r="AP40" s="75" t="str">
        <f t="shared" si="69"/>
        <v>X</v>
      </c>
      <c r="AQ40" s="75" t="str">
        <f t="shared" si="70"/>
        <v>X</v>
      </c>
      <c r="AR40" s="75" t="str">
        <f t="shared" si="71"/>
        <v>X</v>
      </c>
      <c r="AS40" s="75" t="s">
        <v>2</v>
      </c>
      <c r="AT40" s="75" t="str">
        <f t="shared" si="72"/>
        <v>X</v>
      </c>
      <c r="AU40" s="75" t="str">
        <f t="shared" si="73"/>
        <v>O</v>
      </c>
      <c r="AV40" s="75" t="str">
        <f t="shared" si="74"/>
        <v>X</v>
      </c>
    </row>
    <row r="41" spans="1:48" s="38" customFormat="1" ht="12" x14ac:dyDescent="0.3">
      <c r="A41" s="110" t="s">
        <v>1084</v>
      </c>
      <c r="B41" s="111" t="s">
        <v>1085</v>
      </c>
      <c r="C41" s="112">
        <v>1522</v>
      </c>
      <c r="D41" s="104">
        <v>165.2</v>
      </c>
      <c r="E41" s="106">
        <v>50</v>
      </c>
      <c r="F41" s="104">
        <v>137.9</v>
      </c>
      <c r="G41" s="17">
        <v>42</v>
      </c>
      <c r="H41" s="107">
        <v>203</v>
      </c>
      <c r="I41" s="108">
        <v>67000</v>
      </c>
      <c r="J41" s="108" t="s">
        <v>954</v>
      </c>
      <c r="K41" s="108"/>
      <c r="L41" s="108"/>
      <c r="M41" s="109">
        <f t="shared" si="58"/>
        <v>67000</v>
      </c>
      <c r="N41" s="4">
        <f t="shared" si="59"/>
        <v>0</v>
      </c>
      <c r="O41" s="105">
        <f t="shared" si="60"/>
        <v>1340</v>
      </c>
      <c r="P41" s="105">
        <f t="shared" si="61"/>
        <v>0</v>
      </c>
      <c r="Q41" s="75">
        <v>4</v>
      </c>
      <c r="R41" s="75">
        <v>2</v>
      </c>
      <c r="S41" s="75" t="s">
        <v>947</v>
      </c>
      <c r="T41" s="5" t="s">
        <v>551</v>
      </c>
      <c r="U41" s="9"/>
      <c r="W41" s="104">
        <f t="shared" si="56"/>
        <v>165.2</v>
      </c>
      <c r="X41" s="106">
        <f t="shared" si="56"/>
        <v>50</v>
      </c>
      <c r="Y41" s="102">
        <f t="shared" si="57"/>
        <v>203</v>
      </c>
      <c r="Z41" s="109">
        <f t="shared" si="57"/>
        <v>67000</v>
      </c>
      <c r="AA41" s="109">
        <f t="shared" si="62"/>
        <v>0</v>
      </c>
      <c r="AB41" s="109">
        <f t="shared" si="75"/>
        <v>67000</v>
      </c>
      <c r="AC41" s="4">
        <f t="shared" si="75"/>
        <v>0</v>
      </c>
      <c r="AD41" s="105">
        <f t="shared" si="75"/>
        <v>1340</v>
      </c>
      <c r="AE41" s="75" t="str">
        <f t="shared" si="63"/>
        <v>계</v>
      </c>
      <c r="AF41" s="75" t="str">
        <f t="shared" si="64"/>
        <v>4/2</v>
      </c>
      <c r="AH41" s="20" t="str">
        <f t="shared" si="65"/>
        <v>명서동 두산위브</v>
      </c>
      <c r="AI41" s="106">
        <f t="shared" si="20"/>
        <v>50</v>
      </c>
      <c r="AJ41" s="75" t="str">
        <f t="shared" si="66"/>
        <v>A-</v>
      </c>
      <c r="AK41" s="75" t="s">
        <v>14</v>
      </c>
      <c r="AL41" s="75" t="s">
        <v>944</v>
      </c>
      <c r="AM41" s="75" t="s">
        <v>945</v>
      </c>
      <c r="AN41" s="75" t="str">
        <f t="shared" si="67"/>
        <v>C</v>
      </c>
      <c r="AO41" s="75" t="str">
        <f t="shared" si="68"/>
        <v>X</v>
      </c>
      <c r="AP41" s="75" t="str">
        <f t="shared" si="69"/>
        <v>X</v>
      </c>
      <c r="AQ41" s="75" t="str">
        <f t="shared" si="70"/>
        <v>X</v>
      </c>
      <c r="AR41" s="75" t="str">
        <f t="shared" si="71"/>
        <v>X</v>
      </c>
      <c r="AS41" s="75" t="s">
        <v>2</v>
      </c>
      <c r="AT41" s="75" t="str">
        <f t="shared" si="72"/>
        <v>X</v>
      </c>
      <c r="AU41" s="75" t="str">
        <f t="shared" si="73"/>
        <v>O</v>
      </c>
      <c r="AV41" s="75" t="str">
        <f t="shared" si="74"/>
        <v>X</v>
      </c>
    </row>
    <row r="42" spans="1:48" s="38" customFormat="1" ht="12" x14ac:dyDescent="0.3">
      <c r="A42" s="110" t="s">
        <v>1084</v>
      </c>
      <c r="B42" s="111" t="s">
        <v>1085</v>
      </c>
      <c r="C42" s="112">
        <v>1522</v>
      </c>
      <c r="D42" s="104">
        <v>165.2</v>
      </c>
      <c r="E42" s="106">
        <v>50</v>
      </c>
      <c r="F42" s="104">
        <v>138</v>
      </c>
      <c r="G42" s="17">
        <v>42</v>
      </c>
      <c r="H42" s="107">
        <v>196</v>
      </c>
      <c r="I42" s="108">
        <v>71000</v>
      </c>
      <c r="J42" s="108" t="s">
        <v>954</v>
      </c>
      <c r="K42" s="108"/>
      <c r="L42" s="108"/>
      <c r="M42" s="109">
        <f t="shared" si="58"/>
        <v>71000</v>
      </c>
      <c r="N42" s="4">
        <f t="shared" si="59"/>
        <v>0</v>
      </c>
      <c r="O42" s="105">
        <f t="shared" si="60"/>
        <v>1420</v>
      </c>
      <c r="P42" s="105">
        <f t="shared" si="61"/>
        <v>0</v>
      </c>
      <c r="Q42" s="75">
        <v>4</v>
      </c>
      <c r="R42" s="75">
        <v>2</v>
      </c>
      <c r="S42" s="75" t="s">
        <v>947</v>
      </c>
      <c r="T42" s="5" t="s">
        <v>552</v>
      </c>
      <c r="U42" s="9"/>
      <c r="W42" s="104">
        <f t="shared" si="56"/>
        <v>165.2</v>
      </c>
      <c r="X42" s="106">
        <f t="shared" si="56"/>
        <v>50</v>
      </c>
      <c r="Y42" s="102">
        <f t="shared" si="57"/>
        <v>196</v>
      </c>
      <c r="Z42" s="109">
        <f t="shared" si="57"/>
        <v>71000</v>
      </c>
      <c r="AA42" s="109">
        <f t="shared" si="62"/>
        <v>0</v>
      </c>
      <c r="AB42" s="109">
        <f t="shared" si="75"/>
        <v>71000</v>
      </c>
      <c r="AC42" s="4">
        <f t="shared" si="75"/>
        <v>0</v>
      </c>
      <c r="AD42" s="105">
        <f t="shared" si="75"/>
        <v>1420</v>
      </c>
      <c r="AE42" s="75" t="str">
        <f t="shared" si="63"/>
        <v>계</v>
      </c>
      <c r="AF42" s="75" t="str">
        <f t="shared" si="64"/>
        <v>4/2</v>
      </c>
      <c r="AH42" s="20" t="str">
        <f t="shared" si="65"/>
        <v>명서동 두산위브</v>
      </c>
      <c r="AI42" s="106">
        <f t="shared" si="20"/>
        <v>50</v>
      </c>
      <c r="AJ42" s="75" t="str">
        <f t="shared" si="66"/>
        <v>A-</v>
      </c>
      <c r="AK42" s="75" t="s">
        <v>14</v>
      </c>
      <c r="AL42" s="75" t="s">
        <v>944</v>
      </c>
      <c r="AM42" s="75" t="s">
        <v>945</v>
      </c>
      <c r="AN42" s="75" t="str">
        <f t="shared" si="67"/>
        <v>C</v>
      </c>
      <c r="AO42" s="75" t="str">
        <f t="shared" si="68"/>
        <v>X</v>
      </c>
      <c r="AP42" s="75" t="str">
        <f t="shared" si="69"/>
        <v>X</v>
      </c>
      <c r="AQ42" s="75" t="str">
        <f t="shared" si="70"/>
        <v>X</v>
      </c>
      <c r="AR42" s="75" t="str">
        <f t="shared" si="71"/>
        <v>X</v>
      </c>
      <c r="AS42" s="75" t="s">
        <v>2</v>
      </c>
      <c r="AT42" s="75" t="str">
        <f t="shared" si="72"/>
        <v>X</v>
      </c>
      <c r="AU42" s="75" t="str">
        <f t="shared" si="73"/>
        <v>O</v>
      </c>
      <c r="AV42" s="75" t="str">
        <f t="shared" si="74"/>
        <v>X</v>
      </c>
    </row>
    <row r="43" spans="1:48" s="38" customFormat="1" ht="12" x14ac:dyDescent="0.3">
      <c r="A43" s="110" t="s">
        <v>1084</v>
      </c>
      <c r="B43" s="111" t="s">
        <v>1018</v>
      </c>
      <c r="C43" s="112">
        <v>1522</v>
      </c>
      <c r="D43" s="104">
        <v>195.7</v>
      </c>
      <c r="E43" s="106">
        <v>59</v>
      </c>
      <c r="F43" s="104">
        <v>167.5</v>
      </c>
      <c r="G43" s="17">
        <v>51</v>
      </c>
      <c r="H43" s="107">
        <v>118</v>
      </c>
      <c r="I43" s="108"/>
      <c r="J43" s="108"/>
      <c r="K43" s="108"/>
      <c r="L43" s="108"/>
      <c r="M43" s="109">
        <f t="shared" si="58"/>
        <v>0</v>
      </c>
      <c r="N43" s="4" t="str">
        <f t="shared" si="59"/>
        <v/>
      </c>
      <c r="O43" s="105">
        <f t="shared" si="60"/>
        <v>0</v>
      </c>
      <c r="P43" s="105">
        <f t="shared" si="61"/>
        <v>0</v>
      </c>
      <c r="Q43" s="75">
        <v>4</v>
      </c>
      <c r="R43" s="75">
        <v>2</v>
      </c>
      <c r="S43" s="75" t="s">
        <v>947</v>
      </c>
      <c r="T43" s="5" t="s">
        <v>553</v>
      </c>
      <c r="U43" s="9"/>
      <c r="W43" s="104">
        <f t="shared" si="56"/>
        <v>195.7</v>
      </c>
      <c r="X43" s="106">
        <f t="shared" si="56"/>
        <v>59</v>
      </c>
      <c r="Y43" s="102">
        <f t="shared" si="57"/>
        <v>118</v>
      </c>
      <c r="Z43" s="109">
        <f t="shared" si="57"/>
        <v>0</v>
      </c>
      <c r="AA43" s="109">
        <f t="shared" si="62"/>
        <v>0</v>
      </c>
      <c r="AB43" s="109">
        <f t="shared" si="75"/>
        <v>0</v>
      </c>
      <c r="AC43" s="4" t="str">
        <f t="shared" si="75"/>
        <v/>
      </c>
      <c r="AD43" s="105">
        <f t="shared" si="75"/>
        <v>0</v>
      </c>
      <c r="AE43" s="75" t="str">
        <f t="shared" si="63"/>
        <v>계</v>
      </c>
      <c r="AF43" s="75" t="str">
        <f t="shared" si="64"/>
        <v>4/2</v>
      </c>
      <c r="AH43" s="20" t="str">
        <f t="shared" si="65"/>
        <v>명서동 두산위브</v>
      </c>
      <c r="AI43" s="106">
        <f t="shared" si="20"/>
        <v>59</v>
      </c>
      <c r="AJ43" s="75" t="str">
        <f t="shared" si="66"/>
        <v>A-</v>
      </c>
      <c r="AK43" s="75" t="s">
        <v>14</v>
      </c>
      <c r="AL43" s="75" t="s">
        <v>944</v>
      </c>
      <c r="AM43" s="75" t="s">
        <v>945</v>
      </c>
      <c r="AN43" s="75" t="str">
        <f t="shared" si="67"/>
        <v>C</v>
      </c>
      <c r="AO43" s="75" t="str">
        <f t="shared" si="68"/>
        <v/>
      </c>
      <c r="AP43" s="75" t="str">
        <f t="shared" si="69"/>
        <v/>
      </c>
      <c r="AQ43" s="75" t="str">
        <f t="shared" si="70"/>
        <v>O</v>
      </c>
      <c r="AR43" s="75" t="str">
        <f t="shared" si="71"/>
        <v>O</v>
      </c>
      <c r="AS43" s="75" t="s">
        <v>2</v>
      </c>
      <c r="AT43" s="75" t="str">
        <f t="shared" si="72"/>
        <v>X</v>
      </c>
      <c r="AU43" s="75" t="str">
        <f t="shared" si="73"/>
        <v>O</v>
      </c>
      <c r="AV43" s="75" t="str">
        <f t="shared" si="74"/>
        <v/>
      </c>
    </row>
    <row r="44" spans="1:48" s="38" customFormat="1" ht="12" x14ac:dyDescent="0.3">
      <c r="A44" s="110" t="s">
        <v>1084</v>
      </c>
      <c r="B44" s="111" t="s">
        <v>1018</v>
      </c>
      <c r="C44" s="112">
        <v>1522</v>
      </c>
      <c r="D44" s="104">
        <v>198.2</v>
      </c>
      <c r="E44" s="106">
        <v>60</v>
      </c>
      <c r="F44" s="104">
        <v>168.2</v>
      </c>
      <c r="G44" s="17">
        <v>51</v>
      </c>
      <c r="H44" s="107">
        <v>110</v>
      </c>
      <c r="I44" s="108">
        <v>80000</v>
      </c>
      <c r="J44" s="108" t="s">
        <v>960</v>
      </c>
      <c r="K44" s="108">
        <v>75000</v>
      </c>
      <c r="L44" s="108" t="s">
        <v>954</v>
      </c>
      <c r="M44" s="109">
        <f t="shared" si="58"/>
        <v>5000</v>
      </c>
      <c r="N44" s="4">
        <f t="shared" si="59"/>
        <v>0.9375</v>
      </c>
      <c r="O44" s="105">
        <f t="shared" si="60"/>
        <v>1333.3333333333333</v>
      </c>
      <c r="P44" s="105">
        <f t="shared" si="61"/>
        <v>1250</v>
      </c>
      <c r="Q44" s="75">
        <v>4</v>
      </c>
      <c r="R44" s="75">
        <v>2</v>
      </c>
      <c r="S44" s="75" t="s">
        <v>947</v>
      </c>
      <c r="T44" s="5" t="s">
        <v>554</v>
      </c>
      <c r="U44" s="9"/>
      <c r="W44" s="104">
        <f t="shared" si="56"/>
        <v>198.2</v>
      </c>
      <c r="X44" s="106">
        <f t="shared" si="56"/>
        <v>60</v>
      </c>
      <c r="Y44" s="102">
        <f t="shared" si="57"/>
        <v>110</v>
      </c>
      <c r="Z44" s="109">
        <f t="shared" si="57"/>
        <v>80000</v>
      </c>
      <c r="AA44" s="109">
        <f t="shared" si="62"/>
        <v>75000</v>
      </c>
      <c r="AB44" s="109">
        <f t="shared" si="75"/>
        <v>5000</v>
      </c>
      <c r="AC44" s="4">
        <f t="shared" si="75"/>
        <v>0.9375</v>
      </c>
      <c r="AD44" s="105">
        <f t="shared" si="75"/>
        <v>1333.3333333333333</v>
      </c>
      <c r="AE44" s="75" t="str">
        <f t="shared" si="63"/>
        <v>계</v>
      </c>
      <c r="AF44" s="75" t="str">
        <f t="shared" si="64"/>
        <v>4/2</v>
      </c>
      <c r="AH44" s="20" t="str">
        <f t="shared" si="65"/>
        <v>명서동 두산위브</v>
      </c>
      <c r="AI44" s="106">
        <f t="shared" si="20"/>
        <v>60</v>
      </c>
      <c r="AJ44" s="75" t="str">
        <f t="shared" si="66"/>
        <v>A-</v>
      </c>
      <c r="AK44" s="75" t="s">
        <v>14</v>
      </c>
      <c r="AL44" s="75" t="s">
        <v>944</v>
      </c>
      <c r="AM44" s="75" t="s">
        <v>945</v>
      </c>
      <c r="AN44" s="75" t="str">
        <f t="shared" si="67"/>
        <v>C</v>
      </c>
      <c r="AO44" s="75" t="str">
        <f t="shared" si="68"/>
        <v>O</v>
      </c>
      <c r="AP44" s="75" t="str">
        <f t="shared" si="69"/>
        <v>X</v>
      </c>
      <c r="AQ44" s="75" t="str">
        <f t="shared" si="70"/>
        <v>X</v>
      </c>
      <c r="AR44" s="75" t="str">
        <f t="shared" si="71"/>
        <v>O</v>
      </c>
      <c r="AS44" s="75" t="s">
        <v>2</v>
      </c>
      <c r="AT44" s="75" t="str">
        <f t="shared" si="72"/>
        <v>X</v>
      </c>
      <c r="AU44" s="75" t="str">
        <f t="shared" si="73"/>
        <v>O</v>
      </c>
      <c r="AV44" s="75" t="str">
        <f t="shared" si="74"/>
        <v>X</v>
      </c>
    </row>
    <row r="45" spans="1:48" s="38" customFormat="1" ht="12" x14ac:dyDescent="0.3">
      <c r="A45" s="110" t="s">
        <v>1084</v>
      </c>
      <c r="B45" s="111" t="s">
        <v>1018</v>
      </c>
      <c r="C45" s="112">
        <v>1522</v>
      </c>
      <c r="D45" s="104">
        <v>225.4</v>
      </c>
      <c r="E45" s="106">
        <v>68</v>
      </c>
      <c r="F45" s="104">
        <v>189.4</v>
      </c>
      <c r="G45" s="17">
        <v>57</v>
      </c>
      <c r="H45" s="107">
        <v>142</v>
      </c>
      <c r="I45" s="108"/>
      <c r="J45" s="108"/>
      <c r="K45" s="108"/>
      <c r="L45" s="108"/>
      <c r="M45" s="109">
        <f t="shared" si="58"/>
        <v>0</v>
      </c>
      <c r="N45" s="4" t="str">
        <f t="shared" si="59"/>
        <v/>
      </c>
      <c r="O45" s="105">
        <f t="shared" si="60"/>
        <v>0</v>
      </c>
      <c r="P45" s="105">
        <f t="shared" si="61"/>
        <v>0</v>
      </c>
      <c r="Q45" s="75">
        <v>4</v>
      </c>
      <c r="R45" s="75">
        <v>3</v>
      </c>
      <c r="S45" s="75" t="s">
        <v>947</v>
      </c>
      <c r="T45" s="5">
        <v>225</v>
      </c>
      <c r="U45" s="9"/>
      <c r="W45" s="104">
        <f t="shared" ref="W45:X60" si="76">D45</f>
        <v>225.4</v>
      </c>
      <c r="X45" s="106">
        <f t="shared" si="76"/>
        <v>68</v>
      </c>
      <c r="Y45" s="102">
        <f t="shared" ref="Y45:Z60" si="77">H45</f>
        <v>142</v>
      </c>
      <c r="Z45" s="109">
        <f t="shared" si="77"/>
        <v>0</v>
      </c>
      <c r="AA45" s="109">
        <f t="shared" si="62"/>
        <v>0</v>
      </c>
      <c r="AB45" s="109">
        <f t="shared" si="75"/>
        <v>0</v>
      </c>
      <c r="AC45" s="4" t="str">
        <f t="shared" si="75"/>
        <v/>
      </c>
      <c r="AD45" s="105">
        <f t="shared" si="75"/>
        <v>0</v>
      </c>
      <c r="AE45" s="75" t="str">
        <f t="shared" si="63"/>
        <v>계</v>
      </c>
      <c r="AF45" s="75" t="str">
        <f t="shared" si="64"/>
        <v>4/3</v>
      </c>
      <c r="AH45" s="20" t="str">
        <f t="shared" si="65"/>
        <v>명서동 두산위브</v>
      </c>
      <c r="AI45" s="106">
        <f t="shared" si="20"/>
        <v>68</v>
      </c>
      <c r="AJ45" s="75" t="str">
        <f t="shared" si="66"/>
        <v>A-</v>
      </c>
      <c r="AK45" s="75" t="s">
        <v>14</v>
      </c>
      <c r="AL45" s="75" t="s">
        <v>944</v>
      </c>
      <c r="AM45" s="75" t="s">
        <v>945</v>
      </c>
      <c r="AN45" s="75" t="str">
        <f t="shared" si="67"/>
        <v>C</v>
      </c>
      <c r="AO45" s="75" t="str">
        <f t="shared" si="68"/>
        <v/>
      </c>
      <c r="AP45" s="75" t="str">
        <f t="shared" si="69"/>
        <v/>
      </c>
      <c r="AQ45" s="75" t="str">
        <f t="shared" si="70"/>
        <v>O</v>
      </c>
      <c r="AR45" s="75" t="str">
        <f t="shared" si="71"/>
        <v>O</v>
      </c>
      <c r="AS45" s="75" t="s">
        <v>2</v>
      </c>
      <c r="AT45" s="75" t="str">
        <f t="shared" si="72"/>
        <v>X</v>
      </c>
      <c r="AU45" s="75" t="str">
        <f t="shared" si="73"/>
        <v>O</v>
      </c>
      <c r="AV45" s="75" t="str">
        <f t="shared" si="74"/>
        <v/>
      </c>
    </row>
    <row r="46" spans="1:48" s="38" customFormat="1" ht="12" x14ac:dyDescent="0.3">
      <c r="A46" s="110" t="s">
        <v>1086</v>
      </c>
      <c r="B46" s="111" t="s">
        <v>1087</v>
      </c>
      <c r="C46" s="112">
        <v>426</v>
      </c>
      <c r="D46" s="104">
        <v>77.5</v>
      </c>
      <c r="E46" s="106">
        <v>23</v>
      </c>
      <c r="F46" s="104">
        <v>59.4</v>
      </c>
      <c r="G46" s="17">
        <v>18</v>
      </c>
      <c r="H46" s="107">
        <v>43</v>
      </c>
      <c r="I46" s="108">
        <v>23000</v>
      </c>
      <c r="J46" s="108" t="s">
        <v>957</v>
      </c>
      <c r="K46" s="108"/>
      <c r="L46" s="108"/>
      <c r="M46" s="109">
        <f>I46-K46</f>
        <v>23000</v>
      </c>
      <c r="N46" s="4">
        <f>IF(ISERROR(K46/I46),"",K46/I46)</f>
        <v>0</v>
      </c>
      <c r="O46" s="105">
        <f>I46/E46</f>
        <v>1000</v>
      </c>
      <c r="P46" s="105">
        <f>K46/E46</f>
        <v>0</v>
      </c>
      <c r="Q46" s="75">
        <v>3</v>
      </c>
      <c r="R46" s="75">
        <v>1</v>
      </c>
      <c r="S46" s="75" t="s">
        <v>947</v>
      </c>
      <c r="T46" s="5">
        <v>77</v>
      </c>
      <c r="U46" s="9"/>
      <c r="W46" s="104">
        <f t="shared" si="76"/>
        <v>77.5</v>
      </c>
      <c r="X46" s="106">
        <f t="shared" si="76"/>
        <v>23</v>
      </c>
      <c r="Y46" s="102">
        <f t="shared" si="77"/>
        <v>43</v>
      </c>
      <c r="Z46" s="109">
        <f t="shared" si="77"/>
        <v>23000</v>
      </c>
      <c r="AA46" s="109">
        <f>K46</f>
        <v>0</v>
      </c>
      <c r="AB46" s="109">
        <f t="shared" si="75"/>
        <v>23000</v>
      </c>
      <c r="AC46" s="4">
        <f t="shared" si="75"/>
        <v>0</v>
      </c>
      <c r="AD46" s="105">
        <f t="shared" si="75"/>
        <v>1000</v>
      </c>
      <c r="AE46" s="75" t="str">
        <f>S46</f>
        <v>계</v>
      </c>
      <c r="AF46" s="75" t="str">
        <f>Q46&amp;"/"&amp;R46</f>
        <v>3/1</v>
      </c>
      <c r="AH46" s="20" t="str">
        <f>IF(A46="","",A46)</f>
        <v>봉곡동 늘푸른마을코오롱</v>
      </c>
      <c r="AI46" s="106">
        <f t="shared" si="20"/>
        <v>23</v>
      </c>
      <c r="AJ46" s="75" t="str">
        <f>IF(AI46="","",$AJ$2)</f>
        <v>A-</v>
      </c>
      <c r="AK46" s="75" t="s">
        <v>14</v>
      </c>
      <c r="AL46" s="75" t="s">
        <v>944</v>
      </c>
      <c r="AM46" s="75" t="s">
        <v>945</v>
      </c>
      <c r="AN46" s="75" t="str">
        <f>IF(AI46="","",$AN$2)</f>
        <v>C</v>
      </c>
      <c r="AO46" s="75" t="str">
        <f>IF(N46="","",IF(N46&gt;=$AO$1/100,"O","X"))</f>
        <v>X</v>
      </c>
      <c r="AP46" s="75" t="str">
        <f>IF(I46="","",IF(I46&lt;=$AP$1,"O","X"))</f>
        <v>O</v>
      </c>
      <c r="AQ46" s="75" t="str">
        <f>IF(O46="","",IF(O46&lt;=$AQ$1,"O","X"))</f>
        <v>O</v>
      </c>
      <c r="AR46" s="75" t="str">
        <f>IF(M46="","",IF(M46&lt;=$AR$1,"O","X"))</f>
        <v>X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X</v>
      </c>
    </row>
    <row r="47" spans="1:48" s="38" customFormat="1" ht="12" x14ac:dyDescent="0.3">
      <c r="A47" s="110" t="s">
        <v>1086</v>
      </c>
      <c r="B47" s="111" t="s">
        <v>1019</v>
      </c>
      <c r="C47" s="112">
        <v>426</v>
      </c>
      <c r="D47" s="104">
        <v>77.900000000000006</v>
      </c>
      <c r="E47" s="106">
        <v>24</v>
      </c>
      <c r="F47" s="104">
        <v>59.7</v>
      </c>
      <c r="G47" s="17">
        <v>18</v>
      </c>
      <c r="H47" s="107">
        <v>1</v>
      </c>
      <c r="I47" s="108"/>
      <c r="J47" s="108"/>
      <c r="K47" s="108"/>
      <c r="L47" s="108"/>
      <c r="M47" s="109">
        <f>I47-K47</f>
        <v>0</v>
      </c>
      <c r="N47" s="4" t="str">
        <f>IF(ISERROR(K47/I47),"",K47/I47)</f>
        <v/>
      </c>
      <c r="O47" s="105">
        <f>I47/E47</f>
        <v>0</v>
      </c>
      <c r="P47" s="105">
        <f>K47/E47</f>
        <v>0</v>
      </c>
      <c r="Q47" s="75">
        <v>3</v>
      </c>
      <c r="R47" s="75">
        <v>1</v>
      </c>
      <c r="S47" s="75" t="s">
        <v>943</v>
      </c>
      <c r="T47" s="5">
        <v>77</v>
      </c>
      <c r="U47" s="9"/>
      <c r="W47" s="104">
        <f t="shared" si="76"/>
        <v>77.900000000000006</v>
      </c>
      <c r="X47" s="106">
        <f t="shared" si="76"/>
        <v>24</v>
      </c>
      <c r="Y47" s="102">
        <f t="shared" si="77"/>
        <v>1</v>
      </c>
      <c r="Z47" s="109">
        <f t="shared" si="77"/>
        <v>0</v>
      </c>
      <c r="AA47" s="109">
        <f>K47</f>
        <v>0</v>
      </c>
      <c r="AB47" s="109">
        <f t="shared" si="75"/>
        <v>0</v>
      </c>
      <c r="AC47" s="4" t="str">
        <f t="shared" si="75"/>
        <v/>
      </c>
      <c r="AD47" s="105">
        <f t="shared" si="75"/>
        <v>0</v>
      </c>
      <c r="AE47" s="75" t="str">
        <f>S47</f>
        <v>복</v>
      </c>
      <c r="AF47" s="75" t="str">
        <f>Q47&amp;"/"&amp;R47</f>
        <v>3/1</v>
      </c>
      <c r="AH47" s="20" t="str">
        <f>IF(A47="","",A47)</f>
        <v>봉곡동 늘푸른마을코오롱</v>
      </c>
      <c r="AI47" s="106">
        <f t="shared" si="20"/>
        <v>24</v>
      </c>
      <c r="AJ47" s="75" t="str">
        <f>IF(AI47="","",$AJ$2)</f>
        <v>A-</v>
      </c>
      <c r="AK47" s="75" t="s">
        <v>14</v>
      </c>
      <c r="AL47" s="75" t="s">
        <v>944</v>
      </c>
      <c r="AM47" s="75" t="s">
        <v>945</v>
      </c>
      <c r="AN47" s="75" t="str">
        <f>IF(AI47="","",$AN$2)</f>
        <v>C</v>
      </c>
      <c r="AO47" s="75" t="str">
        <f>IF(N47="","",IF(N47&gt;=$AO$1/100,"O","X"))</f>
        <v/>
      </c>
      <c r="AP47" s="75" t="str">
        <f>IF(I47="","",IF(I47&lt;=$AP$1,"O","X"))</f>
        <v/>
      </c>
      <c r="AQ47" s="75" t="str">
        <f>IF(O47="","",IF(O47&lt;=$AQ$1,"O","X"))</f>
        <v>O</v>
      </c>
      <c r="AR47" s="75" t="str">
        <f>IF(M47="","",IF(M47&lt;=$AR$1,"O","X"))</f>
        <v>O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/>
      </c>
    </row>
    <row r="48" spans="1:48" s="38" customFormat="1" ht="12" x14ac:dyDescent="0.3">
      <c r="A48" s="110" t="s">
        <v>1086</v>
      </c>
      <c r="B48" s="111" t="s">
        <v>1087</v>
      </c>
      <c r="C48" s="112">
        <v>426</v>
      </c>
      <c r="D48" s="104">
        <v>103.4</v>
      </c>
      <c r="E48" s="106">
        <v>31</v>
      </c>
      <c r="F48" s="104">
        <v>84.4</v>
      </c>
      <c r="G48" s="17">
        <v>26</v>
      </c>
      <c r="H48" s="107">
        <v>382</v>
      </c>
      <c r="I48" s="108">
        <v>31000</v>
      </c>
      <c r="J48" s="108" t="s">
        <v>957</v>
      </c>
      <c r="K48" s="108"/>
      <c r="L48" s="108"/>
      <c r="M48" s="109">
        <f>I48-K48</f>
        <v>31000</v>
      </c>
      <c r="N48" s="4">
        <f>IF(ISERROR(K48/I48),"",K48/I48)</f>
        <v>0</v>
      </c>
      <c r="O48" s="105">
        <f>I48/E48</f>
        <v>1000</v>
      </c>
      <c r="P48" s="105">
        <f>K48/E48</f>
        <v>0</v>
      </c>
      <c r="Q48" s="75">
        <v>3</v>
      </c>
      <c r="R48" s="75">
        <v>2</v>
      </c>
      <c r="S48" s="75" t="s">
        <v>947</v>
      </c>
      <c r="T48" s="5">
        <v>103</v>
      </c>
      <c r="U48" s="9"/>
      <c r="W48" s="104">
        <f t="shared" si="76"/>
        <v>103.4</v>
      </c>
      <c r="X48" s="106">
        <f t="shared" si="76"/>
        <v>31</v>
      </c>
      <c r="Y48" s="102">
        <f t="shared" si="77"/>
        <v>382</v>
      </c>
      <c r="Z48" s="109">
        <f t="shared" si="77"/>
        <v>31000</v>
      </c>
      <c r="AA48" s="109">
        <f>K48</f>
        <v>0</v>
      </c>
      <c r="AB48" s="109">
        <f t="shared" si="75"/>
        <v>31000</v>
      </c>
      <c r="AC48" s="4">
        <f t="shared" si="75"/>
        <v>0</v>
      </c>
      <c r="AD48" s="105">
        <f t="shared" si="75"/>
        <v>1000</v>
      </c>
      <c r="AE48" s="75" t="str">
        <f>S48</f>
        <v>계</v>
      </c>
      <c r="AF48" s="75" t="str">
        <f>Q48&amp;"/"&amp;R48</f>
        <v>3/2</v>
      </c>
      <c r="AH48" s="20" t="str">
        <f>IF(A48="","",A48)</f>
        <v>봉곡동 늘푸른마을코오롱</v>
      </c>
      <c r="AI48" s="106">
        <f t="shared" si="20"/>
        <v>31</v>
      </c>
      <c r="AJ48" s="75" t="str">
        <f>IF(AI48="","",$AJ$2)</f>
        <v>A-</v>
      </c>
      <c r="AK48" s="75" t="s">
        <v>14</v>
      </c>
      <c r="AL48" s="75" t="s">
        <v>944</v>
      </c>
      <c r="AM48" s="75" t="s">
        <v>945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O</v>
      </c>
      <c r="AQ48" s="75" t="str">
        <f>IF(O48="","",IF(O48&lt;=$AQ$1,"O","X"))</f>
        <v>O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s="38" customFormat="1" ht="12" x14ac:dyDescent="0.3">
      <c r="A49" s="110" t="s">
        <v>1088</v>
      </c>
      <c r="B49" s="111" t="s">
        <v>1022</v>
      </c>
      <c r="C49" s="112">
        <v>507</v>
      </c>
      <c r="D49" s="104">
        <v>108.4</v>
      </c>
      <c r="E49" s="106">
        <v>33</v>
      </c>
      <c r="F49" s="104">
        <v>85</v>
      </c>
      <c r="G49" s="17">
        <v>26</v>
      </c>
      <c r="H49" s="107">
        <v>150</v>
      </c>
      <c r="I49" s="108">
        <v>44000</v>
      </c>
      <c r="J49" s="108" t="s">
        <v>963</v>
      </c>
      <c r="K49" s="108">
        <v>37000</v>
      </c>
      <c r="L49" s="108" t="s">
        <v>964</v>
      </c>
      <c r="M49" s="109">
        <f t="shared" ref="M49:M58" si="78">I49-K49</f>
        <v>7000</v>
      </c>
      <c r="N49" s="4">
        <f t="shared" ref="N49:N58" si="79">IF(ISERROR(K49/I49),"",K49/I49)</f>
        <v>0.84090909090909094</v>
      </c>
      <c r="O49" s="105">
        <f t="shared" ref="O49:O58" si="80">I49/E49</f>
        <v>1333.3333333333333</v>
      </c>
      <c r="P49" s="105">
        <f t="shared" ref="P49:P58" si="81">K49/E49</f>
        <v>1121.2121212121212</v>
      </c>
      <c r="Q49" s="75">
        <v>3</v>
      </c>
      <c r="R49" s="75">
        <v>2</v>
      </c>
      <c r="S49" s="75" t="s">
        <v>947</v>
      </c>
      <c r="T49" s="5" t="s">
        <v>565</v>
      </c>
      <c r="U49" s="9"/>
      <c r="W49" s="104">
        <f t="shared" si="76"/>
        <v>108.4</v>
      </c>
      <c r="X49" s="106">
        <f t="shared" si="76"/>
        <v>33</v>
      </c>
      <c r="Y49" s="102">
        <f t="shared" si="77"/>
        <v>150</v>
      </c>
      <c r="Z49" s="109">
        <f t="shared" si="77"/>
        <v>44000</v>
      </c>
      <c r="AA49" s="109">
        <f t="shared" ref="AA49:AA58" si="82">K49</f>
        <v>37000</v>
      </c>
      <c r="AB49" s="109">
        <f t="shared" si="75"/>
        <v>7000</v>
      </c>
      <c r="AC49" s="4">
        <f t="shared" si="75"/>
        <v>0.84090909090909094</v>
      </c>
      <c r="AD49" s="105">
        <f t="shared" si="75"/>
        <v>1333.3333333333333</v>
      </c>
      <c r="AE49" s="75" t="str">
        <f t="shared" ref="AE49:AE58" si="83">S49</f>
        <v>계</v>
      </c>
      <c r="AF49" s="75" t="str">
        <f t="shared" ref="AF49:AF58" si="84">Q49&amp;"/"&amp;R49</f>
        <v>3/2</v>
      </c>
      <c r="AH49" s="20" t="str">
        <f t="shared" ref="AH49:AH112" si="85">IF(A49="","",A49)</f>
        <v>봉림동 엘에이치피닉스포레</v>
      </c>
      <c r="AI49" s="106">
        <f t="shared" si="20"/>
        <v>33</v>
      </c>
      <c r="AJ49" s="75" t="str">
        <f t="shared" ref="AJ49:AJ58" si="86">IF(AI49="","",$AJ$2)</f>
        <v>A-</v>
      </c>
      <c r="AK49" s="75" t="s">
        <v>14</v>
      </c>
      <c r="AL49" s="75" t="s">
        <v>944</v>
      </c>
      <c r="AM49" s="75" t="s">
        <v>945</v>
      </c>
      <c r="AN49" s="75" t="str">
        <f t="shared" ref="AN49:AN58" si="87">IF(AI49="","",$AN$2)</f>
        <v>C</v>
      </c>
      <c r="AO49" s="75" t="str">
        <f t="shared" ref="AO49:AO58" si="88">IF(N49="","",IF(N49&gt;=$AO$1/100,"O","X"))</f>
        <v>O</v>
      </c>
      <c r="AP49" s="75" t="str">
        <f t="shared" ref="AP49:AP58" si="89">IF(I49="","",IF(I49&lt;=$AP$1,"O","X"))</f>
        <v>O</v>
      </c>
      <c r="AQ49" s="75" t="str">
        <f t="shared" ref="AQ49:AQ58" si="90">IF(O49="","",IF(O49&lt;=$AQ$1,"O","X"))</f>
        <v>X</v>
      </c>
      <c r="AR49" s="75" t="str">
        <f t="shared" ref="AR49:AR58" si="91">IF(M49="","",IF(M49&lt;=$AR$1,"O","X"))</f>
        <v>X</v>
      </c>
      <c r="AS49" s="75" t="s">
        <v>2</v>
      </c>
      <c r="AT49" s="75" t="str">
        <f t="shared" ref="AT49:AT58" si="92">IF(OR(F49="",AI49=""),"",IF(AND((F49&lt;=85),(AI49&gt;=15)),"O","X"))</f>
        <v>O</v>
      </c>
      <c r="AU49" s="75" t="str">
        <f t="shared" ref="AU49:AU58" si="93">IF(C49="","",IF(C49&gt;=$AU$1,"O","X"))</f>
        <v>O</v>
      </c>
      <c r="AV49" s="75" t="str">
        <f t="shared" ref="AV49:AV58" si="94">IF(AO49="","",IF(AND(AO49="O",AP49="O",AR49="O",AT49="O",AU49="O"),"후보","X"))</f>
        <v>X</v>
      </c>
    </row>
    <row r="50" spans="1:48" s="38" customFormat="1" ht="12" x14ac:dyDescent="0.3">
      <c r="A50" s="110" t="s">
        <v>1088</v>
      </c>
      <c r="B50" s="111" t="s">
        <v>1022</v>
      </c>
      <c r="C50" s="112">
        <v>507</v>
      </c>
      <c r="D50" s="104">
        <v>108.3</v>
      </c>
      <c r="E50" s="106">
        <v>33</v>
      </c>
      <c r="F50" s="104">
        <v>84.9</v>
      </c>
      <c r="G50" s="17">
        <v>26</v>
      </c>
      <c r="H50" s="107">
        <v>141</v>
      </c>
      <c r="I50" s="108">
        <v>46500</v>
      </c>
      <c r="J50" s="108" t="s">
        <v>954</v>
      </c>
      <c r="K50" s="108"/>
      <c r="L50" s="108"/>
      <c r="M50" s="109">
        <f t="shared" si="78"/>
        <v>46500</v>
      </c>
      <c r="N50" s="4">
        <f t="shared" si="79"/>
        <v>0</v>
      </c>
      <c r="O50" s="105">
        <f t="shared" si="80"/>
        <v>1409.090909090909</v>
      </c>
      <c r="P50" s="105">
        <f t="shared" si="81"/>
        <v>0</v>
      </c>
      <c r="Q50" s="75">
        <v>3</v>
      </c>
      <c r="R50" s="75">
        <v>2</v>
      </c>
      <c r="S50" s="75" t="s">
        <v>947</v>
      </c>
      <c r="T50" s="5" t="s">
        <v>570</v>
      </c>
      <c r="U50" s="9"/>
      <c r="W50" s="104">
        <f t="shared" si="76"/>
        <v>108.3</v>
      </c>
      <c r="X50" s="106">
        <f t="shared" si="76"/>
        <v>33</v>
      </c>
      <c r="Y50" s="102">
        <f t="shared" si="77"/>
        <v>141</v>
      </c>
      <c r="Z50" s="109">
        <f t="shared" si="77"/>
        <v>46500</v>
      </c>
      <c r="AA50" s="109">
        <f t="shared" si="82"/>
        <v>0</v>
      </c>
      <c r="AB50" s="109">
        <f t="shared" si="75"/>
        <v>46500</v>
      </c>
      <c r="AC50" s="4">
        <f t="shared" si="75"/>
        <v>0</v>
      </c>
      <c r="AD50" s="105">
        <f t="shared" si="75"/>
        <v>1409.090909090909</v>
      </c>
      <c r="AE50" s="75" t="str">
        <f t="shared" si="83"/>
        <v>계</v>
      </c>
      <c r="AF50" s="75" t="str">
        <f t="shared" si="84"/>
        <v>3/2</v>
      </c>
      <c r="AH50" s="20" t="str">
        <f t="shared" si="85"/>
        <v>봉림동 엘에이치피닉스포레</v>
      </c>
      <c r="AI50" s="106">
        <f t="shared" si="20"/>
        <v>33</v>
      </c>
      <c r="AJ50" s="75" t="str">
        <f t="shared" si="86"/>
        <v>A-</v>
      </c>
      <c r="AK50" s="75" t="s">
        <v>14</v>
      </c>
      <c r="AL50" s="75" t="s">
        <v>944</v>
      </c>
      <c r="AM50" s="75" t="s">
        <v>945</v>
      </c>
      <c r="AN50" s="75" t="str">
        <f t="shared" si="87"/>
        <v>C</v>
      </c>
      <c r="AO50" s="75" t="str">
        <f t="shared" si="88"/>
        <v>X</v>
      </c>
      <c r="AP50" s="75" t="str">
        <f t="shared" si="89"/>
        <v>X</v>
      </c>
      <c r="AQ50" s="75" t="str">
        <f t="shared" si="90"/>
        <v>X</v>
      </c>
      <c r="AR50" s="75" t="str">
        <f t="shared" si="91"/>
        <v>X</v>
      </c>
      <c r="AS50" s="75" t="s">
        <v>2</v>
      </c>
      <c r="AT50" s="75" t="str">
        <f t="shared" si="92"/>
        <v>O</v>
      </c>
      <c r="AU50" s="75" t="str">
        <f t="shared" si="93"/>
        <v>O</v>
      </c>
      <c r="AV50" s="75" t="str">
        <f t="shared" si="94"/>
        <v>X</v>
      </c>
    </row>
    <row r="51" spans="1:48" s="38" customFormat="1" ht="12" x14ac:dyDescent="0.3">
      <c r="A51" s="110" t="s">
        <v>1088</v>
      </c>
      <c r="B51" s="111" t="s">
        <v>1022</v>
      </c>
      <c r="C51" s="112">
        <v>507</v>
      </c>
      <c r="D51" s="104">
        <v>129.80000000000001</v>
      </c>
      <c r="E51" s="106">
        <v>39</v>
      </c>
      <c r="F51" s="104">
        <v>101.8</v>
      </c>
      <c r="G51" s="17">
        <v>31</v>
      </c>
      <c r="H51" s="107">
        <v>30</v>
      </c>
      <c r="I51" s="108"/>
      <c r="J51" s="108"/>
      <c r="K51" s="108"/>
      <c r="L51" s="108"/>
      <c r="M51" s="109">
        <f t="shared" si="78"/>
        <v>0</v>
      </c>
      <c r="N51" s="4" t="str">
        <f t="shared" si="79"/>
        <v/>
      </c>
      <c r="O51" s="105">
        <f t="shared" si="80"/>
        <v>0</v>
      </c>
      <c r="P51" s="105">
        <f t="shared" si="81"/>
        <v>0</v>
      </c>
      <c r="Q51" s="75">
        <v>3</v>
      </c>
      <c r="R51" s="75">
        <v>2</v>
      </c>
      <c r="S51" s="75" t="s">
        <v>947</v>
      </c>
      <c r="T51" s="5" t="s">
        <v>571</v>
      </c>
      <c r="U51" s="9"/>
      <c r="W51" s="104">
        <f t="shared" si="76"/>
        <v>129.80000000000001</v>
      </c>
      <c r="X51" s="106">
        <f t="shared" si="76"/>
        <v>39</v>
      </c>
      <c r="Y51" s="102">
        <f t="shared" si="77"/>
        <v>30</v>
      </c>
      <c r="Z51" s="109">
        <f t="shared" si="77"/>
        <v>0</v>
      </c>
      <c r="AA51" s="109">
        <f t="shared" si="82"/>
        <v>0</v>
      </c>
      <c r="AB51" s="109">
        <f t="shared" si="75"/>
        <v>0</v>
      </c>
      <c r="AC51" s="4" t="str">
        <f t="shared" si="75"/>
        <v/>
      </c>
      <c r="AD51" s="105">
        <f t="shared" si="75"/>
        <v>0</v>
      </c>
      <c r="AE51" s="75" t="str">
        <f t="shared" si="83"/>
        <v>계</v>
      </c>
      <c r="AF51" s="75" t="str">
        <f t="shared" si="84"/>
        <v>3/2</v>
      </c>
      <c r="AH51" s="20" t="str">
        <f t="shared" si="85"/>
        <v>봉림동 엘에이치피닉스포레</v>
      </c>
      <c r="AI51" s="106">
        <f t="shared" si="20"/>
        <v>39</v>
      </c>
      <c r="AJ51" s="75" t="str">
        <f t="shared" si="86"/>
        <v>A-</v>
      </c>
      <c r="AK51" s="75" t="s">
        <v>14</v>
      </c>
      <c r="AL51" s="75" t="s">
        <v>944</v>
      </c>
      <c r="AM51" s="75" t="s">
        <v>945</v>
      </c>
      <c r="AN51" s="75" t="str">
        <f t="shared" si="87"/>
        <v>C</v>
      </c>
      <c r="AO51" s="75" t="str">
        <f t="shared" si="88"/>
        <v/>
      </c>
      <c r="AP51" s="75" t="str">
        <f t="shared" si="89"/>
        <v/>
      </c>
      <c r="AQ51" s="75" t="str">
        <f t="shared" si="90"/>
        <v>O</v>
      </c>
      <c r="AR51" s="75" t="str">
        <f t="shared" si="91"/>
        <v>O</v>
      </c>
      <c r="AS51" s="75" t="s">
        <v>2</v>
      </c>
      <c r="AT51" s="75" t="str">
        <f t="shared" si="92"/>
        <v>X</v>
      </c>
      <c r="AU51" s="75" t="str">
        <f t="shared" si="93"/>
        <v>O</v>
      </c>
      <c r="AV51" s="75" t="str">
        <f t="shared" si="94"/>
        <v/>
      </c>
    </row>
    <row r="52" spans="1:48" s="38" customFormat="1" ht="12" x14ac:dyDescent="0.3">
      <c r="A52" s="110" t="s">
        <v>1088</v>
      </c>
      <c r="B52" s="111" t="s">
        <v>1022</v>
      </c>
      <c r="C52" s="112">
        <v>507</v>
      </c>
      <c r="D52" s="104">
        <v>129.69999999999999</v>
      </c>
      <c r="E52" s="106">
        <v>39</v>
      </c>
      <c r="F52" s="104">
        <v>101.6</v>
      </c>
      <c r="G52" s="17">
        <v>31</v>
      </c>
      <c r="H52" s="107">
        <v>30</v>
      </c>
      <c r="I52" s="108">
        <v>57000</v>
      </c>
      <c r="J52" s="108" t="s">
        <v>960</v>
      </c>
      <c r="K52" s="108">
        <v>45000</v>
      </c>
      <c r="L52" s="108" t="s">
        <v>954</v>
      </c>
      <c r="M52" s="109">
        <f t="shared" si="78"/>
        <v>12000</v>
      </c>
      <c r="N52" s="4">
        <f t="shared" si="79"/>
        <v>0.78947368421052633</v>
      </c>
      <c r="O52" s="105">
        <f t="shared" si="80"/>
        <v>1461.5384615384614</v>
      </c>
      <c r="P52" s="105">
        <f t="shared" si="81"/>
        <v>1153.8461538461538</v>
      </c>
      <c r="Q52" s="75">
        <v>3</v>
      </c>
      <c r="R52" s="75">
        <v>2</v>
      </c>
      <c r="S52" s="75" t="s">
        <v>947</v>
      </c>
      <c r="T52" s="5" t="s">
        <v>292</v>
      </c>
      <c r="U52" s="9"/>
      <c r="W52" s="104">
        <f t="shared" si="76"/>
        <v>129.69999999999999</v>
      </c>
      <c r="X52" s="106">
        <f t="shared" si="76"/>
        <v>39</v>
      </c>
      <c r="Y52" s="102">
        <f t="shared" si="77"/>
        <v>30</v>
      </c>
      <c r="Z52" s="109">
        <f t="shared" si="77"/>
        <v>57000</v>
      </c>
      <c r="AA52" s="109">
        <f t="shared" si="82"/>
        <v>45000</v>
      </c>
      <c r="AB52" s="109">
        <f t="shared" si="75"/>
        <v>12000</v>
      </c>
      <c r="AC52" s="4">
        <f t="shared" si="75"/>
        <v>0.78947368421052633</v>
      </c>
      <c r="AD52" s="105">
        <f t="shared" si="75"/>
        <v>1461.5384615384614</v>
      </c>
      <c r="AE52" s="75" t="str">
        <f t="shared" si="83"/>
        <v>계</v>
      </c>
      <c r="AF52" s="75" t="str">
        <f t="shared" si="84"/>
        <v>3/2</v>
      </c>
      <c r="AH52" s="20" t="str">
        <f t="shared" si="85"/>
        <v>봉림동 엘에이치피닉스포레</v>
      </c>
      <c r="AI52" s="106">
        <f t="shared" si="20"/>
        <v>39</v>
      </c>
      <c r="AJ52" s="75" t="str">
        <f t="shared" si="86"/>
        <v>A-</v>
      </c>
      <c r="AK52" s="75" t="s">
        <v>14</v>
      </c>
      <c r="AL52" s="75" t="s">
        <v>944</v>
      </c>
      <c r="AM52" s="75" t="s">
        <v>945</v>
      </c>
      <c r="AN52" s="75" t="str">
        <f t="shared" si="87"/>
        <v>C</v>
      </c>
      <c r="AO52" s="75" t="str">
        <f t="shared" si="88"/>
        <v>X</v>
      </c>
      <c r="AP52" s="75" t="str">
        <f t="shared" si="89"/>
        <v>X</v>
      </c>
      <c r="AQ52" s="75" t="str">
        <f t="shared" si="90"/>
        <v>X</v>
      </c>
      <c r="AR52" s="75" t="str">
        <f t="shared" si="91"/>
        <v>X</v>
      </c>
      <c r="AS52" s="75" t="s">
        <v>2</v>
      </c>
      <c r="AT52" s="75" t="str">
        <f t="shared" si="92"/>
        <v>X</v>
      </c>
      <c r="AU52" s="75" t="str">
        <f t="shared" si="93"/>
        <v>O</v>
      </c>
      <c r="AV52" s="75" t="str">
        <f t="shared" si="94"/>
        <v>X</v>
      </c>
    </row>
    <row r="53" spans="1:48" s="38" customFormat="1" ht="12" x14ac:dyDescent="0.3">
      <c r="A53" s="110" t="s">
        <v>1088</v>
      </c>
      <c r="B53" s="111" t="s">
        <v>1022</v>
      </c>
      <c r="C53" s="112">
        <v>507</v>
      </c>
      <c r="D53" s="104">
        <v>155.5</v>
      </c>
      <c r="E53" s="106">
        <v>47</v>
      </c>
      <c r="F53" s="104">
        <v>121.9</v>
      </c>
      <c r="G53" s="17">
        <v>37</v>
      </c>
      <c r="H53" s="107">
        <v>48</v>
      </c>
      <c r="I53" s="108">
        <v>59000</v>
      </c>
      <c r="J53" s="108" t="s">
        <v>949</v>
      </c>
      <c r="K53" s="108"/>
      <c r="L53" s="108"/>
      <c r="M53" s="109">
        <f t="shared" si="78"/>
        <v>59000</v>
      </c>
      <c r="N53" s="4">
        <f t="shared" si="79"/>
        <v>0</v>
      </c>
      <c r="O53" s="105">
        <f t="shared" si="80"/>
        <v>1255.3191489361702</v>
      </c>
      <c r="P53" s="105">
        <f t="shared" si="81"/>
        <v>0</v>
      </c>
      <c r="Q53" s="75">
        <v>4</v>
      </c>
      <c r="R53" s="75">
        <v>2</v>
      </c>
      <c r="S53" s="75" t="s">
        <v>947</v>
      </c>
      <c r="T53" s="5" t="s">
        <v>572</v>
      </c>
      <c r="U53" s="9"/>
      <c r="W53" s="104">
        <f t="shared" si="76"/>
        <v>155.5</v>
      </c>
      <c r="X53" s="106">
        <f t="shared" si="76"/>
        <v>47</v>
      </c>
      <c r="Y53" s="102">
        <f t="shared" si="77"/>
        <v>48</v>
      </c>
      <c r="Z53" s="109">
        <f t="shared" si="77"/>
        <v>59000</v>
      </c>
      <c r="AA53" s="109">
        <f t="shared" si="82"/>
        <v>0</v>
      </c>
      <c r="AB53" s="109">
        <f t="shared" ref="AB53:AD61" si="95">M53</f>
        <v>59000</v>
      </c>
      <c r="AC53" s="4">
        <f t="shared" si="95"/>
        <v>0</v>
      </c>
      <c r="AD53" s="105">
        <f t="shared" si="95"/>
        <v>1255.3191489361702</v>
      </c>
      <c r="AE53" s="75" t="str">
        <f t="shared" si="83"/>
        <v>계</v>
      </c>
      <c r="AF53" s="75" t="str">
        <f t="shared" si="84"/>
        <v>4/2</v>
      </c>
      <c r="AH53" s="20" t="str">
        <f t="shared" si="85"/>
        <v>봉림동 엘에이치피닉스포레</v>
      </c>
      <c r="AI53" s="106">
        <f t="shared" si="20"/>
        <v>47</v>
      </c>
      <c r="AJ53" s="75" t="str">
        <f t="shared" si="86"/>
        <v>A-</v>
      </c>
      <c r="AK53" s="75" t="s">
        <v>14</v>
      </c>
      <c r="AL53" s="75" t="s">
        <v>944</v>
      </c>
      <c r="AM53" s="75" t="s">
        <v>945</v>
      </c>
      <c r="AN53" s="75" t="str">
        <f t="shared" si="87"/>
        <v>C</v>
      </c>
      <c r="AO53" s="75" t="str">
        <f t="shared" si="88"/>
        <v>X</v>
      </c>
      <c r="AP53" s="75" t="str">
        <f t="shared" si="89"/>
        <v>X</v>
      </c>
      <c r="AQ53" s="75" t="str">
        <f t="shared" si="90"/>
        <v>X</v>
      </c>
      <c r="AR53" s="75" t="str">
        <f t="shared" si="91"/>
        <v>X</v>
      </c>
      <c r="AS53" s="75" t="s">
        <v>2</v>
      </c>
      <c r="AT53" s="75" t="str">
        <f t="shared" si="92"/>
        <v>X</v>
      </c>
      <c r="AU53" s="75" t="str">
        <f t="shared" si="93"/>
        <v>O</v>
      </c>
      <c r="AV53" s="75" t="str">
        <f t="shared" si="94"/>
        <v>X</v>
      </c>
    </row>
    <row r="54" spans="1:48" s="38" customFormat="1" ht="12" x14ac:dyDescent="0.3">
      <c r="A54" s="110" t="s">
        <v>1088</v>
      </c>
      <c r="B54" s="111" t="s">
        <v>1089</v>
      </c>
      <c r="C54" s="112">
        <v>507</v>
      </c>
      <c r="D54" s="104">
        <v>155.5</v>
      </c>
      <c r="E54" s="106">
        <v>47</v>
      </c>
      <c r="F54" s="104">
        <v>121.9</v>
      </c>
      <c r="G54" s="17">
        <v>37</v>
      </c>
      <c r="H54" s="107">
        <v>28</v>
      </c>
      <c r="I54" s="108">
        <v>59000</v>
      </c>
      <c r="J54" s="108" t="s">
        <v>949</v>
      </c>
      <c r="K54" s="108"/>
      <c r="L54" s="108"/>
      <c r="M54" s="109">
        <f t="shared" si="78"/>
        <v>59000</v>
      </c>
      <c r="N54" s="4">
        <f t="shared" si="79"/>
        <v>0</v>
      </c>
      <c r="O54" s="105">
        <f t="shared" si="80"/>
        <v>1255.3191489361702</v>
      </c>
      <c r="P54" s="105">
        <f t="shared" si="81"/>
        <v>0</v>
      </c>
      <c r="Q54" s="75">
        <v>4</v>
      </c>
      <c r="R54" s="75">
        <v>2</v>
      </c>
      <c r="S54" s="75" t="s">
        <v>947</v>
      </c>
      <c r="T54" s="5" t="s">
        <v>573</v>
      </c>
      <c r="U54" s="9"/>
      <c r="W54" s="104">
        <f t="shared" si="76"/>
        <v>155.5</v>
      </c>
      <c r="X54" s="106">
        <f t="shared" si="76"/>
        <v>47</v>
      </c>
      <c r="Y54" s="102">
        <f t="shared" si="77"/>
        <v>28</v>
      </c>
      <c r="Z54" s="109">
        <f t="shared" si="77"/>
        <v>59000</v>
      </c>
      <c r="AA54" s="109">
        <f t="shared" si="82"/>
        <v>0</v>
      </c>
      <c r="AB54" s="109">
        <f t="shared" si="95"/>
        <v>59000</v>
      </c>
      <c r="AC54" s="4">
        <f t="shared" si="95"/>
        <v>0</v>
      </c>
      <c r="AD54" s="105">
        <f t="shared" si="95"/>
        <v>1255.3191489361702</v>
      </c>
      <c r="AE54" s="75" t="str">
        <f t="shared" si="83"/>
        <v>계</v>
      </c>
      <c r="AF54" s="75" t="str">
        <f t="shared" si="84"/>
        <v>4/2</v>
      </c>
      <c r="AH54" s="20" t="str">
        <f t="shared" si="85"/>
        <v>봉림동 엘에이치피닉스포레</v>
      </c>
      <c r="AI54" s="106">
        <f t="shared" si="20"/>
        <v>47</v>
      </c>
      <c r="AJ54" s="75" t="str">
        <f t="shared" si="86"/>
        <v>A-</v>
      </c>
      <c r="AK54" s="75" t="s">
        <v>14</v>
      </c>
      <c r="AL54" s="75" t="s">
        <v>944</v>
      </c>
      <c r="AM54" s="75" t="s">
        <v>945</v>
      </c>
      <c r="AN54" s="75" t="str">
        <f t="shared" si="87"/>
        <v>C</v>
      </c>
      <c r="AO54" s="75" t="str">
        <f t="shared" si="88"/>
        <v>X</v>
      </c>
      <c r="AP54" s="75" t="str">
        <f t="shared" si="89"/>
        <v>X</v>
      </c>
      <c r="AQ54" s="75" t="str">
        <f t="shared" si="90"/>
        <v>X</v>
      </c>
      <c r="AR54" s="75" t="str">
        <f t="shared" si="91"/>
        <v>X</v>
      </c>
      <c r="AS54" s="75" t="s">
        <v>2</v>
      </c>
      <c r="AT54" s="75" t="str">
        <f t="shared" si="92"/>
        <v>X</v>
      </c>
      <c r="AU54" s="75" t="str">
        <f t="shared" si="93"/>
        <v>O</v>
      </c>
      <c r="AV54" s="75" t="str">
        <f t="shared" si="94"/>
        <v>X</v>
      </c>
    </row>
    <row r="55" spans="1:48" s="38" customFormat="1" ht="12" x14ac:dyDescent="0.3">
      <c r="A55" s="110" t="s">
        <v>1088</v>
      </c>
      <c r="B55" s="111" t="s">
        <v>1089</v>
      </c>
      <c r="C55" s="112">
        <v>507</v>
      </c>
      <c r="D55" s="104">
        <v>155.4</v>
      </c>
      <c r="E55" s="106">
        <v>47</v>
      </c>
      <c r="F55" s="104">
        <v>121.8</v>
      </c>
      <c r="G55" s="17">
        <v>37</v>
      </c>
      <c r="H55" s="107">
        <v>28</v>
      </c>
      <c r="I55" s="108"/>
      <c r="J55" s="108"/>
      <c r="K55" s="108"/>
      <c r="L55" s="108"/>
      <c r="M55" s="109">
        <f t="shared" si="78"/>
        <v>0</v>
      </c>
      <c r="N55" s="4" t="str">
        <f t="shared" si="79"/>
        <v/>
      </c>
      <c r="O55" s="105">
        <f t="shared" si="80"/>
        <v>0</v>
      </c>
      <c r="P55" s="105">
        <f t="shared" si="81"/>
        <v>0</v>
      </c>
      <c r="Q55" s="75">
        <v>4</v>
      </c>
      <c r="R55" s="75">
        <v>2</v>
      </c>
      <c r="S55" s="75" t="s">
        <v>947</v>
      </c>
      <c r="T55" s="5" t="s">
        <v>574</v>
      </c>
      <c r="U55" s="9"/>
      <c r="W55" s="104">
        <f t="shared" si="76"/>
        <v>155.4</v>
      </c>
      <c r="X55" s="106">
        <f t="shared" si="76"/>
        <v>47</v>
      </c>
      <c r="Y55" s="102">
        <f t="shared" si="77"/>
        <v>28</v>
      </c>
      <c r="Z55" s="109">
        <f t="shared" si="77"/>
        <v>0</v>
      </c>
      <c r="AA55" s="109">
        <f t="shared" si="82"/>
        <v>0</v>
      </c>
      <c r="AB55" s="109">
        <f t="shared" si="95"/>
        <v>0</v>
      </c>
      <c r="AC55" s="4" t="str">
        <f t="shared" si="95"/>
        <v/>
      </c>
      <c r="AD55" s="105">
        <f t="shared" si="95"/>
        <v>0</v>
      </c>
      <c r="AE55" s="75" t="str">
        <f t="shared" si="83"/>
        <v>계</v>
      </c>
      <c r="AF55" s="75" t="str">
        <f t="shared" si="84"/>
        <v>4/2</v>
      </c>
      <c r="AH55" s="20" t="str">
        <f t="shared" si="85"/>
        <v>봉림동 엘에이치피닉스포레</v>
      </c>
      <c r="AI55" s="106">
        <f t="shared" si="20"/>
        <v>47</v>
      </c>
      <c r="AJ55" s="75" t="str">
        <f t="shared" si="86"/>
        <v>A-</v>
      </c>
      <c r="AK55" s="75" t="s">
        <v>14</v>
      </c>
      <c r="AL55" s="75" t="s">
        <v>944</v>
      </c>
      <c r="AM55" s="75" t="s">
        <v>945</v>
      </c>
      <c r="AN55" s="75" t="str">
        <f t="shared" si="87"/>
        <v>C</v>
      </c>
      <c r="AO55" s="75" t="str">
        <f t="shared" si="88"/>
        <v/>
      </c>
      <c r="AP55" s="75" t="str">
        <f t="shared" si="89"/>
        <v/>
      </c>
      <c r="AQ55" s="75" t="str">
        <f t="shared" si="90"/>
        <v>O</v>
      </c>
      <c r="AR55" s="75" t="str">
        <f t="shared" si="91"/>
        <v>O</v>
      </c>
      <c r="AS55" s="75" t="s">
        <v>2</v>
      </c>
      <c r="AT55" s="75" t="str">
        <f t="shared" si="92"/>
        <v>X</v>
      </c>
      <c r="AU55" s="75" t="str">
        <f t="shared" si="93"/>
        <v>O</v>
      </c>
      <c r="AV55" s="75" t="str">
        <f t="shared" si="94"/>
        <v/>
      </c>
    </row>
    <row r="56" spans="1:48" s="38" customFormat="1" ht="12" x14ac:dyDescent="0.3">
      <c r="A56" s="110" t="s">
        <v>1090</v>
      </c>
      <c r="B56" s="111" t="s">
        <v>1091</v>
      </c>
      <c r="C56" s="112">
        <v>507</v>
      </c>
      <c r="D56" s="104">
        <v>171.3</v>
      </c>
      <c r="E56" s="106">
        <v>52</v>
      </c>
      <c r="F56" s="104">
        <v>134.30000000000001</v>
      </c>
      <c r="G56" s="17">
        <v>41</v>
      </c>
      <c r="H56" s="107">
        <v>2</v>
      </c>
      <c r="I56" s="108">
        <v>85000</v>
      </c>
      <c r="J56" s="108" t="s">
        <v>954</v>
      </c>
      <c r="K56" s="108"/>
      <c r="L56" s="108"/>
      <c r="M56" s="109">
        <f t="shared" si="78"/>
        <v>85000</v>
      </c>
      <c r="N56" s="4">
        <f t="shared" si="79"/>
        <v>0</v>
      </c>
      <c r="O56" s="105">
        <f t="shared" si="80"/>
        <v>1634.6153846153845</v>
      </c>
      <c r="P56" s="105">
        <f t="shared" si="81"/>
        <v>0</v>
      </c>
      <c r="Q56" s="75">
        <v>4</v>
      </c>
      <c r="R56" s="75">
        <v>2</v>
      </c>
      <c r="S56" s="75" t="s">
        <v>947</v>
      </c>
      <c r="T56" s="5" t="s">
        <v>575</v>
      </c>
      <c r="U56" s="9"/>
      <c r="W56" s="104">
        <f t="shared" si="76"/>
        <v>171.3</v>
      </c>
      <c r="X56" s="106">
        <f t="shared" si="76"/>
        <v>52</v>
      </c>
      <c r="Y56" s="102">
        <f t="shared" si="77"/>
        <v>2</v>
      </c>
      <c r="Z56" s="109">
        <f t="shared" si="77"/>
        <v>85000</v>
      </c>
      <c r="AA56" s="109">
        <f t="shared" si="82"/>
        <v>0</v>
      </c>
      <c r="AB56" s="109">
        <f t="shared" si="95"/>
        <v>85000</v>
      </c>
      <c r="AC56" s="4">
        <f t="shared" si="95"/>
        <v>0</v>
      </c>
      <c r="AD56" s="105">
        <f t="shared" si="95"/>
        <v>1634.6153846153845</v>
      </c>
      <c r="AE56" s="75" t="str">
        <f t="shared" si="83"/>
        <v>계</v>
      </c>
      <c r="AF56" s="75" t="str">
        <f t="shared" si="84"/>
        <v>4/2</v>
      </c>
      <c r="AH56" s="20" t="str">
        <f t="shared" si="85"/>
        <v>봉림동 엘에이치피닉스포레</v>
      </c>
      <c r="AI56" s="106">
        <f t="shared" si="20"/>
        <v>52</v>
      </c>
      <c r="AJ56" s="75" t="str">
        <f t="shared" si="86"/>
        <v>A-</v>
      </c>
      <c r="AK56" s="75" t="s">
        <v>14</v>
      </c>
      <c r="AL56" s="75" t="s">
        <v>944</v>
      </c>
      <c r="AM56" s="75" t="s">
        <v>945</v>
      </c>
      <c r="AN56" s="75" t="str">
        <f t="shared" si="87"/>
        <v>C</v>
      </c>
      <c r="AO56" s="75" t="str">
        <f t="shared" si="88"/>
        <v>X</v>
      </c>
      <c r="AP56" s="75" t="str">
        <f t="shared" si="89"/>
        <v>X</v>
      </c>
      <c r="AQ56" s="75" t="str">
        <f t="shared" si="90"/>
        <v>X</v>
      </c>
      <c r="AR56" s="75" t="str">
        <f t="shared" si="91"/>
        <v>X</v>
      </c>
      <c r="AS56" s="75" t="s">
        <v>2</v>
      </c>
      <c r="AT56" s="75" t="str">
        <f t="shared" si="92"/>
        <v>X</v>
      </c>
      <c r="AU56" s="75" t="str">
        <f t="shared" si="93"/>
        <v>O</v>
      </c>
      <c r="AV56" s="75" t="str">
        <f t="shared" si="94"/>
        <v>X</v>
      </c>
    </row>
    <row r="57" spans="1:48" s="38" customFormat="1" ht="12" x14ac:dyDescent="0.3">
      <c r="A57" s="110" t="s">
        <v>1088</v>
      </c>
      <c r="B57" s="111" t="s">
        <v>1089</v>
      </c>
      <c r="C57" s="112">
        <v>507</v>
      </c>
      <c r="D57" s="104">
        <v>171.3</v>
      </c>
      <c r="E57" s="106">
        <v>52</v>
      </c>
      <c r="F57" s="104">
        <v>134.30000000000001</v>
      </c>
      <c r="G57" s="17">
        <v>41</v>
      </c>
      <c r="H57" s="107">
        <v>2</v>
      </c>
      <c r="I57" s="108">
        <v>85000</v>
      </c>
      <c r="J57" s="108" t="s">
        <v>954</v>
      </c>
      <c r="K57" s="108"/>
      <c r="L57" s="108"/>
      <c r="M57" s="109">
        <f t="shared" si="78"/>
        <v>85000</v>
      </c>
      <c r="N57" s="4">
        <f t="shared" si="79"/>
        <v>0</v>
      </c>
      <c r="O57" s="105">
        <f t="shared" si="80"/>
        <v>1634.6153846153845</v>
      </c>
      <c r="P57" s="105">
        <f t="shared" si="81"/>
        <v>0</v>
      </c>
      <c r="Q57" s="75">
        <v>4</v>
      </c>
      <c r="R57" s="75">
        <v>2</v>
      </c>
      <c r="S57" s="75" t="s">
        <v>947</v>
      </c>
      <c r="T57" s="5" t="s">
        <v>576</v>
      </c>
      <c r="U57" s="9"/>
      <c r="W57" s="104">
        <f t="shared" si="76"/>
        <v>171.3</v>
      </c>
      <c r="X57" s="106">
        <f t="shared" si="76"/>
        <v>52</v>
      </c>
      <c r="Y57" s="102">
        <f t="shared" si="77"/>
        <v>2</v>
      </c>
      <c r="Z57" s="109">
        <f t="shared" si="77"/>
        <v>85000</v>
      </c>
      <c r="AA57" s="109">
        <f t="shared" si="82"/>
        <v>0</v>
      </c>
      <c r="AB57" s="109">
        <f t="shared" si="95"/>
        <v>85000</v>
      </c>
      <c r="AC57" s="4">
        <f t="shared" si="95"/>
        <v>0</v>
      </c>
      <c r="AD57" s="105">
        <f t="shared" si="95"/>
        <v>1634.6153846153845</v>
      </c>
      <c r="AE57" s="75" t="str">
        <f t="shared" si="83"/>
        <v>계</v>
      </c>
      <c r="AF57" s="75" t="str">
        <f t="shared" si="84"/>
        <v>4/2</v>
      </c>
      <c r="AH57" s="20" t="str">
        <f t="shared" si="85"/>
        <v>봉림동 엘에이치피닉스포레</v>
      </c>
      <c r="AI57" s="106">
        <f t="shared" si="20"/>
        <v>52</v>
      </c>
      <c r="AJ57" s="75" t="str">
        <f t="shared" si="86"/>
        <v>A-</v>
      </c>
      <c r="AK57" s="75" t="s">
        <v>14</v>
      </c>
      <c r="AL57" s="75" t="s">
        <v>944</v>
      </c>
      <c r="AM57" s="75" t="s">
        <v>945</v>
      </c>
      <c r="AN57" s="75" t="str">
        <f t="shared" si="87"/>
        <v>C</v>
      </c>
      <c r="AO57" s="75" t="str">
        <f t="shared" si="88"/>
        <v>X</v>
      </c>
      <c r="AP57" s="75" t="str">
        <f t="shared" si="89"/>
        <v>X</v>
      </c>
      <c r="AQ57" s="75" t="str">
        <f t="shared" si="90"/>
        <v>X</v>
      </c>
      <c r="AR57" s="75" t="str">
        <f t="shared" si="91"/>
        <v>X</v>
      </c>
      <c r="AS57" s="75" t="s">
        <v>2</v>
      </c>
      <c r="AT57" s="75" t="str">
        <f t="shared" si="92"/>
        <v>X</v>
      </c>
      <c r="AU57" s="75" t="str">
        <f t="shared" si="93"/>
        <v>O</v>
      </c>
      <c r="AV57" s="75" t="str">
        <f t="shared" si="94"/>
        <v>X</v>
      </c>
    </row>
    <row r="58" spans="1:48" s="38" customFormat="1" ht="12" x14ac:dyDescent="0.3">
      <c r="A58" s="110" t="s">
        <v>1088</v>
      </c>
      <c r="B58" s="111" t="s">
        <v>1022</v>
      </c>
      <c r="C58" s="112">
        <v>507</v>
      </c>
      <c r="D58" s="104">
        <v>172.2</v>
      </c>
      <c r="E58" s="106">
        <v>52</v>
      </c>
      <c r="F58" s="104">
        <v>135</v>
      </c>
      <c r="G58" s="17">
        <v>41</v>
      </c>
      <c r="H58" s="107">
        <v>48</v>
      </c>
      <c r="I58" s="108">
        <v>68000</v>
      </c>
      <c r="J58" s="108" t="s">
        <v>949</v>
      </c>
      <c r="K58" s="108"/>
      <c r="L58" s="108"/>
      <c r="M58" s="109">
        <f t="shared" si="78"/>
        <v>68000</v>
      </c>
      <c r="N58" s="4">
        <f t="shared" si="79"/>
        <v>0</v>
      </c>
      <c r="O58" s="105">
        <f t="shared" si="80"/>
        <v>1307.6923076923076</v>
      </c>
      <c r="P58" s="105">
        <f t="shared" si="81"/>
        <v>0</v>
      </c>
      <c r="Q58" s="75">
        <v>4</v>
      </c>
      <c r="R58" s="75">
        <v>2</v>
      </c>
      <c r="S58" s="75" t="s">
        <v>947</v>
      </c>
      <c r="T58" s="5" t="s">
        <v>577</v>
      </c>
      <c r="U58" s="9"/>
      <c r="W58" s="104">
        <f t="shared" si="76"/>
        <v>172.2</v>
      </c>
      <c r="X58" s="106">
        <f t="shared" si="76"/>
        <v>52</v>
      </c>
      <c r="Y58" s="102">
        <f t="shared" si="77"/>
        <v>48</v>
      </c>
      <c r="Z58" s="109">
        <f t="shared" si="77"/>
        <v>68000</v>
      </c>
      <c r="AA58" s="109">
        <f t="shared" si="82"/>
        <v>0</v>
      </c>
      <c r="AB58" s="109">
        <f t="shared" si="95"/>
        <v>68000</v>
      </c>
      <c r="AC58" s="4">
        <f t="shared" si="95"/>
        <v>0</v>
      </c>
      <c r="AD58" s="105">
        <f t="shared" si="95"/>
        <v>1307.6923076923076</v>
      </c>
      <c r="AE58" s="75" t="str">
        <f t="shared" si="83"/>
        <v>계</v>
      </c>
      <c r="AF58" s="75" t="str">
        <f t="shared" si="84"/>
        <v>4/2</v>
      </c>
      <c r="AH58" s="20" t="str">
        <f t="shared" si="85"/>
        <v>봉림동 엘에이치피닉스포레</v>
      </c>
      <c r="AI58" s="106">
        <f t="shared" si="20"/>
        <v>52</v>
      </c>
      <c r="AJ58" s="75" t="str">
        <f t="shared" si="86"/>
        <v>A-</v>
      </c>
      <c r="AK58" s="75" t="s">
        <v>14</v>
      </c>
      <c r="AL58" s="75" t="s">
        <v>944</v>
      </c>
      <c r="AM58" s="75" t="s">
        <v>945</v>
      </c>
      <c r="AN58" s="75" t="str">
        <f t="shared" si="87"/>
        <v>C</v>
      </c>
      <c r="AO58" s="75" t="str">
        <f t="shared" si="88"/>
        <v>X</v>
      </c>
      <c r="AP58" s="75" t="str">
        <f t="shared" si="89"/>
        <v>X</v>
      </c>
      <c r="AQ58" s="75" t="str">
        <f t="shared" si="90"/>
        <v>X</v>
      </c>
      <c r="AR58" s="75" t="str">
        <f t="shared" si="91"/>
        <v>X</v>
      </c>
      <c r="AS58" s="75" t="s">
        <v>2</v>
      </c>
      <c r="AT58" s="75" t="str">
        <f t="shared" si="92"/>
        <v>X</v>
      </c>
      <c r="AU58" s="75" t="str">
        <f t="shared" si="93"/>
        <v>O</v>
      </c>
      <c r="AV58" s="75" t="str">
        <f t="shared" si="94"/>
        <v>X</v>
      </c>
    </row>
    <row r="59" spans="1:48" s="38" customFormat="1" ht="12" x14ac:dyDescent="0.3">
      <c r="A59" s="110" t="s">
        <v>1092</v>
      </c>
      <c r="B59" s="111" t="s">
        <v>1006</v>
      </c>
      <c r="C59" s="112">
        <v>525</v>
      </c>
      <c r="D59" s="104">
        <v>83.2</v>
      </c>
      <c r="E59" s="106">
        <v>25</v>
      </c>
      <c r="F59" s="104">
        <v>63.6</v>
      </c>
      <c r="G59" s="17">
        <v>19</v>
      </c>
      <c r="H59" s="107">
        <v>35</v>
      </c>
      <c r="I59" s="108"/>
      <c r="J59" s="108"/>
      <c r="K59" s="108"/>
      <c r="L59" s="108"/>
      <c r="M59" s="109">
        <f t="shared" ref="M59:M82" si="96">I59-K59</f>
        <v>0</v>
      </c>
      <c r="N59" s="4" t="str">
        <f t="shared" ref="N59:N82" si="97">IF(ISERROR(K59/I59),"",K59/I59)</f>
        <v/>
      </c>
      <c r="O59" s="105">
        <f t="shared" ref="O59:O82" si="98">I59/E59</f>
        <v>0</v>
      </c>
      <c r="P59" s="105">
        <f t="shared" ref="P59:P82" si="99">K59/E59</f>
        <v>0</v>
      </c>
      <c r="Q59" s="75">
        <v>3</v>
      </c>
      <c r="R59" s="75">
        <v>2</v>
      </c>
      <c r="S59" s="75" t="s">
        <v>947</v>
      </c>
      <c r="T59" s="5" t="s">
        <v>391</v>
      </c>
      <c r="U59" s="9"/>
      <c r="W59" s="104">
        <f t="shared" si="76"/>
        <v>83.2</v>
      </c>
      <c r="X59" s="106">
        <f t="shared" si="76"/>
        <v>25</v>
      </c>
      <c r="Y59" s="102">
        <f t="shared" si="77"/>
        <v>35</v>
      </c>
      <c r="Z59" s="109">
        <f t="shared" si="77"/>
        <v>0</v>
      </c>
      <c r="AA59" s="109">
        <f t="shared" ref="AA59:AA82" si="100">K59</f>
        <v>0</v>
      </c>
      <c r="AB59" s="109">
        <f t="shared" si="95"/>
        <v>0</v>
      </c>
      <c r="AC59" s="4" t="str">
        <f t="shared" si="95"/>
        <v/>
      </c>
      <c r="AD59" s="105">
        <f t="shared" si="95"/>
        <v>0</v>
      </c>
      <c r="AE59" s="75" t="str">
        <f t="shared" ref="AE59:AE82" si="101">S59</f>
        <v>계</v>
      </c>
      <c r="AF59" s="75" t="str">
        <f t="shared" ref="AF59:AF82" si="102">Q59&amp;"/"&amp;R59</f>
        <v>3/2</v>
      </c>
      <c r="AH59" s="20" t="str">
        <f t="shared" si="85"/>
        <v>북면 창원무동동원로얄듀크</v>
      </c>
      <c r="AI59" s="106">
        <f t="shared" si="20"/>
        <v>25</v>
      </c>
      <c r="AJ59" s="75" t="str">
        <f t="shared" ref="AJ59:AJ82" si="103">IF(AI59="","",$AJ$2)</f>
        <v>A-</v>
      </c>
      <c r="AK59" s="75" t="s">
        <v>14</v>
      </c>
      <c r="AL59" s="75" t="s">
        <v>944</v>
      </c>
      <c r="AM59" s="75" t="s">
        <v>945</v>
      </c>
      <c r="AN59" s="75" t="str">
        <f t="shared" ref="AN59:AN82" si="104">IF(AI59="","",$AN$2)</f>
        <v>C</v>
      </c>
      <c r="AO59" s="75" t="str">
        <f t="shared" ref="AO59:AO82" si="105">IF(N59="","",IF(N59&gt;=$AO$1/100,"O","X"))</f>
        <v/>
      </c>
      <c r="AP59" s="75" t="str">
        <f t="shared" ref="AP59:AP82" si="106">IF(I59="","",IF(I59&lt;=$AP$1,"O","X"))</f>
        <v/>
      </c>
      <c r="AQ59" s="75" t="str">
        <f t="shared" ref="AQ59:AQ82" si="107">IF(O59="","",IF(O59&lt;=$AQ$1,"O","X"))</f>
        <v>O</v>
      </c>
      <c r="AR59" s="75" t="str">
        <f t="shared" ref="AR59:AR82" si="108">IF(M59="","",IF(M59&lt;=$AR$1,"O","X"))</f>
        <v>O</v>
      </c>
      <c r="AS59" s="75" t="s">
        <v>2</v>
      </c>
      <c r="AT59" s="75" t="str">
        <f t="shared" ref="AT59:AT82" si="109">IF(OR(F59="",AI59=""),"",IF(AND((F59&lt;=85),(AI59&gt;=15)),"O","X"))</f>
        <v>O</v>
      </c>
      <c r="AU59" s="75" t="str">
        <f t="shared" ref="AU59:AU82" si="110">IF(C59="","",IF(C59&gt;=$AU$1,"O","X"))</f>
        <v>O</v>
      </c>
      <c r="AV59" s="75" t="str">
        <f t="shared" ref="AV59:AV82" si="111">IF(AO59="","",IF(AND(AO59="O",AP59="O",AR59="O",AT59="O",AU59="O"),"후보","X"))</f>
        <v/>
      </c>
    </row>
    <row r="60" spans="1:48" s="38" customFormat="1" ht="12" x14ac:dyDescent="0.3">
      <c r="A60" s="110" t="s">
        <v>1092</v>
      </c>
      <c r="B60" s="111" t="s">
        <v>1093</v>
      </c>
      <c r="C60" s="112">
        <v>525</v>
      </c>
      <c r="D60" s="104">
        <v>84.1</v>
      </c>
      <c r="E60" s="106">
        <v>25</v>
      </c>
      <c r="F60" s="104">
        <v>63.8</v>
      </c>
      <c r="G60" s="17">
        <v>19</v>
      </c>
      <c r="H60" s="107">
        <v>137</v>
      </c>
      <c r="I60" s="108"/>
      <c r="J60" s="108"/>
      <c r="K60" s="108"/>
      <c r="L60" s="108"/>
      <c r="M60" s="109">
        <f t="shared" si="96"/>
        <v>0</v>
      </c>
      <c r="N60" s="4" t="str">
        <f t="shared" si="97"/>
        <v/>
      </c>
      <c r="O60" s="105">
        <f t="shared" si="98"/>
        <v>0</v>
      </c>
      <c r="P60" s="105">
        <f t="shared" si="99"/>
        <v>0</v>
      </c>
      <c r="Q60" s="75">
        <v>3</v>
      </c>
      <c r="R60" s="75">
        <v>2</v>
      </c>
      <c r="S60" s="75" t="s">
        <v>947</v>
      </c>
      <c r="T60" s="5" t="s">
        <v>225</v>
      </c>
      <c r="U60" s="9"/>
      <c r="W60" s="104">
        <f t="shared" si="76"/>
        <v>84.1</v>
      </c>
      <c r="X60" s="106">
        <f t="shared" si="76"/>
        <v>25</v>
      </c>
      <c r="Y60" s="102">
        <f t="shared" si="77"/>
        <v>137</v>
      </c>
      <c r="Z60" s="109">
        <f t="shared" si="77"/>
        <v>0</v>
      </c>
      <c r="AA60" s="109">
        <f t="shared" si="100"/>
        <v>0</v>
      </c>
      <c r="AB60" s="109">
        <f t="shared" si="95"/>
        <v>0</v>
      </c>
      <c r="AC60" s="4" t="str">
        <f t="shared" si="95"/>
        <v/>
      </c>
      <c r="AD60" s="105">
        <f t="shared" si="95"/>
        <v>0</v>
      </c>
      <c r="AE60" s="75" t="str">
        <f t="shared" si="101"/>
        <v>계</v>
      </c>
      <c r="AF60" s="75" t="str">
        <f t="shared" si="102"/>
        <v>3/2</v>
      </c>
      <c r="AH60" s="20" t="str">
        <f t="shared" si="85"/>
        <v>북면 창원무동동원로얄듀크</v>
      </c>
      <c r="AI60" s="106">
        <f t="shared" si="20"/>
        <v>25</v>
      </c>
      <c r="AJ60" s="75" t="str">
        <f t="shared" si="103"/>
        <v>A-</v>
      </c>
      <c r="AK60" s="75" t="s">
        <v>14</v>
      </c>
      <c r="AL60" s="75" t="s">
        <v>944</v>
      </c>
      <c r="AM60" s="75" t="s">
        <v>945</v>
      </c>
      <c r="AN60" s="75" t="str">
        <f t="shared" si="104"/>
        <v>C</v>
      </c>
      <c r="AO60" s="75" t="str">
        <f t="shared" si="105"/>
        <v/>
      </c>
      <c r="AP60" s="75" t="str">
        <f t="shared" si="106"/>
        <v/>
      </c>
      <c r="AQ60" s="75" t="str">
        <f t="shared" si="107"/>
        <v>O</v>
      </c>
      <c r="AR60" s="75" t="str">
        <f t="shared" si="108"/>
        <v>O</v>
      </c>
      <c r="AS60" s="75" t="s">
        <v>2</v>
      </c>
      <c r="AT60" s="75" t="str">
        <f t="shared" si="109"/>
        <v>O</v>
      </c>
      <c r="AU60" s="75" t="str">
        <f t="shared" si="110"/>
        <v>O</v>
      </c>
      <c r="AV60" s="75" t="str">
        <f t="shared" si="111"/>
        <v/>
      </c>
    </row>
    <row r="61" spans="1:48" s="38" customFormat="1" ht="12" x14ac:dyDescent="0.3">
      <c r="A61" s="110" t="s">
        <v>1092</v>
      </c>
      <c r="B61" s="111" t="s">
        <v>1006</v>
      </c>
      <c r="C61" s="112">
        <v>525</v>
      </c>
      <c r="D61" s="104">
        <v>98.8</v>
      </c>
      <c r="E61" s="106">
        <v>30</v>
      </c>
      <c r="F61" s="104">
        <v>75.8</v>
      </c>
      <c r="G61" s="17">
        <v>23</v>
      </c>
      <c r="H61" s="107">
        <v>353</v>
      </c>
      <c r="I61" s="108"/>
      <c r="J61" s="108"/>
      <c r="K61" s="108"/>
      <c r="L61" s="108"/>
      <c r="M61" s="109">
        <f t="shared" si="96"/>
        <v>0</v>
      </c>
      <c r="N61" s="4" t="str">
        <f t="shared" si="97"/>
        <v/>
      </c>
      <c r="O61" s="105">
        <f t="shared" si="98"/>
        <v>0</v>
      </c>
      <c r="P61" s="105">
        <f t="shared" si="99"/>
        <v>0</v>
      </c>
      <c r="Q61" s="75">
        <v>3</v>
      </c>
      <c r="R61" s="75">
        <v>2</v>
      </c>
      <c r="S61" s="75" t="s">
        <v>947</v>
      </c>
      <c r="T61" s="5">
        <v>98</v>
      </c>
      <c r="U61" s="9"/>
      <c r="W61" s="104">
        <f t="shared" ref="W61:X61" si="112">D61</f>
        <v>98.8</v>
      </c>
      <c r="X61" s="106">
        <f t="shared" si="112"/>
        <v>30</v>
      </c>
      <c r="Y61" s="102">
        <f t="shared" ref="Y61:Z61" si="113">H61</f>
        <v>353</v>
      </c>
      <c r="Z61" s="109">
        <f t="shared" si="113"/>
        <v>0</v>
      </c>
      <c r="AA61" s="109">
        <f t="shared" si="100"/>
        <v>0</v>
      </c>
      <c r="AB61" s="109">
        <f t="shared" si="95"/>
        <v>0</v>
      </c>
      <c r="AC61" s="4" t="str">
        <f t="shared" si="95"/>
        <v/>
      </c>
      <c r="AD61" s="105">
        <f t="shared" si="95"/>
        <v>0</v>
      </c>
      <c r="AE61" s="75" t="str">
        <f t="shared" si="101"/>
        <v>계</v>
      </c>
      <c r="AF61" s="75" t="str">
        <f t="shared" si="102"/>
        <v>3/2</v>
      </c>
      <c r="AH61" s="20" t="str">
        <f t="shared" si="85"/>
        <v>북면 창원무동동원로얄듀크</v>
      </c>
      <c r="AI61" s="106">
        <f t="shared" si="20"/>
        <v>30</v>
      </c>
      <c r="AJ61" s="75" t="str">
        <f t="shared" si="103"/>
        <v>A-</v>
      </c>
      <c r="AK61" s="75" t="s">
        <v>14</v>
      </c>
      <c r="AL61" s="75" t="s">
        <v>944</v>
      </c>
      <c r="AM61" s="75" t="s">
        <v>945</v>
      </c>
      <c r="AN61" s="75" t="str">
        <f t="shared" si="104"/>
        <v>C</v>
      </c>
      <c r="AO61" s="75" t="str">
        <f t="shared" si="105"/>
        <v/>
      </c>
      <c r="AP61" s="75" t="str">
        <f t="shared" si="106"/>
        <v/>
      </c>
      <c r="AQ61" s="75" t="str">
        <f t="shared" si="107"/>
        <v>O</v>
      </c>
      <c r="AR61" s="75" t="str">
        <f t="shared" si="108"/>
        <v>O</v>
      </c>
      <c r="AS61" s="75" t="s">
        <v>2</v>
      </c>
      <c r="AT61" s="75" t="str">
        <f t="shared" si="109"/>
        <v>O</v>
      </c>
      <c r="AU61" s="75" t="str">
        <f t="shared" si="110"/>
        <v>O</v>
      </c>
      <c r="AV61" s="75" t="str">
        <f t="shared" si="111"/>
        <v/>
      </c>
    </row>
    <row r="62" spans="1:48" s="38" customFormat="1" ht="12" x14ac:dyDescent="0.3">
      <c r="A62" s="110" t="s">
        <v>1094</v>
      </c>
      <c r="B62" s="111" t="s">
        <v>1095</v>
      </c>
      <c r="C62" s="112">
        <v>253</v>
      </c>
      <c r="D62" s="104">
        <v>98.3</v>
      </c>
      <c r="E62" s="106">
        <v>30</v>
      </c>
      <c r="F62" s="104">
        <v>74.2</v>
      </c>
      <c r="G62" s="17">
        <v>22</v>
      </c>
      <c r="H62" s="107">
        <v>253</v>
      </c>
      <c r="I62" s="108"/>
      <c r="J62" s="108"/>
      <c r="K62" s="108"/>
      <c r="L62" s="108"/>
      <c r="M62" s="109">
        <f t="shared" si="96"/>
        <v>0</v>
      </c>
      <c r="N62" s="4" t="str">
        <f t="shared" si="97"/>
        <v/>
      </c>
      <c r="O62" s="105">
        <f t="shared" si="98"/>
        <v>0</v>
      </c>
      <c r="P62" s="105">
        <f t="shared" si="99"/>
        <v>0</v>
      </c>
      <c r="Q62" s="75">
        <v>4</v>
      </c>
      <c r="R62" s="75">
        <v>2</v>
      </c>
      <c r="S62" s="75" t="s">
        <v>947</v>
      </c>
      <c r="T62" s="5">
        <v>98</v>
      </c>
      <c r="U62" s="9"/>
      <c r="W62" s="104">
        <f>D62</f>
        <v>98.3</v>
      </c>
      <c r="X62" s="106">
        <f>E62</f>
        <v>30</v>
      </c>
      <c r="Y62" s="102">
        <f>H62</f>
        <v>253</v>
      </c>
      <c r="Z62" s="109">
        <f>I62</f>
        <v>0</v>
      </c>
      <c r="AA62" s="109">
        <f t="shared" si="100"/>
        <v>0</v>
      </c>
      <c r="AB62" s="109">
        <f>M62</f>
        <v>0</v>
      </c>
      <c r="AC62" s="4" t="str">
        <f>N62</f>
        <v/>
      </c>
      <c r="AD62" s="105">
        <f>O62</f>
        <v>0</v>
      </c>
      <c r="AE62" s="75" t="str">
        <f t="shared" si="101"/>
        <v>계</v>
      </c>
      <c r="AF62" s="75" t="str">
        <f t="shared" si="102"/>
        <v>4/2</v>
      </c>
      <c r="AH62" s="20" t="str">
        <f t="shared" si="85"/>
        <v>북면 창원무동코아루파크</v>
      </c>
      <c r="AI62" s="106">
        <f t="shared" si="20"/>
        <v>30</v>
      </c>
      <c r="AJ62" s="75" t="str">
        <f t="shared" si="103"/>
        <v>A-</v>
      </c>
      <c r="AK62" s="75" t="s">
        <v>14</v>
      </c>
      <c r="AL62" s="75" t="s">
        <v>944</v>
      </c>
      <c r="AM62" s="75" t="s">
        <v>945</v>
      </c>
      <c r="AN62" s="75" t="str">
        <f t="shared" si="104"/>
        <v>C</v>
      </c>
      <c r="AO62" s="75" t="str">
        <f t="shared" si="105"/>
        <v/>
      </c>
      <c r="AP62" s="75" t="str">
        <f t="shared" si="106"/>
        <v/>
      </c>
      <c r="AQ62" s="75" t="str">
        <f t="shared" si="107"/>
        <v>O</v>
      </c>
      <c r="AR62" s="75" t="str">
        <f t="shared" si="108"/>
        <v>O</v>
      </c>
      <c r="AS62" s="75" t="s">
        <v>2</v>
      </c>
      <c r="AT62" s="75" t="str">
        <f t="shared" si="109"/>
        <v>O</v>
      </c>
      <c r="AU62" s="75" t="str">
        <f t="shared" si="110"/>
        <v>X</v>
      </c>
      <c r="AV62" s="75" t="str">
        <f t="shared" si="111"/>
        <v/>
      </c>
    </row>
    <row r="63" spans="1:48" s="38" customFormat="1" ht="12" x14ac:dyDescent="0.3">
      <c r="A63" s="110" t="s">
        <v>1064</v>
      </c>
      <c r="B63" s="111" t="s">
        <v>1040</v>
      </c>
      <c r="C63" s="112">
        <v>315</v>
      </c>
      <c r="D63" s="104">
        <v>80.3</v>
      </c>
      <c r="E63" s="106">
        <v>24</v>
      </c>
      <c r="F63" s="104">
        <v>60</v>
      </c>
      <c r="G63" s="17">
        <v>18</v>
      </c>
      <c r="H63" s="107">
        <v>27</v>
      </c>
      <c r="I63" s="108">
        <v>18500</v>
      </c>
      <c r="J63" s="108" t="s">
        <v>957</v>
      </c>
      <c r="K63" s="108"/>
      <c r="L63" s="108"/>
      <c r="M63" s="109">
        <f t="shared" si="96"/>
        <v>18500</v>
      </c>
      <c r="N63" s="4">
        <f t="shared" si="97"/>
        <v>0</v>
      </c>
      <c r="O63" s="105">
        <f t="shared" si="98"/>
        <v>770.83333333333337</v>
      </c>
      <c r="P63" s="105">
        <f t="shared" si="99"/>
        <v>0</v>
      </c>
      <c r="Q63" s="75">
        <v>3</v>
      </c>
      <c r="R63" s="75">
        <v>2</v>
      </c>
      <c r="S63" s="75" t="s">
        <v>947</v>
      </c>
      <c r="T63" s="5">
        <v>80</v>
      </c>
      <c r="U63" s="9"/>
      <c r="W63" s="104">
        <f t="shared" ref="W63:X78" si="114">D63</f>
        <v>80.3</v>
      </c>
      <c r="X63" s="106">
        <f t="shared" si="114"/>
        <v>24</v>
      </c>
      <c r="Y63" s="102">
        <f t="shared" ref="Y63:Z78" si="115">H63</f>
        <v>27</v>
      </c>
      <c r="Z63" s="109">
        <f t="shared" si="115"/>
        <v>18500</v>
      </c>
      <c r="AA63" s="109">
        <f t="shared" si="100"/>
        <v>0</v>
      </c>
      <c r="AB63" s="109">
        <f t="shared" ref="AB63:AD78" si="116">M63</f>
        <v>18500</v>
      </c>
      <c r="AC63" s="4">
        <f t="shared" si="116"/>
        <v>0</v>
      </c>
      <c r="AD63" s="105">
        <f t="shared" si="116"/>
        <v>770.83333333333337</v>
      </c>
      <c r="AE63" s="75" t="str">
        <f t="shared" si="101"/>
        <v>계</v>
      </c>
      <c r="AF63" s="75" t="str">
        <f t="shared" si="102"/>
        <v>3/2</v>
      </c>
      <c r="AH63" s="20" t="str">
        <f t="shared" si="85"/>
        <v>북면 창원무동휴먼빌2단지</v>
      </c>
      <c r="AI63" s="106">
        <f t="shared" si="20"/>
        <v>24</v>
      </c>
      <c r="AJ63" s="75" t="str">
        <f t="shared" si="103"/>
        <v>A-</v>
      </c>
      <c r="AK63" s="75" t="s">
        <v>14</v>
      </c>
      <c r="AL63" s="75" t="s">
        <v>944</v>
      </c>
      <c r="AM63" s="75" t="s">
        <v>945</v>
      </c>
      <c r="AN63" s="75" t="str">
        <f t="shared" si="104"/>
        <v>C</v>
      </c>
      <c r="AO63" s="75" t="str">
        <f t="shared" si="105"/>
        <v>X</v>
      </c>
      <c r="AP63" s="75" t="str">
        <f t="shared" si="106"/>
        <v>O</v>
      </c>
      <c r="AQ63" s="75" t="str">
        <f t="shared" si="107"/>
        <v>O</v>
      </c>
      <c r="AR63" s="75" t="str">
        <f t="shared" si="108"/>
        <v>X</v>
      </c>
      <c r="AS63" s="75" t="s">
        <v>2</v>
      </c>
      <c r="AT63" s="75" t="str">
        <f t="shared" si="109"/>
        <v>O</v>
      </c>
      <c r="AU63" s="75" t="str">
        <f t="shared" si="110"/>
        <v>O</v>
      </c>
      <c r="AV63" s="75" t="str">
        <f t="shared" si="111"/>
        <v>X</v>
      </c>
    </row>
    <row r="64" spans="1:48" s="38" customFormat="1" ht="12" x14ac:dyDescent="0.3">
      <c r="A64" s="110" t="s">
        <v>1064</v>
      </c>
      <c r="B64" s="111" t="s">
        <v>1027</v>
      </c>
      <c r="C64" s="112">
        <v>315</v>
      </c>
      <c r="D64" s="104">
        <v>113.8</v>
      </c>
      <c r="E64" s="106">
        <v>34</v>
      </c>
      <c r="F64" s="104">
        <v>85</v>
      </c>
      <c r="G64" s="17">
        <v>26</v>
      </c>
      <c r="H64" s="107">
        <v>178</v>
      </c>
      <c r="I64" s="108">
        <v>23500</v>
      </c>
      <c r="J64" s="108" t="s">
        <v>954</v>
      </c>
      <c r="K64" s="108">
        <v>20000</v>
      </c>
      <c r="L64" s="108" t="s">
        <v>954</v>
      </c>
      <c r="M64" s="109">
        <f t="shared" si="96"/>
        <v>3500</v>
      </c>
      <c r="N64" s="4">
        <f t="shared" si="97"/>
        <v>0.85106382978723405</v>
      </c>
      <c r="O64" s="105">
        <f t="shared" si="98"/>
        <v>691.17647058823525</v>
      </c>
      <c r="P64" s="105">
        <f t="shared" si="99"/>
        <v>588.23529411764707</v>
      </c>
      <c r="Q64" s="75">
        <v>3</v>
      </c>
      <c r="R64" s="75">
        <v>2</v>
      </c>
      <c r="S64" s="75" t="s">
        <v>947</v>
      </c>
      <c r="T64" s="5" t="s">
        <v>598</v>
      </c>
      <c r="U64" s="9"/>
      <c r="W64" s="104">
        <f t="shared" si="114"/>
        <v>113.8</v>
      </c>
      <c r="X64" s="106">
        <f t="shared" si="114"/>
        <v>34</v>
      </c>
      <c r="Y64" s="102">
        <f t="shared" si="115"/>
        <v>178</v>
      </c>
      <c r="Z64" s="109">
        <f t="shared" si="115"/>
        <v>23500</v>
      </c>
      <c r="AA64" s="109">
        <f t="shared" si="100"/>
        <v>20000</v>
      </c>
      <c r="AB64" s="109">
        <f t="shared" si="116"/>
        <v>3500</v>
      </c>
      <c r="AC64" s="4">
        <f t="shared" si="116"/>
        <v>0.85106382978723405</v>
      </c>
      <c r="AD64" s="105">
        <f t="shared" si="116"/>
        <v>691.17647058823525</v>
      </c>
      <c r="AE64" s="75" t="str">
        <f t="shared" si="101"/>
        <v>계</v>
      </c>
      <c r="AF64" s="75" t="str">
        <f t="shared" si="102"/>
        <v>3/2</v>
      </c>
      <c r="AH64" s="20" t="str">
        <f t="shared" si="85"/>
        <v>북면 창원무동휴먼빌2단지</v>
      </c>
      <c r="AI64" s="106">
        <f t="shared" si="20"/>
        <v>34</v>
      </c>
      <c r="AJ64" s="75" t="str">
        <f t="shared" si="103"/>
        <v>A-</v>
      </c>
      <c r="AK64" s="75" t="s">
        <v>14</v>
      </c>
      <c r="AL64" s="75" t="s">
        <v>944</v>
      </c>
      <c r="AM64" s="75" t="s">
        <v>945</v>
      </c>
      <c r="AN64" s="75" t="str">
        <f t="shared" si="104"/>
        <v>C</v>
      </c>
      <c r="AO64" s="75" t="str">
        <f t="shared" si="105"/>
        <v>O</v>
      </c>
      <c r="AP64" s="75" t="str">
        <f t="shared" si="106"/>
        <v>O</v>
      </c>
      <c r="AQ64" s="75" t="str">
        <f t="shared" si="107"/>
        <v>O</v>
      </c>
      <c r="AR64" s="75" t="str">
        <f t="shared" si="108"/>
        <v>O</v>
      </c>
      <c r="AS64" s="75" t="s">
        <v>2</v>
      </c>
      <c r="AT64" s="75" t="str">
        <f t="shared" si="109"/>
        <v>O</v>
      </c>
      <c r="AU64" s="75" t="str">
        <f t="shared" si="110"/>
        <v>O</v>
      </c>
      <c r="AV64" s="75" t="str">
        <f t="shared" si="111"/>
        <v>후보</v>
      </c>
    </row>
    <row r="65" spans="1:48" s="38" customFormat="1" ht="12" x14ac:dyDescent="0.3">
      <c r="A65" s="110" t="s">
        <v>1064</v>
      </c>
      <c r="B65" s="111" t="s">
        <v>1027</v>
      </c>
      <c r="C65" s="112">
        <v>315</v>
      </c>
      <c r="D65" s="104">
        <v>113.5</v>
      </c>
      <c r="E65" s="106">
        <v>34</v>
      </c>
      <c r="F65" s="104">
        <v>85</v>
      </c>
      <c r="G65" s="17">
        <v>26</v>
      </c>
      <c r="H65" s="107">
        <v>110</v>
      </c>
      <c r="I65" s="108">
        <v>25000</v>
      </c>
      <c r="J65" s="108" t="s">
        <v>954</v>
      </c>
      <c r="K65" s="108"/>
      <c r="L65" s="108"/>
      <c r="M65" s="109">
        <f t="shared" si="96"/>
        <v>25000</v>
      </c>
      <c r="N65" s="4">
        <f t="shared" si="97"/>
        <v>0</v>
      </c>
      <c r="O65" s="105">
        <f t="shared" si="98"/>
        <v>735.29411764705878</v>
      </c>
      <c r="P65" s="105">
        <f t="shared" si="99"/>
        <v>0</v>
      </c>
      <c r="Q65" s="75">
        <v>3</v>
      </c>
      <c r="R65" s="75">
        <v>2</v>
      </c>
      <c r="S65" s="75" t="s">
        <v>947</v>
      </c>
      <c r="T65" s="5" t="s">
        <v>599</v>
      </c>
      <c r="U65" s="9"/>
      <c r="W65" s="104">
        <f t="shared" si="114"/>
        <v>113.5</v>
      </c>
      <c r="X65" s="106">
        <f t="shared" si="114"/>
        <v>34</v>
      </c>
      <c r="Y65" s="102">
        <f t="shared" si="115"/>
        <v>110</v>
      </c>
      <c r="Z65" s="109">
        <f t="shared" si="115"/>
        <v>25000</v>
      </c>
      <c r="AA65" s="109">
        <f t="shared" si="100"/>
        <v>0</v>
      </c>
      <c r="AB65" s="109">
        <f t="shared" si="116"/>
        <v>25000</v>
      </c>
      <c r="AC65" s="4">
        <f t="shared" si="116"/>
        <v>0</v>
      </c>
      <c r="AD65" s="105">
        <f t="shared" si="116"/>
        <v>735.29411764705878</v>
      </c>
      <c r="AE65" s="75" t="str">
        <f t="shared" si="101"/>
        <v>계</v>
      </c>
      <c r="AF65" s="75" t="str">
        <f t="shared" si="102"/>
        <v>3/2</v>
      </c>
      <c r="AH65" s="20" t="str">
        <f t="shared" si="85"/>
        <v>북면 창원무동휴먼빌2단지</v>
      </c>
      <c r="AI65" s="106">
        <f t="shared" si="20"/>
        <v>34</v>
      </c>
      <c r="AJ65" s="75" t="str">
        <f t="shared" si="103"/>
        <v>A-</v>
      </c>
      <c r="AK65" s="75" t="s">
        <v>14</v>
      </c>
      <c r="AL65" s="75" t="s">
        <v>944</v>
      </c>
      <c r="AM65" s="75" t="s">
        <v>945</v>
      </c>
      <c r="AN65" s="75" t="str">
        <f t="shared" si="104"/>
        <v>C</v>
      </c>
      <c r="AO65" s="75" t="str">
        <f t="shared" si="105"/>
        <v>X</v>
      </c>
      <c r="AP65" s="75" t="str">
        <f t="shared" si="106"/>
        <v>O</v>
      </c>
      <c r="AQ65" s="75" t="str">
        <f t="shared" si="107"/>
        <v>O</v>
      </c>
      <c r="AR65" s="75" t="str">
        <f t="shared" si="108"/>
        <v>X</v>
      </c>
      <c r="AS65" s="75" t="s">
        <v>2</v>
      </c>
      <c r="AT65" s="75" t="str">
        <f t="shared" si="109"/>
        <v>O</v>
      </c>
      <c r="AU65" s="75" t="str">
        <f t="shared" si="110"/>
        <v>O</v>
      </c>
      <c r="AV65" s="75" t="str">
        <f t="shared" si="111"/>
        <v>X</v>
      </c>
    </row>
    <row r="66" spans="1:48" s="38" customFormat="1" ht="12" x14ac:dyDescent="0.3">
      <c r="A66" s="110" t="s">
        <v>1028</v>
      </c>
      <c r="B66" s="111" t="s">
        <v>1029</v>
      </c>
      <c r="C66" s="112">
        <v>1034</v>
      </c>
      <c r="D66" s="104">
        <v>84</v>
      </c>
      <c r="E66" s="106">
        <v>25</v>
      </c>
      <c r="F66" s="104">
        <v>60</v>
      </c>
      <c r="G66" s="17">
        <v>18</v>
      </c>
      <c r="H66" s="107">
        <v>604</v>
      </c>
      <c r="I66" s="108">
        <v>21800</v>
      </c>
      <c r="J66" s="108" t="s">
        <v>957</v>
      </c>
      <c r="K66" s="108">
        <v>19000</v>
      </c>
      <c r="L66" s="108" t="s">
        <v>957</v>
      </c>
      <c r="M66" s="109">
        <f t="shared" si="96"/>
        <v>2800</v>
      </c>
      <c r="N66" s="4">
        <f t="shared" si="97"/>
        <v>0.87155963302752293</v>
      </c>
      <c r="O66" s="105">
        <f t="shared" si="98"/>
        <v>872</v>
      </c>
      <c r="P66" s="105">
        <f t="shared" si="99"/>
        <v>760</v>
      </c>
      <c r="Q66" s="75">
        <v>3</v>
      </c>
      <c r="R66" s="75">
        <v>2</v>
      </c>
      <c r="S66" s="75" t="s">
        <v>947</v>
      </c>
      <c r="T66" s="5">
        <v>84</v>
      </c>
      <c r="U66" s="9"/>
      <c r="W66" s="104">
        <f t="shared" si="114"/>
        <v>84</v>
      </c>
      <c r="X66" s="106">
        <f t="shared" si="114"/>
        <v>25</v>
      </c>
      <c r="Y66" s="102">
        <f t="shared" si="115"/>
        <v>604</v>
      </c>
      <c r="Z66" s="109">
        <f t="shared" si="115"/>
        <v>21800</v>
      </c>
      <c r="AA66" s="109">
        <f t="shared" si="100"/>
        <v>19000</v>
      </c>
      <c r="AB66" s="109">
        <f t="shared" si="116"/>
        <v>2800</v>
      </c>
      <c r="AC66" s="4">
        <f t="shared" si="116"/>
        <v>0.87155963302752293</v>
      </c>
      <c r="AD66" s="105">
        <f t="shared" si="116"/>
        <v>872</v>
      </c>
      <c r="AE66" s="75" t="str">
        <f t="shared" si="101"/>
        <v>계</v>
      </c>
      <c r="AF66" s="75" t="str">
        <f t="shared" si="102"/>
        <v>3/2</v>
      </c>
      <c r="AH66" s="20" t="str">
        <f t="shared" si="85"/>
        <v>북면 창원무동센텀파라디아</v>
      </c>
      <c r="AI66" s="106">
        <f t="shared" si="20"/>
        <v>25</v>
      </c>
      <c r="AJ66" s="75" t="str">
        <f t="shared" si="103"/>
        <v>A-</v>
      </c>
      <c r="AK66" s="75" t="s">
        <v>14</v>
      </c>
      <c r="AL66" s="75" t="s">
        <v>944</v>
      </c>
      <c r="AM66" s="75" t="s">
        <v>945</v>
      </c>
      <c r="AN66" s="75" t="str">
        <f t="shared" si="104"/>
        <v>C</v>
      </c>
      <c r="AO66" s="75" t="str">
        <f t="shared" si="105"/>
        <v>O</v>
      </c>
      <c r="AP66" s="75" t="str">
        <f t="shared" si="106"/>
        <v>O</v>
      </c>
      <c r="AQ66" s="75" t="str">
        <f t="shared" si="107"/>
        <v>O</v>
      </c>
      <c r="AR66" s="75" t="str">
        <f t="shared" si="108"/>
        <v>O</v>
      </c>
      <c r="AS66" s="75" t="s">
        <v>2</v>
      </c>
      <c r="AT66" s="75" t="str">
        <f t="shared" si="109"/>
        <v>O</v>
      </c>
      <c r="AU66" s="75" t="str">
        <f t="shared" si="110"/>
        <v>O</v>
      </c>
      <c r="AV66" s="75" t="str">
        <f t="shared" si="111"/>
        <v>후보</v>
      </c>
    </row>
    <row r="67" spans="1:48" s="38" customFormat="1" ht="12" x14ac:dyDescent="0.3">
      <c r="A67" s="110" t="s">
        <v>1030</v>
      </c>
      <c r="B67" s="111" t="s">
        <v>1029</v>
      </c>
      <c r="C67" s="112">
        <v>1034</v>
      </c>
      <c r="D67" s="104">
        <v>98.4</v>
      </c>
      <c r="E67" s="106">
        <v>30</v>
      </c>
      <c r="F67" s="104">
        <v>73</v>
      </c>
      <c r="G67" s="17">
        <v>22</v>
      </c>
      <c r="H67" s="107">
        <v>166</v>
      </c>
      <c r="I67" s="108">
        <v>27000</v>
      </c>
      <c r="J67" s="108" t="s">
        <v>957</v>
      </c>
      <c r="K67" s="108">
        <v>23000</v>
      </c>
      <c r="L67" s="108" t="s">
        <v>968</v>
      </c>
      <c r="M67" s="109">
        <f t="shared" si="96"/>
        <v>4000</v>
      </c>
      <c r="N67" s="4">
        <f t="shared" si="97"/>
        <v>0.85185185185185186</v>
      </c>
      <c r="O67" s="105">
        <f t="shared" si="98"/>
        <v>900</v>
      </c>
      <c r="P67" s="105">
        <f t="shared" si="99"/>
        <v>766.66666666666663</v>
      </c>
      <c r="Q67" s="75">
        <v>3</v>
      </c>
      <c r="R67" s="75">
        <v>2</v>
      </c>
      <c r="S67" s="75" t="s">
        <v>947</v>
      </c>
      <c r="T67" s="5">
        <v>98</v>
      </c>
      <c r="U67" s="9"/>
      <c r="W67" s="104">
        <f t="shared" si="114"/>
        <v>98.4</v>
      </c>
      <c r="X67" s="106">
        <f t="shared" si="114"/>
        <v>30</v>
      </c>
      <c r="Y67" s="102">
        <f t="shared" si="115"/>
        <v>166</v>
      </c>
      <c r="Z67" s="109">
        <f t="shared" si="115"/>
        <v>27000</v>
      </c>
      <c r="AA67" s="109">
        <f t="shared" si="100"/>
        <v>23000</v>
      </c>
      <c r="AB67" s="109">
        <f t="shared" si="116"/>
        <v>4000</v>
      </c>
      <c r="AC67" s="4">
        <f t="shared" si="116"/>
        <v>0.85185185185185186</v>
      </c>
      <c r="AD67" s="105">
        <f t="shared" si="116"/>
        <v>900</v>
      </c>
      <c r="AE67" s="75" t="str">
        <f t="shared" si="101"/>
        <v>계</v>
      </c>
      <c r="AF67" s="75" t="str">
        <f t="shared" si="102"/>
        <v>3/2</v>
      </c>
      <c r="AH67" s="20" t="str">
        <f t="shared" si="85"/>
        <v>북면 창원무동센텀파라디아</v>
      </c>
      <c r="AI67" s="106">
        <f t="shared" si="20"/>
        <v>30</v>
      </c>
      <c r="AJ67" s="75" t="str">
        <f t="shared" si="103"/>
        <v>A-</v>
      </c>
      <c r="AK67" s="75" t="s">
        <v>14</v>
      </c>
      <c r="AL67" s="75" t="s">
        <v>944</v>
      </c>
      <c r="AM67" s="75" t="s">
        <v>945</v>
      </c>
      <c r="AN67" s="75" t="str">
        <f t="shared" si="104"/>
        <v>C</v>
      </c>
      <c r="AO67" s="75" t="str">
        <f t="shared" si="105"/>
        <v>O</v>
      </c>
      <c r="AP67" s="75" t="str">
        <f t="shared" si="106"/>
        <v>O</v>
      </c>
      <c r="AQ67" s="75" t="str">
        <f t="shared" si="107"/>
        <v>O</v>
      </c>
      <c r="AR67" s="75" t="str">
        <f t="shared" si="108"/>
        <v>O</v>
      </c>
      <c r="AS67" s="75" t="s">
        <v>2</v>
      </c>
      <c r="AT67" s="75" t="str">
        <f t="shared" si="109"/>
        <v>O</v>
      </c>
      <c r="AU67" s="75" t="str">
        <f t="shared" si="110"/>
        <v>O</v>
      </c>
      <c r="AV67" s="75" t="str">
        <f t="shared" si="111"/>
        <v>후보</v>
      </c>
    </row>
    <row r="68" spans="1:48" s="38" customFormat="1" ht="12" x14ac:dyDescent="0.3">
      <c r="A68" s="110" t="s">
        <v>1030</v>
      </c>
      <c r="B68" s="111" t="s">
        <v>1029</v>
      </c>
      <c r="C68" s="112">
        <v>1034</v>
      </c>
      <c r="D68" s="104">
        <v>113.3</v>
      </c>
      <c r="E68" s="106">
        <v>34</v>
      </c>
      <c r="F68" s="104">
        <v>85</v>
      </c>
      <c r="G68" s="17">
        <v>26</v>
      </c>
      <c r="H68" s="107">
        <v>176</v>
      </c>
      <c r="I68" s="108">
        <v>31000</v>
      </c>
      <c r="J68" s="108" t="s">
        <v>954</v>
      </c>
      <c r="K68" s="108"/>
      <c r="L68" s="108"/>
      <c r="M68" s="109">
        <f t="shared" si="96"/>
        <v>31000</v>
      </c>
      <c r="N68" s="4">
        <f t="shared" si="97"/>
        <v>0</v>
      </c>
      <c r="O68" s="105">
        <f t="shared" si="98"/>
        <v>911.76470588235293</v>
      </c>
      <c r="P68" s="105">
        <f t="shared" si="99"/>
        <v>0</v>
      </c>
      <c r="Q68" s="75">
        <v>3</v>
      </c>
      <c r="R68" s="75">
        <v>2</v>
      </c>
      <c r="S68" s="75" t="s">
        <v>947</v>
      </c>
      <c r="T68" s="5" t="s">
        <v>598</v>
      </c>
      <c r="U68" s="9"/>
      <c r="W68" s="104">
        <f t="shared" si="114"/>
        <v>113.3</v>
      </c>
      <c r="X68" s="106">
        <f t="shared" si="114"/>
        <v>34</v>
      </c>
      <c r="Y68" s="102">
        <f t="shared" si="115"/>
        <v>176</v>
      </c>
      <c r="Z68" s="109">
        <f t="shared" si="115"/>
        <v>31000</v>
      </c>
      <c r="AA68" s="109">
        <f t="shared" si="100"/>
        <v>0</v>
      </c>
      <c r="AB68" s="109">
        <f t="shared" si="116"/>
        <v>31000</v>
      </c>
      <c r="AC68" s="4">
        <f t="shared" si="116"/>
        <v>0</v>
      </c>
      <c r="AD68" s="105">
        <f t="shared" si="116"/>
        <v>911.76470588235293</v>
      </c>
      <c r="AE68" s="75" t="str">
        <f t="shared" si="101"/>
        <v>계</v>
      </c>
      <c r="AF68" s="75" t="str">
        <f t="shared" si="102"/>
        <v>3/2</v>
      </c>
      <c r="AH68" s="20" t="str">
        <f t="shared" si="85"/>
        <v>북면 창원무동센텀파라디아</v>
      </c>
      <c r="AI68" s="106">
        <f t="shared" si="20"/>
        <v>34</v>
      </c>
      <c r="AJ68" s="75" t="str">
        <f t="shared" si="103"/>
        <v>A-</v>
      </c>
      <c r="AK68" s="75" t="s">
        <v>14</v>
      </c>
      <c r="AL68" s="75" t="s">
        <v>944</v>
      </c>
      <c r="AM68" s="75" t="s">
        <v>945</v>
      </c>
      <c r="AN68" s="75" t="str">
        <f t="shared" si="104"/>
        <v>C</v>
      </c>
      <c r="AO68" s="75" t="str">
        <f t="shared" si="105"/>
        <v>X</v>
      </c>
      <c r="AP68" s="75" t="str">
        <f t="shared" si="106"/>
        <v>O</v>
      </c>
      <c r="AQ68" s="75" t="str">
        <f t="shared" si="107"/>
        <v>O</v>
      </c>
      <c r="AR68" s="75" t="str">
        <f t="shared" si="108"/>
        <v>X</v>
      </c>
      <c r="AS68" s="75" t="s">
        <v>2</v>
      </c>
      <c r="AT68" s="75" t="str">
        <f t="shared" si="109"/>
        <v>O</v>
      </c>
      <c r="AU68" s="75" t="str">
        <f t="shared" si="110"/>
        <v>O</v>
      </c>
      <c r="AV68" s="75" t="str">
        <f t="shared" si="111"/>
        <v>X</v>
      </c>
    </row>
    <row r="69" spans="1:48" s="38" customFormat="1" ht="12" x14ac:dyDescent="0.3">
      <c r="A69" s="110" t="s">
        <v>1028</v>
      </c>
      <c r="B69" s="111" t="s">
        <v>1029</v>
      </c>
      <c r="C69" s="112">
        <v>1034</v>
      </c>
      <c r="D69" s="104">
        <v>122</v>
      </c>
      <c r="E69" s="106">
        <v>37</v>
      </c>
      <c r="F69" s="104">
        <v>85</v>
      </c>
      <c r="G69" s="17">
        <v>26</v>
      </c>
      <c r="H69" s="107">
        <v>88</v>
      </c>
      <c r="I69" s="108">
        <v>35000</v>
      </c>
      <c r="J69" s="108" t="s">
        <v>954</v>
      </c>
      <c r="K69" s="108">
        <v>28000</v>
      </c>
      <c r="L69" s="108" t="s">
        <v>954</v>
      </c>
      <c r="M69" s="109">
        <f t="shared" si="96"/>
        <v>7000</v>
      </c>
      <c r="N69" s="4">
        <f t="shared" si="97"/>
        <v>0.8</v>
      </c>
      <c r="O69" s="105">
        <f t="shared" si="98"/>
        <v>945.94594594594594</v>
      </c>
      <c r="P69" s="105">
        <f t="shared" si="99"/>
        <v>756.75675675675677</v>
      </c>
      <c r="Q69" s="75">
        <v>3</v>
      </c>
      <c r="R69" s="75">
        <v>2</v>
      </c>
      <c r="S69" s="75" t="s">
        <v>947</v>
      </c>
      <c r="T69" s="5" t="s">
        <v>604</v>
      </c>
      <c r="U69" s="9"/>
      <c r="W69" s="104">
        <f t="shared" si="114"/>
        <v>122</v>
      </c>
      <c r="X69" s="106">
        <f t="shared" si="114"/>
        <v>37</v>
      </c>
      <c r="Y69" s="102">
        <f t="shared" si="115"/>
        <v>88</v>
      </c>
      <c r="Z69" s="109">
        <f t="shared" si="115"/>
        <v>35000</v>
      </c>
      <c r="AA69" s="109">
        <f t="shared" si="100"/>
        <v>28000</v>
      </c>
      <c r="AB69" s="109">
        <f t="shared" si="116"/>
        <v>7000</v>
      </c>
      <c r="AC69" s="4">
        <f t="shared" si="116"/>
        <v>0.8</v>
      </c>
      <c r="AD69" s="105">
        <f t="shared" si="116"/>
        <v>945.94594594594594</v>
      </c>
      <c r="AE69" s="75" t="str">
        <f t="shared" si="101"/>
        <v>계</v>
      </c>
      <c r="AF69" s="75" t="str">
        <f t="shared" si="102"/>
        <v>3/2</v>
      </c>
      <c r="AH69" s="20" t="str">
        <f t="shared" si="85"/>
        <v>북면 창원무동센텀파라디아</v>
      </c>
      <c r="AI69" s="106">
        <f t="shared" ref="AI69:AI132" si="117">IF(E69="","",E69)</f>
        <v>37</v>
      </c>
      <c r="AJ69" s="75" t="str">
        <f t="shared" si="103"/>
        <v>A-</v>
      </c>
      <c r="AK69" s="75" t="s">
        <v>14</v>
      </c>
      <c r="AL69" s="75" t="s">
        <v>944</v>
      </c>
      <c r="AM69" s="75" t="s">
        <v>945</v>
      </c>
      <c r="AN69" s="75" t="str">
        <f t="shared" si="104"/>
        <v>C</v>
      </c>
      <c r="AO69" s="75" t="str">
        <f t="shared" si="105"/>
        <v>O</v>
      </c>
      <c r="AP69" s="75" t="str">
        <f t="shared" si="106"/>
        <v>O</v>
      </c>
      <c r="AQ69" s="75" t="str">
        <f t="shared" si="107"/>
        <v>O</v>
      </c>
      <c r="AR69" s="75" t="str">
        <f t="shared" si="108"/>
        <v>X</v>
      </c>
      <c r="AS69" s="75" t="s">
        <v>2</v>
      </c>
      <c r="AT69" s="75" t="str">
        <f t="shared" si="109"/>
        <v>O</v>
      </c>
      <c r="AU69" s="75" t="str">
        <f t="shared" si="110"/>
        <v>O</v>
      </c>
      <c r="AV69" s="75" t="str">
        <f t="shared" si="111"/>
        <v>X</v>
      </c>
    </row>
    <row r="70" spans="1:48" s="38" customFormat="1" ht="12" x14ac:dyDescent="0.3">
      <c r="A70" s="110" t="s">
        <v>1096</v>
      </c>
      <c r="B70" s="111" t="s">
        <v>1097</v>
      </c>
      <c r="C70" s="112">
        <v>218</v>
      </c>
      <c r="D70" s="104">
        <v>51.8</v>
      </c>
      <c r="E70" s="106">
        <v>16</v>
      </c>
      <c r="F70" s="104">
        <v>39.4</v>
      </c>
      <c r="G70" s="17">
        <v>12</v>
      </c>
      <c r="H70" s="107">
        <v>25</v>
      </c>
      <c r="I70" s="108"/>
      <c r="J70" s="108"/>
      <c r="K70" s="108"/>
      <c r="L70" s="108"/>
      <c r="M70" s="109">
        <f t="shared" si="96"/>
        <v>0</v>
      </c>
      <c r="N70" s="4" t="str">
        <f t="shared" si="97"/>
        <v/>
      </c>
      <c r="O70" s="105">
        <f t="shared" si="98"/>
        <v>0</v>
      </c>
      <c r="P70" s="105">
        <f t="shared" si="99"/>
        <v>0</v>
      </c>
      <c r="Q70" s="75">
        <v>2</v>
      </c>
      <c r="R70" s="75">
        <v>1</v>
      </c>
      <c r="S70" s="75" t="s">
        <v>943</v>
      </c>
      <c r="T70" s="5">
        <v>51</v>
      </c>
      <c r="U70" s="9"/>
      <c r="W70" s="104">
        <f t="shared" si="114"/>
        <v>51.8</v>
      </c>
      <c r="X70" s="106">
        <f t="shared" si="114"/>
        <v>16</v>
      </c>
      <c r="Y70" s="102">
        <f t="shared" si="115"/>
        <v>25</v>
      </c>
      <c r="Z70" s="109">
        <f t="shared" si="115"/>
        <v>0</v>
      </c>
      <c r="AA70" s="109">
        <f t="shared" si="100"/>
        <v>0</v>
      </c>
      <c r="AB70" s="109">
        <f t="shared" si="116"/>
        <v>0</v>
      </c>
      <c r="AC70" s="4" t="str">
        <f t="shared" si="116"/>
        <v/>
      </c>
      <c r="AD70" s="105">
        <f t="shared" si="116"/>
        <v>0</v>
      </c>
      <c r="AE70" s="75" t="str">
        <f t="shared" si="101"/>
        <v>복</v>
      </c>
      <c r="AF70" s="75" t="str">
        <f t="shared" si="102"/>
        <v>2/1</v>
      </c>
      <c r="AH70" s="20" t="str">
        <f t="shared" si="85"/>
        <v>북면 춘광2차</v>
      </c>
      <c r="AI70" s="106">
        <f t="shared" si="117"/>
        <v>16</v>
      </c>
      <c r="AJ70" s="75" t="str">
        <f t="shared" si="103"/>
        <v>A-</v>
      </c>
      <c r="AK70" s="75" t="s">
        <v>14</v>
      </c>
      <c r="AL70" s="75" t="s">
        <v>944</v>
      </c>
      <c r="AM70" s="75" t="s">
        <v>945</v>
      </c>
      <c r="AN70" s="75" t="str">
        <f t="shared" si="104"/>
        <v>C</v>
      </c>
      <c r="AO70" s="75" t="str">
        <f t="shared" si="105"/>
        <v/>
      </c>
      <c r="AP70" s="75" t="str">
        <f t="shared" si="106"/>
        <v/>
      </c>
      <c r="AQ70" s="75" t="str">
        <f t="shared" si="107"/>
        <v>O</v>
      </c>
      <c r="AR70" s="75" t="str">
        <f t="shared" si="108"/>
        <v>O</v>
      </c>
      <c r="AS70" s="75" t="s">
        <v>2</v>
      </c>
      <c r="AT70" s="75" t="str">
        <f t="shared" si="109"/>
        <v>O</v>
      </c>
      <c r="AU70" s="75" t="str">
        <f t="shared" si="110"/>
        <v>X</v>
      </c>
      <c r="AV70" s="75" t="str">
        <f t="shared" si="111"/>
        <v/>
      </c>
    </row>
    <row r="71" spans="1:48" s="38" customFormat="1" ht="12" x14ac:dyDescent="0.3">
      <c r="A71" s="110" t="s">
        <v>1096</v>
      </c>
      <c r="B71" s="111" t="s">
        <v>1097</v>
      </c>
      <c r="C71" s="112">
        <v>218</v>
      </c>
      <c r="D71" s="104">
        <v>76.099999999999994</v>
      </c>
      <c r="E71" s="106">
        <v>23</v>
      </c>
      <c r="F71" s="104">
        <v>57.9</v>
      </c>
      <c r="G71" s="17">
        <v>18</v>
      </c>
      <c r="H71" s="107">
        <v>105</v>
      </c>
      <c r="I71" s="108"/>
      <c r="J71" s="108"/>
      <c r="K71" s="108"/>
      <c r="L71" s="108"/>
      <c r="M71" s="109">
        <f t="shared" si="96"/>
        <v>0</v>
      </c>
      <c r="N71" s="4" t="str">
        <f t="shared" si="97"/>
        <v/>
      </c>
      <c r="O71" s="105">
        <f t="shared" si="98"/>
        <v>0</v>
      </c>
      <c r="P71" s="105">
        <f t="shared" si="99"/>
        <v>0</v>
      </c>
      <c r="Q71" s="75">
        <v>3</v>
      </c>
      <c r="R71" s="75">
        <v>1</v>
      </c>
      <c r="S71" s="75" t="s">
        <v>943</v>
      </c>
      <c r="T71" s="5">
        <v>76</v>
      </c>
      <c r="U71" s="9"/>
      <c r="W71" s="104">
        <f t="shared" si="114"/>
        <v>76.099999999999994</v>
      </c>
      <c r="X71" s="106">
        <f t="shared" si="114"/>
        <v>23</v>
      </c>
      <c r="Y71" s="102">
        <f t="shared" si="115"/>
        <v>105</v>
      </c>
      <c r="Z71" s="109">
        <f t="shared" si="115"/>
        <v>0</v>
      </c>
      <c r="AA71" s="109">
        <f t="shared" si="100"/>
        <v>0</v>
      </c>
      <c r="AB71" s="109">
        <f t="shared" si="116"/>
        <v>0</v>
      </c>
      <c r="AC71" s="4" t="str">
        <f t="shared" si="116"/>
        <v/>
      </c>
      <c r="AD71" s="105">
        <f t="shared" si="116"/>
        <v>0</v>
      </c>
      <c r="AE71" s="75" t="str">
        <f t="shared" si="101"/>
        <v>복</v>
      </c>
      <c r="AF71" s="75" t="str">
        <f t="shared" si="102"/>
        <v>3/1</v>
      </c>
      <c r="AH71" s="20" t="str">
        <f t="shared" si="85"/>
        <v>북면 춘광2차</v>
      </c>
      <c r="AI71" s="106">
        <f t="shared" si="117"/>
        <v>23</v>
      </c>
      <c r="AJ71" s="75" t="str">
        <f t="shared" si="103"/>
        <v>A-</v>
      </c>
      <c r="AK71" s="75" t="s">
        <v>14</v>
      </c>
      <c r="AL71" s="75" t="s">
        <v>944</v>
      </c>
      <c r="AM71" s="75" t="s">
        <v>945</v>
      </c>
      <c r="AN71" s="75" t="str">
        <f t="shared" si="104"/>
        <v>C</v>
      </c>
      <c r="AO71" s="75" t="str">
        <f t="shared" si="105"/>
        <v/>
      </c>
      <c r="AP71" s="75" t="str">
        <f t="shared" si="106"/>
        <v/>
      </c>
      <c r="AQ71" s="75" t="str">
        <f t="shared" si="107"/>
        <v>O</v>
      </c>
      <c r="AR71" s="75" t="str">
        <f t="shared" si="108"/>
        <v>O</v>
      </c>
      <c r="AS71" s="75" t="s">
        <v>2</v>
      </c>
      <c r="AT71" s="75" t="str">
        <f t="shared" si="109"/>
        <v>O</v>
      </c>
      <c r="AU71" s="75" t="str">
        <f t="shared" si="110"/>
        <v>X</v>
      </c>
      <c r="AV71" s="75" t="str">
        <f t="shared" si="111"/>
        <v/>
      </c>
    </row>
    <row r="72" spans="1:48" s="38" customFormat="1" ht="12" x14ac:dyDescent="0.3">
      <c r="A72" s="110" t="s">
        <v>1096</v>
      </c>
      <c r="B72" s="111" t="s">
        <v>1097</v>
      </c>
      <c r="C72" s="112">
        <v>218</v>
      </c>
      <c r="D72" s="104">
        <v>78.599999999999994</v>
      </c>
      <c r="E72" s="106">
        <v>24</v>
      </c>
      <c r="F72" s="104">
        <v>59.8</v>
      </c>
      <c r="G72" s="17">
        <v>18</v>
      </c>
      <c r="H72" s="107">
        <v>88</v>
      </c>
      <c r="I72" s="108"/>
      <c r="J72" s="108"/>
      <c r="K72" s="108"/>
      <c r="L72" s="108"/>
      <c r="M72" s="109">
        <f t="shared" si="96"/>
        <v>0</v>
      </c>
      <c r="N72" s="4" t="str">
        <f t="shared" si="97"/>
        <v/>
      </c>
      <c r="O72" s="105">
        <f t="shared" si="98"/>
        <v>0</v>
      </c>
      <c r="P72" s="105">
        <f t="shared" si="99"/>
        <v>0</v>
      </c>
      <c r="Q72" s="75">
        <v>3</v>
      </c>
      <c r="R72" s="75">
        <v>1</v>
      </c>
      <c r="S72" s="75" t="s">
        <v>943</v>
      </c>
      <c r="T72" s="5">
        <v>78</v>
      </c>
      <c r="U72" s="9"/>
      <c r="W72" s="104">
        <f t="shared" si="114"/>
        <v>78.599999999999994</v>
      </c>
      <c r="X72" s="106">
        <f t="shared" si="114"/>
        <v>24</v>
      </c>
      <c r="Y72" s="102">
        <f t="shared" si="115"/>
        <v>88</v>
      </c>
      <c r="Z72" s="109">
        <f t="shared" si="115"/>
        <v>0</v>
      </c>
      <c r="AA72" s="109">
        <f t="shared" si="100"/>
        <v>0</v>
      </c>
      <c r="AB72" s="109">
        <f t="shared" si="116"/>
        <v>0</v>
      </c>
      <c r="AC72" s="4" t="str">
        <f t="shared" si="116"/>
        <v/>
      </c>
      <c r="AD72" s="105">
        <f t="shared" si="116"/>
        <v>0</v>
      </c>
      <c r="AE72" s="75" t="str">
        <f t="shared" si="101"/>
        <v>복</v>
      </c>
      <c r="AF72" s="75" t="str">
        <f t="shared" si="102"/>
        <v>3/1</v>
      </c>
      <c r="AH72" s="20" t="str">
        <f t="shared" si="85"/>
        <v>북면 춘광2차</v>
      </c>
      <c r="AI72" s="106">
        <f t="shared" si="117"/>
        <v>24</v>
      </c>
      <c r="AJ72" s="75" t="str">
        <f t="shared" si="103"/>
        <v>A-</v>
      </c>
      <c r="AK72" s="75" t="s">
        <v>14</v>
      </c>
      <c r="AL72" s="75" t="s">
        <v>944</v>
      </c>
      <c r="AM72" s="75" t="s">
        <v>945</v>
      </c>
      <c r="AN72" s="75" t="str">
        <f t="shared" si="104"/>
        <v>C</v>
      </c>
      <c r="AO72" s="75" t="str">
        <f t="shared" si="105"/>
        <v/>
      </c>
      <c r="AP72" s="75" t="str">
        <f t="shared" si="106"/>
        <v/>
      </c>
      <c r="AQ72" s="75" t="str">
        <f t="shared" si="107"/>
        <v>O</v>
      </c>
      <c r="AR72" s="75" t="str">
        <f t="shared" si="108"/>
        <v>O</v>
      </c>
      <c r="AS72" s="75" t="s">
        <v>2</v>
      </c>
      <c r="AT72" s="75" t="str">
        <f t="shared" si="109"/>
        <v>O</v>
      </c>
      <c r="AU72" s="75" t="str">
        <f t="shared" si="110"/>
        <v>X</v>
      </c>
      <c r="AV72" s="75" t="str">
        <f t="shared" si="111"/>
        <v/>
      </c>
    </row>
    <row r="73" spans="1:48" s="38" customFormat="1" ht="12" x14ac:dyDescent="0.3">
      <c r="A73" s="110" t="s">
        <v>1098</v>
      </c>
      <c r="B73" s="111" t="s">
        <v>1031</v>
      </c>
      <c r="C73" s="112">
        <v>1082</v>
      </c>
      <c r="D73" s="104">
        <v>95.6</v>
      </c>
      <c r="E73" s="106">
        <v>29</v>
      </c>
      <c r="F73" s="104">
        <v>68.8</v>
      </c>
      <c r="G73" s="17">
        <v>21</v>
      </c>
      <c r="H73" s="107">
        <v>74</v>
      </c>
      <c r="I73" s="108">
        <v>30000</v>
      </c>
      <c r="J73" s="108" t="s">
        <v>954</v>
      </c>
      <c r="K73" s="108"/>
      <c r="L73" s="108"/>
      <c r="M73" s="109">
        <f t="shared" si="96"/>
        <v>30000</v>
      </c>
      <c r="N73" s="4">
        <f t="shared" si="97"/>
        <v>0</v>
      </c>
      <c r="O73" s="105">
        <f t="shared" si="98"/>
        <v>1034.4827586206898</v>
      </c>
      <c r="P73" s="105">
        <f t="shared" si="99"/>
        <v>0</v>
      </c>
      <c r="Q73" s="75">
        <v>3</v>
      </c>
      <c r="R73" s="75">
        <v>2</v>
      </c>
      <c r="S73" s="75" t="s">
        <v>947</v>
      </c>
      <c r="T73" s="5" t="s">
        <v>622</v>
      </c>
      <c r="U73" s="9"/>
      <c r="W73" s="104">
        <f t="shared" si="114"/>
        <v>95.6</v>
      </c>
      <c r="X73" s="106">
        <f t="shared" si="114"/>
        <v>29</v>
      </c>
      <c r="Y73" s="102">
        <f t="shared" si="115"/>
        <v>74</v>
      </c>
      <c r="Z73" s="109">
        <f t="shared" si="115"/>
        <v>30000</v>
      </c>
      <c r="AA73" s="109">
        <f t="shared" si="100"/>
        <v>0</v>
      </c>
      <c r="AB73" s="109">
        <f t="shared" si="116"/>
        <v>30000</v>
      </c>
      <c r="AC73" s="4">
        <f t="shared" si="116"/>
        <v>0</v>
      </c>
      <c r="AD73" s="105">
        <f t="shared" si="116"/>
        <v>1034.4827586206898</v>
      </c>
      <c r="AE73" s="75" t="str">
        <f t="shared" si="101"/>
        <v>계</v>
      </c>
      <c r="AF73" s="75" t="str">
        <f t="shared" si="102"/>
        <v>3/2</v>
      </c>
      <c r="AH73" s="20" t="str">
        <f t="shared" si="85"/>
        <v>북면 창원감계힐스테이트1차</v>
      </c>
      <c r="AI73" s="106">
        <f t="shared" si="117"/>
        <v>29</v>
      </c>
      <c r="AJ73" s="75" t="str">
        <f t="shared" si="103"/>
        <v>A-</v>
      </c>
      <c r="AK73" s="75" t="s">
        <v>14</v>
      </c>
      <c r="AL73" s="75" t="s">
        <v>944</v>
      </c>
      <c r="AM73" s="75" t="s">
        <v>945</v>
      </c>
      <c r="AN73" s="75" t="str">
        <f t="shared" si="104"/>
        <v>C</v>
      </c>
      <c r="AO73" s="75" t="str">
        <f t="shared" si="105"/>
        <v>X</v>
      </c>
      <c r="AP73" s="75" t="str">
        <f t="shared" si="106"/>
        <v>O</v>
      </c>
      <c r="AQ73" s="75" t="str">
        <f t="shared" si="107"/>
        <v>X</v>
      </c>
      <c r="AR73" s="75" t="str">
        <f t="shared" si="108"/>
        <v>X</v>
      </c>
      <c r="AS73" s="75" t="s">
        <v>2</v>
      </c>
      <c r="AT73" s="75" t="str">
        <f t="shared" si="109"/>
        <v>O</v>
      </c>
      <c r="AU73" s="75" t="str">
        <f t="shared" si="110"/>
        <v>O</v>
      </c>
      <c r="AV73" s="75" t="str">
        <f t="shared" si="111"/>
        <v>X</v>
      </c>
    </row>
    <row r="74" spans="1:48" s="38" customFormat="1" ht="12" x14ac:dyDescent="0.3">
      <c r="A74" s="110" t="s">
        <v>1099</v>
      </c>
      <c r="B74" s="111" t="s">
        <v>1031</v>
      </c>
      <c r="C74" s="112">
        <v>1082</v>
      </c>
      <c r="D74" s="104">
        <v>95.8</v>
      </c>
      <c r="E74" s="106">
        <v>29</v>
      </c>
      <c r="F74" s="104">
        <v>68.400000000000006</v>
      </c>
      <c r="G74" s="17">
        <v>21</v>
      </c>
      <c r="H74" s="107">
        <v>44</v>
      </c>
      <c r="I74" s="108">
        <v>32000</v>
      </c>
      <c r="J74" s="108" t="s">
        <v>954</v>
      </c>
      <c r="K74" s="108"/>
      <c r="L74" s="108"/>
      <c r="M74" s="109">
        <f t="shared" si="96"/>
        <v>32000</v>
      </c>
      <c r="N74" s="4">
        <f t="shared" si="97"/>
        <v>0</v>
      </c>
      <c r="O74" s="105">
        <f t="shared" si="98"/>
        <v>1103.4482758620691</v>
      </c>
      <c r="P74" s="105">
        <f t="shared" si="99"/>
        <v>0</v>
      </c>
      <c r="Q74" s="75">
        <v>3</v>
      </c>
      <c r="R74" s="75">
        <v>2</v>
      </c>
      <c r="S74" s="75" t="s">
        <v>947</v>
      </c>
      <c r="T74" s="5" t="s">
        <v>626</v>
      </c>
      <c r="U74" s="9"/>
      <c r="W74" s="104">
        <f t="shared" si="114"/>
        <v>95.8</v>
      </c>
      <c r="X74" s="106">
        <f t="shared" si="114"/>
        <v>29</v>
      </c>
      <c r="Y74" s="102">
        <f t="shared" si="115"/>
        <v>44</v>
      </c>
      <c r="Z74" s="109">
        <f t="shared" si="115"/>
        <v>32000</v>
      </c>
      <c r="AA74" s="109">
        <f t="shared" si="100"/>
        <v>0</v>
      </c>
      <c r="AB74" s="109">
        <f t="shared" si="116"/>
        <v>32000</v>
      </c>
      <c r="AC74" s="4">
        <f t="shared" si="116"/>
        <v>0</v>
      </c>
      <c r="AD74" s="105">
        <f t="shared" si="116"/>
        <v>1103.4482758620691</v>
      </c>
      <c r="AE74" s="75" t="str">
        <f t="shared" si="101"/>
        <v>계</v>
      </c>
      <c r="AF74" s="75" t="str">
        <f t="shared" si="102"/>
        <v>3/2</v>
      </c>
      <c r="AH74" s="20" t="str">
        <f t="shared" si="85"/>
        <v>북면 창원감계힐스테이트1차</v>
      </c>
      <c r="AI74" s="106">
        <f t="shared" si="117"/>
        <v>29</v>
      </c>
      <c r="AJ74" s="75" t="str">
        <f t="shared" si="103"/>
        <v>A-</v>
      </c>
      <c r="AK74" s="75" t="s">
        <v>14</v>
      </c>
      <c r="AL74" s="75" t="s">
        <v>944</v>
      </c>
      <c r="AM74" s="75" t="s">
        <v>945</v>
      </c>
      <c r="AN74" s="75" t="str">
        <f t="shared" si="104"/>
        <v>C</v>
      </c>
      <c r="AO74" s="75" t="str">
        <f t="shared" si="105"/>
        <v>X</v>
      </c>
      <c r="AP74" s="75" t="str">
        <f t="shared" si="106"/>
        <v>O</v>
      </c>
      <c r="AQ74" s="75" t="str">
        <f t="shared" si="107"/>
        <v>X</v>
      </c>
      <c r="AR74" s="75" t="str">
        <f t="shared" si="108"/>
        <v>X</v>
      </c>
      <c r="AS74" s="75" t="s">
        <v>2</v>
      </c>
      <c r="AT74" s="75" t="str">
        <f t="shared" si="109"/>
        <v>O</v>
      </c>
      <c r="AU74" s="75" t="str">
        <f t="shared" si="110"/>
        <v>O</v>
      </c>
      <c r="AV74" s="75" t="str">
        <f t="shared" si="111"/>
        <v>X</v>
      </c>
    </row>
    <row r="75" spans="1:48" s="38" customFormat="1" ht="12" x14ac:dyDescent="0.3">
      <c r="A75" s="110" t="s">
        <v>1100</v>
      </c>
      <c r="B75" s="111" t="s">
        <v>1031</v>
      </c>
      <c r="C75" s="112">
        <v>1082</v>
      </c>
      <c r="D75" s="104">
        <v>114.7</v>
      </c>
      <c r="E75" s="106">
        <v>35</v>
      </c>
      <c r="F75" s="104">
        <v>85</v>
      </c>
      <c r="G75" s="17">
        <v>26</v>
      </c>
      <c r="H75" s="107">
        <v>377</v>
      </c>
      <c r="I75" s="108">
        <v>33000</v>
      </c>
      <c r="J75" s="108" t="s">
        <v>957</v>
      </c>
      <c r="K75" s="108">
        <v>29000</v>
      </c>
      <c r="L75" s="108" t="s">
        <v>954</v>
      </c>
      <c r="M75" s="109">
        <f t="shared" si="96"/>
        <v>4000</v>
      </c>
      <c r="N75" s="4">
        <f t="shared" si="97"/>
        <v>0.87878787878787878</v>
      </c>
      <c r="O75" s="105">
        <f t="shared" si="98"/>
        <v>942.85714285714289</v>
      </c>
      <c r="P75" s="105">
        <f t="shared" si="99"/>
        <v>828.57142857142856</v>
      </c>
      <c r="Q75" s="75">
        <v>3</v>
      </c>
      <c r="R75" s="75">
        <v>2</v>
      </c>
      <c r="S75" s="75" t="s">
        <v>947</v>
      </c>
      <c r="T75" s="5" t="s">
        <v>209</v>
      </c>
      <c r="U75" s="9"/>
      <c r="W75" s="104">
        <f t="shared" si="114"/>
        <v>114.7</v>
      </c>
      <c r="X75" s="106">
        <f t="shared" si="114"/>
        <v>35</v>
      </c>
      <c r="Y75" s="102">
        <f t="shared" si="115"/>
        <v>377</v>
      </c>
      <c r="Z75" s="109">
        <f t="shared" si="115"/>
        <v>33000</v>
      </c>
      <c r="AA75" s="109">
        <f t="shared" si="100"/>
        <v>29000</v>
      </c>
      <c r="AB75" s="109">
        <f t="shared" si="116"/>
        <v>4000</v>
      </c>
      <c r="AC75" s="4">
        <f t="shared" si="116"/>
        <v>0.87878787878787878</v>
      </c>
      <c r="AD75" s="105">
        <f t="shared" si="116"/>
        <v>942.85714285714289</v>
      </c>
      <c r="AE75" s="75" t="str">
        <f t="shared" si="101"/>
        <v>계</v>
      </c>
      <c r="AF75" s="75" t="str">
        <f t="shared" si="102"/>
        <v>3/2</v>
      </c>
      <c r="AH75" s="20" t="str">
        <f t="shared" si="85"/>
        <v>북면 창원감계힐스테이트1차</v>
      </c>
      <c r="AI75" s="106">
        <f t="shared" si="117"/>
        <v>35</v>
      </c>
      <c r="AJ75" s="75" t="str">
        <f t="shared" si="103"/>
        <v>A-</v>
      </c>
      <c r="AK75" s="75" t="s">
        <v>14</v>
      </c>
      <c r="AL75" s="75" t="s">
        <v>944</v>
      </c>
      <c r="AM75" s="75" t="s">
        <v>945</v>
      </c>
      <c r="AN75" s="75" t="str">
        <f t="shared" si="104"/>
        <v>C</v>
      </c>
      <c r="AO75" s="75" t="str">
        <f t="shared" si="105"/>
        <v>O</v>
      </c>
      <c r="AP75" s="75" t="str">
        <f t="shared" si="106"/>
        <v>O</v>
      </c>
      <c r="AQ75" s="75" t="str">
        <f t="shared" si="107"/>
        <v>O</v>
      </c>
      <c r="AR75" s="75" t="str">
        <f t="shared" si="108"/>
        <v>O</v>
      </c>
      <c r="AS75" s="75" t="s">
        <v>2</v>
      </c>
      <c r="AT75" s="75" t="str">
        <f t="shared" si="109"/>
        <v>O</v>
      </c>
      <c r="AU75" s="75" t="str">
        <f t="shared" si="110"/>
        <v>O</v>
      </c>
      <c r="AV75" s="75" t="str">
        <f t="shared" si="111"/>
        <v>후보</v>
      </c>
    </row>
    <row r="76" spans="1:48" s="38" customFormat="1" ht="12" x14ac:dyDescent="0.3">
      <c r="A76" s="110" t="s">
        <v>1100</v>
      </c>
      <c r="B76" s="111" t="s">
        <v>1101</v>
      </c>
      <c r="C76" s="112">
        <v>1082</v>
      </c>
      <c r="D76" s="104">
        <v>115.3</v>
      </c>
      <c r="E76" s="106">
        <v>35</v>
      </c>
      <c r="F76" s="104">
        <v>84.9</v>
      </c>
      <c r="G76" s="17">
        <v>26</v>
      </c>
      <c r="H76" s="107">
        <v>459</v>
      </c>
      <c r="I76" s="108">
        <v>33000</v>
      </c>
      <c r="J76" s="108" t="s">
        <v>971</v>
      </c>
      <c r="K76" s="108">
        <v>29000</v>
      </c>
      <c r="L76" s="108" t="s">
        <v>954</v>
      </c>
      <c r="M76" s="109">
        <f t="shared" si="96"/>
        <v>4000</v>
      </c>
      <c r="N76" s="4">
        <f t="shared" si="97"/>
        <v>0.87878787878787878</v>
      </c>
      <c r="O76" s="105">
        <f t="shared" si="98"/>
        <v>942.85714285714289</v>
      </c>
      <c r="P76" s="105">
        <f t="shared" si="99"/>
        <v>828.57142857142856</v>
      </c>
      <c r="Q76" s="75">
        <v>3</v>
      </c>
      <c r="R76" s="75">
        <v>2</v>
      </c>
      <c r="S76" s="75" t="s">
        <v>947</v>
      </c>
      <c r="T76" s="5" t="s">
        <v>627</v>
      </c>
      <c r="U76" s="9"/>
      <c r="W76" s="104">
        <f t="shared" si="114"/>
        <v>115.3</v>
      </c>
      <c r="X76" s="106">
        <f t="shared" si="114"/>
        <v>35</v>
      </c>
      <c r="Y76" s="102">
        <f t="shared" si="115"/>
        <v>459</v>
      </c>
      <c r="Z76" s="109">
        <f t="shared" si="115"/>
        <v>33000</v>
      </c>
      <c r="AA76" s="109">
        <f t="shared" si="100"/>
        <v>29000</v>
      </c>
      <c r="AB76" s="109">
        <f t="shared" si="116"/>
        <v>4000</v>
      </c>
      <c r="AC76" s="4">
        <f t="shared" si="116"/>
        <v>0.87878787878787878</v>
      </c>
      <c r="AD76" s="105">
        <f t="shared" si="116"/>
        <v>942.85714285714289</v>
      </c>
      <c r="AE76" s="75" t="str">
        <f t="shared" si="101"/>
        <v>계</v>
      </c>
      <c r="AF76" s="75" t="str">
        <f t="shared" si="102"/>
        <v>3/2</v>
      </c>
      <c r="AH76" s="20" t="str">
        <f t="shared" si="85"/>
        <v>북면 창원감계힐스테이트1차</v>
      </c>
      <c r="AI76" s="106">
        <f t="shared" si="117"/>
        <v>35</v>
      </c>
      <c r="AJ76" s="75" t="str">
        <f t="shared" si="103"/>
        <v>A-</v>
      </c>
      <c r="AK76" s="75" t="s">
        <v>14</v>
      </c>
      <c r="AL76" s="75" t="s">
        <v>944</v>
      </c>
      <c r="AM76" s="75" t="s">
        <v>945</v>
      </c>
      <c r="AN76" s="75" t="str">
        <f t="shared" si="104"/>
        <v>C</v>
      </c>
      <c r="AO76" s="75" t="str">
        <f t="shared" si="105"/>
        <v>O</v>
      </c>
      <c r="AP76" s="75" t="str">
        <f t="shared" si="106"/>
        <v>O</v>
      </c>
      <c r="AQ76" s="75" t="str">
        <f t="shared" si="107"/>
        <v>O</v>
      </c>
      <c r="AR76" s="75" t="str">
        <f t="shared" si="108"/>
        <v>O</v>
      </c>
      <c r="AS76" s="75" t="s">
        <v>2</v>
      </c>
      <c r="AT76" s="75" t="str">
        <f t="shared" si="109"/>
        <v>O</v>
      </c>
      <c r="AU76" s="75" t="str">
        <f t="shared" si="110"/>
        <v>O</v>
      </c>
      <c r="AV76" s="75" t="str">
        <f t="shared" si="111"/>
        <v>후보</v>
      </c>
    </row>
    <row r="77" spans="1:48" s="38" customFormat="1" ht="12" x14ac:dyDescent="0.3">
      <c r="A77" s="110" t="s">
        <v>1100</v>
      </c>
      <c r="B77" s="111" t="s">
        <v>1031</v>
      </c>
      <c r="C77" s="112">
        <v>1082</v>
      </c>
      <c r="D77" s="104">
        <v>132.19999999999999</v>
      </c>
      <c r="E77" s="106">
        <v>40</v>
      </c>
      <c r="F77" s="104">
        <v>101.9</v>
      </c>
      <c r="G77" s="17">
        <v>31</v>
      </c>
      <c r="H77" s="107">
        <v>128</v>
      </c>
      <c r="I77" s="108"/>
      <c r="J77" s="108"/>
      <c r="K77" s="108"/>
      <c r="L77" s="108"/>
      <c r="M77" s="109">
        <f t="shared" si="96"/>
        <v>0</v>
      </c>
      <c r="N77" s="4" t="str">
        <f t="shared" si="97"/>
        <v/>
      </c>
      <c r="O77" s="105">
        <f t="shared" si="98"/>
        <v>0</v>
      </c>
      <c r="P77" s="105">
        <f t="shared" si="99"/>
        <v>0</v>
      </c>
      <c r="Q77" s="75">
        <v>4</v>
      </c>
      <c r="R77" s="75">
        <v>2</v>
      </c>
      <c r="S77" s="75" t="s">
        <v>947</v>
      </c>
      <c r="T77" s="5">
        <v>132</v>
      </c>
      <c r="U77" s="9"/>
      <c r="W77" s="104">
        <f t="shared" si="114"/>
        <v>132.19999999999999</v>
      </c>
      <c r="X77" s="106">
        <f t="shared" si="114"/>
        <v>40</v>
      </c>
      <c r="Y77" s="102">
        <f t="shared" si="115"/>
        <v>128</v>
      </c>
      <c r="Z77" s="109">
        <f t="shared" si="115"/>
        <v>0</v>
      </c>
      <c r="AA77" s="109">
        <f t="shared" si="100"/>
        <v>0</v>
      </c>
      <c r="AB77" s="109">
        <f t="shared" si="116"/>
        <v>0</v>
      </c>
      <c r="AC77" s="4" t="str">
        <f t="shared" si="116"/>
        <v/>
      </c>
      <c r="AD77" s="105">
        <f t="shared" si="116"/>
        <v>0</v>
      </c>
      <c r="AE77" s="75" t="str">
        <f t="shared" si="101"/>
        <v>계</v>
      </c>
      <c r="AF77" s="75" t="str">
        <f t="shared" si="102"/>
        <v>4/2</v>
      </c>
      <c r="AH77" s="20" t="str">
        <f t="shared" si="85"/>
        <v>북면 창원감계힐스테이트1차</v>
      </c>
      <c r="AI77" s="106">
        <f t="shared" si="117"/>
        <v>40</v>
      </c>
      <c r="AJ77" s="75" t="str">
        <f t="shared" si="103"/>
        <v>A-</v>
      </c>
      <c r="AK77" s="75" t="s">
        <v>14</v>
      </c>
      <c r="AL77" s="75" t="s">
        <v>944</v>
      </c>
      <c r="AM77" s="75" t="s">
        <v>945</v>
      </c>
      <c r="AN77" s="75" t="str">
        <f t="shared" si="104"/>
        <v>C</v>
      </c>
      <c r="AO77" s="75" t="str">
        <f t="shared" si="105"/>
        <v/>
      </c>
      <c r="AP77" s="75" t="str">
        <f t="shared" si="106"/>
        <v/>
      </c>
      <c r="AQ77" s="75" t="str">
        <f t="shared" si="107"/>
        <v>O</v>
      </c>
      <c r="AR77" s="75" t="str">
        <f t="shared" si="108"/>
        <v>O</v>
      </c>
      <c r="AS77" s="75" t="s">
        <v>2</v>
      </c>
      <c r="AT77" s="75" t="str">
        <f t="shared" si="109"/>
        <v>X</v>
      </c>
      <c r="AU77" s="75" t="str">
        <f t="shared" si="110"/>
        <v>O</v>
      </c>
      <c r="AV77" s="75" t="str">
        <f t="shared" si="111"/>
        <v/>
      </c>
    </row>
    <row r="78" spans="1:48" s="38" customFormat="1" ht="12" x14ac:dyDescent="0.3">
      <c r="A78" s="110" t="s">
        <v>1102</v>
      </c>
      <c r="B78" s="111" t="s">
        <v>1032</v>
      </c>
      <c r="C78" s="112">
        <v>217</v>
      </c>
      <c r="D78" s="104">
        <v>86.7</v>
      </c>
      <c r="E78" s="106">
        <v>26</v>
      </c>
      <c r="F78" s="104">
        <v>67.599999999999994</v>
      </c>
      <c r="G78" s="17">
        <v>20</v>
      </c>
      <c r="H78" s="107">
        <v>77</v>
      </c>
      <c r="I78" s="108"/>
      <c r="J78" s="108"/>
      <c r="K78" s="108"/>
      <c r="L78" s="108"/>
      <c r="M78" s="109">
        <f t="shared" si="96"/>
        <v>0</v>
      </c>
      <c r="N78" s="4" t="str">
        <f t="shared" si="97"/>
        <v/>
      </c>
      <c r="O78" s="105">
        <f t="shared" si="98"/>
        <v>0</v>
      </c>
      <c r="P78" s="105">
        <f t="shared" si="99"/>
        <v>0</v>
      </c>
      <c r="Q78" s="75">
        <v>3</v>
      </c>
      <c r="R78" s="75">
        <v>2</v>
      </c>
      <c r="S78" s="75" t="s">
        <v>947</v>
      </c>
      <c r="T78" s="5" t="s">
        <v>639</v>
      </c>
      <c r="U78" s="9"/>
      <c r="W78" s="104">
        <f t="shared" si="114"/>
        <v>86.7</v>
      </c>
      <c r="X78" s="106">
        <f t="shared" si="114"/>
        <v>26</v>
      </c>
      <c r="Y78" s="102">
        <f t="shared" si="115"/>
        <v>77</v>
      </c>
      <c r="Z78" s="109">
        <f t="shared" si="115"/>
        <v>0</v>
      </c>
      <c r="AA78" s="109">
        <f t="shared" si="100"/>
        <v>0</v>
      </c>
      <c r="AB78" s="109">
        <f t="shared" si="116"/>
        <v>0</v>
      </c>
      <c r="AC78" s="4" t="str">
        <f t="shared" si="116"/>
        <v/>
      </c>
      <c r="AD78" s="105">
        <f t="shared" si="116"/>
        <v>0</v>
      </c>
      <c r="AE78" s="75" t="str">
        <f t="shared" si="101"/>
        <v>계</v>
      </c>
      <c r="AF78" s="75" t="str">
        <f t="shared" si="102"/>
        <v>3/2</v>
      </c>
      <c r="AH78" s="20" t="str">
        <f t="shared" si="85"/>
        <v>북면 창원동전월드메르디앙</v>
      </c>
      <c r="AI78" s="106">
        <f t="shared" si="117"/>
        <v>26</v>
      </c>
      <c r="AJ78" s="75" t="str">
        <f t="shared" si="103"/>
        <v>A-</v>
      </c>
      <c r="AK78" s="75" t="s">
        <v>14</v>
      </c>
      <c r="AL78" s="75" t="s">
        <v>944</v>
      </c>
      <c r="AM78" s="75" t="s">
        <v>945</v>
      </c>
      <c r="AN78" s="75" t="str">
        <f t="shared" si="104"/>
        <v>C</v>
      </c>
      <c r="AO78" s="75" t="str">
        <f t="shared" si="105"/>
        <v/>
      </c>
      <c r="AP78" s="75" t="str">
        <f t="shared" si="106"/>
        <v/>
      </c>
      <c r="AQ78" s="75" t="str">
        <f t="shared" si="107"/>
        <v>O</v>
      </c>
      <c r="AR78" s="75" t="str">
        <f t="shared" si="108"/>
        <v>O</v>
      </c>
      <c r="AS78" s="75" t="s">
        <v>2</v>
      </c>
      <c r="AT78" s="75" t="str">
        <f t="shared" si="109"/>
        <v>O</v>
      </c>
      <c r="AU78" s="75" t="str">
        <f t="shared" si="110"/>
        <v>X</v>
      </c>
      <c r="AV78" s="75" t="str">
        <f t="shared" si="111"/>
        <v/>
      </c>
    </row>
    <row r="79" spans="1:48" s="38" customFormat="1" ht="12" x14ac:dyDescent="0.3">
      <c r="A79" s="110" t="s">
        <v>1102</v>
      </c>
      <c r="B79" s="111" t="s">
        <v>1032</v>
      </c>
      <c r="C79" s="112">
        <v>217</v>
      </c>
      <c r="D79" s="104">
        <v>86.7</v>
      </c>
      <c r="E79" s="106">
        <v>26</v>
      </c>
      <c r="F79" s="104">
        <v>67.599999999999994</v>
      </c>
      <c r="G79" s="17">
        <v>20</v>
      </c>
      <c r="H79" s="107">
        <v>1</v>
      </c>
      <c r="I79" s="108"/>
      <c r="J79" s="108"/>
      <c r="K79" s="108"/>
      <c r="L79" s="108"/>
      <c r="M79" s="109">
        <f t="shared" si="96"/>
        <v>0</v>
      </c>
      <c r="N79" s="4" t="str">
        <f t="shared" si="97"/>
        <v/>
      </c>
      <c r="O79" s="105">
        <f t="shared" si="98"/>
        <v>0</v>
      </c>
      <c r="P79" s="105">
        <f t="shared" si="99"/>
        <v>0</v>
      </c>
      <c r="Q79" s="75">
        <v>3</v>
      </c>
      <c r="R79" s="75">
        <v>2</v>
      </c>
      <c r="S79" s="75" t="s">
        <v>947</v>
      </c>
      <c r="T79" s="5" t="s">
        <v>217</v>
      </c>
      <c r="U79" s="9"/>
      <c r="W79" s="104">
        <f t="shared" ref="W79:X90" si="118">D79</f>
        <v>86.7</v>
      </c>
      <c r="X79" s="106">
        <f t="shared" si="118"/>
        <v>26</v>
      </c>
      <c r="Y79" s="102">
        <f t="shared" ref="Y79:Z90" si="119">H79</f>
        <v>1</v>
      </c>
      <c r="Z79" s="109">
        <f t="shared" si="119"/>
        <v>0</v>
      </c>
      <c r="AA79" s="109">
        <f t="shared" si="100"/>
        <v>0</v>
      </c>
      <c r="AB79" s="109">
        <f t="shared" ref="AB79:AD94" si="120">M79</f>
        <v>0</v>
      </c>
      <c r="AC79" s="4" t="str">
        <f t="shared" si="120"/>
        <v/>
      </c>
      <c r="AD79" s="105">
        <f t="shared" si="120"/>
        <v>0</v>
      </c>
      <c r="AE79" s="75" t="str">
        <f t="shared" si="101"/>
        <v>계</v>
      </c>
      <c r="AF79" s="75" t="str">
        <f t="shared" si="102"/>
        <v>3/2</v>
      </c>
      <c r="AH79" s="20" t="str">
        <f t="shared" si="85"/>
        <v>북면 창원동전월드메르디앙</v>
      </c>
      <c r="AI79" s="106">
        <f t="shared" si="117"/>
        <v>26</v>
      </c>
      <c r="AJ79" s="75" t="str">
        <f t="shared" si="103"/>
        <v>A-</v>
      </c>
      <c r="AK79" s="75" t="s">
        <v>14</v>
      </c>
      <c r="AL79" s="75" t="s">
        <v>944</v>
      </c>
      <c r="AM79" s="75" t="s">
        <v>945</v>
      </c>
      <c r="AN79" s="75" t="str">
        <f t="shared" si="104"/>
        <v>C</v>
      </c>
      <c r="AO79" s="75" t="str">
        <f t="shared" si="105"/>
        <v/>
      </c>
      <c r="AP79" s="75" t="str">
        <f t="shared" si="106"/>
        <v/>
      </c>
      <c r="AQ79" s="75" t="str">
        <f t="shared" si="107"/>
        <v>O</v>
      </c>
      <c r="AR79" s="75" t="str">
        <f t="shared" si="108"/>
        <v>O</v>
      </c>
      <c r="AS79" s="75" t="s">
        <v>2</v>
      </c>
      <c r="AT79" s="75" t="str">
        <f t="shared" si="109"/>
        <v>O</v>
      </c>
      <c r="AU79" s="75" t="str">
        <f t="shared" si="110"/>
        <v>X</v>
      </c>
      <c r="AV79" s="75" t="str">
        <f t="shared" si="111"/>
        <v/>
      </c>
    </row>
    <row r="80" spans="1:48" s="38" customFormat="1" ht="12" x14ac:dyDescent="0.3">
      <c r="A80" s="110" t="s">
        <v>1102</v>
      </c>
      <c r="B80" s="111" t="s">
        <v>1032</v>
      </c>
      <c r="C80" s="112">
        <v>217</v>
      </c>
      <c r="D80" s="104">
        <v>89.6</v>
      </c>
      <c r="E80" s="106">
        <v>27</v>
      </c>
      <c r="F80" s="104">
        <v>69.599999999999994</v>
      </c>
      <c r="G80" s="17">
        <v>21</v>
      </c>
      <c r="H80" s="107">
        <v>7</v>
      </c>
      <c r="I80" s="108"/>
      <c r="J80" s="108"/>
      <c r="K80" s="108"/>
      <c r="L80" s="108"/>
      <c r="M80" s="109">
        <f t="shared" si="96"/>
        <v>0</v>
      </c>
      <c r="N80" s="4" t="str">
        <f t="shared" si="97"/>
        <v/>
      </c>
      <c r="O80" s="105">
        <f t="shared" si="98"/>
        <v>0</v>
      </c>
      <c r="P80" s="105">
        <f t="shared" si="99"/>
        <v>0</v>
      </c>
      <c r="Q80" s="75">
        <v>3</v>
      </c>
      <c r="R80" s="75">
        <v>2</v>
      </c>
      <c r="S80" s="75" t="s">
        <v>947</v>
      </c>
      <c r="T80" s="5" t="s">
        <v>643</v>
      </c>
      <c r="U80" s="9"/>
      <c r="W80" s="104">
        <f t="shared" si="118"/>
        <v>89.6</v>
      </c>
      <c r="X80" s="106">
        <f t="shared" si="118"/>
        <v>27</v>
      </c>
      <c r="Y80" s="102">
        <f t="shared" si="119"/>
        <v>7</v>
      </c>
      <c r="Z80" s="109">
        <f t="shared" si="119"/>
        <v>0</v>
      </c>
      <c r="AA80" s="109">
        <f t="shared" si="100"/>
        <v>0</v>
      </c>
      <c r="AB80" s="109">
        <f t="shared" si="120"/>
        <v>0</v>
      </c>
      <c r="AC80" s="4" t="str">
        <f t="shared" si="120"/>
        <v/>
      </c>
      <c r="AD80" s="105">
        <f t="shared" si="120"/>
        <v>0</v>
      </c>
      <c r="AE80" s="75" t="str">
        <f t="shared" si="101"/>
        <v>계</v>
      </c>
      <c r="AF80" s="75" t="str">
        <f t="shared" si="102"/>
        <v>3/2</v>
      </c>
      <c r="AH80" s="20" t="str">
        <f t="shared" si="85"/>
        <v>북면 창원동전월드메르디앙</v>
      </c>
      <c r="AI80" s="106">
        <f t="shared" si="117"/>
        <v>27</v>
      </c>
      <c r="AJ80" s="75" t="str">
        <f t="shared" si="103"/>
        <v>A-</v>
      </c>
      <c r="AK80" s="75" t="s">
        <v>14</v>
      </c>
      <c r="AL80" s="75" t="s">
        <v>944</v>
      </c>
      <c r="AM80" s="75" t="s">
        <v>945</v>
      </c>
      <c r="AN80" s="75" t="str">
        <f t="shared" si="104"/>
        <v>C</v>
      </c>
      <c r="AO80" s="75" t="str">
        <f t="shared" si="105"/>
        <v/>
      </c>
      <c r="AP80" s="75" t="str">
        <f t="shared" si="106"/>
        <v/>
      </c>
      <c r="AQ80" s="75" t="str">
        <f t="shared" si="107"/>
        <v>O</v>
      </c>
      <c r="AR80" s="75" t="str">
        <f t="shared" si="108"/>
        <v>O</v>
      </c>
      <c r="AS80" s="75" t="s">
        <v>2</v>
      </c>
      <c r="AT80" s="75" t="str">
        <f t="shared" si="109"/>
        <v>O</v>
      </c>
      <c r="AU80" s="75" t="str">
        <f t="shared" si="110"/>
        <v>X</v>
      </c>
      <c r="AV80" s="75" t="str">
        <f t="shared" si="111"/>
        <v/>
      </c>
    </row>
    <row r="81" spans="1:48" s="38" customFormat="1" ht="12" x14ac:dyDescent="0.3">
      <c r="A81" s="110" t="s">
        <v>1102</v>
      </c>
      <c r="B81" s="111" t="s">
        <v>1032</v>
      </c>
      <c r="C81" s="112">
        <v>217</v>
      </c>
      <c r="D81" s="104">
        <v>90.2</v>
      </c>
      <c r="E81" s="106">
        <v>27</v>
      </c>
      <c r="F81" s="104">
        <v>69.3</v>
      </c>
      <c r="G81" s="17">
        <v>21</v>
      </c>
      <c r="H81" s="107">
        <v>20</v>
      </c>
      <c r="I81" s="108"/>
      <c r="J81" s="108"/>
      <c r="K81" s="108"/>
      <c r="L81" s="108"/>
      <c r="M81" s="109">
        <f t="shared" si="96"/>
        <v>0</v>
      </c>
      <c r="N81" s="4" t="str">
        <f t="shared" si="97"/>
        <v/>
      </c>
      <c r="O81" s="105">
        <f t="shared" si="98"/>
        <v>0</v>
      </c>
      <c r="P81" s="105">
        <f t="shared" si="99"/>
        <v>0</v>
      </c>
      <c r="Q81" s="75">
        <v>3</v>
      </c>
      <c r="R81" s="75">
        <v>2</v>
      </c>
      <c r="S81" s="75" t="s">
        <v>947</v>
      </c>
      <c r="T81" s="5" t="s">
        <v>644</v>
      </c>
      <c r="U81" s="9"/>
      <c r="W81" s="104">
        <f t="shared" si="118"/>
        <v>90.2</v>
      </c>
      <c r="X81" s="106">
        <f t="shared" si="118"/>
        <v>27</v>
      </c>
      <c r="Y81" s="102">
        <f t="shared" si="119"/>
        <v>20</v>
      </c>
      <c r="Z81" s="109">
        <f t="shared" si="119"/>
        <v>0</v>
      </c>
      <c r="AA81" s="109">
        <f t="shared" si="100"/>
        <v>0</v>
      </c>
      <c r="AB81" s="109">
        <f t="shared" si="120"/>
        <v>0</v>
      </c>
      <c r="AC81" s="4" t="str">
        <f t="shared" si="120"/>
        <v/>
      </c>
      <c r="AD81" s="105">
        <f t="shared" si="120"/>
        <v>0</v>
      </c>
      <c r="AE81" s="75" t="str">
        <f t="shared" si="101"/>
        <v>계</v>
      </c>
      <c r="AF81" s="75" t="str">
        <f t="shared" si="102"/>
        <v>3/2</v>
      </c>
      <c r="AH81" s="20" t="str">
        <f t="shared" si="85"/>
        <v>북면 창원동전월드메르디앙</v>
      </c>
      <c r="AI81" s="106">
        <f t="shared" si="117"/>
        <v>27</v>
      </c>
      <c r="AJ81" s="75" t="str">
        <f t="shared" si="103"/>
        <v>A-</v>
      </c>
      <c r="AK81" s="75" t="s">
        <v>14</v>
      </c>
      <c r="AL81" s="75" t="s">
        <v>944</v>
      </c>
      <c r="AM81" s="75" t="s">
        <v>945</v>
      </c>
      <c r="AN81" s="75" t="str">
        <f t="shared" si="104"/>
        <v>C</v>
      </c>
      <c r="AO81" s="75" t="str">
        <f t="shared" si="105"/>
        <v/>
      </c>
      <c r="AP81" s="75" t="str">
        <f t="shared" si="106"/>
        <v/>
      </c>
      <c r="AQ81" s="75" t="str">
        <f t="shared" si="107"/>
        <v>O</v>
      </c>
      <c r="AR81" s="75" t="str">
        <f t="shared" si="108"/>
        <v>O</v>
      </c>
      <c r="AS81" s="75" t="s">
        <v>2</v>
      </c>
      <c r="AT81" s="75" t="str">
        <f t="shared" si="109"/>
        <v>O</v>
      </c>
      <c r="AU81" s="75" t="str">
        <f t="shared" si="110"/>
        <v>X</v>
      </c>
      <c r="AV81" s="75" t="str">
        <f t="shared" si="111"/>
        <v/>
      </c>
    </row>
    <row r="82" spans="1:48" s="38" customFormat="1" ht="12" x14ac:dyDescent="0.3">
      <c r="A82" s="110" t="s">
        <v>1102</v>
      </c>
      <c r="B82" s="111" t="s">
        <v>1032</v>
      </c>
      <c r="C82" s="112">
        <v>217</v>
      </c>
      <c r="D82" s="104">
        <v>100.6</v>
      </c>
      <c r="E82" s="106">
        <v>30</v>
      </c>
      <c r="F82" s="104">
        <v>78.7</v>
      </c>
      <c r="G82" s="17">
        <v>24</v>
      </c>
      <c r="H82" s="107">
        <v>112</v>
      </c>
      <c r="I82" s="108"/>
      <c r="J82" s="108"/>
      <c r="K82" s="108"/>
      <c r="L82" s="108"/>
      <c r="M82" s="109">
        <f t="shared" si="96"/>
        <v>0</v>
      </c>
      <c r="N82" s="4" t="str">
        <f t="shared" si="97"/>
        <v/>
      </c>
      <c r="O82" s="105">
        <f t="shared" si="98"/>
        <v>0</v>
      </c>
      <c r="P82" s="105">
        <f t="shared" si="99"/>
        <v>0</v>
      </c>
      <c r="Q82" s="75">
        <v>3</v>
      </c>
      <c r="R82" s="75">
        <v>2</v>
      </c>
      <c r="S82" s="75" t="s">
        <v>947</v>
      </c>
      <c r="T82" s="5">
        <v>100</v>
      </c>
      <c r="U82" s="9"/>
      <c r="W82" s="104">
        <f t="shared" si="118"/>
        <v>100.6</v>
      </c>
      <c r="X82" s="106">
        <f t="shared" si="118"/>
        <v>30</v>
      </c>
      <c r="Y82" s="102">
        <f t="shared" si="119"/>
        <v>112</v>
      </c>
      <c r="Z82" s="109">
        <f t="shared" si="119"/>
        <v>0</v>
      </c>
      <c r="AA82" s="109">
        <f t="shared" si="100"/>
        <v>0</v>
      </c>
      <c r="AB82" s="109">
        <f t="shared" si="120"/>
        <v>0</v>
      </c>
      <c r="AC82" s="4" t="str">
        <f t="shared" si="120"/>
        <v/>
      </c>
      <c r="AD82" s="105">
        <f t="shared" si="120"/>
        <v>0</v>
      </c>
      <c r="AE82" s="75" t="str">
        <f t="shared" si="101"/>
        <v>계</v>
      </c>
      <c r="AF82" s="75" t="str">
        <f t="shared" si="102"/>
        <v>3/2</v>
      </c>
      <c r="AH82" s="20" t="str">
        <f t="shared" si="85"/>
        <v>북면 창원동전월드메르디앙</v>
      </c>
      <c r="AI82" s="106">
        <f t="shared" si="117"/>
        <v>30</v>
      </c>
      <c r="AJ82" s="75" t="str">
        <f t="shared" si="103"/>
        <v>A-</v>
      </c>
      <c r="AK82" s="75" t="s">
        <v>14</v>
      </c>
      <c r="AL82" s="75" t="s">
        <v>944</v>
      </c>
      <c r="AM82" s="75" t="s">
        <v>945</v>
      </c>
      <c r="AN82" s="75" t="str">
        <f t="shared" si="104"/>
        <v>C</v>
      </c>
      <c r="AO82" s="75" t="str">
        <f t="shared" si="105"/>
        <v/>
      </c>
      <c r="AP82" s="75" t="str">
        <f t="shared" si="106"/>
        <v/>
      </c>
      <c r="AQ82" s="75" t="str">
        <f t="shared" si="107"/>
        <v>O</v>
      </c>
      <c r="AR82" s="75" t="str">
        <f t="shared" si="108"/>
        <v>O</v>
      </c>
      <c r="AS82" s="75" t="s">
        <v>2</v>
      </c>
      <c r="AT82" s="75" t="str">
        <f t="shared" si="109"/>
        <v>O</v>
      </c>
      <c r="AU82" s="75" t="str">
        <f t="shared" si="110"/>
        <v>X</v>
      </c>
      <c r="AV82" s="75" t="str">
        <f t="shared" si="111"/>
        <v/>
      </c>
    </row>
    <row r="83" spans="1:48" s="38" customFormat="1" ht="12" x14ac:dyDescent="0.3">
      <c r="A83" s="110" t="s">
        <v>1033</v>
      </c>
      <c r="B83" s="111" t="s">
        <v>1034</v>
      </c>
      <c r="C83" s="112">
        <v>1665</v>
      </c>
      <c r="D83" s="104">
        <v>85.7</v>
      </c>
      <c r="E83" s="106">
        <v>26</v>
      </c>
      <c r="F83" s="104">
        <v>59.9</v>
      </c>
      <c r="G83" s="17">
        <v>18</v>
      </c>
      <c r="H83" s="107">
        <v>164</v>
      </c>
      <c r="I83" s="108"/>
      <c r="J83" s="108"/>
      <c r="K83" s="108"/>
      <c r="L83" s="108"/>
      <c r="M83" s="109">
        <f t="shared" ref="M83:M90" si="121">I83-K83</f>
        <v>0</v>
      </c>
      <c r="N83" s="4" t="str">
        <f t="shared" ref="N83:N90" si="122">IF(ISERROR(K83/I83),"",K83/I83)</f>
        <v/>
      </c>
      <c r="O83" s="105">
        <f t="shared" ref="O83:O90" si="123">I83/E83</f>
        <v>0</v>
      </c>
      <c r="P83" s="105">
        <f t="shared" ref="P83:P90" si="124">K83/E83</f>
        <v>0</v>
      </c>
      <c r="Q83" s="75">
        <v>3</v>
      </c>
      <c r="R83" s="75">
        <v>2</v>
      </c>
      <c r="S83" s="75" t="s">
        <v>947</v>
      </c>
      <c r="T83" s="5" t="s">
        <v>216</v>
      </c>
      <c r="U83" s="9"/>
      <c r="W83" s="104">
        <f t="shared" si="118"/>
        <v>85.7</v>
      </c>
      <c r="X83" s="106">
        <f t="shared" si="118"/>
        <v>26</v>
      </c>
      <c r="Y83" s="102">
        <f t="shared" si="119"/>
        <v>164</v>
      </c>
      <c r="Z83" s="109">
        <f t="shared" si="119"/>
        <v>0</v>
      </c>
      <c r="AA83" s="109">
        <f t="shared" ref="AA83:AA90" si="125">K83</f>
        <v>0</v>
      </c>
      <c r="AB83" s="109">
        <f t="shared" si="120"/>
        <v>0</v>
      </c>
      <c r="AC83" s="4" t="str">
        <f t="shared" si="120"/>
        <v/>
      </c>
      <c r="AD83" s="105">
        <f t="shared" si="120"/>
        <v>0</v>
      </c>
      <c r="AE83" s="75" t="str">
        <f t="shared" ref="AE83:AE90" si="126">S83</f>
        <v>계</v>
      </c>
      <c r="AF83" s="75" t="str">
        <f t="shared" ref="AF83:AF90" si="127">Q83&amp;"/"&amp;R83</f>
        <v>3/2</v>
      </c>
      <c r="AH83" s="20" t="str">
        <f t="shared" si="85"/>
        <v>북면 창원감계힐스테이트4차</v>
      </c>
      <c r="AI83" s="106">
        <f t="shared" si="117"/>
        <v>26</v>
      </c>
      <c r="AJ83" s="75" t="str">
        <f t="shared" ref="AJ83:AJ90" si="128">IF(AI83="","",$AJ$2)</f>
        <v>A-</v>
      </c>
      <c r="AK83" s="75" t="s">
        <v>14</v>
      </c>
      <c r="AL83" s="75" t="s">
        <v>944</v>
      </c>
      <c r="AM83" s="75" t="s">
        <v>945</v>
      </c>
      <c r="AN83" s="75" t="str">
        <f t="shared" ref="AN83:AN90" si="129">IF(AI83="","",$AN$2)</f>
        <v>C</v>
      </c>
      <c r="AO83" s="75" t="str">
        <f t="shared" ref="AO83:AO90" si="130">IF(N83="","",IF(N83&gt;=$AO$1/100,"O","X"))</f>
        <v/>
      </c>
      <c r="AP83" s="75" t="str">
        <f t="shared" ref="AP83:AP90" si="131">IF(I83="","",IF(I83&lt;=$AP$1,"O","X"))</f>
        <v/>
      </c>
      <c r="AQ83" s="75" t="str">
        <f t="shared" ref="AQ83:AQ90" si="132">IF(O83="","",IF(O83&lt;=$AQ$1,"O","X"))</f>
        <v>O</v>
      </c>
      <c r="AR83" s="75" t="str">
        <f t="shared" ref="AR83:AR90" si="133">IF(M83="","",IF(M83&lt;=$AR$1,"O","X"))</f>
        <v>O</v>
      </c>
      <c r="AS83" s="75" t="s">
        <v>2</v>
      </c>
      <c r="AT83" s="75" t="str">
        <f t="shared" ref="AT83:AT90" si="134">IF(OR(F83="",AI83=""),"",IF(AND((F83&lt;=85),(AI83&gt;=15)),"O","X"))</f>
        <v>O</v>
      </c>
      <c r="AU83" s="75" t="str">
        <f t="shared" ref="AU83:AU90" si="135">IF(C83="","",IF(C83&gt;=$AU$1,"O","X"))</f>
        <v>O</v>
      </c>
      <c r="AV83" s="75" t="str">
        <f t="shared" ref="AV83:AV90" si="136">IF(AO83="","",IF(AND(AO83="O",AP83="O",AR83="O",AT83="O",AU83="O"),"후보","X"))</f>
        <v/>
      </c>
    </row>
    <row r="84" spans="1:48" s="38" customFormat="1" ht="12" x14ac:dyDescent="0.3">
      <c r="A84" s="110" t="s">
        <v>1033</v>
      </c>
      <c r="B84" s="111" t="s">
        <v>1034</v>
      </c>
      <c r="C84" s="112">
        <v>1665</v>
      </c>
      <c r="D84" s="104">
        <v>85.4</v>
      </c>
      <c r="E84" s="106">
        <v>26</v>
      </c>
      <c r="F84" s="104">
        <v>59</v>
      </c>
      <c r="G84" s="17">
        <v>18</v>
      </c>
      <c r="H84" s="107">
        <v>93</v>
      </c>
      <c r="I84" s="108">
        <v>24000</v>
      </c>
      <c r="J84" s="108" t="s">
        <v>954</v>
      </c>
      <c r="K84" s="108"/>
      <c r="L84" s="108"/>
      <c r="M84" s="109">
        <f t="shared" si="121"/>
        <v>24000</v>
      </c>
      <c r="N84" s="4">
        <f t="shared" si="122"/>
        <v>0</v>
      </c>
      <c r="O84" s="105">
        <f t="shared" si="123"/>
        <v>923.07692307692309</v>
      </c>
      <c r="P84" s="105">
        <f t="shared" si="124"/>
        <v>0</v>
      </c>
      <c r="Q84" s="75">
        <v>3</v>
      </c>
      <c r="R84" s="75">
        <v>2</v>
      </c>
      <c r="S84" s="75" t="s">
        <v>947</v>
      </c>
      <c r="T84" s="5" t="s">
        <v>188</v>
      </c>
      <c r="U84" s="9"/>
      <c r="W84" s="104">
        <f t="shared" si="118"/>
        <v>85.4</v>
      </c>
      <c r="X84" s="106">
        <f t="shared" si="118"/>
        <v>26</v>
      </c>
      <c r="Y84" s="102">
        <f t="shared" si="119"/>
        <v>93</v>
      </c>
      <c r="Z84" s="109">
        <f t="shared" si="119"/>
        <v>24000</v>
      </c>
      <c r="AA84" s="109">
        <f t="shared" si="125"/>
        <v>0</v>
      </c>
      <c r="AB84" s="109">
        <f t="shared" si="120"/>
        <v>24000</v>
      </c>
      <c r="AC84" s="4">
        <f t="shared" si="120"/>
        <v>0</v>
      </c>
      <c r="AD84" s="105">
        <f t="shared" si="120"/>
        <v>923.07692307692309</v>
      </c>
      <c r="AE84" s="75" t="str">
        <f t="shared" si="126"/>
        <v>계</v>
      </c>
      <c r="AF84" s="75" t="str">
        <f t="shared" si="127"/>
        <v>3/2</v>
      </c>
      <c r="AH84" s="20" t="str">
        <f t="shared" si="85"/>
        <v>북면 창원감계힐스테이트4차</v>
      </c>
      <c r="AI84" s="106">
        <f t="shared" si="117"/>
        <v>26</v>
      </c>
      <c r="AJ84" s="75" t="str">
        <f t="shared" si="128"/>
        <v>A-</v>
      </c>
      <c r="AK84" s="75" t="s">
        <v>14</v>
      </c>
      <c r="AL84" s="75" t="s">
        <v>944</v>
      </c>
      <c r="AM84" s="75" t="s">
        <v>945</v>
      </c>
      <c r="AN84" s="75" t="str">
        <f t="shared" si="129"/>
        <v>C</v>
      </c>
      <c r="AO84" s="75" t="str">
        <f t="shared" si="130"/>
        <v>X</v>
      </c>
      <c r="AP84" s="75" t="str">
        <f t="shared" si="131"/>
        <v>O</v>
      </c>
      <c r="AQ84" s="75" t="str">
        <f t="shared" si="132"/>
        <v>O</v>
      </c>
      <c r="AR84" s="75" t="str">
        <f t="shared" si="133"/>
        <v>X</v>
      </c>
      <c r="AS84" s="75" t="s">
        <v>2</v>
      </c>
      <c r="AT84" s="75" t="str">
        <f t="shared" si="134"/>
        <v>O</v>
      </c>
      <c r="AU84" s="75" t="str">
        <f t="shared" si="135"/>
        <v>O</v>
      </c>
      <c r="AV84" s="75" t="str">
        <f t="shared" si="136"/>
        <v>X</v>
      </c>
    </row>
    <row r="85" spans="1:48" s="38" customFormat="1" ht="12" x14ac:dyDescent="0.3">
      <c r="A85" s="110" t="s">
        <v>1103</v>
      </c>
      <c r="B85" s="111" t="s">
        <v>1034</v>
      </c>
      <c r="C85" s="112">
        <v>1665</v>
      </c>
      <c r="D85" s="104">
        <v>95.3</v>
      </c>
      <c r="E85" s="106">
        <v>29</v>
      </c>
      <c r="F85" s="104">
        <v>69</v>
      </c>
      <c r="G85" s="17">
        <v>21</v>
      </c>
      <c r="H85" s="107">
        <v>380</v>
      </c>
      <c r="I85" s="108"/>
      <c r="J85" s="108"/>
      <c r="K85" s="108"/>
      <c r="L85" s="108"/>
      <c r="M85" s="109">
        <f t="shared" si="121"/>
        <v>0</v>
      </c>
      <c r="N85" s="4" t="str">
        <f t="shared" si="122"/>
        <v/>
      </c>
      <c r="O85" s="105">
        <f t="shared" si="123"/>
        <v>0</v>
      </c>
      <c r="P85" s="105">
        <f t="shared" si="124"/>
        <v>0</v>
      </c>
      <c r="Q85" s="75">
        <v>3</v>
      </c>
      <c r="R85" s="75">
        <v>2</v>
      </c>
      <c r="S85" s="75" t="s">
        <v>947</v>
      </c>
      <c r="T85" s="5" t="s">
        <v>622</v>
      </c>
      <c r="U85" s="9"/>
      <c r="W85" s="104">
        <f t="shared" si="118"/>
        <v>95.3</v>
      </c>
      <c r="X85" s="106">
        <f t="shared" si="118"/>
        <v>29</v>
      </c>
      <c r="Y85" s="102">
        <f t="shared" si="119"/>
        <v>380</v>
      </c>
      <c r="Z85" s="109">
        <f t="shared" si="119"/>
        <v>0</v>
      </c>
      <c r="AA85" s="109">
        <f t="shared" si="125"/>
        <v>0</v>
      </c>
      <c r="AB85" s="109">
        <f t="shared" si="120"/>
        <v>0</v>
      </c>
      <c r="AC85" s="4" t="str">
        <f t="shared" si="120"/>
        <v/>
      </c>
      <c r="AD85" s="105">
        <f t="shared" si="120"/>
        <v>0</v>
      </c>
      <c r="AE85" s="75" t="str">
        <f t="shared" si="126"/>
        <v>계</v>
      </c>
      <c r="AF85" s="75" t="str">
        <f t="shared" si="127"/>
        <v>3/2</v>
      </c>
      <c r="AH85" s="20" t="str">
        <f t="shared" si="85"/>
        <v>북면 창원감계힐스테이트4차</v>
      </c>
      <c r="AI85" s="106">
        <f t="shared" si="117"/>
        <v>29</v>
      </c>
      <c r="AJ85" s="75" t="str">
        <f t="shared" si="128"/>
        <v>A-</v>
      </c>
      <c r="AK85" s="75" t="s">
        <v>14</v>
      </c>
      <c r="AL85" s="75" t="s">
        <v>944</v>
      </c>
      <c r="AM85" s="75" t="s">
        <v>945</v>
      </c>
      <c r="AN85" s="75" t="str">
        <f t="shared" si="129"/>
        <v>C</v>
      </c>
      <c r="AO85" s="75" t="str">
        <f t="shared" si="130"/>
        <v/>
      </c>
      <c r="AP85" s="75" t="str">
        <f t="shared" si="131"/>
        <v/>
      </c>
      <c r="AQ85" s="75" t="str">
        <f t="shared" si="132"/>
        <v>O</v>
      </c>
      <c r="AR85" s="75" t="str">
        <f t="shared" si="133"/>
        <v>O</v>
      </c>
      <c r="AS85" s="75" t="s">
        <v>2</v>
      </c>
      <c r="AT85" s="75" t="str">
        <f t="shared" si="134"/>
        <v>O</v>
      </c>
      <c r="AU85" s="75" t="str">
        <f t="shared" si="135"/>
        <v>O</v>
      </c>
      <c r="AV85" s="75" t="str">
        <f t="shared" si="136"/>
        <v/>
      </c>
    </row>
    <row r="86" spans="1:48" s="38" customFormat="1" ht="12" x14ac:dyDescent="0.3">
      <c r="A86" s="110" t="s">
        <v>1033</v>
      </c>
      <c r="B86" s="111" t="s">
        <v>1034</v>
      </c>
      <c r="C86" s="112">
        <v>1665</v>
      </c>
      <c r="D86" s="104">
        <v>95.8</v>
      </c>
      <c r="E86" s="106">
        <v>29</v>
      </c>
      <c r="F86" s="104">
        <v>68.7</v>
      </c>
      <c r="G86" s="17">
        <v>21</v>
      </c>
      <c r="H86" s="107">
        <v>95</v>
      </c>
      <c r="I86" s="108">
        <v>30000</v>
      </c>
      <c r="J86" s="108" t="s">
        <v>974</v>
      </c>
      <c r="K86" s="108"/>
      <c r="L86" s="108"/>
      <c r="M86" s="109">
        <f t="shared" si="121"/>
        <v>30000</v>
      </c>
      <c r="N86" s="4">
        <f t="shared" si="122"/>
        <v>0</v>
      </c>
      <c r="O86" s="105">
        <f t="shared" si="123"/>
        <v>1034.4827586206898</v>
      </c>
      <c r="P86" s="105">
        <f t="shared" si="124"/>
        <v>0</v>
      </c>
      <c r="Q86" s="75">
        <v>3</v>
      </c>
      <c r="R86" s="75">
        <v>2</v>
      </c>
      <c r="S86" s="75" t="s">
        <v>947</v>
      </c>
      <c r="T86" s="5" t="s">
        <v>626</v>
      </c>
      <c r="U86" s="9"/>
      <c r="W86" s="104">
        <f t="shared" si="118"/>
        <v>95.8</v>
      </c>
      <c r="X86" s="106">
        <f t="shared" si="118"/>
        <v>29</v>
      </c>
      <c r="Y86" s="102">
        <f t="shared" si="119"/>
        <v>95</v>
      </c>
      <c r="Z86" s="109">
        <f t="shared" si="119"/>
        <v>30000</v>
      </c>
      <c r="AA86" s="109">
        <f t="shared" si="125"/>
        <v>0</v>
      </c>
      <c r="AB86" s="109">
        <f t="shared" si="120"/>
        <v>30000</v>
      </c>
      <c r="AC86" s="4">
        <f t="shared" si="120"/>
        <v>0</v>
      </c>
      <c r="AD86" s="105">
        <f t="shared" si="120"/>
        <v>1034.4827586206898</v>
      </c>
      <c r="AE86" s="75" t="str">
        <f t="shared" si="126"/>
        <v>계</v>
      </c>
      <c r="AF86" s="75" t="str">
        <f t="shared" si="127"/>
        <v>3/2</v>
      </c>
      <c r="AH86" s="20" t="str">
        <f t="shared" si="85"/>
        <v>북면 창원감계힐스테이트4차</v>
      </c>
      <c r="AI86" s="106">
        <f t="shared" si="117"/>
        <v>29</v>
      </c>
      <c r="AJ86" s="75" t="str">
        <f t="shared" si="128"/>
        <v>A-</v>
      </c>
      <c r="AK86" s="75" t="s">
        <v>14</v>
      </c>
      <c r="AL86" s="75" t="s">
        <v>944</v>
      </c>
      <c r="AM86" s="75" t="s">
        <v>945</v>
      </c>
      <c r="AN86" s="75" t="str">
        <f t="shared" si="129"/>
        <v>C</v>
      </c>
      <c r="AO86" s="75" t="str">
        <f t="shared" si="130"/>
        <v>X</v>
      </c>
      <c r="AP86" s="75" t="str">
        <f t="shared" si="131"/>
        <v>O</v>
      </c>
      <c r="AQ86" s="75" t="str">
        <f t="shared" si="132"/>
        <v>X</v>
      </c>
      <c r="AR86" s="75" t="str">
        <f t="shared" si="133"/>
        <v>X</v>
      </c>
      <c r="AS86" s="75" t="s">
        <v>2</v>
      </c>
      <c r="AT86" s="75" t="str">
        <f t="shared" si="134"/>
        <v>O</v>
      </c>
      <c r="AU86" s="75" t="str">
        <f t="shared" si="135"/>
        <v>O</v>
      </c>
      <c r="AV86" s="75" t="str">
        <f t="shared" si="136"/>
        <v>X</v>
      </c>
    </row>
    <row r="87" spans="1:48" s="38" customFormat="1" ht="12" x14ac:dyDescent="0.3">
      <c r="A87" s="110" t="s">
        <v>1033</v>
      </c>
      <c r="B87" s="111" t="s">
        <v>1034</v>
      </c>
      <c r="C87" s="112">
        <v>1665</v>
      </c>
      <c r="D87" s="104">
        <v>108.1</v>
      </c>
      <c r="E87" s="106">
        <v>33</v>
      </c>
      <c r="F87" s="104">
        <v>79</v>
      </c>
      <c r="G87" s="17">
        <v>24</v>
      </c>
      <c r="H87" s="107">
        <v>143</v>
      </c>
      <c r="I87" s="108"/>
      <c r="J87" s="108"/>
      <c r="K87" s="108"/>
      <c r="L87" s="108"/>
      <c r="M87" s="109">
        <f t="shared" si="121"/>
        <v>0</v>
      </c>
      <c r="N87" s="4" t="str">
        <f t="shared" si="122"/>
        <v/>
      </c>
      <c r="O87" s="105">
        <f t="shared" si="123"/>
        <v>0</v>
      </c>
      <c r="P87" s="105">
        <f t="shared" si="124"/>
        <v>0</v>
      </c>
      <c r="Q87" s="75">
        <v>3</v>
      </c>
      <c r="R87" s="75">
        <v>2</v>
      </c>
      <c r="S87" s="75" t="s">
        <v>947</v>
      </c>
      <c r="T87" s="5" t="s">
        <v>565</v>
      </c>
      <c r="U87" s="9"/>
      <c r="W87" s="104">
        <f t="shared" si="118"/>
        <v>108.1</v>
      </c>
      <c r="X87" s="106">
        <f t="shared" si="118"/>
        <v>33</v>
      </c>
      <c r="Y87" s="102">
        <f t="shared" si="119"/>
        <v>143</v>
      </c>
      <c r="Z87" s="109">
        <f t="shared" si="119"/>
        <v>0</v>
      </c>
      <c r="AA87" s="109">
        <f t="shared" si="125"/>
        <v>0</v>
      </c>
      <c r="AB87" s="109">
        <f t="shared" si="120"/>
        <v>0</v>
      </c>
      <c r="AC87" s="4" t="str">
        <f t="shared" si="120"/>
        <v/>
      </c>
      <c r="AD87" s="105">
        <f t="shared" si="120"/>
        <v>0</v>
      </c>
      <c r="AE87" s="75" t="str">
        <f t="shared" si="126"/>
        <v>계</v>
      </c>
      <c r="AF87" s="75" t="str">
        <f t="shared" si="127"/>
        <v>3/2</v>
      </c>
      <c r="AH87" s="20" t="str">
        <f t="shared" si="85"/>
        <v>북면 창원감계힐스테이트4차</v>
      </c>
      <c r="AI87" s="106">
        <f t="shared" si="117"/>
        <v>33</v>
      </c>
      <c r="AJ87" s="75" t="str">
        <f t="shared" si="128"/>
        <v>A-</v>
      </c>
      <c r="AK87" s="75" t="s">
        <v>14</v>
      </c>
      <c r="AL87" s="75" t="s">
        <v>944</v>
      </c>
      <c r="AM87" s="75" t="s">
        <v>945</v>
      </c>
      <c r="AN87" s="75" t="str">
        <f t="shared" si="129"/>
        <v>C</v>
      </c>
      <c r="AO87" s="75" t="str">
        <f t="shared" si="130"/>
        <v/>
      </c>
      <c r="AP87" s="75" t="str">
        <f t="shared" si="131"/>
        <v/>
      </c>
      <c r="AQ87" s="75" t="str">
        <f t="shared" si="132"/>
        <v>O</v>
      </c>
      <c r="AR87" s="75" t="str">
        <f t="shared" si="133"/>
        <v>O</v>
      </c>
      <c r="AS87" s="75" t="s">
        <v>2</v>
      </c>
      <c r="AT87" s="75" t="str">
        <f t="shared" si="134"/>
        <v>O</v>
      </c>
      <c r="AU87" s="75" t="str">
        <f t="shared" si="135"/>
        <v>O</v>
      </c>
      <c r="AV87" s="75" t="str">
        <f t="shared" si="136"/>
        <v/>
      </c>
    </row>
    <row r="88" spans="1:48" s="38" customFormat="1" ht="12" x14ac:dyDescent="0.3">
      <c r="A88" s="110" t="s">
        <v>1033</v>
      </c>
      <c r="B88" s="111" t="s">
        <v>1034</v>
      </c>
      <c r="C88" s="112">
        <v>1665</v>
      </c>
      <c r="D88" s="104">
        <v>108.3</v>
      </c>
      <c r="E88" s="106">
        <v>33</v>
      </c>
      <c r="F88" s="104">
        <v>78.900000000000006</v>
      </c>
      <c r="G88" s="17">
        <v>24</v>
      </c>
      <c r="H88" s="107">
        <v>142</v>
      </c>
      <c r="I88" s="108">
        <v>32000</v>
      </c>
      <c r="J88" s="108" t="s">
        <v>954</v>
      </c>
      <c r="K88" s="108">
        <v>29000</v>
      </c>
      <c r="L88" s="108" t="s">
        <v>954</v>
      </c>
      <c r="M88" s="109">
        <f t="shared" si="121"/>
        <v>3000</v>
      </c>
      <c r="N88" s="4">
        <f t="shared" si="122"/>
        <v>0.90625</v>
      </c>
      <c r="O88" s="105">
        <f t="shared" si="123"/>
        <v>969.69696969696975</v>
      </c>
      <c r="P88" s="105">
        <f t="shared" si="124"/>
        <v>878.78787878787875</v>
      </c>
      <c r="Q88" s="75">
        <v>3</v>
      </c>
      <c r="R88" s="75">
        <v>2</v>
      </c>
      <c r="S88" s="75" t="s">
        <v>947</v>
      </c>
      <c r="T88" s="5" t="s">
        <v>570</v>
      </c>
      <c r="U88" s="9"/>
      <c r="W88" s="104">
        <f t="shared" si="118"/>
        <v>108.3</v>
      </c>
      <c r="X88" s="106">
        <f t="shared" si="118"/>
        <v>33</v>
      </c>
      <c r="Y88" s="102">
        <f t="shared" si="119"/>
        <v>142</v>
      </c>
      <c r="Z88" s="109">
        <f t="shared" si="119"/>
        <v>32000</v>
      </c>
      <c r="AA88" s="109">
        <f t="shared" si="125"/>
        <v>29000</v>
      </c>
      <c r="AB88" s="109">
        <f t="shared" si="120"/>
        <v>3000</v>
      </c>
      <c r="AC88" s="4">
        <f t="shared" si="120"/>
        <v>0.90625</v>
      </c>
      <c r="AD88" s="105">
        <f t="shared" si="120"/>
        <v>969.69696969696975</v>
      </c>
      <c r="AE88" s="75" t="str">
        <f t="shared" si="126"/>
        <v>계</v>
      </c>
      <c r="AF88" s="75" t="str">
        <f t="shared" si="127"/>
        <v>3/2</v>
      </c>
      <c r="AH88" s="20" t="str">
        <f t="shared" si="85"/>
        <v>북면 창원감계힐스테이트4차</v>
      </c>
      <c r="AI88" s="106">
        <f t="shared" si="117"/>
        <v>33</v>
      </c>
      <c r="AJ88" s="75" t="str">
        <f t="shared" si="128"/>
        <v>A-</v>
      </c>
      <c r="AK88" s="75" t="s">
        <v>14</v>
      </c>
      <c r="AL88" s="75" t="s">
        <v>944</v>
      </c>
      <c r="AM88" s="75" t="s">
        <v>945</v>
      </c>
      <c r="AN88" s="75" t="str">
        <f t="shared" si="129"/>
        <v>C</v>
      </c>
      <c r="AO88" s="75" t="str">
        <f t="shared" si="130"/>
        <v>O</v>
      </c>
      <c r="AP88" s="75" t="str">
        <f t="shared" si="131"/>
        <v>O</v>
      </c>
      <c r="AQ88" s="75" t="str">
        <f t="shared" si="132"/>
        <v>O</v>
      </c>
      <c r="AR88" s="75" t="str">
        <f t="shared" si="133"/>
        <v>O</v>
      </c>
      <c r="AS88" s="75" t="s">
        <v>2</v>
      </c>
      <c r="AT88" s="75" t="str">
        <f t="shared" si="134"/>
        <v>O</v>
      </c>
      <c r="AU88" s="75" t="str">
        <f t="shared" si="135"/>
        <v>O</v>
      </c>
      <c r="AV88" s="75" t="str">
        <f t="shared" si="136"/>
        <v>후보</v>
      </c>
    </row>
    <row r="89" spans="1:48" s="38" customFormat="1" ht="12" x14ac:dyDescent="0.3">
      <c r="A89" s="110" t="s">
        <v>1033</v>
      </c>
      <c r="B89" s="111" t="s">
        <v>1034</v>
      </c>
      <c r="C89" s="112">
        <v>1665</v>
      </c>
      <c r="D89" s="104">
        <v>115.7</v>
      </c>
      <c r="E89" s="106">
        <v>35</v>
      </c>
      <c r="F89" s="104">
        <v>85</v>
      </c>
      <c r="G89" s="17">
        <v>26</v>
      </c>
      <c r="H89" s="107">
        <v>514</v>
      </c>
      <c r="I89" s="108">
        <v>35000</v>
      </c>
      <c r="J89" s="108" t="s">
        <v>957</v>
      </c>
      <c r="K89" s="108">
        <v>30000</v>
      </c>
      <c r="L89" s="108" t="s">
        <v>959</v>
      </c>
      <c r="M89" s="109">
        <f t="shared" si="121"/>
        <v>5000</v>
      </c>
      <c r="N89" s="4">
        <f t="shared" si="122"/>
        <v>0.8571428571428571</v>
      </c>
      <c r="O89" s="105">
        <f t="shared" si="123"/>
        <v>1000</v>
      </c>
      <c r="P89" s="105">
        <f t="shared" si="124"/>
        <v>857.14285714285711</v>
      </c>
      <c r="Q89" s="75">
        <v>3</v>
      </c>
      <c r="R89" s="75">
        <v>2</v>
      </c>
      <c r="S89" s="75" t="s">
        <v>947</v>
      </c>
      <c r="T89" s="5">
        <v>115</v>
      </c>
      <c r="U89" s="9"/>
      <c r="W89" s="104">
        <f t="shared" si="118"/>
        <v>115.7</v>
      </c>
      <c r="X89" s="106">
        <f t="shared" si="118"/>
        <v>35</v>
      </c>
      <c r="Y89" s="102">
        <f t="shared" si="119"/>
        <v>514</v>
      </c>
      <c r="Z89" s="109">
        <f t="shared" si="119"/>
        <v>35000</v>
      </c>
      <c r="AA89" s="109">
        <f t="shared" si="125"/>
        <v>30000</v>
      </c>
      <c r="AB89" s="109">
        <f t="shared" si="120"/>
        <v>5000</v>
      </c>
      <c r="AC89" s="4">
        <f t="shared" si="120"/>
        <v>0.8571428571428571</v>
      </c>
      <c r="AD89" s="105">
        <f t="shared" si="120"/>
        <v>1000</v>
      </c>
      <c r="AE89" s="75" t="str">
        <f t="shared" si="126"/>
        <v>계</v>
      </c>
      <c r="AF89" s="75" t="str">
        <f t="shared" si="127"/>
        <v>3/2</v>
      </c>
      <c r="AH89" s="20" t="str">
        <f t="shared" si="85"/>
        <v>북면 창원감계힐스테이트4차</v>
      </c>
      <c r="AI89" s="106">
        <f t="shared" si="117"/>
        <v>35</v>
      </c>
      <c r="AJ89" s="75" t="str">
        <f t="shared" si="128"/>
        <v>A-</v>
      </c>
      <c r="AK89" s="75" t="s">
        <v>14</v>
      </c>
      <c r="AL89" s="75" t="s">
        <v>944</v>
      </c>
      <c r="AM89" s="75" t="s">
        <v>945</v>
      </c>
      <c r="AN89" s="75" t="str">
        <f t="shared" si="129"/>
        <v>C</v>
      </c>
      <c r="AO89" s="75" t="str">
        <f t="shared" si="130"/>
        <v>O</v>
      </c>
      <c r="AP89" s="75" t="str">
        <f t="shared" si="131"/>
        <v>O</v>
      </c>
      <c r="AQ89" s="75" t="str">
        <f t="shared" si="132"/>
        <v>O</v>
      </c>
      <c r="AR89" s="75" t="str">
        <f t="shared" si="133"/>
        <v>O</v>
      </c>
      <c r="AS89" s="75" t="s">
        <v>2</v>
      </c>
      <c r="AT89" s="75" t="str">
        <f t="shared" si="134"/>
        <v>O</v>
      </c>
      <c r="AU89" s="75" t="str">
        <f t="shared" si="135"/>
        <v>O</v>
      </c>
      <c r="AV89" s="75" t="str">
        <f t="shared" si="136"/>
        <v>후보</v>
      </c>
    </row>
    <row r="90" spans="1:48" s="38" customFormat="1" ht="12" x14ac:dyDescent="0.3">
      <c r="A90" s="110" t="s">
        <v>1033</v>
      </c>
      <c r="B90" s="111" t="s">
        <v>1034</v>
      </c>
      <c r="C90" s="112">
        <v>1665</v>
      </c>
      <c r="D90" s="104">
        <v>131.80000000000001</v>
      </c>
      <c r="E90" s="106">
        <v>40</v>
      </c>
      <c r="F90" s="104">
        <v>101.9</v>
      </c>
      <c r="G90" s="17">
        <v>31</v>
      </c>
      <c r="H90" s="107">
        <v>134</v>
      </c>
      <c r="I90" s="108">
        <v>44500</v>
      </c>
      <c r="J90" s="108" t="s">
        <v>954</v>
      </c>
      <c r="K90" s="108">
        <v>30000</v>
      </c>
      <c r="L90" s="108" t="s">
        <v>957</v>
      </c>
      <c r="M90" s="109">
        <f t="shared" si="121"/>
        <v>14500</v>
      </c>
      <c r="N90" s="4">
        <f t="shared" si="122"/>
        <v>0.6741573033707865</v>
      </c>
      <c r="O90" s="105">
        <f t="shared" si="123"/>
        <v>1112.5</v>
      </c>
      <c r="P90" s="105">
        <f t="shared" si="124"/>
        <v>750</v>
      </c>
      <c r="Q90" s="75">
        <v>4</v>
      </c>
      <c r="R90" s="75">
        <v>2</v>
      </c>
      <c r="S90" s="75" t="s">
        <v>947</v>
      </c>
      <c r="T90" s="5">
        <v>131</v>
      </c>
      <c r="U90" s="9"/>
      <c r="W90" s="104">
        <f t="shared" si="118"/>
        <v>131.80000000000001</v>
      </c>
      <c r="X90" s="106">
        <f t="shared" si="118"/>
        <v>40</v>
      </c>
      <c r="Y90" s="102">
        <f t="shared" si="119"/>
        <v>134</v>
      </c>
      <c r="Z90" s="109">
        <f t="shared" si="119"/>
        <v>44500</v>
      </c>
      <c r="AA90" s="109">
        <f t="shared" si="125"/>
        <v>30000</v>
      </c>
      <c r="AB90" s="109">
        <f t="shared" si="120"/>
        <v>14500</v>
      </c>
      <c r="AC90" s="4">
        <f t="shared" si="120"/>
        <v>0.6741573033707865</v>
      </c>
      <c r="AD90" s="105">
        <f t="shared" si="120"/>
        <v>1112.5</v>
      </c>
      <c r="AE90" s="75" t="str">
        <f t="shared" si="126"/>
        <v>계</v>
      </c>
      <c r="AF90" s="75" t="str">
        <f t="shared" si="127"/>
        <v>4/2</v>
      </c>
      <c r="AH90" s="20" t="str">
        <f t="shared" si="85"/>
        <v>북면 창원감계힐스테이트4차</v>
      </c>
      <c r="AI90" s="106">
        <f t="shared" si="117"/>
        <v>40</v>
      </c>
      <c r="AJ90" s="75" t="str">
        <f t="shared" si="128"/>
        <v>A-</v>
      </c>
      <c r="AK90" s="75" t="s">
        <v>14</v>
      </c>
      <c r="AL90" s="75" t="s">
        <v>944</v>
      </c>
      <c r="AM90" s="75" t="s">
        <v>945</v>
      </c>
      <c r="AN90" s="75" t="str">
        <f t="shared" si="129"/>
        <v>C</v>
      </c>
      <c r="AO90" s="75" t="str">
        <f t="shared" si="130"/>
        <v>X</v>
      </c>
      <c r="AP90" s="75" t="str">
        <f t="shared" si="131"/>
        <v>O</v>
      </c>
      <c r="AQ90" s="75" t="str">
        <f t="shared" si="132"/>
        <v>X</v>
      </c>
      <c r="AR90" s="75" t="str">
        <f t="shared" si="133"/>
        <v>X</v>
      </c>
      <c r="AS90" s="75" t="s">
        <v>2</v>
      </c>
      <c r="AT90" s="75" t="str">
        <f t="shared" si="134"/>
        <v>X</v>
      </c>
      <c r="AU90" s="75" t="str">
        <f t="shared" si="135"/>
        <v>O</v>
      </c>
      <c r="AV90" s="75" t="str">
        <f t="shared" si="136"/>
        <v>X</v>
      </c>
    </row>
    <row r="91" spans="1:48" s="38" customFormat="1" ht="12" x14ac:dyDescent="0.3">
      <c r="A91" s="110" t="s">
        <v>1104</v>
      </c>
      <c r="B91" s="111" t="s">
        <v>1105</v>
      </c>
      <c r="C91" s="112">
        <v>294</v>
      </c>
      <c r="D91" s="104">
        <v>69.400000000000006</v>
      </c>
      <c r="E91" s="106">
        <v>21</v>
      </c>
      <c r="F91" s="104">
        <v>59.8</v>
      </c>
      <c r="G91" s="17">
        <v>18</v>
      </c>
      <c r="H91" s="107">
        <v>174</v>
      </c>
      <c r="I91" s="108"/>
      <c r="J91" s="108"/>
      <c r="K91" s="108"/>
      <c r="L91" s="108"/>
      <c r="M91" s="109">
        <f t="shared" ref="M91:M136" si="137">I91-K91</f>
        <v>0</v>
      </c>
      <c r="N91" s="4" t="str">
        <f t="shared" ref="N91:N136" si="138">IF(ISERROR(K91/I91),"",K91/I91)</f>
        <v/>
      </c>
      <c r="O91" s="105">
        <f t="shared" ref="O91:O136" si="139">I91/E91</f>
        <v>0</v>
      </c>
      <c r="P91" s="105">
        <f t="shared" ref="P91:P136" si="140">K91/E91</f>
        <v>0</v>
      </c>
      <c r="Q91" s="75">
        <v>3</v>
      </c>
      <c r="R91" s="75">
        <v>1</v>
      </c>
      <c r="S91" s="75" t="s">
        <v>947</v>
      </c>
      <c r="T91" s="5" t="s">
        <v>349</v>
      </c>
      <c r="U91" s="9"/>
      <c r="W91" s="104">
        <f>D91</f>
        <v>69.400000000000006</v>
      </c>
      <c r="X91" s="106">
        <f>E91</f>
        <v>21</v>
      </c>
      <c r="Y91" s="102">
        <f>H91</f>
        <v>174</v>
      </c>
      <c r="Z91" s="109">
        <f>I91</f>
        <v>0</v>
      </c>
      <c r="AA91" s="109">
        <f t="shared" ref="AA91:AA136" si="141">K91</f>
        <v>0</v>
      </c>
      <c r="AB91" s="109">
        <f t="shared" si="120"/>
        <v>0</v>
      </c>
      <c r="AC91" s="4" t="str">
        <f t="shared" si="120"/>
        <v/>
      </c>
      <c r="AD91" s="105">
        <f t="shared" si="120"/>
        <v>0</v>
      </c>
      <c r="AE91" s="75" t="str">
        <f t="shared" ref="AE91:AE136" si="142">S91</f>
        <v>계</v>
      </c>
      <c r="AF91" s="75" t="str">
        <f t="shared" ref="AF91:AF136" si="143">Q91&amp;"/"&amp;R91</f>
        <v>3/1</v>
      </c>
      <c r="AH91" s="20" t="str">
        <f t="shared" si="85"/>
        <v>북면 대호</v>
      </c>
      <c r="AI91" s="106">
        <f t="shared" si="117"/>
        <v>21</v>
      </c>
      <c r="AJ91" s="75" t="str">
        <f t="shared" ref="AJ91:AJ136" si="144">IF(AI91="","",$AJ$2)</f>
        <v>A-</v>
      </c>
      <c r="AK91" s="75" t="s">
        <v>14</v>
      </c>
      <c r="AL91" s="75" t="s">
        <v>944</v>
      </c>
      <c r="AM91" s="75" t="s">
        <v>945</v>
      </c>
      <c r="AN91" s="75" t="str">
        <f t="shared" ref="AN91:AN136" si="145">IF(AI91="","",$AN$2)</f>
        <v>C</v>
      </c>
      <c r="AO91" s="75" t="str">
        <f t="shared" ref="AO91:AO136" si="146">IF(N91="","",IF(N91&gt;=$AO$1/100,"O","X"))</f>
        <v/>
      </c>
      <c r="AP91" s="75" t="str">
        <f t="shared" ref="AP91:AP136" si="147">IF(I91="","",IF(I91&lt;=$AP$1,"O","X"))</f>
        <v/>
      </c>
      <c r="AQ91" s="75" t="str">
        <f t="shared" ref="AQ91:AQ136" si="148">IF(O91="","",IF(O91&lt;=$AQ$1,"O","X"))</f>
        <v>O</v>
      </c>
      <c r="AR91" s="75" t="str">
        <f t="shared" ref="AR91:AR136" si="149">IF(M91="","",IF(M91&lt;=$AR$1,"O","X"))</f>
        <v>O</v>
      </c>
      <c r="AS91" s="75" t="s">
        <v>2</v>
      </c>
      <c r="AT91" s="75" t="str">
        <f t="shared" ref="AT91:AT136" si="150">IF(OR(F91="",AI91=""),"",IF(AND((F91&lt;=85),(AI91&gt;=15)),"O","X"))</f>
        <v>O</v>
      </c>
      <c r="AU91" s="75" t="str">
        <f t="shared" ref="AU91:AU136" si="151">IF(C91="","",IF(C91&gt;=$AU$1,"O","X"))</f>
        <v>X</v>
      </c>
      <c r="AV91" s="75" t="str">
        <f t="shared" ref="AV91:AV136" si="152">IF(AO91="","",IF(AND(AO91="O",AP91="O",AR91="O",AT91="O",AU91="O"),"후보","X"))</f>
        <v/>
      </c>
    </row>
    <row r="92" spans="1:48" s="38" customFormat="1" ht="12" x14ac:dyDescent="0.3">
      <c r="A92" s="110" t="s">
        <v>1104</v>
      </c>
      <c r="B92" s="111" t="s">
        <v>1105</v>
      </c>
      <c r="C92" s="112">
        <v>294</v>
      </c>
      <c r="D92" s="104">
        <v>69.2</v>
      </c>
      <c r="E92" s="106">
        <v>21</v>
      </c>
      <c r="F92" s="104">
        <v>59.7</v>
      </c>
      <c r="G92" s="17">
        <v>18</v>
      </c>
      <c r="H92" s="107">
        <v>120</v>
      </c>
      <c r="I92" s="108"/>
      <c r="J92" s="108"/>
      <c r="K92" s="108"/>
      <c r="L92" s="108"/>
      <c r="M92" s="109">
        <f t="shared" si="137"/>
        <v>0</v>
      </c>
      <c r="N92" s="4" t="str">
        <f t="shared" si="138"/>
        <v/>
      </c>
      <c r="O92" s="105">
        <f t="shared" si="139"/>
        <v>0</v>
      </c>
      <c r="P92" s="105">
        <f t="shared" si="140"/>
        <v>0</v>
      </c>
      <c r="Q92" s="75">
        <v>2</v>
      </c>
      <c r="R92" s="75">
        <v>1</v>
      </c>
      <c r="S92" s="75" t="s">
        <v>947</v>
      </c>
      <c r="T92" s="5" t="s">
        <v>345</v>
      </c>
      <c r="U92" s="9"/>
      <c r="W92" s="104">
        <f>D92</f>
        <v>69.2</v>
      </c>
      <c r="X92" s="106">
        <f>E92</f>
        <v>21</v>
      </c>
      <c r="Y92" s="102">
        <f>H92</f>
        <v>120</v>
      </c>
      <c r="Z92" s="109">
        <f>I92</f>
        <v>0</v>
      </c>
      <c r="AA92" s="109">
        <f t="shared" si="141"/>
        <v>0</v>
      </c>
      <c r="AB92" s="109">
        <f t="shared" si="120"/>
        <v>0</v>
      </c>
      <c r="AC92" s="4" t="str">
        <f t="shared" si="120"/>
        <v/>
      </c>
      <c r="AD92" s="105">
        <f t="shared" si="120"/>
        <v>0</v>
      </c>
      <c r="AE92" s="75" t="str">
        <f t="shared" si="142"/>
        <v>계</v>
      </c>
      <c r="AF92" s="75" t="str">
        <f t="shared" si="143"/>
        <v>2/1</v>
      </c>
      <c r="AH92" s="20" t="str">
        <f t="shared" si="85"/>
        <v>북면 대호</v>
      </c>
      <c r="AI92" s="106">
        <f t="shared" si="117"/>
        <v>21</v>
      </c>
      <c r="AJ92" s="75" t="str">
        <f t="shared" si="144"/>
        <v>A-</v>
      </c>
      <c r="AK92" s="75" t="s">
        <v>14</v>
      </c>
      <c r="AL92" s="75" t="s">
        <v>944</v>
      </c>
      <c r="AM92" s="75" t="s">
        <v>945</v>
      </c>
      <c r="AN92" s="75" t="str">
        <f t="shared" si="145"/>
        <v>C</v>
      </c>
      <c r="AO92" s="75" t="str">
        <f t="shared" si="146"/>
        <v/>
      </c>
      <c r="AP92" s="75" t="str">
        <f t="shared" si="147"/>
        <v/>
      </c>
      <c r="AQ92" s="75" t="str">
        <f t="shared" si="148"/>
        <v>O</v>
      </c>
      <c r="AR92" s="75" t="str">
        <f t="shared" si="149"/>
        <v>O</v>
      </c>
      <c r="AS92" s="75" t="s">
        <v>2</v>
      </c>
      <c r="AT92" s="75" t="str">
        <f t="shared" si="150"/>
        <v>O</v>
      </c>
      <c r="AU92" s="75" t="str">
        <f t="shared" si="151"/>
        <v>X</v>
      </c>
      <c r="AV92" s="75" t="str">
        <f t="shared" si="152"/>
        <v/>
      </c>
    </row>
    <row r="93" spans="1:48" s="38" customFormat="1" ht="12" x14ac:dyDescent="0.3">
      <c r="A93" s="110" t="s">
        <v>1106</v>
      </c>
      <c r="B93" s="111" t="s">
        <v>1107</v>
      </c>
      <c r="C93" s="112">
        <v>812</v>
      </c>
      <c r="D93" s="104">
        <v>111.8</v>
      </c>
      <c r="E93" s="106">
        <v>34</v>
      </c>
      <c r="F93" s="104">
        <v>85</v>
      </c>
      <c r="G93" s="17">
        <v>26</v>
      </c>
      <c r="H93" s="107">
        <v>442</v>
      </c>
      <c r="I93" s="108">
        <v>32000</v>
      </c>
      <c r="J93" s="108" t="s">
        <v>957</v>
      </c>
      <c r="K93" s="108">
        <v>27000</v>
      </c>
      <c r="L93" s="108" t="s">
        <v>957</v>
      </c>
      <c r="M93" s="109">
        <f t="shared" si="137"/>
        <v>5000</v>
      </c>
      <c r="N93" s="4">
        <f t="shared" si="138"/>
        <v>0.84375</v>
      </c>
      <c r="O93" s="105">
        <f t="shared" si="139"/>
        <v>941.17647058823525</v>
      </c>
      <c r="P93" s="105">
        <f t="shared" si="140"/>
        <v>794.11764705882354</v>
      </c>
      <c r="Q93" s="75">
        <v>3</v>
      </c>
      <c r="R93" s="75">
        <v>2</v>
      </c>
      <c r="S93" s="75" t="s">
        <v>947</v>
      </c>
      <c r="T93" s="5" t="s">
        <v>662</v>
      </c>
      <c r="U93" s="9"/>
      <c r="W93" s="104">
        <f t="shared" ref="W93:X108" si="153">D93</f>
        <v>111.8</v>
      </c>
      <c r="X93" s="106">
        <f t="shared" si="153"/>
        <v>34</v>
      </c>
      <c r="Y93" s="102">
        <f t="shared" ref="Y93:Z108" si="154">H93</f>
        <v>442</v>
      </c>
      <c r="Z93" s="109">
        <f t="shared" si="154"/>
        <v>32000</v>
      </c>
      <c r="AA93" s="109">
        <f t="shared" si="141"/>
        <v>27000</v>
      </c>
      <c r="AB93" s="109">
        <f t="shared" si="120"/>
        <v>5000</v>
      </c>
      <c r="AC93" s="4">
        <f t="shared" si="120"/>
        <v>0.84375</v>
      </c>
      <c r="AD93" s="105">
        <f t="shared" si="120"/>
        <v>941.17647058823525</v>
      </c>
      <c r="AE93" s="75" t="str">
        <f t="shared" si="142"/>
        <v>계</v>
      </c>
      <c r="AF93" s="75" t="str">
        <f t="shared" si="143"/>
        <v>3/2</v>
      </c>
      <c r="AH93" s="20" t="str">
        <f t="shared" si="85"/>
        <v>북면 창원감계아내에코프리미엄</v>
      </c>
      <c r="AI93" s="106">
        <f t="shared" si="117"/>
        <v>34</v>
      </c>
      <c r="AJ93" s="75" t="str">
        <f t="shared" si="144"/>
        <v>A-</v>
      </c>
      <c r="AK93" s="75" t="s">
        <v>14</v>
      </c>
      <c r="AL93" s="75" t="s">
        <v>944</v>
      </c>
      <c r="AM93" s="75" t="s">
        <v>945</v>
      </c>
      <c r="AN93" s="75" t="str">
        <f t="shared" si="145"/>
        <v>C</v>
      </c>
      <c r="AO93" s="75" t="str">
        <f t="shared" si="146"/>
        <v>O</v>
      </c>
      <c r="AP93" s="75" t="str">
        <f t="shared" si="147"/>
        <v>O</v>
      </c>
      <c r="AQ93" s="75" t="str">
        <f t="shared" si="148"/>
        <v>O</v>
      </c>
      <c r="AR93" s="75" t="str">
        <f t="shared" si="149"/>
        <v>O</v>
      </c>
      <c r="AS93" s="75" t="s">
        <v>2</v>
      </c>
      <c r="AT93" s="75" t="str">
        <f t="shared" si="150"/>
        <v>O</v>
      </c>
      <c r="AU93" s="75" t="str">
        <f t="shared" si="151"/>
        <v>O</v>
      </c>
      <c r="AV93" s="75" t="str">
        <f t="shared" si="152"/>
        <v>후보</v>
      </c>
    </row>
    <row r="94" spans="1:48" s="38" customFormat="1" ht="12" x14ac:dyDescent="0.3">
      <c r="A94" s="110" t="s">
        <v>1108</v>
      </c>
      <c r="B94" s="111" t="s">
        <v>1107</v>
      </c>
      <c r="C94" s="112">
        <v>812</v>
      </c>
      <c r="D94" s="104">
        <v>111.3</v>
      </c>
      <c r="E94" s="106">
        <v>34</v>
      </c>
      <c r="F94" s="104">
        <v>84.8</v>
      </c>
      <c r="G94" s="17">
        <v>26</v>
      </c>
      <c r="H94" s="107">
        <v>213</v>
      </c>
      <c r="I94" s="108">
        <v>42500</v>
      </c>
      <c r="J94" s="108" t="s">
        <v>954</v>
      </c>
      <c r="K94" s="108"/>
      <c r="L94" s="108"/>
      <c r="M94" s="109">
        <f t="shared" si="137"/>
        <v>42500</v>
      </c>
      <c r="N94" s="4">
        <f t="shared" si="138"/>
        <v>0</v>
      </c>
      <c r="O94" s="105">
        <f t="shared" si="139"/>
        <v>1250</v>
      </c>
      <c r="P94" s="105">
        <f t="shared" si="140"/>
        <v>0</v>
      </c>
      <c r="Q94" s="75">
        <v>3</v>
      </c>
      <c r="R94" s="75">
        <v>2</v>
      </c>
      <c r="S94" s="75" t="s">
        <v>947</v>
      </c>
      <c r="T94" s="5" t="s">
        <v>666</v>
      </c>
      <c r="U94" s="9"/>
      <c r="W94" s="104">
        <f t="shared" si="153"/>
        <v>111.3</v>
      </c>
      <c r="X94" s="106">
        <f t="shared" si="153"/>
        <v>34</v>
      </c>
      <c r="Y94" s="102">
        <f t="shared" si="154"/>
        <v>213</v>
      </c>
      <c r="Z94" s="109">
        <f t="shared" si="154"/>
        <v>42500</v>
      </c>
      <c r="AA94" s="109">
        <f t="shared" si="141"/>
        <v>0</v>
      </c>
      <c r="AB94" s="109">
        <f t="shared" si="120"/>
        <v>42500</v>
      </c>
      <c r="AC94" s="4">
        <f t="shared" si="120"/>
        <v>0</v>
      </c>
      <c r="AD94" s="105">
        <f t="shared" si="120"/>
        <v>1250</v>
      </c>
      <c r="AE94" s="75" t="str">
        <f t="shared" si="142"/>
        <v>계</v>
      </c>
      <c r="AF94" s="75" t="str">
        <f t="shared" si="143"/>
        <v>3/2</v>
      </c>
      <c r="AH94" s="20" t="str">
        <f t="shared" si="85"/>
        <v>북면 창원감계아내에코프리미엄</v>
      </c>
      <c r="AI94" s="106">
        <f t="shared" si="117"/>
        <v>34</v>
      </c>
      <c r="AJ94" s="75" t="str">
        <f t="shared" si="144"/>
        <v>A-</v>
      </c>
      <c r="AK94" s="75" t="s">
        <v>14</v>
      </c>
      <c r="AL94" s="75" t="s">
        <v>944</v>
      </c>
      <c r="AM94" s="75" t="s">
        <v>945</v>
      </c>
      <c r="AN94" s="75" t="str">
        <f t="shared" si="145"/>
        <v>C</v>
      </c>
      <c r="AO94" s="75" t="str">
        <f t="shared" si="146"/>
        <v>X</v>
      </c>
      <c r="AP94" s="75" t="str">
        <f t="shared" si="147"/>
        <v>O</v>
      </c>
      <c r="AQ94" s="75" t="str">
        <f t="shared" si="148"/>
        <v>X</v>
      </c>
      <c r="AR94" s="75" t="str">
        <f t="shared" si="149"/>
        <v>X</v>
      </c>
      <c r="AS94" s="75" t="s">
        <v>2</v>
      </c>
      <c r="AT94" s="75" t="str">
        <f t="shared" si="150"/>
        <v>O</v>
      </c>
      <c r="AU94" s="75" t="str">
        <f t="shared" si="151"/>
        <v>O</v>
      </c>
      <c r="AV94" s="75" t="str">
        <f t="shared" si="152"/>
        <v>X</v>
      </c>
    </row>
    <row r="95" spans="1:48" s="38" customFormat="1" ht="12" x14ac:dyDescent="0.3">
      <c r="A95" s="110" t="s">
        <v>1109</v>
      </c>
      <c r="B95" s="111" t="s">
        <v>1107</v>
      </c>
      <c r="C95" s="112">
        <v>812</v>
      </c>
      <c r="D95" s="104">
        <v>111.3</v>
      </c>
      <c r="E95" s="106">
        <v>34</v>
      </c>
      <c r="F95" s="104">
        <v>85</v>
      </c>
      <c r="G95" s="17">
        <v>26</v>
      </c>
      <c r="H95" s="107">
        <v>157</v>
      </c>
      <c r="I95" s="108"/>
      <c r="J95" s="108"/>
      <c r="K95" s="108"/>
      <c r="L95" s="108"/>
      <c r="M95" s="109">
        <f t="shared" si="137"/>
        <v>0</v>
      </c>
      <c r="N95" s="4" t="str">
        <f t="shared" si="138"/>
        <v/>
      </c>
      <c r="O95" s="105">
        <f t="shared" si="139"/>
        <v>0</v>
      </c>
      <c r="P95" s="105">
        <f t="shared" si="140"/>
        <v>0</v>
      </c>
      <c r="Q95" s="75">
        <v>3</v>
      </c>
      <c r="R95" s="75">
        <v>2</v>
      </c>
      <c r="S95" s="75" t="s">
        <v>947</v>
      </c>
      <c r="T95" s="5" t="s">
        <v>667</v>
      </c>
      <c r="U95" s="9"/>
      <c r="W95" s="104">
        <f t="shared" si="153"/>
        <v>111.3</v>
      </c>
      <c r="X95" s="106">
        <f t="shared" si="153"/>
        <v>34</v>
      </c>
      <c r="Y95" s="102">
        <f t="shared" si="154"/>
        <v>157</v>
      </c>
      <c r="Z95" s="109">
        <f t="shared" si="154"/>
        <v>0</v>
      </c>
      <c r="AA95" s="109">
        <f t="shared" si="141"/>
        <v>0</v>
      </c>
      <c r="AB95" s="109">
        <f t="shared" ref="AB95:AD110" si="155">M95</f>
        <v>0</v>
      </c>
      <c r="AC95" s="4" t="str">
        <f t="shared" si="155"/>
        <v/>
      </c>
      <c r="AD95" s="105">
        <f t="shared" si="155"/>
        <v>0</v>
      </c>
      <c r="AE95" s="75" t="str">
        <f t="shared" si="142"/>
        <v>계</v>
      </c>
      <c r="AF95" s="75" t="str">
        <f t="shared" si="143"/>
        <v>3/2</v>
      </c>
      <c r="AH95" s="20" t="str">
        <f t="shared" si="85"/>
        <v>북면 창원감계아내에코프리미엄</v>
      </c>
      <c r="AI95" s="106">
        <f t="shared" si="117"/>
        <v>34</v>
      </c>
      <c r="AJ95" s="75" t="str">
        <f t="shared" si="144"/>
        <v>A-</v>
      </c>
      <c r="AK95" s="75" t="s">
        <v>14</v>
      </c>
      <c r="AL95" s="75" t="s">
        <v>944</v>
      </c>
      <c r="AM95" s="75" t="s">
        <v>945</v>
      </c>
      <c r="AN95" s="75" t="str">
        <f t="shared" si="145"/>
        <v>C</v>
      </c>
      <c r="AO95" s="75" t="str">
        <f t="shared" si="146"/>
        <v/>
      </c>
      <c r="AP95" s="75" t="str">
        <f t="shared" si="147"/>
        <v/>
      </c>
      <c r="AQ95" s="75" t="str">
        <f t="shared" si="148"/>
        <v>O</v>
      </c>
      <c r="AR95" s="75" t="str">
        <f t="shared" si="149"/>
        <v>O</v>
      </c>
      <c r="AS95" s="75" t="s">
        <v>2</v>
      </c>
      <c r="AT95" s="75" t="str">
        <f t="shared" si="150"/>
        <v>O</v>
      </c>
      <c r="AU95" s="75" t="str">
        <f t="shared" si="151"/>
        <v>O</v>
      </c>
      <c r="AV95" s="75" t="str">
        <f t="shared" si="152"/>
        <v/>
      </c>
    </row>
    <row r="96" spans="1:48" s="38" customFormat="1" ht="12" x14ac:dyDescent="0.3">
      <c r="A96" s="110" t="s">
        <v>1110</v>
      </c>
      <c r="B96" s="111" t="s">
        <v>1111</v>
      </c>
      <c r="C96" s="112">
        <v>231</v>
      </c>
      <c r="D96" s="104">
        <v>84.3</v>
      </c>
      <c r="E96" s="106">
        <v>25</v>
      </c>
      <c r="F96" s="104">
        <v>60</v>
      </c>
      <c r="G96" s="17">
        <v>18</v>
      </c>
      <c r="H96" s="107">
        <v>24</v>
      </c>
      <c r="I96" s="108"/>
      <c r="J96" s="108"/>
      <c r="K96" s="108"/>
      <c r="L96" s="108"/>
      <c r="M96" s="109">
        <f t="shared" si="137"/>
        <v>0</v>
      </c>
      <c r="N96" s="4" t="str">
        <f t="shared" si="138"/>
        <v/>
      </c>
      <c r="O96" s="105">
        <f t="shared" si="139"/>
        <v>0</v>
      </c>
      <c r="P96" s="105">
        <f t="shared" si="140"/>
        <v>0</v>
      </c>
      <c r="Q96" s="75">
        <v>3</v>
      </c>
      <c r="R96" s="75">
        <v>2</v>
      </c>
      <c r="S96" s="75" t="s">
        <v>947</v>
      </c>
      <c r="T96" s="5" t="s">
        <v>187</v>
      </c>
      <c r="U96" s="9"/>
      <c r="W96" s="104">
        <f t="shared" si="153"/>
        <v>84.3</v>
      </c>
      <c r="X96" s="106">
        <f t="shared" si="153"/>
        <v>25</v>
      </c>
      <c r="Y96" s="102">
        <f t="shared" si="154"/>
        <v>24</v>
      </c>
      <c r="Z96" s="109">
        <f t="shared" si="154"/>
        <v>0</v>
      </c>
      <c r="AA96" s="109">
        <f t="shared" si="141"/>
        <v>0</v>
      </c>
      <c r="AB96" s="109">
        <f t="shared" si="155"/>
        <v>0</v>
      </c>
      <c r="AC96" s="4" t="str">
        <f t="shared" si="155"/>
        <v/>
      </c>
      <c r="AD96" s="105">
        <f t="shared" si="155"/>
        <v>0</v>
      </c>
      <c r="AE96" s="75" t="str">
        <f t="shared" si="142"/>
        <v>계</v>
      </c>
      <c r="AF96" s="75" t="str">
        <f t="shared" si="143"/>
        <v>3/2</v>
      </c>
      <c r="AH96" s="20" t="str">
        <f t="shared" si="85"/>
        <v>북면 창원무동STX칸2차</v>
      </c>
      <c r="AI96" s="106">
        <f t="shared" si="117"/>
        <v>25</v>
      </c>
      <c r="AJ96" s="75" t="str">
        <f t="shared" si="144"/>
        <v>A-</v>
      </c>
      <c r="AK96" s="75" t="s">
        <v>14</v>
      </c>
      <c r="AL96" s="75" t="s">
        <v>944</v>
      </c>
      <c r="AM96" s="75" t="s">
        <v>945</v>
      </c>
      <c r="AN96" s="75" t="str">
        <f t="shared" si="145"/>
        <v>C</v>
      </c>
      <c r="AO96" s="75" t="str">
        <f t="shared" si="146"/>
        <v/>
      </c>
      <c r="AP96" s="75" t="str">
        <f t="shared" si="147"/>
        <v/>
      </c>
      <c r="AQ96" s="75" t="str">
        <f t="shared" si="148"/>
        <v>O</v>
      </c>
      <c r="AR96" s="75" t="str">
        <f t="shared" si="149"/>
        <v>O</v>
      </c>
      <c r="AS96" s="75" t="s">
        <v>2</v>
      </c>
      <c r="AT96" s="75" t="str">
        <f t="shared" si="150"/>
        <v>O</v>
      </c>
      <c r="AU96" s="75" t="str">
        <f t="shared" si="151"/>
        <v>X</v>
      </c>
      <c r="AV96" s="75" t="str">
        <f t="shared" si="152"/>
        <v/>
      </c>
    </row>
    <row r="97" spans="1:48" s="38" customFormat="1" ht="12" x14ac:dyDescent="0.3">
      <c r="A97" s="110" t="s">
        <v>1110</v>
      </c>
      <c r="B97" s="111" t="s">
        <v>1036</v>
      </c>
      <c r="C97" s="112">
        <v>231</v>
      </c>
      <c r="D97" s="104">
        <v>113.1</v>
      </c>
      <c r="E97" s="106">
        <v>34</v>
      </c>
      <c r="F97" s="104">
        <v>85</v>
      </c>
      <c r="G97" s="17">
        <v>26</v>
      </c>
      <c r="H97" s="107">
        <v>104</v>
      </c>
      <c r="I97" s="108"/>
      <c r="J97" s="108"/>
      <c r="K97" s="108"/>
      <c r="L97" s="108"/>
      <c r="M97" s="109">
        <f t="shared" si="137"/>
        <v>0</v>
      </c>
      <c r="N97" s="4" t="str">
        <f t="shared" si="138"/>
        <v/>
      </c>
      <c r="O97" s="105">
        <f t="shared" si="139"/>
        <v>0</v>
      </c>
      <c r="P97" s="105">
        <f t="shared" si="140"/>
        <v>0</v>
      </c>
      <c r="Q97" s="75">
        <v>3</v>
      </c>
      <c r="R97" s="75">
        <v>2</v>
      </c>
      <c r="S97" s="75" t="s">
        <v>947</v>
      </c>
      <c r="T97" s="5" t="s">
        <v>598</v>
      </c>
      <c r="U97" s="9"/>
      <c r="W97" s="104">
        <f t="shared" si="153"/>
        <v>113.1</v>
      </c>
      <c r="X97" s="106">
        <f t="shared" si="153"/>
        <v>34</v>
      </c>
      <c r="Y97" s="102">
        <f t="shared" si="154"/>
        <v>104</v>
      </c>
      <c r="Z97" s="109">
        <f t="shared" si="154"/>
        <v>0</v>
      </c>
      <c r="AA97" s="109">
        <f t="shared" si="141"/>
        <v>0</v>
      </c>
      <c r="AB97" s="109">
        <f t="shared" si="155"/>
        <v>0</v>
      </c>
      <c r="AC97" s="4" t="str">
        <f t="shared" si="155"/>
        <v/>
      </c>
      <c r="AD97" s="105">
        <f t="shared" si="155"/>
        <v>0</v>
      </c>
      <c r="AE97" s="75" t="str">
        <f t="shared" si="142"/>
        <v>계</v>
      </c>
      <c r="AF97" s="75" t="str">
        <f t="shared" si="143"/>
        <v>3/2</v>
      </c>
      <c r="AH97" s="20" t="str">
        <f t="shared" si="85"/>
        <v>북면 창원무동STX칸2차</v>
      </c>
      <c r="AI97" s="106">
        <f t="shared" si="117"/>
        <v>34</v>
      </c>
      <c r="AJ97" s="75" t="str">
        <f t="shared" si="144"/>
        <v>A-</v>
      </c>
      <c r="AK97" s="75" t="s">
        <v>14</v>
      </c>
      <c r="AL97" s="75" t="s">
        <v>944</v>
      </c>
      <c r="AM97" s="75" t="s">
        <v>945</v>
      </c>
      <c r="AN97" s="75" t="str">
        <f t="shared" si="145"/>
        <v>C</v>
      </c>
      <c r="AO97" s="75" t="str">
        <f t="shared" si="146"/>
        <v/>
      </c>
      <c r="AP97" s="75" t="str">
        <f t="shared" si="147"/>
        <v/>
      </c>
      <c r="AQ97" s="75" t="str">
        <f t="shared" si="148"/>
        <v>O</v>
      </c>
      <c r="AR97" s="75" t="str">
        <f t="shared" si="149"/>
        <v>O</v>
      </c>
      <c r="AS97" s="75" t="s">
        <v>2</v>
      </c>
      <c r="AT97" s="75" t="str">
        <f t="shared" si="150"/>
        <v>O</v>
      </c>
      <c r="AU97" s="75" t="str">
        <f t="shared" si="151"/>
        <v>X</v>
      </c>
      <c r="AV97" s="75" t="str">
        <f t="shared" si="152"/>
        <v/>
      </c>
    </row>
    <row r="98" spans="1:48" s="38" customFormat="1" ht="12" x14ac:dyDescent="0.3">
      <c r="A98" s="110" t="s">
        <v>1112</v>
      </c>
      <c r="B98" s="111" t="s">
        <v>1113</v>
      </c>
      <c r="C98" s="112">
        <v>231</v>
      </c>
      <c r="D98" s="104">
        <v>113.8</v>
      </c>
      <c r="E98" s="106">
        <v>34</v>
      </c>
      <c r="F98" s="104">
        <v>85</v>
      </c>
      <c r="G98" s="17">
        <v>26</v>
      </c>
      <c r="H98" s="107">
        <v>103</v>
      </c>
      <c r="I98" s="108"/>
      <c r="J98" s="108"/>
      <c r="K98" s="108"/>
      <c r="L98" s="108"/>
      <c r="M98" s="109">
        <f t="shared" si="137"/>
        <v>0</v>
      </c>
      <c r="N98" s="4" t="str">
        <f t="shared" si="138"/>
        <v/>
      </c>
      <c r="O98" s="105">
        <f t="shared" si="139"/>
        <v>0</v>
      </c>
      <c r="P98" s="105">
        <f t="shared" si="140"/>
        <v>0</v>
      </c>
      <c r="Q98" s="75">
        <v>3</v>
      </c>
      <c r="R98" s="75">
        <v>2</v>
      </c>
      <c r="S98" s="75" t="s">
        <v>947</v>
      </c>
      <c r="T98" s="5" t="s">
        <v>599</v>
      </c>
      <c r="U98" s="9"/>
      <c r="W98" s="104">
        <f t="shared" si="153"/>
        <v>113.8</v>
      </c>
      <c r="X98" s="106">
        <f t="shared" si="153"/>
        <v>34</v>
      </c>
      <c r="Y98" s="102">
        <f t="shared" si="154"/>
        <v>103</v>
      </c>
      <c r="Z98" s="109">
        <f t="shared" si="154"/>
        <v>0</v>
      </c>
      <c r="AA98" s="109">
        <f t="shared" si="141"/>
        <v>0</v>
      </c>
      <c r="AB98" s="109">
        <f t="shared" si="155"/>
        <v>0</v>
      </c>
      <c r="AC98" s="4" t="str">
        <f t="shared" si="155"/>
        <v/>
      </c>
      <c r="AD98" s="105">
        <f t="shared" si="155"/>
        <v>0</v>
      </c>
      <c r="AE98" s="75" t="str">
        <f t="shared" si="142"/>
        <v>계</v>
      </c>
      <c r="AF98" s="75" t="str">
        <f t="shared" si="143"/>
        <v>3/2</v>
      </c>
      <c r="AH98" s="20" t="str">
        <f t="shared" si="85"/>
        <v>북면 창원무동STX칸2차</v>
      </c>
      <c r="AI98" s="106">
        <f t="shared" si="117"/>
        <v>34</v>
      </c>
      <c r="AJ98" s="75" t="str">
        <f t="shared" si="144"/>
        <v>A-</v>
      </c>
      <c r="AK98" s="75" t="s">
        <v>14</v>
      </c>
      <c r="AL98" s="75" t="s">
        <v>944</v>
      </c>
      <c r="AM98" s="75" t="s">
        <v>945</v>
      </c>
      <c r="AN98" s="75" t="str">
        <f t="shared" si="145"/>
        <v>C</v>
      </c>
      <c r="AO98" s="75" t="str">
        <f t="shared" si="146"/>
        <v/>
      </c>
      <c r="AP98" s="75" t="str">
        <f t="shared" si="147"/>
        <v/>
      </c>
      <c r="AQ98" s="75" t="str">
        <f t="shared" si="148"/>
        <v>O</v>
      </c>
      <c r="AR98" s="75" t="str">
        <f t="shared" si="149"/>
        <v>O</v>
      </c>
      <c r="AS98" s="75" t="s">
        <v>2</v>
      </c>
      <c r="AT98" s="75" t="str">
        <f t="shared" si="150"/>
        <v>O</v>
      </c>
      <c r="AU98" s="75" t="str">
        <f t="shared" si="151"/>
        <v>X</v>
      </c>
      <c r="AV98" s="75" t="str">
        <f t="shared" si="152"/>
        <v/>
      </c>
    </row>
    <row r="99" spans="1:48" s="38" customFormat="1" ht="12" x14ac:dyDescent="0.3">
      <c r="A99" s="110" t="s">
        <v>1114</v>
      </c>
      <c r="B99" s="111" t="s">
        <v>1115</v>
      </c>
      <c r="C99" s="112">
        <v>583</v>
      </c>
      <c r="D99" s="104">
        <v>85.8</v>
      </c>
      <c r="E99" s="106">
        <v>26</v>
      </c>
      <c r="F99" s="104">
        <v>60</v>
      </c>
      <c r="G99" s="17">
        <v>18</v>
      </c>
      <c r="H99" s="107">
        <v>67</v>
      </c>
      <c r="I99" s="108">
        <v>26500</v>
      </c>
      <c r="J99" s="108" t="s">
        <v>954</v>
      </c>
      <c r="K99" s="108"/>
      <c r="L99" s="108"/>
      <c r="M99" s="109">
        <f t="shared" si="137"/>
        <v>26500</v>
      </c>
      <c r="N99" s="4">
        <f t="shared" si="138"/>
        <v>0</v>
      </c>
      <c r="O99" s="105">
        <f t="shared" si="139"/>
        <v>1019.2307692307693</v>
      </c>
      <c r="P99" s="105">
        <f t="shared" si="140"/>
        <v>0</v>
      </c>
      <c r="Q99" s="75">
        <v>3</v>
      </c>
      <c r="R99" s="75">
        <v>2</v>
      </c>
      <c r="S99" s="75" t="s">
        <v>947</v>
      </c>
      <c r="T99" s="5">
        <v>85</v>
      </c>
      <c r="U99" s="9"/>
      <c r="W99" s="104">
        <f t="shared" si="153"/>
        <v>85.8</v>
      </c>
      <c r="X99" s="106">
        <f t="shared" si="153"/>
        <v>26</v>
      </c>
      <c r="Y99" s="102">
        <f t="shared" si="154"/>
        <v>67</v>
      </c>
      <c r="Z99" s="109">
        <f t="shared" si="154"/>
        <v>26500</v>
      </c>
      <c r="AA99" s="109">
        <f t="shared" si="141"/>
        <v>0</v>
      </c>
      <c r="AB99" s="109">
        <f t="shared" si="155"/>
        <v>26500</v>
      </c>
      <c r="AC99" s="4">
        <f t="shared" si="155"/>
        <v>0</v>
      </c>
      <c r="AD99" s="105">
        <f t="shared" si="155"/>
        <v>1019.2307692307693</v>
      </c>
      <c r="AE99" s="75" t="str">
        <f t="shared" si="142"/>
        <v>계</v>
      </c>
      <c r="AF99" s="75" t="str">
        <f t="shared" si="143"/>
        <v>3/2</v>
      </c>
      <c r="AH99" s="20" t="str">
        <f t="shared" si="85"/>
        <v>북면 창원감계푸르지오</v>
      </c>
      <c r="AI99" s="106">
        <f t="shared" si="117"/>
        <v>26</v>
      </c>
      <c r="AJ99" s="75" t="str">
        <f t="shared" si="144"/>
        <v>A-</v>
      </c>
      <c r="AK99" s="75" t="s">
        <v>14</v>
      </c>
      <c r="AL99" s="75" t="s">
        <v>944</v>
      </c>
      <c r="AM99" s="75" t="s">
        <v>945</v>
      </c>
      <c r="AN99" s="75" t="str">
        <f t="shared" si="145"/>
        <v>C</v>
      </c>
      <c r="AO99" s="75" t="str">
        <f t="shared" si="146"/>
        <v>X</v>
      </c>
      <c r="AP99" s="75" t="str">
        <f t="shared" si="147"/>
        <v>O</v>
      </c>
      <c r="AQ99" s="75" t="str">
        <f t="shared" si="148"/>
        <v>X</v>
      </c>
      <c r="AR99" s="75" t="str">
        <f t="shared" si="149"/>
        <v>X</v>
      </c>
      <c r="AS99" s="75" t="s">
        <v>2</v>
      </c>
      <c r="AT99" s="75" t="str">
        <f t="shared" si="150"/>
        <v>O</v>
      </c>
      <c r="AU99" s="75" t="str">
        <f t="shared" si="151"/>
        <v>O</v>
      </c>
      <c r="AV99" s="75" t="str">
        <f t="shared" si="152"/>
        <v>X</v>
      </c>
    </row>
    <row r="100" spans="1:48" s="38" customFormat="1" ht="12" x14ac:dyDescent="0.3">
      <c r="A100" s="110" t="s">
        <v>1116</v>
      </c>
      <c r="B100" s="111" t="s">
        <v>1115</v>
      </c>
      <c r="C100" s="112">
        <v>583</v>
      </c>
      <c r="D100" s="104">
        <v>97.9</v>
      </c>
      <c r="E100" s="106">
        <v>30</v>
      </c>
      <c r="F100" s="104">
        <v>72.900000000000006</v>
      </c>
      <c r="G100" s="17">
        <v>22</v>
      </c>
      <c r="H100" s="107">
        <v>262</v>
      </c>
      <c r="I100" s="108"/>
      <c r="J100" s="108"/>
      <c r="K100" s="108"/>
      <c r="L100" s="108"/>
      <c r="M100" s="109">
        <f t="shared" si="137"/>
        <v>0</v>
      </c>
      <c r="N100" s="4" t="str">
        <f t="shared" si="138"/>
        <v/>
      </c>
      <c r="O100" s="105">
        <f t="shared" si="139"/>
        <v>0</v>
      </c>
      <c r="P100" s="105">
        <f t="shared" si="140"/>
        <v>0</v>
      </c>
      <c r="Q100" s="75">
        <v>3</v>
      </c>
      <c r="R100" s="75">
        <v>2</v>
      </c>
      <c r="S100" s="75" t="s">
        <v>947</v>
      </c>
      <c r="T100" s="5">
        <v>97</v>
      </c>
      <c r="U100" s="9"/>
      <c r="W100" s="104">
        <f t="shared" si="153"/>
        <v>97.9</v>
      </c>
      <c r="X100" s="106">
        <f t="shared" si="153"/>
        <v>30</v>
      </c>
      <c r="Y100" s="102">
        <f t="shared" si="154"/>
        <v>262</v>
      </c>
      <c r="Z100" s="109">
        <f t="shared" si="154"/>
        <v>0</v>
      </c>
      <c r="AA100" s="109">
        <f t="shared" si="141"/>
        <v>0</v>
      </c>
      <c r="AB100" s="109">
        <f t="shared" si="155"/>
        <v>0</v>
      </c>
      <c r="AC100" s="4" t="str">
        <f t="shared" si="155"/>
        <v/>
      </c>
      <c r="AD100" s="105">
        <f t="shared" si="155"/>
        <v>0</v>
      </c>
      <c r="AE100" s="75" t="str">
        <f t="shared" si="142"/>
        <v>계</v>
      </c>
      <c r="AF100" s="75" t="str">
        <f t="shared" si="143"/>
        <v>3/2</v>
      </c>
      <c r="AH100" s="20" t="str">
        <f t="shared" si="85"/>
        <v>북면 창원감계푸르지오</v>
      </c>
      <c r="AI100" s="106">
        <f t="shared" si="117"/>
        <v>30</v>
      </c>
      <c r="AJ100" s="75" t="str">
        <f t="shared" si="144"/>
        <v>A-</v>
      </c>
      <c r="AK100" s="75" t="s">
        <v>14</v>
      </c>
      <c r="AL100" s="75" t="s">
        <v>944</v>
      </c>
      <c r="AM100" s="75" t="s">
        <v>945</v>
      </c>
      <c r="AN100" s="75" t="str">
        <f t="shared" si="145"/>
        <v>C</v>
      </c>
      <c r="AO100" s="75" t="str">
        <f t="shared" si="146"/>
        <v/>
      </c>
      <c r="AP100" s="75" t="str">
        <f t="shared" si="147"/>
        <v/>
      </c>
      <c r="AQ100" s="75" t="str">
        <f t="shared" si="148"/>
        <v>O</v>
      </c>
      <c r="AR100" s="75" t="str">
        <f t="shared" si="149"/>
        <v>O</v>
      </c>
      <c r="AS100" s="75" t="s">
        <v>2</v>
      </c>
      <c r="AT100" s="75" t="str">
        <f t="shared" si="150"/>
        <v>O</v>
      </c>
      <c r="AU100" s="75" t="str">
        <f t="shared" si="151"/>
        <v>O</v>
      </c>
      <c r="AV100" s="75" t="str">
        <f t="shared" si="152"/>
        <v/>
      </c>
    </row>
    <row r="101" spans="1:48" s="38" customFormat="1" ht="12" x14ac:dyDescent="0.3">
      <c r="A101" s="110" t="s">
        <v>1117</v>
      </c>
      <c r="B101" s="111" t="s">
        <v>1038</v>
      </c>
      <c r="C101" s="112">
        <v>583</v>
      </c>
      <c r="D101" s="104">
        <v>113.4</v>
      </c>
      <c r="E101" s="106">
        <v>34</v>
      </c>
      <c r="F101" s="104">
        <v>84.9</v>
      </c>
      <c r="G101" s="17">
        <v>26</v>
      </c>
      <c r="H101" s="107">
        <v>254</v>
      </c>
      <c r="I101" s="108">
        <v>37000</v>
      </c>
      <c r="J101" s="108" t="s">
        <v>954</v>
      </c>
      <c r="K101" s="108"/>
      <c r="L101" s="108"/>
      <c r="M101" s="109">
        <f t="shared" si="137"/>
        <v>37000</v>
      </c>
      <c r="N101" s="4">
        <f t="shared" si="138"/>
        <v>0</v>
      </c>
      <c r="O101" s="105">
        <f t="shared" si="139"/>
        <v>1088.2352941176471</v>
      </c>
      <c r="P101" s="105">
        <f t="shared" si="140"/>
        <v>0</v>
      </c>
      <c r="Q101" s="75">
        <v>4</v>
      </c>
      <c r="R101" s="75">
        <v>2</v>
      </c>
      <c r="S101" s="75" t="s">
        <v>947</v>
      </c>
      <c r="T101" s="5">
        <v>113</v>
      </c>
      <c r="U101" s="9"/>
      <c r="W101" s="104">
        <f t="shared" si="153"/>
        <v>113.4</v>
      </c>
      <c r="X101" s="106">
        <f t="shared" si="153"/>
        <v>34</v>
      </c>
      <c r="Y101" s="102">
        <f t="shared" si="154"/>
        <v>254</v>
      </c>
      <c r="Z101" s="109">
        <f t="shared" si="154"/>
        <v>37000</v>
      </c>
      <c r="AA101" s="109">
        <f t="shared" si="141"/>
        <v>0</v>
      </c>
      <c r="AB101" s="109">
        <f t="shared" si="155"/>
        <v>37000</v>
      </c>
      <c r="AC101" s="4">
        <f t="shared" si="155"/>
        <v>0</v>
      </c>
      <c r="AD101" s="105">
        <f t="shared" si="155"/>
        <v>1088.2352941176471</v>
      </c>
      <c r="AE101" s="75" t="str">
        <f t="shared" si="142"/>
        <v>계</v>
      </c>
      <c r="AF101" s="75" t="str">
        <f t="shared" si="143"/>
        <v>4/2</v>
      </c>
      <c r="AH101" s="20" t="str">
        <f t="shared" si="85"/>
        <v>북면 창원감계푸르지오</v>
      </c>
      <c r="AI101" s="106">
        <f t="shared" si="117"/>
        <v>34</v>
      </c>
      <c r="AJ101" s="75" t="str">
        <f t="shared" si="144"/>
        <v>A-</v>
      </c>
      <c r="AK101" s="75" t="s">
        <v>14</v>
      </c>
      <c r="AL101" s="75" t="s">
        <v>944</v>
      </c>
      <c r="AM101" s="75" t="s">
        <v>945</v>
      </c>
      <c r="AN101" s="75" t="str">
        <f t="shared" si="145"/>
        <v>C</v>
      </c>
      <c r="AO101" s="75" t="str">
        <f t="shared" si="146"/>
        <v>X</v>
      </c>
      <c r="AP101" s="75" t="str">
        <f t="shared" si="147"/>
        <v>O</v>
      </c>
      <c r="AQ101" s="75" t="str">
        <f t="shared" si="148"/>
        <v>X</v>
      </c>
      <c r="AR101" s="75" t="str">
        <f t="shared" si="149"/>
        <v>X</v>
      </c>
      <c r="AS101" s="75" t="s">
        <v>2</v>
      </c>
      <c r="AT101" s="75" t="str">
        <f t="shared" si="150"/>
        <v>O</v>
      </c>
      <c r="AU101" s="75" t="str">
        <f t="shared" si="151"/>
        <v>O</v>
      </c>
      <c r="AV101" s="75" t="str">
        <f t="shared" si="152"/>
        <v>X</v>
      </c>
    </row>
    <row r="102" spans="1:48" s="38" customFormat="1" ht="12" x14ac:dyDescent="0.3">
      <c r="A102" s="110" t="s">
        <v>1118</v>
      </c>
      <c r="B102" s="111" t="s">
        <v>1119</v>
      </c>
      <c r="C102" s="112">
        <v>630</v>
      </c>
      <c r="D102" s="104">
        <v>115</v>
      </c>
      <c r="E102" s="106">
        <v>35</v>
      </c>
      <c r="F102" s="104">
        <v>84.8</v>
      </c>
      <c r="G102" s="17">
        <v>26</v>
      </c>
      <c r="H102" s="107">
        <v>274</v>
      </c>
      <c r="I102" s="108">
        <v>33000</v>
      </c>
      <c r="J102" s="108" t="s">
        <v>958</v>
      </c>
      <c r="K102" s="108">
        <v>29000</v>
      </c>
      <c r="L102" s="108" t="s">
        <v>980</v>
      </c>
      <c r="M102" s="109">
        <f t="shared" si="137"/>
        <v>4000</v>
      </c>
      <c r="N102" s="4">
        <f t="shared" si="138"/>
        <v>0.87878787878787878</v>
      </c>
      <c r="O102" s="105">
        <f t="shared" si="139"/>
        <v>942.85714285714289</v>
      </c>
      <c r="P102" s="105">
        <f t="shared" si="140"/>
        <v>828.57142857142856</v>
      </c>
      <c r="Q102" s="75">
        <v>3</v>
      </c>
      <c r="R102" s="75">
        <v>2</v>
      </c>
      <c r="S102" s="75" t="s">
        <v>947</v>
      </c>
      <c r="T102" s="5" t="s">
        <v>209</v>
      </c>
      <c r="U102" s="9"/>
      <c r="W102" s="104">
        <f t="shared" si="153"/>
        <v>115</v>
      </c>
      <c r="X102" s="106">
        <f t="shared" si="153"/>
        <v>35</v>
      </c>
      <c r="Y102" s="102">
        <f t="shared" si="154"/>
        <v>274</v>
      </c>
      <c r="Z102" s="109">
        <f t="shared" si="154"/>
        <v>33000</v>
      </c>
      <c r="AA102" s="109">
        <f t="shared" si="141"/>
        <v>29000</v>
      </c>
      <c r="AB102" s="109">
        <f t="shared" si="155"/>
        <v>4000</v>
      </c>
      <c r="AC102" s="4">
        <f t="shared" si="155"/>
        <v>0.87878787878787878</v>
      </c>
      <c r="AD102" s="105">
        <f t="shared" si="155"/>
        <v>942.85714285714289</v>
      </c>
      <c r="AE102" s="75" t="str">
        <f t="shared" si="142"/>
        <v>계</v>
      </c>
      <c r="AF102" s="75" t="str">
        <f t="shared" si="143"/>
        <v>3/2</v>
      </c>
      <c r="AH102" s="20" t="str">
        <f t="shared" si="85"/>
        <v>북면 창원감계힐스테이트3차</v>
      </c>
      <c r="AI102" s="106">
        <f t="shared" si="117"/>
        <v>35</v>
      </c>
      <c r="AJ102" s="75" t="str">
        <f t="shared" si="144"/>
        <v>A-</v>
      </c>
      <c r="AK102" s="75" t="s">
        <v>14</v>
      </c>
      <c r="AL102" s="75" t="s">
        <v>944</v>
      </c>
      <c r="AM102" s="75" t="s">
        <v>945</v>
      </c>
      <c r="AN102" s="75" t="str">
        <f t="shared" si="145"/>
        <v>C</v>
      </c>
      <c r="AO102" s="75" t="str">
        <f t="shared" si="146"/>
        <v>O</v>
      </c>
      <c r="AP102" s="75" t="str">
        <f t="shared" si="147"/>
        <v>O</v>
      </c>
      <c r="AQ102" s="75" t="str">
        <f t="shared" si="148"/>
        <v>O</v>
      </c>
      <c r="AR102" s="75" t="str">
        <f t="shared" si="149"/>
        <v>O</v>
      </c>
      <c r="AS102" s="75" t="s">
        <v>2</v>
      </c>
      <c r="AT102" s="75" t="str">
        <f t="shared" si="150"/>
        <v>O</v>
      </c>
      <c r="AU102" s="75" t="str">
        <f t="shared" si="151"/>
        <v>O</v>
      </c>
      <c r="AV102" s="75" t="str">
        <f t="shared" si="152"/>
        <v>후보</v>
      </c>
    </row>
    <row r="103" spans="1:48" s="38" customFormat="1" ht="12" x14ac:dyDescent="0.3">
      <c r="A103" s="110" t="s">
        <v>1120</v>
      </c>
      <c r="B103" s="111" t="s">
        <v>1039</v>
      </c>
      <c r="C103" s="112">
        <v>630</v>
      </c>
      <c r="D103" s="104">
        <v>114.7</v>
      </c>
      <c r="E103" s="106">
        <v>35</v>
      </c>
      <c r="F103" s="104">
        <v>84.8</v>
      </c>
      <c r="G103" s="17">
        <v>26</v>
      </c>
      <c r="H103" s="107">
        <v>145</v>
      </c>
      <c r="I103" s="108">
        <v>30000</v>
      </c>
      <c r="J103" s="108" t="s">
        <v>949</v>
      </c>
      <c r="K103" s="108">
        <v>28000</v>
      </c>
      <c r="L103" s="108" t="s">
        <v>954</v>
      </c>
      <c r="M103" s="109">
        <f t="shared" si="137"/>
        <v>2000</v>
      </c>
      <c r="N103" s="4">
        <f t="shared" si="138"/>
        <v>0.93333333333333335</v>
      </c>
      <c r="O103" s="105">
        <f t="shared" si="139"/>
        <v>857.14285714285711</v>
      </c>
      <c r="P103" s="105">
        <f t="shared" si="140"/>
        <v>800</v>
      </c>
      <c r="Q103" s="75">
        <v>3</v>
      </c>
      <c r="R103" s="75">
        <v>2</v>
      </c>
      <c r="S103" s="75" t="s">
        <v>947</v>
      </c>
      <c r="T103" s="5" t="s">
        <v>210</v>
      </c>
      <c r="U103" s="9"/>
      <c r="W103" s="104">
        <f t="shared" si="153"/>
        <v>114.7</v>
      </c>
      <c r="X103" s="106">
        <f t="shared" si="153"/>
        <v>35</v>
      </c>
      <c r="Y103" s="102">
        <f t="shared" si="154"/>
        <v>145</v>
      </c>
      <c r="Z103" s="109">
        <f t="shared" si="154"/>
        <v>30000</v>
      </c>
      <c r="AA103" s="109">
        <f t="shared" si="141"/>
        <v>28000</v>
      </c>
      <c r="AB103" s="109">
        <f t="shared" si="155"/>
        <v>2000</v>
      </c>
      <c r="AC103" s="4">
        <f t="shared" si="155"/>
        <v>0.93333333333333335</v>
      </c>
      <c r="AD103" s="105">
        <f t="shared" si="155"/>
        <v>857.14285714285711</v>
      </c>
      <c r="AE103" s="75" t="str">
        <f t="shared" si="142"/>
        <v>계</v>
      </c>
      <c r="AF103" s="75" t="str">
        <f t="shared" si="143"/>
        <v>3/2</v>
      </c>
      <c r="AH103" s="20" t="str">
        <f t="shared" si="85"/>
        <v>북면 창원감계힐스테이트3차</v>
      </c>
      <c r="AI103" s="106">
        <f t="shared" si="117"/>
        <v>35</v>
      </c>
      <c r="AJ103" s="75" t="str">
        <f t="shared" si="144"/>
        <v>A-</v>
      </c>
      <c r="AK103" s="75" t="s">
        <v>14</v>
      </c>
      <c r="AL103" s="75" t="s">
        <v>944</v>
      </c>
      <c r="AM103" s="75" t="s">
        <v>945</v>
      </c>
      <c r="AN103" s="75" t="str">
        <f t="shared" si="145"/>
        <v>C</v>
      </c>
      <c r="AO103" s="75" t="str">
        <f t="shared" si="146"/>
        <v>O</v>
      </c>
      <c r="AP103" s="75" t="str">
        <f t="shared" si="147"/>
        <v>O</v>
      </c>
      <c r="AQ103" s="75" t="str">
        <f t="shared" si="148"/>
        <v>O</v>
      </c>
      <c r="AR103" s="75" t="str">
        <f t="shared" si="149"/>
        <v>O</v>
      </c>
      <c r="AS103" s="75" t="s">
        <v>2</v>
      </c>
      <c r="AT103" s="75" t="str">
        <f t="shared" si="150"/>
        <v>O</v>
      </c>
      <c r="AU103" s="75" t="str">
        <f t="shared" si="151"/>
        <v>O</v>
      </c>
      <c r="AV103" s="75" t="str">
        <f t="shared" si="152"/>
        <v>후보</v>
      </c>
    </row>
    <row r="104" spans="1:48" s="38" customFormat="1" ht="12" x14ac:dyDescent="0.3">
      <c r="A104" s="110" t="s">
        <v>1120</v>
      </c>
      <c r="B104" s="111" t="s">
        <v>1039</v>
      </c>
      <c r="C104" s="112">
        <v>630</v>
      </c>
      <c r="D104" s="104">
        <v>114.6</v>
      </c>
      <c r="E104" s="106">
        <v>35</v>
      </c>
      <c r="F104" s="104">
        <v>84.7</v>
      </c>
      <c r="G104" s="17">
        <v>26</v>
      </c>
      <c r="H104" s="107">
        <v>145</v>
      </c>
      <c r="I104" s="108"/>
      <c r="J104" s="108"/>
      <c r="K104" s="108"/>
      <c r="L104" s="108"/>
      <c r="M104" s="109">
        <f t="shared" si="137"/>
        <v>0</v>
      </c>
      <c r="N104" s="4" t="str">
        <f t="shared" si="138"/>
        <v/>
      </c>
      <c r="O104" s="105">
        <f t="shared" si="139"/>
        <v>0</v>
      </c>
      <c r="P104" s="105">
        <f t="shared" si="140"/>
        <v>0</v>
      </c>
      <c r="Q104" s="75">
        <v>3</v>
      </c>
      <c r="R104" s="75">
        <v>2</v>
      </c>
      <c r="S104" s="75" t="s">
        <v>947</v>
      </c>
      <c r="T104" s="5" t="s">
        <v>688</v>
      </c>
      <c r="U104" s="9"/>
      <c r="W104" s="104">
        <f t="shared" si="153"/>
        <v>114.6</v>
      </c>
      <c r="X104" s="106">
        <f t="shared" si="153"/>
        <v>35</v>
      </c>
      <c r="Y104" s="102">
        <f t="shared" si="154"/>
        <v>145</v>
      </c>
      <c r="Z104" s="109">
        <f t="shared" si="154"/>
        <v>0</v>
      </c>
      <c r="AA104" s="109">
        <f t="shared" si="141"/>
        <v>0</v>
      </c>
      <c r="AB104" s="109">
        <f t="shared" si="155"/>
        <v>0</v>
      </c>
      <c r="AC104" s="4" t="str">
        <f t="shared" si="155"/>
        <v/>
      </c>
      <c r="AD104" s="105">
        <f t="shared" si="155"/>
        <v>0</v>
      </c>
      <c r="AE104" s="75" t="str">
        <f t="shared" si="142"/>
        <v>계</v>
      </c>
      <c r="AF104" s="75" t="str">
        <f t="shared" si="143"/>
        <v>3/2</v>
      </c>
      <c r="AH104" s="20" t="str">
        <f t="shared" si="85"/>
        <v>북면 창원감계힐스테이트3차</v>
      </c>
      <c r="AI104" s="106">
        <f t="shared" si="117"/>
        <v>35</v>
      </c>
      <c r="AJ104" s="75" t="str">
        <f t="shared" si="144"/>
        <v>A-</v>
      </c>
      <c r="AK104" s="75" t="s">
        <v>14</v>
      </c>
      <c r="AL104" s="75" t="s">
        <v>944</v>
      </c>
      <c r="AM104" s="75" t="s">
        <v>945</v>
      </c>
      <c r="AN104" s="75" t="str">
        <f t="shared" si="145"/>
        <v>C</v>
      </c>
      <c r="AO104" s="75" t="str">
        <f t="shared" si="146"/>
        <v/>
      </c>
      <c r="AP104" s="75" t="str">
        <f t="shared" si="147"/>
        <v/>
      </c>
      <c r="AQ104" s="75" t="str">
        <f t="shared" si="148"/>
        <v>O</v>
      </c>
      <c r="AR104" s="75" t="str">
        <f t="shared" si="149"/>
        <v>O</v>
      </c>
      <c r="AS104" s="75" t="s">
        <v>2</v>
      </c>
      <c r="AT104" s="75" t="str">
        <f t="shared" si="150"/>
        <v>O</v>
      </c>
      <c r="AU104" s="75" t="str">
        <f t="shared" si="151"/>
        <v>O</v>
      </c>
      <c r="AV104" s="75" t="str">
        <f t="shared" si="152"/>
        <v/>
      </c>
    </row>
    <row r="105" spans="1:48" s="38" customFormat="1" ht="12" x14ac:dyDescent="0.3">
      <c r="A105" s="110" t="s">
        <v>1120</v>
      </c>
      <c r="B105" s="111" t="s">
        <v>1039</v>
      </c>
      <c r="C105" s="112">
        <v>630</v>
      </c>
      <c r="D105" s="104">
        <v>132.19999999999999</v>
      </c>
      <c r="E105" s="106">
        <v>40</v>
      </c>
      <c r="F105" s="104">
        <v>101.7</v>
      </c>
      <c r="G105" s="17">
        <v>31</v>
      </c>
      <c r="H105" s="107">
        <v>66</v>
      </c>
      <c r="I105" s="108">
        <v>45500</v>
      </c>
      <c r="J105" s="108" t="s">
        <v>981</v>
      </c>
      <c r="K105" s="108"/>
      <c r="L105" s="108"/>
      <c r="M105" s="109">
        <f t="shared" si="137"/>
        <v>45500</v>
      </c>
      <c r="N105" s="4">
        <f t="shared" si="138"/>
        <v>0</v>
      </c>
      <c r="O105" s="105">
        <f t="shared" si="139"/>
        <v>1137.5</v>
      </c>
      <c r="P105" s="105">
        <f t="shared" si="140"/>
        <v>0</v>
      </c>
      <c r="Q105" s="75">
        <v>4</v>
      </c>
      <c r="R105" s="75">
        <v>2</v>
      </c>
      <c r="S105" s="75" t="s">
        <v>947</v>
      </c>
      <c r="T105" s="5">
        <v>132</v>
      </c>
      <c r="U105" s="9"/>
      <c r="W105" s="104">
        <f t="shared" si="153"/>
        <v>132.19999999999999</v>
      </c>
      <c r="X105" s="106">
        <f t="shared" si="153"/>
        <v>40</v>
      </c>
      <c r="Y105" s="102">
        <f t="shared" si="154"/>
        <v>66</v>
      </c>
      <c r="Z105" s="109">
        <f t="shared" si="154"/>
        <v>45500</v>
      </c>
      <c r="AA105" s="109">
        <f t="shared" si="141"/>
        <v>0</v>
      </c>
      <c r="AB105" s="109">
        <f t="shared" si="155"/>
        <v>45500</v>
      </c>
      <c r="AC105" s="4">
        <f t="shared" si="155"/>
        <v>0</v>
      </c>
      <c r="AD105" s="105">
        <f t="shared" si="155"/>
        <v>1137.5</v>
      </c>
      <c r="AE105" s="75" t="str">
        <f t="shared" si="142"/>
        <v>계</v>
      </c>
      <c r="AF105" s="75" t="str">
        <f t="shared" si="143"/>
        <v>4/2</v>
      </c>
      <c r="AH105" s="20" t="str">
        <f t="shared" si="85"/>
        <v>북면 창원감계힐스테이트3차</v>
      </c>
      <c r="AI105" s="106">
        <f t="shared" si="117"/>
        <v>40</v>
      </c>
      <c r="AJ105" s="75" t="str">
        <f t="shared" si="144"/>
        <v>A-</v>
      </c>
      <c r="AK105" s="75" t="s">
        <v>14</v>
      </c>
      <c r="AL105" s="75" t="s">
        <v>944</v>
      </c>
      <c r="AM105" s="75" t="s">
        <v>945</v>
      </c>
      <c r="AN105" s="75" t="str">
        <f t="shared" si="145"/>
        <v>C</v>
      </c>
      <c r="AO105" s="75" t="str">
        <f t="shared" si="146"/>
        <v>X</v>
      </c>
      <c r="AP105" s="75" t="str">
        <f t="shared" si="147"/>
        <v>X</v>
      </c>
      <c r="AQ105" s="75" t="str">
        <f t="shared" si="148"/>
        <v>X</v>
      </c>
      <c r="AR105" s="75" t="str">
        <f t="shared" si="149"/>
        <v>X</v>
      </c>
      <c r="AS105" s="75" t="s">
        <v>2</v>
      </c>
      <c r="AT105" s="75" t="str">
        <f t="shared" si="150"/>
        <v>X</v>
      </c>
      <c r="AU105" s="75" t="str">
        <f t="shared" si="151"/>
        <v>O</v>
      </c>
      <c r="AV105" s="75" t="str">
        <f t="shared" si="152"/>
        <v>X</v>
      </c>
    </row>
    <row r="106" spans="1:48" s="38" customFormat="1" ht="12" x14ac:dyDescent="0.3">
      <c r="A106" s="110" t="s">
        <v>1041</v>
      </c>
      <c r="B106" s="111" t="s">
        <v>1027</v>
      </c>
      <c r="C106" s="112">
        <v>546</v>
      </c>
      <c r="D106" s="104">
        <v>80.3</v>
      </c>
      <c r="E106" s="106">
        <v>24</v>
      </c>
      <c r="F106" s="104">
        <v>60</v>
      </c>
      <c r="G106" s="17">
        <v>18</v>
      </c>
      <c r="H106" s="107">
        <v>54</v>
      </c>
      <c r="I106" s="108">
        <v>19500</v>
      </c>
      <c r="J106" s="108" t="s">
        <v>954</v>
      </c>
      <c r="K106" s="108"/>
      <c r="L106" s="108"/>
      <c r="M106" s="109">
        <f t="shared" si="137"/>
        <v>19500</v>
      </c>
      <c r="N106" s="4">
        <f t="shared" si="138"/>
        <v>0</v>
      </c>
      <c r="O106" s="105">
        <f t="shared" si="139"/>
        <v>812.5</v>
      </c>
      <c r="P106" s="105">
        <f t="shared" si="140"/>
        <v>0</v>
      </c>
      <c r="Q106" s="75">
        <v>3</v>
      </c>
      <c r="R106" s="75">
        <v>2</v>
      </c>
      <c r="S106" s="75" t="s">
        <v>947</v>
      </c>
      <c r="T106" s="5">
        <v>80</v>
      </c>
      <c r="U106" s="9"/>
      <c r="W106" s="104">
        <f t="shared" si="153"/>
        <v>80.3</v>
      </c>
      <c r="X106" s="106">
        <f t="shared" si="153"/>
        <v>24</v>
      </c>
      <c r="Y106" s="102">
        <f t="shared" si="154"/>
        <v>54</v>
      </c>
      <c r="Z106" s="109">
        <f t="shared" si="154"/>
        <v>19500</v>
      </c>
      <c r="AA106" s="109">
        <f t="shared" si="141"/>
        <v>0</v>
      </c>
      <c r="AB106" s="109">
        <f t="shared" si="155"/>
        <v>19500</v>
      </c>
      <c r="AC106" s="4">
        <f t="shared" si="155"/>
        <v>0</v>
      </c>
      <c r="AD106" s="105">
        <f t="shared" si="155"/>
        <v>812.5</v>
      </c>
      <c r="AE106" s="75" t="str">
        <f t="shared" si="142"/>
        <v>계</v>
      </c>
      <c r="AF106" s="75" t="str">
        <f t="shared" si="143"/>
        <v>3/2</v>
      </c>
      <c r="AH106" s="20" t="str">
        <f t="shared" si="85"/>
        <v>북면 창원무동휴먼빌1단지</v>
      </c>
      <c r="AI106" s="106">
        <f t="shared" si="117"/>
        <v>24</v>
      </c>
      <c r="AJ106" s="75" t="str">
        <f t="shared" si="144"/>
        <v>A-</v>
      </c>
      <c r="AK106" s="75" t="s">
        <v>14</v>
      </c>
      <c r="AL106" s="75" t="s">
        <v>944</v>
      </c>
      <c r="AM106" s="75" t="s">
        <v>945</v>
      </c>
      <c r="AN106" s="75" t="str">
        <f t="shared" si="145"/>
        <v>C</v>
      </c>
      <c r="AO106" s="75" t="str">
        <f t="shared" si="146"/>
        <v>X</v>
      </c>
      <c r="AP106" s="75" t="str">
        <f t="shared" si="147"/>
        <v>O</v>
      </c>
      <c r="AQ106" s="75" t="str">
        <f t="shared" si="148"/>
        <v>O</v>
      </c>
      <c r="AR106" s="75" t="str">
        <f t="shared" si="149"/>
        <v>X</v>
      </c>
      <c r="AS106" s="75" t="s">
        <v>2</v>
      </c>
      <c r="AT106" s="75" t="str">
        <f t="shared" si="150"/>
        <v>O</v>
      </c>
      <c r="AU106" s="75" t="str">
        <f t="shared" si="151"/>
        <v>O</v>
      </c>
      <c r="AV106" s="75" t="str">
        <f t="shared" si="152"/>
        <v>X</v>
      </c>
    </row>
    <row r="107" spans="1:48" s="38" customFormat="1" ht="12" x14ac:dyDescent="0.3">
      <c r="A107" s="110" t="s">
        <v>1041</v>
      </c>
      <c r="B107" s="111" t="s">
        <v>1027</v>
      </c>
      <c r="C107" s="112">
        <v>546</v>
      </c>
      <c r="D107" s="104">
        <v>113.8</v>
      </c>
      <c r="E107" s="106">
        <v>34</v>
      </c>
      <c r="F107" s="104">
        <v>85</v>
      </c>
      <c r="G107" s="17">
        <v>26</v>
      </c>
      <c r="H107" s="107">
        <v>359</v>
      </c>
      <c r="I107" s="108">
        <v>23000</v>
      </c>
      <c r="J107" s="108" t="s">
        <v>954</v>
      </c>
      <c r="K107" s="108">
        <v>23000</v>
      </c>
      <c r="L107" s="108" t="s">
        <v>954</v>
      </c>
      <c r="M107" s="109">
        <f t="shared" si="137"/>
        <v>0</v>
      </c>
      <c r="N107" s="4">
        <f t="shared" si="138"/>
        <v>1</v>
      </c>
      <c r="O107" s="105">
        <f t="shared" si="139"/>
        <v>676.47058823529414</v>
      </c>
      <c r="P107" s="105">
        <f t="shared" si="140"/>
        <v>676.47058823529414</v>
      </c>
      <c r="Q107" s="75">
        <v>3</v>
      </c>
      <c r="R107" s="75">
        <v>2</v>
      </c>
      <c r="S107" s="75" t="s">
        <v>947</v>
      </c>
      <c r="T107" s="5" t="s">
        <v>598</v>
      </c>
      <c r="U107" s="9"/>
      <c r="W107" s="104">
        <f t="shared" si="153"/>
        <v>113.8</v>
      </c>
      <c r="X107" s="106">
        <f t="shared" si="153"/>
        <v>34</v>
      </c>
      <c r="Y107" s="102">
        <f t="shared" si="154"/>
        <v>359</v>
      </c>
      <c r="Z107" s="109">
        <f t="shared" si="154"/>
        <v>23000</v>
      </c>
      <c r="AA107" s="109">
        <f t="shared" si="141"/>
        <v>23000</v>
      </c>
      <c r="AB107" s="109">
        <f t="shared" si="155"/>
        <v>0</v>
      </c>
      <c r="AC107" s="4">
        <f t="shared" si="155"/>
        <v>1</v>
      </c>
      <c r="AD107" s="105">
        <f t="shared" si="155"/>
        <v>676.47058823529414</v>
      </c>
      <c r="AE107" s="75" t="str">
        <f t="shared" si="142"/>
        <v>계</v>
      </c>
      <c r="AF107" s="75" t="str">
        <f t="shared" si="143"/>
        <v>3/2</v>
      </c>
      <c r="AH107" s="20" t="str">
        <f t="shared" si="85"/>
        <v>북면 창원무동휴먼빌1단지</v>
      </c>
      <c r="AI107" s="106">
        <f t="shared" si="117"/>
        <v>34</v>
      </c>
      <c r="AJ107" s="75" t="str">
        <f t="shared" si="144"/>
        <v>A-</v>
      </c>
      <c r="AK107" s="75" t="s">
        <v>14</v>
      </c>
      <c r="AL107" s="75" t="s">
        <v>944</v>
      </c>
      <c r="AM107" s="75" t="s">
        <v>945</v>
      </c>
      <c r="AN107" s="75" t="str">
        <f t="shared" si="145"/>
        <v>C</v>
      </c>
      <c r="AO107" s="75" t="str">
        <f t="shared" si="146"/>
        <v>O</v>
      </c>
      <c r="AP107" s="75" t="str">
        <f t="shared" si="147"/>
        <v>O</v>
      </c>
      <c r="AQ107" s="75" t="str">
        <f t="shared" si="148"/>
        <v>O</v>
      </c>
      <c r="AR107" s="75" t="str">
        <f t="shared" si="149"/>
        <v>O</v>
      </c>
      <c r="AS107" s="75" t="s">
        <v>2</v>
      </c>
      <c r="AT107" s="75" t="str">
        <f t="shared" si="150"/>
        <v>O</v>
      </c>
      <c r="AU107" s="75" t="str">
        <f t="shared" si="151"/>
        <v>O</v>
      </c>
      <c r="AV107" s="75" t="str">
        <f t="shared" si="152"/>
        <v>후보</v>
      </c>
    </row>
    <row r="108" spans="1:48" s="38" customFormat="1" ht="12" x14ac:dyDescent="0.3">
      <c r="A108" s="110" t="s">
        <v>1041</v>
      </c>
      <c r="B108" s="111" t="s">
        <v>1027</v>
      </c>
      <c r="C108" s="112">
        <v>546</v>
      </c>
      <c r="D108" s="104">
        <v>113.5</v>
      </c>
      <c r="E108" s="106">
        <v>34</v>
      </c>
      <c r="F108" s="104">
        <v>85</v>
      </c>
      <c r="G108" s="17">
        <v>26</v>
      </c>
      <c r="H108" s="107">
        <v>133</v>
      </c>
      <c r="I108" s="108">
        <v>25000</v>
      </c>
      <c r="J108" s="108" t="s">
        <v>954</v>
      </c>
      <c r="K108" s="108"/>
      <c r="L108" s="108"/>
      <c r="M108" s="109">
        <f t="shared" si="137"/>
        <v>25000</v>
      </c>
      <c r="N108" s="4">
        <f t="shared" si="138"/>
        <v>0</v>
      </c>
      <c r="O108" s="105">
        <f t="shared" si="139"/>
        <v>735.29411764705878</v>
      </c>
      <c r="P108" s="105">
        <f t="shared" si="140"/>
        <v>0</v>
      </c>
      <c r="Q108" s="75">
        <v>3</v>
      </c>
      <c r="R108" s="75">
        <v>2</v>
      </c>
      <c r="S108" s="75" t="s">
        <v>947</v>
      </c>
      <c r="T108" s="5" t="s">
        <v>599</v>
      </c>
      <c r="U108" s="9"/>
      <c r="W108" s="104">
        <f t="shared" si="153"/>
        <v>113.5</v>
      </c>
      <c r="X108" s="106">
        <f t="shared" si="153"/>
        <v>34</v>
      </c>
      <c r="Y108" s="102">
        <f t="shared" si="154"/>
        <v>133</v>
      </c>
      <c r="Z108" s="109">
        <f t="shared" si="154"/>
        <v>25000</v>
      </c>
      <c r="AA108" s="109">
        <f t="shared" si="141"/>
        <v>0</v>
      </c>
      <c r="AB108" s="109">
        <f t="shared" si="155"/>
        <v>25000</v>
      </c>
      <c r="AC108" s="4">
        <f t="shared" si="155"/>
        <v>0</v>
      </c>
      <c r="AD108" s="105">
        <f t="shared" si="155"/>
        <v>735.29411764705878</v>
      </c>
      <c r="AE108" s="75" t="str">
        <f t="shared" si="142"/>
        <v>계</v>
      </c>
      <c r="AF108" s="75" t="str">
        <f t="shared" si="143"/>
        <v>3/2</v>
      </c>
      <c r="AH108" s="20" t="str">
        <f t="shared" si="85"/>
        <v>북면 창원무동휴먼빌1단지</v>
      </c>
      <c r="AI108" s="106">
        <f t="shared" si="117"/>
        <v>34</v>
      </c>
      <c r="AJ108" s="75" t="str">
        <f t="shared" si="144"/>
        <v>A-</v>
      </c>
      <c r="AK108" s="75" t="s">
        <v>14</v>
      </c>
      <c r="AL108" s="75" t="s">
        <v>944</v>
      </c>
      <c r="AM108" s="75" t="s">
        <v>945</v>
      </c>
      <c r="AN108" s="75" t="str">
        <f t="shared" si="145"/>
        <v>C</v>
      </c>
      <c r="AO108" s="75" t="str">
        <f t="shared" si="146"/>
        <v>X</v>
      </c>
      <c r="AP108" s="75" t="str">
        <f t="shared" si="147"/>
        <v>O</v>
      </c>
      <c r="AQ108" s="75" t="str">
        <f t="shared" si="148"/>
        <v>O</v>
      </c>
      <c r="AR108" s="75" t="str">
        <f t="shared" si="149"/>
        <v>X</v>
      </c>
      <c r="AS108" s="75" t="s">
        <v>2</v>
      </c>
      <c r="AT108" s="75" t="str">
        <f t="shared" si="150"/>
        <v>O</v>
      </c>
      <c r="AU108" s="75" t="str">
        <f t="shared" si="151"/>
        <v>O</v>
      </c>
      <c r="AV108" s="75" t="str">
        <f t="shared" si="152"/>
        <v>X</v>
      </c>
    </row>
    <row r="109" spans="1:48" s="38" customFormat="1" ht="12" x14ac:dyDescent="0.3">
      <c r="A109" s="110" t="s">
        <v>1042</v>
      </c>
      <c r="B109" s="111" t="s">
        <v>1039</v>
      </c>
      <c r="C109" s="112">
        <v>451</v>
      </c>
      <c r="D109" s="104">
        <v>81.7</v>
      </c>
      <c r="E109" s="106">
        <v>25</v>
      </c>
      <c r="F109" s="104">
        <v>60</v>
      </c>
      <c r="G109" s="17">
        <v>18</v>
      </c>
      <c r="H109" s="107">
        <v>117</v>
      </c>
      <c r="I109" s="108"/>
      <c r="J109" s="108"/>
      <c r="K109" s="108"/>
      <c r="L109" s="108"/>
      <c r="M109" s="109">
        <f t="shared" si="137"/>
        <v>0</v>
      </c>
      <c r="N109" s="4" t="str">
        <f t="shared" si="138"/>
        <v/>
      </c>
      <c r="O109" s="105">
        <f t="shared" si="139"/>
        <v>0</v>
      </c>
      <c r="P109" s="105">
        <f t="shared" si="140"/>
        <v>0</v>
      </c>
      <c r="Q109" s="75">
        <v>3</v>
      </c>
      <c r="R109" s="75">
        <v>2</v>
      </c>
      <c r="S109" s="75" t="s">
        <v>947</v>
      </c>
      <c r="T109" s="5">
        <v>81</v>
      </c>
      <c r="U109" s="9"/>
      <c r="W109" s="104">
        <f t="shared" ref="W109:X124" si="156">D109</f>
        <v>81.7</v>
      </c>
      <c r="X109" s="106">
        <f t="shared" si="156"/>
        <v>25</v>
      </c>
      <c r="Y109" s="102">
        <f t="shared" ref="Y109:Z124" si="157">H109</f>
        <v>117</v>
      </c>
      <c r="Z109" s="109">
        <f t="shared" si="157"/>
        <v>0</v>
      </c>
      <c r="AA109" s="109">
        <f t="shared" si="141"/>
        <v>0</v>
      </c>
      <c r="AB109" s="109">
        <f t="shared" si="155"/>
        <v>0</v>
      </c>
      <c r="AC109" s="4" t="str">
        <f t="shared" si="155"/>
        <v/>
      </c>
      <c r="AD109" s="105">
        <f t="shared" si="155"/>
        <v>0</v>
      </c>
      <c r="AE109" s="75" t="str">
        <f t="shared" si="142"/>
        <v>계</v>
      </c>
      <c r="AF109" s="75" t="str">
        <f t="shared" si="143"/>
        <v>3/2</v>
      </c>
      <c r="AH109" s="20" t="str">
        <f t="shared" si="85"/>
        <v>북면 창원무동지구휴먼빌3단지</v>
      </c>
      <c r="AI109" s="106">
        <f t="shared" si="117"/>
        <v>25</v>
      </c>
      <c r="AJ109" s="75" t="str">
        <f t="shared" si="144"/>
        <v>A-</v>
      </c>
      <c r="AK109" s="75" t="s">
        <v>14</v>
      </c>
      <c r="AL109" s="75" t="s">
        <v>944</v>
      </c>
      <c r="AM109" s="75" t="s">
        <v>945</v>
      </c>
      <c r="AN109" s="75" t="str">
        <f t="shared" si="145"/>
        <v>C</v>
      </c>
      <c r="AO109" s="75" t="str">
        <f t="shared" si="146"/>
        <v/>
      </c>
      <c r="AP109" s="75" t="str">
        <f t="shared" si="147"/>
        <v/>
      </c>
      <c r="AQ109" s="75" t="str">
        <f t="shared" si="148"/>
        <v>O</v>
      </c>
      <c r="AR109" s="75" t="str">
        <f t="shared" si="149"/>
        <v>O</v>
      </c>
      <c r="AS109" s="75" t="s">
        <v>2</v>
      </c>
      <c r="AT109" s="75" t="str">
        <f t="shared" si="150"/>
        <v>O</v>
      </c>
      <c r="AU109" s="75" t="str">
        <f t="shared" si="151"/>
        <v>O</v>
      </c>
      <c r="AV109" s="75" t="str">
        <f t="shared" si="152"/>
        <v/>
      </c>
    </row>
    <row r="110" spans="1:48" s="38" customFormat="1" ht="12" x14ac:dyDescent="0.3">
      <c r="A110" s="110" t="s">
        <v>1042</v>
      </c>
      <c r="B110" s="111" t="s">
        <v>1039</v>
      </c>
      <c r="C110" s="112">
        <v>451</v>
      </c>
      <c r="D110" s="104">
        <v>115.5</v>
      </c>
      <c r="E110" s="106">
        <v>35</v>
      </c>
      <c r="F110" s="104">
        <v>85</v>
      </c>
      <c r="G110" s="17">
        <v>26</v>
      </c>
      <c r="H110" s="107">
        <v>212</v>
      </c>
      <c r="I110" s="108">
        <v>28000</v>
      </c>
      <c r="J110" s="108" t="s">
        <v>954</v>
      </c>
      <c r="K110" s="108">
        <v>24000</v>
      </c>
      <c r="L110" s="108" t="s">
        <v>954</v>
      </c>
      <c r="M110" s="109">
        <f t="shared" si="137"/>
        <v>4000</v>
      </c>
      <c r="N110" s="4">
        <f t="shared" si="138"/>
        <v>0.8571428571428571</v>
      </c>
      <c r="O110" s="105">
        <f t="shared" si="139"/>
        <v>800</v>
      </c>
      <c r="P110" s="105">
        <f t="shared" si="140"/>
        <v>685.71428571428567</v>
      </c>
      <c r="Q110" s="75">
        <v>3</v>
      </c>
      <c r="R110" s="75">
        <v>2</v>
      </c>
      <c r="S110" s="75" t="s">
        <v>947</v>
      </c>
      <c r="T110" s="5" t="s">
        <v>697</v>
      </c>
      <c r="U110" s="9"/>
      <c r="W110" s="104">
        <f t="shared" si="156"/>
        <v>115.5</v>
      </c>
      <c r="X110" s="106">
        <f t="shared" si="156"/>
        <v>35</v>
      </c>
      <c r="Y110" s="102">
        <f t="shared" si="157"/>
        <v>212</v>
      </c>
      <c r="Z110" s="109">
        <f t="shared" si="157"/>
        <v>28000</v>
      </c>
      <c r="AA110" s="109">
        <f t="shared" si="141"/>
        <v>24000</v>
      </c>
      <c r="AB110" s="109">
        <f t="shared" si="155"/>
        <v>4000</v>
      </c>
      <c r="AC110" s="4">
        <f t="shared" si="155"/>
        <v>0.8571428571428571</v>
      </c>
      <c r="AD110" s="105">
        <f t="shared" si="155"/>
        <v>800</v>
      </c>
      <c r="AE110" s="75" t="str">
        <f t="shared" si="142"/>
        <v>계</v>
      </c>
      <c r="AF110" s="75" t="str">
        <f t="shared" si="143"/>
        <v>3/2</v>
      </c>
      <c r="AH110" s="20" t="str">
        <f t="shared" si="85"/>
        <v>북면 창원무동지구휴먼빌3단지</v>
      </c>
      <c r="AI110" s="106">
        <f t="shared" si="117"/>
        <v>35</v>
      </c>
      <c r="AJ110" s="75" t="str">
        <f t="shared" si="144"/>
        <v>A-</v>
      </c>
      <c r="AK110" s="75" t="s">
        <v>14</v>
      </c>
      <c r="AL110" s="75" t="s">
        <v>944</v>
      </c>
      <c r="AM110" s="75" t="s">
        <v>945</v>
      </c>
      <c r="AN110" s="75" t="str">
        <f t="shared" si="145"/>
        <v>C</v>
      </c>
      <c r="AO110" s="75" t="str">
        <f t="shared" si="146"/>
        <v>O</v>
      </c>
      <c r="AP110" s="75" t="str">
        <f t="shared" si="147"/>
        <v>O</v>
      </c>
      <c r="AQ110" s="75" t="str">
        <f t="shared" si="148"/>
        <v>O</v>
      </c>
      <c r="AR110" s="75" t="str">
        <f t="shared" si="149"/>
        <v>O</v>
      </c>
      <c r="AS110" s="75" t="s">
        <v>2</v>
      </c>
      <c r="AT110" s="75" t="str">
        <f t="shared" si="150"/>
        <v>O</v>
      </c>
      <c r="AU110" s="75" t="str">
        <f t="shared" si="151"/>
        <v>O</v>
      </c>
      <c r="AV110" s="75" t="str">
        <f t="shared" si="152"/>
        <v>후보</v>
      </c>
    </row>
    <row r="111" spans="1:48" s="38" customFormat="1" ht="12" x14ac:dyDescent="0.3">
      <c r="A111" s="110" t="s">
        <v>1042</v>
      </c>
      <c r="B111" s="111" t="s">
        <v>1039</v>
      </c>
      <c r="C111" s="112">
        <v>451</v>
      </c>
      <c r="D111" s="104">
        <v>115.6</v>
      </c>
      <c r="E111" s="106">
        <v>35</v>
      </c>
      <c r="F111" s="104">
        <v>85</v>
      </c>
      <c r="G111" s="17">
        <v>26</v>
      </c>
      <c r="H111" s="107">
        <v>122</v>
      </c>
      <c r="I111" s="108">
        <v>27000</v>
      </c>
      <c r="J111" s="108" t="s">
        <v>954</v>
      </c>
      <c r="K111" s="108"/>
      <c r="L111" s="108"/>
      <c r="M111" s="109">
        <f t="shared" si="137"/>
        <v>27000</v>
      </c>
      <c r="N111" s="4">
        <f t="shared" si="138"/>
        <v>0</v>
      </c>
      <c r="O111" s="105">
        <f t="shared" si="139"/>
        <v>771.42857142857144</v>
      </c>
      <c r="P111" s="105">
        <f t="shared" si="140"/>
        <v>0</v>
      </c>
      <c r="Q111" s="75">
        <v>3</v>
      </c>
      <c r="R111" s="75">
        <v>2</v>
      </c>
      <c r="S111" s="75" t="s">
        <v>947</v>
      </c>
      <c r="T111" s="5" t="s">
        <v>627</v>
      </c>
      <c r="U111" s="9"/>
      <c r="W111" s="104">
        <f t="shared" si="156"/>
        <v>115.6</v>
      </c>
      <c r="X111" s="106">
        <f t="shared" si="156"/>
        <v>35</v>
      </c>
      <c r="Y111" s="102">
        <f t="shared" si="157"/>
        <v>122</v>
      </c>
      <c r="Z111" s="109">
        <f t="shared" si="157"/>
        <v>27000</v>
      </c>
      <c r="AA111" s="109">
        <f t="shared" si="141"/>
        <v>0</v>
      </c>
      <c r="AB111" s="109">
        <f t="shared" ref="AB111:AD126" si="158">M111</f>
        <v>27000</v>
      </c>
      <c r="AC111" s="4">
        <f t="shared" si="158"/>
        <v>0</v>
      </c>
      <c r="AD111" s="105">
        <f t="shared" si="158"/>
        <v>771.42857142857144</v>
      </c>
      <c r="AE111" s="75" t="str">
        <f t="shared" si="142"/>
        <v>계</v>
      </c>
      <c r="AF111" s="75" t="str">
        <f t="shared" si="143"/>
        <v>3/2</v>
      </c>
      <c r="AH111" s="20" t="str">
        <f t="shared" si="85"/>
        <v>북면 창원무동지구휴먼빌3단지</v>
      </c>
      <c r="AI111" s="106">
        <f t="shared" si="117"/>
        <v>35</v>
      </c>
      <c r="AJ111" s="75" t="str">
        <f t="shared" si="144"/>
        <v>A-</v>
      </c>
      <c r="AK111" s="75" t="s">
        <v>14</v>
      </c>
      <c r="AL111" s="75" t="s">
        <v>944</v>
      </c>
      <c r="AM111" s="75" t="s">
        <v>945</v>
      </c>
      <c r="AN111" s="75" t="str">
        <f t="shared" si="145"/>
        <v>C</v>
      </c>
      <c r="AO111" s="75" t="str">
        <f t="shared" si="146"/>
        <v>X</v>
      </c>
      <c r="AP111" s="75" t="str">
        <f t="shared" si="147"/>
        <v>O</v>
      </c>
      <c r="AQ111" s="75" t="str">
        <f t="shared" si="148"/>
        <v>O</v>
      </c>
      <c r="AR111" s="75" t="str">
        <f t="shared" si="149"/>
        <v>X</v>
      </c>
      <c r="AS111" s="75" t="s">
        <v>2</v>
      </c>
      <c r="AT111" s="75" t="str">
        <f t="shared" si="150"/>
        <v>O</v>
      </c>
      <c r="AU111" s="75" t="str">
        <f t="shared" si="151"/>
        <v>O</v>
      </c>
      <c r="AV111" s="75" t="str">
        <f t="shared" si="152"/>
        <v>X</v>
      </c>
    </row>
    <row r="112" spans="1:48" s="38" customFormat="1" ht="12" x14ac:dyDescent="0.3">
      <c r="A112" s="110" t="s">
        <v>1121</v>
      </c>
      <c r="B112" s="111" t="s">
        <v>1031</v>
      </c>
      <c r="C112" s="112">
        <v>697</v>
      </c>
      <c r="D112" s="104">
        <v>81.3</v>
      </c>
      <c r="E112" s="106">
        <v>25</v>
      </c>
      <c r="F112" s="104">
        <v>60</v>
      </c>
      <c r="G112" s="17">
        <v>18</v>
      </c>
      <c r="H112" s="107">
        <v>134</v>
      </c>
      <c r="I112" s="108">
        <v>24000</v>
      </c>
      <c r="J112" s="108" t="s">
        <v>954</v>
      </c>
      <c r="K112" s="108">
        <v>23000</v>
      </c>
      <c r="L112" s="108" t="s">
        <v>954</v>
      </c>
      <c r="M112" s="109">
        <f t="shared" si="137"/>
        <v>1000</v>
      </c>
      <c r="N112" s="4">
        <f t="shared" si="138"/>
        <v>0.95833333333333337</v>
      </c>
      <c r="O112" s="105">
        <f t="shared" si="139"/>
        <v>960</v>
      </c>
      <c r="P112" s="105">
        <f t="shared" si="140"/>
        <v>920</v>
      </c>
      <c r="Q112" s="75">
        <v>3</v>
      </c>
      <c r="R112" s="75">
        <v>2</v>
      </c>
      <c r="S112" s="75" t="s">
        <v>947</v>
      </c>
      <c r="T112" s="5">
        <v>81</v>
      </c>
      <c r="U112" s="9"/>
      <c r="W112" s="104">
        <f t="shared" si="156"/>
        <v>81.3</v>
      </c>
      <c r="X112" s="106">
        <f t="shared" si="156"/>
        <v>25</v>
      </c>
      <c r="Y112" s="102">
        <f t="shared" si="157"/>
        <v>134</v>
      </c>
      <c r="Z112" s="109">
        <f t="shared" si="157"/>
        <v>24000</v>
      </c>
      <c r="AA112" s="109">
        <f t="shared" si="141"/>
        <v>23000</v>
      </c>
      <c r="AB112" s="109">
        <f t="shared" si="158"/>
        <v>1000</v>
      </c>
      <c r="AC112" s="4">
        <f t="shared" si="158"/>
        <v>0.95833333333333337</v>
      </c>
      <c r="AD112" s="105">
        <f t="shared" si="158"/>
        <v>960</v>
      </c>
      <c r="AE112" s="75" t="str">
        <f t="shared" si="142"/>
        <v>계</v>
      </c>
      <c r="AF112" s="75" t="str">
        <f t="shared" si="143"/>
        <v>3/2</v>
      </c>
      <c r="AH112" s="20" t="str">
        <f t="shared" si="85"/>
        <v>북면 감계휴먼빌</v>
      </c>
      <c r="AI112" s="106">
        <f t="shared" si="117"/>
        <v>25</v>
      </c>
      <c r="AJ112" s="75" t="str">
        <f t="shared" si="144"/>
        <v>A-</v>
      </c>
      <c r="AK112" s="75" t="s">
        <v>14</v>
      </c>
      <c r="AL112" s="75" t="s">
        <v>944</v>
      </c>
      <c r="AM112" s="75" t="s">
        <v>945</v>
      </c>
      <c r="AN112" s="75" t="str">
        <f t="shared" si="145"/>
        <v>C</v>
      </c>
      <c r="AO112" s="75" t="str">
        <f t="shared" si="146"/>
        <v>O</v>
      </c>
      <c r="AP112" s="75" t="str">
        <f t="shared" si="147"/>
        <v>O</v>
      </c>
      <c r="AQ112" s="75" t="str">
        <f t="shared" si="148"/>
        <v>O</v>
      </c>
      <c r="AR112" s="75" t="str">
        <f t="shared" si="149"/>
        <v>O</v>
      </c>
      <c r="AS112" s="75" t="s">
        <v>2</v>
      </c>
      <c r="AT112" s="75" t="str">
        <f t="shared" si="150"/>
        <v>O</v>
      </c>
      <c r="AU112" s="75" t="str">
        <f t="shared" si="151"/>
        <v>O</v>
      </c>
      <c r="AV112" s="75" t="str">
        <f t="shared" si="152"/>
        <v>후보</v>
      </c>
    </row>
    <row r="113" spans="1:48" s="38" customFormat="1" ht="12" x14ac:dyDescent="0.3">
      <c r="A113" s="110" t="s">
        <v>1121</v>
      </c>
      <c r="B113" s="111" t="s">
        <v>1031</v>
      </c>
      <c r="C113" s="112">
        <v>697</v>
      </c>
      <c r="D113" s="104">
        <v>114.8</v>
      </c>
      <c r="E113" s="106">
        <v>35</v>
      </c>
      <c r="F113" s="104">
        <v>84.9</v>
      </c>
      <c r="G113" s="17">
        <v>26</v>
      </c>
      <c r="H113" s="107">
        <v>297</v>
      </c>
      <c r="I113" s="108">
        <v>30000</v>
      </c>
      <c r="J113" s="108" t="s">
        <v>949</v>
      </c>
      <c r="K113" s="108">
        <v>26000</v>
      </c>
      <c r="L113" s="108" t="s">
        <v>949</v>
      </c>
      <c r="M113" s="109">
        <f t="shared" si="137"/>
        <v>4000</v>
      </c>
      <c r="N113" s="4">
        <f t="shared" si="138"/>
        <v>0.8666666666666667</v>
      </c>
      <c r="O113" s="105">
        <f t="shared" si="139"/>
        <v>857.14285714285711</v>
      </c>
      <c r="P113" s="105">
        <f t="shared" si="140"/>
        <v>742.85714285714289</v>
      </c>
      <c r="Q113" s="75">
        <v>3</v>
      </c>
      <c r="R113" s="75">
        <v>2</v>
      </c>
      <c r="S113" s="75" t="s">
        <v>947</v>
      </c>
      <c r="T113" s="5" t="s">
        <v>210</v>
      </c>
      <c r="U113" s="9"/>
      <c r="W113" s="104">
        <f t="shared" si="156"/>
        <v>114.8</v>
      </c>
      <c r="X113" s="106">
        <f t="shared" si="156"/>
        <v>35</v>
      </c>
      <c r="Y113" s="102">
        <f t="shared" si="157"/>
        <v>297</v>
      </c>
      <c r="Z113" s="109">
        <f t="shared" si="157"/>
        <v>30000</v>
      </c>
      <c r="AA113" s="109">
        <f t="shared" si="141"/>
        <v>26000</v>
      </c>
      <c r="AB113" s="109">
        <f t="shared" si="158"/>
        <v>4000</v>
      </c>
      <c r="AC113" s="4">
        <f t="shared" si="158"/>
        <v>0.8666666666666667</v>
      </c>
      <c r="AD113" s="105">
        <f t="shared" si="158"/>
        <v>857.14285714285711</v>
      </c>
      <c r="AE113" s="75" t="str">
        <f t="shared" si="142"/>
        <v>계</v>
      </c>
      <c r="AF113" s="75" t="str">
        <f t="shared" si="143"/>
        <v>3/2</v>
      </c>
      <c r="AH113" s="20" t="str">
        <f t="shared" ref="AH113:AH133" si="159">IF(A113="","",A113)</f>
        <v>북면 감계휴먼빌</v>
      </c>
      <c r="AI113" s="106">
        <f t="shared" si="117"/>
        <v>35</v>
      </c>
      <c r="AJ113" s="75" t="str">
        <f t="shared" si="144"/>
        <v>A-</v>
      </c>
      <c r="AK113" s="75" t="s">
        <v>14</v>
      </c>
      <c r="AL113" s="75" t="s">
        <v>944</v>
      </c>
      <c r="AM113" s="75" t="s">
        <v>945</v>
      </c>
      <c r="AN113" s="75" t="str">
        <f t="shared" si="145"/>
        <v>C</v>
      </c>
      <c r="AO113" s="75" t="str">
        <f t="shared" si="146"/>
        <v>O</v>
      </c>
      <c r="AP113" s="75" t="str">
        <f t="shared" si="147"/>
        <v>O</v>
      </c>
      <c r="AQ113" s="75" t="str">
        <f t="shared" si="148"/>
        <v>O</v>
      </c>
      <c r="AR113" s="75" t="str">
        <f t="shared" si="149"/>
        <v>O</v>
      </c>
      <c r="AS113" s="75" t="s">
        <v>2</v>
      </c>
      <c r="AT113" s="75" t="str">
        <f t="shared" si="150"/>
        <v>O</v>
      </c>
      <c r="AU113" s="75" t="str">
        <f t="shared" si="151"/>
        <v>O</v>
      </c>
      <c r="AV113" s="75" t="str">
        <f t="shared" si="152"/>
        <v>후보</v>
      </c>
    </row>
    <row r="114" spans="1:48" s="38" customFormat="1" ht="12" x14ac:dyDescent="0.3">
      <c r="A114" s="110" t="s">
        <v>1121</v>
      </c>
      <c r="B114" s="111" t="s">
        <v>1031</v>
      </c>
      <c r="C114" s="112">
        <v>697</v>
      </c>
      <c r="D114" s="104">
        <v>114.8</v>
      </c>
      <c r="E114" s="106">
        <v>35</v>
      </c>
      <c r="F114" s="104">
        <v>85</v>
      </c>
      <c r="G114" s="17">
        <v>26</v>
      </c>
      <c r="H114" s="107">
        <v>266</v>
      </c>
      <c r="I114" s="108">
        <v>29000</v>
      </c>
      <c r="J114" s="108" t="s">
        <v>957</v>
      </c>
      <c r="K114" s="108">
        <v>28000</v>
      </c>
      <c r="L114" s="108" t="s">
        <v>957</v>
      </c>
      <c r="M114" s="109">
        <f t="shared" si="137"/>
        <v>1000</v>
      </c>
      <c r="N114" s="4">
        <f t="shared" si="138"/>
        <v>0.96551724137931039</v>
      </c>
      <c r="O114" s="105">
        <f t="shared" si="139"/>
        <v>828.57142857142856</v>
      </c>
      <c r="P114" s="105">
        <f t="shared" si="140"/>
        <v>800</v>
      </c>
      <c r="Q114" s="75">
        <v>3</v>
      </c>
      <c r="R114" s="75">
        <v>2</v>
      </c>
      <c r="S114" s="75" t="s">
        <v>947</v>
      </c>
      <c r="T114" s="5" t="s">
        <v>209</v>
      </c>
      <c r="U114" s="9"/>
      <c r="W114" s="104">
        <f t="shared" si="156"/>
        <v>114.8</v>
      </c>
      <c r="X114" s="106">
        <f t="shared" si="156"/>
        <v>35</v>
      </c>
      <c r="Y114" s="102">
        <f t="shared" si="157"/>
        <v>266</v>
      </c>
      <c r="Z114" s="109">
        <f t="shared" si="157"/>
        <v>29000</v>
      </c>
      <c r="AA114" s="109">
        <f t="shared" si="141"/>
        <v>28000</v>
      </c>
      <c r="AB114" s="109">
        <f t="shared" si="158"/>
        <v>1000</v>
      </c>
      <c r="AC114" s="4">
        <f t="shared" si="158"/>
        <v>0.96551724137931039</v>
      </c>
      <c r="AD114" s="105">
        <f t="shared" si="158"/>
        <v>828.57142857142856</v>
      </c>
      <c r="AE114" s="75" t="str">
        <f t="shared" si="142"/>
        <v>계</v>
      </c>
      <c r="AF114" s="75" t="str">
        <f t="shared" si="143"/>
        <v>3/2</v>
      </c>
      <c r="AH114" s="20" t="str">
        <f t="shared" si="159"/>
        <v>북면 감계휴먼빌</v>
      </c>
      <c r="AI114" s="106">
        <f t="shared" si="117"/>
        <v>35</v>
      </c>
      <c r="AJ114" s="75" t="str">
        <f t="shared" si="144"/>
        <v>A-</v>
      </c>
      <c r="AK114" s="75" t="s">
        <v>14</v>
      </c>
      <c r="AL114" s="75" t="s">
        <v>944</v>
      </c>
      <c r="AM114" s="75" t="s">
        <v>945</v>
      </c>
      <c r="AN114" s="75" t="str">
        <f t="shared" si="145"/>
        <v>C</v>
      </c>
      <c r="AO114" s="75" t="str">
        <f t="shared" si="146"/>
        <v>O</v>
      </c>
      <c r="AP114" s="75" t="str">
        <f t="shared" si="147"/>
        <v>O</v>
      </c>
      <c r="AQ114" s="75" t="str">
        <f t="shared" si="148"/>
        <v>O</v>
      </c>
      <c r="AR114" s="75" t="str">
        <f t="shared" si="149"/>
        <v>O</v>
      </c>
      <c r="AS114" s="75" t="s">
        <v>2</v>
      </c>
      <c r="AT114" s="75" t="str">
        <f t="shared" si="150"/>
        <v>O</v>
      </c>
      <c r="AU114" s="75" t="str">
        <f t="shared" si="151"/>
        <v>O</v>
      </c>
      <c r="AV114" s="75" t="str">
        <f t="shared" si="152"/>
        <v>후보</v>
      </c>
    </row>
    <row r="115" spans="1:48" s="38" customFormat="1" ht="12" x14ac:dyDescent="0.3">
      <c r="A115" s="110" t="s">
        <v>1122</v>
      </c>
      <c r="B115" s="111" t="s">
        <v>1036</v>
      </c>
      <c r="C115" s="112">
        <v>854</v>
      </c>
      <c r="D115" s="104">
        <v>83.5</v>
      </c>
      <c r="E115" s="106">
        <v>25</v>
      </c>
      <c r="F115" s="104">
        <v>60</v>
      </c>
      <c r="G115" s="17">
        <v>18</v>
      </c>
      <c r="H115" s="107">
        <v>43</v>
      </c>
      <c r="I115" s="108"/>
      <c r="J115" s="108"/>
      <c r="K115" s="108"/>
      <c r="L115" s="108"/>
      <c r="M115" s="109">
        <f t="shared" si="137"/>
        <v>0</v>
      </c>
      <c r="N115" s="4" t="str">
        <f t="shared" si="138"/>
        <v/>
      </c>
      <c r="O115" s="105">
        <f t="shared" si="139"/>
        <v>0</v>
      </c>
      <c r="P115" s="105">
        <f t="shared" si="140"/>
        <v>0</v>
      </c>
      <c r="Q115" s="75">
        <v>3</v>
      </c>
      <c r="R115" s="75">
        <v>2</v>
      </c>
      <c r="S115" s="75" t="s">
        <v>947</v>
      </c>
      <c r="T115" s="5" t="s">
        <v>391</v>
      </c>
      <c r="U115" s="9"/>
      <c r="W115" s="104">
        <f t="shared" si="156"/>
        <v>83.5</v>
      </c>
      <c r="X115" s="106">
        <f t="shared" si="156"/>
        <v>25</v>
      </c>
      <c r="Y115" s="102">
        <f t="shared" si="157"/>
        <v>43</v>
      </c>
      <c r="Z115" s="109">
        <f t="shared" si="157"/>
        <v>0</v>
      </c>
      <c r="AA115" s="109">
        <f t="shared" si="141"/>
        <v>0</v>
      </c>
      <c r="AB115" s="109">
        <f t="shared" si="158"/>
        <v>0</v>
      </c>
      <c r="AC115" s="4" t="str">
        <f t="shared" si="158"/>
        <v/>
      </c>
      <c r="AD115" s="105">
        <f t="shared" si="158"/>
        <v>0</v>
      </c>
      <c r="AE115" s="75" t="str">
        <f t="shared" si="142"/>
        <v>계</v>
      </c>
      <c r="AF115" s="75" t="str">
        <f t="shared" si="143"/>
        <v>3/2</v>
      </c>
      <c r="AH115" s="20" t="str">
        <f t="shared" si="159"/>
        <v>북면 창원무동STX칸1차</v>
      </c>
      <c r="AI115" s="106">
        <f t="shared" si="117"/>
        <v>25</v>
      </c>
      <c r="AJ115" s="75" t="str">
        <f t="shared" si="144"/>
        <v>A-</v>
      </c>
      <c r="AK115" s="75" t="s">
        <v>14</v>
      </c>
      <c r="AL115" s="75" t="s">
        <v>944</v>
      </c>
      <c r="AM115" s="75" t="s">
        <v>945</v>
      </c>
      <c r="AN115" s="75" t="str">
        <f t="shared" si="145"/>
        <v>C</v>
      </c>
      <c r="AO115" s="75" t="str">
        <f t="shared" si="146"/>
        <v/>
      </c>
      <c r="AP115" s="75" t="str">
        <f t="shared" si="147"/>
        <v/>
      </c>
      <c r="AQ115" s="75" t="str">
        <f t="shared" si="148"/>
        <v>O</v>
      </c>
      <c r="AR115" s="75" t="str">
        <f t="shared" si="149"/>
        <v>O</v>
      </c>
      <c r="AS115" s="75" t="s">
        <v>2</v>
      </c>
      <c r="AT115" s="75" t="str">
        <f t="shared" si="150"/>
        <v>O</v>
      </c>
      <c r="AU115" s="75" t="str">
        <f t="shared" si="151"/>
        <v>O</v>
      </c>
      <c r="AV115" s="75" t="str">
        <f t="shared" si="152"/>
        <v/>
      </c>
    </row>
    <row r="116" spans="1:48" s="38" customFormat="1" ht="12" x14ac:dyDescent="0.3">
      <c r="A116" s="110" t="s">
        <v>1122</v>
      </c>
      <c r="B116" s="111" t="s">
        <v>1036</v>
      </c>
      <c r="C116" s="112">
        <v>854</v>
      </c>
      <c r="D116" s="104">
        <v>84.1</v>
      </c>
      <c r="E116" s="106">
        <v>25</v>
      </c>
      <c r="F116" s="104">
        <v>60</v>
      </c>
      <c r="G116" s="17">
        <v>18</v>
      </c>
      <c r="H116" s="107">
        <v>44</v>
      </c>
      <c r="I116" s="108"/>
      <c r="J116" s="108"/>
      <c r="K116" s="108"/>
      <c r="L116" s="108"/>
      <c r="M116" s="109">
        <f t="shared" si="137"/>
        <v>0</v>
      </c>
      <c r="N116" s="4" t="str">
        <f t="shared" si="138"/>
        <v/>
      </c>
      <c r="O116" s="105">
        <f t="shared" si="139"/>
        <v>0</v>
      </c>
      <c r="P116" s="105">
        <f t="shared" si="140"/>
        <v>0</v>
      </c>
      <c r="Q116" s="75">
        <v>3</v>
      </c>
      <c r="R116" s="75">
        <v>2</v>
      </c>
      <c r="S116" s="75" t="s">
        <v>947</v>
      </c>
      <c r="T116" s="5" t="s">
        <v>225</v>
      </c>
      <c r="U116" s="9"/>
      <c r="W116" s="104">
        <f t="shared" si="156"/>
        <v>84.1</v>
      </c>
      <c r="X116" s="106">
        <f t="shared" si="156"/>
        <v>25</v>
      </c>
      <c r="Y116" s="102">
        <f t="shared" si="157"/>
        <v>44</v>
      </c>
      <c r="Z116" s="109">
        <f t="shared" si="157"/>
        <v>0</v>
      </c>
      <c r="AA116" s="109">
        <f t="shared" si="141"/>
        <v>0</v>
      </c>
      <c r="AB116" s="109">
        <f t="shared" si="158"/>
        <v>0</v>
      </c>
      <c r="AC116" s="4" t="str">
        <f t="shared" si="158"/>
        <v/>
      </c>
      <c r="AD116" s="105">
        <f t="shared" si="158"/>
        <v>0</v>
      </c>
      <c r="AE116" s="75" t="str">
        <f t="shared" si="142"/>
        <v>계</v>
      </c>
      <c r="AF116" s="75" t="str">
        <f t="shared" si="143"/>
        <v>3/2</v>
      </c>
      <c r="AH116" s="20" t="str">
        <f t="shared" si="159"/>
        <v>북면 창원무동STX칸1차</v>
      </c>
      <c r="AI116" s="106">
        <f t="shared" si="117"/>
        <v>25</v>
      </c>
      <c r="AJ116" s="75" t="str">
        <f t="shared" si="144"/>
        <v>A-</v>
      </c>
      <c r="AK116" s="75" t="s">
        <v>14</v>
      </c>
      <c r="AL116" s="75" t="s">
        <v>944</v>
      </c>
      <c r="AM116" s="75" t="s">
        <v>945</v>
      </c>
      <c r="AN116" s="75" t="str">
        <f t="shared" si="145"/>
        <v>C</v>
      </c>
      <c r="AO116" s="75" t="str">
        <f t="shared" si="146"/>
        <v/>
      </c>
      <c r="AP116" s="75" t="str">
        <f t="shared" si="147"/>
        <v/>
      </c>
      <c r="AQ116" s="75" t="str">
        <f t="shared" si="148"/>
        <v>O</v>
      </c>
      <c r="AR116" s="75" t="str">
        <f t="shared" si="149"/>
        <v>O</v>
      </c>
      <c r="AS116" s="75" t="s">
        <v>2</v>
      </c>
      <c r="AT116" s="75" t="str">
        <f t="shared" si="150"/>
        <v>O</v>
      </c>
      <c r="AU116" s="75" t="str">
        <f t="shared" si="151"/>
        <v>O</v>
      </c>
      <c r="AV116" s="75" t="str">
        <f t="shared" si="152"/>
        <v/>
      </c>
    </row>
    <row r="117" spans="1:48" s="38" customFormat="1" ht="12" x14ac:dyDescent="0.3">
      <c r="A117" s="110" t="s">
        <v>1122</v>
      </c>
      <c r="B117" s="111" t="s">
        <v>1036</v>
      </c>
      <c r="C117" s="112">
        <v>854</v>
      </c>
      <c r="D117" s="104">
        <v>112.6</v>
      </c>
      <c r="E117" s="106">
        <v>34</v>
      </c>
      <c r="F117" s="104">
        <v>85</v>
      </c>
      <c r="G117" s="17">
        <v>26</v>
      </c>
      <c r="H117" s="107">
        <v>449</v>
      </c>
      <c r="I117" s="108">
        <v>24000</v>
      </c>
      <c r="J117" s="108" t="s">
        <v>959</v>
      </c>
      <c r="K117" s="108">
        <v>23000</v>
      </c>
      <c r="L117" s="108" t="s">
        <v>954</v>
      </c>
      <c r="M117" s="109">
        <f t="shared" si="137"/>
        <v>1000</v>
      </c>
      <c r="N117" s="4">
        <f t="shared" si="138"/>
        <v>0.95833333333333337</v>
      </c>
      <c r="O117" s="105">
        <f t="shared" si="139"/>
        <v>705.88235294117646</v>
      </c>
      <c r="P117" s="105">
        <f t="shared" si="140"/>
        <v>676.47058823529414</v>
      </c>
      <c r="Q117" s="75">
        <v>3</v>
      </c>
      <c r="R117" s="75">
        <v>2</v>
      </c>
      <c r="S117" s="75" t="s">
        <v>947</v>
      </c>
      <c r="T117" s="5" t="s">
        <v>245</v>
      </c>
      <c r="U117" s="9"/>
      <c r="W117" s="104">
        <f t="shared" si="156"/>
        <v>112.6</v>
      </c>
      <c r="X117" s="106">
        <f t="shared" si="156"/>
        <v>34</v>
      </c>
      <c r="Y117" s="102">
        <f t="shared" si="157"/>
        <v>449</v>
      </c>
      <c r="Z117" s="109">
        <f t="shared" si="157"/>
        <v>24000</v>
      </c>
      <c r="AA117" s="109">
        <f t="shared" si="141"/>
        <v>23000</v>
      </c>
      <c r="AB117" s="109">
        <f t="shared" si="158"/>
        <v>1000</v>
      </c>
      <c r="AC117" s="4">
        <f t="shared" si="158"/>
        <v>0.95833333333333337</v>
      </c>
      <c r="AD117" s="105">
        <f t="shared" si="158"/>
        <v>705.88235294117646</v>
      </c>
      <c r="AE117" s="75" t="str">
        <f t="shared" si="142"/>
        <v>계</v>
      </c>
      <c r="AF117" s="75" t="str">
        <f t="shared" si="143"/>
        <v>3/2</v>
      </c>
      <c r="AH117" s="20" t="str">
        <f t="shared" si="159"/>
        <v>북면 창원무동STX칸1차</v>
      </c>
      <c r="AI117" s="106">
        <f t="shared" si="117"/>
        <v>34</v>
      </c>
      <c r="AJ117" s="75" t="str">
        <f t="shared" si="144"/>
        <v>A-</v>
      </c>
      <c r="AK117" s="75" t="s">
        <v>14</v>
      </c>
      <c r="AL117" s="75" t="s">
        <v>944</v>
      </c>
      <c r="AM117" s="75" t="s">
        <v>945</v>
      </c>
      <c r="AN117" s="75" t="str">
        <f t="shared" si="145"/>
        <v>C</v>
      </c>
      <c r="AO117" s="75" t="str">
        <f t="shared" si="146"/>
        <v>O</v>
      </c>
      <c r="AP117" s="75" t="str">
        <f t="shared" si="147"/>
        <v>O</v>
      </c>
      <c r="AQ117" s="75" t="str">
        <f t="shared" si="148"/>
        <v>O</v>
      </c>
      <c r="AR117" s="75" t="str">
        <f t="shared" si="149"/>
        <v>O</v>
      </c>
      <c r="AS117" s="75" t="s">
        <v>2</v>
      </c>
      <c r="AT117" s="75" t="str">
        <f t="shared" si="150"/>
        <v>O</v>
      </c>
      <c r="AU117" s="75" t="str">
        <f t="shared" si="151"/>
        <v>O</v>
      </c>
      <c r="AV117" s="75" t="str">
        <f t="shared" si="152"/>
        <v>후보</v>
      </c>
    </row>
    <row r="118" spans="1:48" s="38" customFormat="1" ht="12" x14ac:dyDescent="0.3">
      <c r="A118" s="110" t="s">
        <v>1122</v>
      </c>
      <c r="B118" s="111" t="s">
        <v>1036</v>
      </c>
      <c r="C118" s="112">
        <v>854</v>
      </c>
      <c r="D118" s="104">
        <v>113.3</v>
      </c>
      <c r="E118" s="106">
        <v>34</v>
      </c>
      <c r="F118" s="104">
        <v>85</v>
      </c>
      <c r="G118" s="17">
        <v>26</v>
      </c>
      <c r="H118" s="107">
        <v>318</v>
      </c>
      <c r="I118" s="108">
        <v>23500</v>
      </c>
      <c r="J118" s="108" t="s">
        <v>957</v>
      </c>
      <c r="K118" s="108"/>
      <c r="L118" s="108"/>
      <c r="M118" s="109">
        <f t="shared" si="137"/>
        <v>23500</v>
      </c>
      <c r="N118" s="4">
        <f t="shared" si="138"/>
        <v>0</v>
      </c>
      <c r="O118" s="105">
        <f t="shared" si="139"/>
        <v>691.17647058823525</v>
      </c>
      <c r="P118" s="105">
        <f t="shared" si="140"/>
        <v>0</v>
      </c>
      <c r="Q118" s="75">
        <v>3</v>
      </c>
      <c r="R118" s="75">
        <v>2</v>
      </c>
      <c r="S118" s="75" t="s">
        <v>947</v>
      </c>
      <c r="T118" s="5" t="s">
        <v>599</v>
      </c>
      <c r="U118" s="9"/>
      <c r="W118" s="104">
        <f t="shared" si="156"/>
        <v>113.3</v>
      </c>
      <c r="X118" s="106">
        <f t="shared" si="156"/>
        <v>34</v>
      </c>
      <c r="Y118" s="102">
        <f t="shared" si="157"/>
        <v>318</v>
      </c>
      <c r="Z118" s="109">
        <f t="shared" si="157"/>
        <v>23500</v>
      </c>
      <c r="AA118" s="109">
        <f t="shared" si="141"/>
        <v>0</v>
      </c>
      <c r="AB118" s="109">
        <f t="shared" si="158"/>
        <v>23500</v>
      </c>
      <c r="AC118" s="4">
        <f t="shared" si="158"/>
        <v>0</v>
      </c>
      <c r="AD118" s="105">
        <f t="shared" si="158"/>
        <v>691.17647058823525</v>
      </c>
      <c r="AE118" s="75" t="str">
        <f t="shared" si="142"/>
        <v>계</v>
      </c>
      <c r="AF118" s="75" t="str">
        <f t="shared" si="143"/>
        <v>3/2</v>
      </c>
      <c r="AH118" s="20" t="str">
        <f t="shared" si="159"/>
        <v>북면 창원무동STX칸1차</v>
      </c>
      <c r="AI118" s="106">
        <f t="shared" si="117"/>
        <v>34</v>
      </c>
      <c r="AJ118" s="75" t="str">
        <f t="shared" si="144"/>
        <v>A-</v>
      </c>
      <c r="AK118" s="75" t="s">
        <v>14</v>
      </c>
      <c r="AL118" s="75" t="s">
        <v>944</v>
      </c>
      <c r="AM118" s="75" t="s">
        <v>945</v>
      </c>
      <c r="AN118" s="75" t="str">
        <f t="shared" si="145"/>
        <v>C</v>
      </c>
      <c r="AO118" s="75" t="str">
        <f t="shared" si="146"/>
        <v>X</v>
      </c>
      <c r="AP118" s="75" t="str">
        <f t="shared" si="147"/>
        <v>O</v>
      </c>
      <c r="AQ118" s="75" t="str">
        <f t="shared" si="148"/>
        <v>O</v>
      </c>
      <c r="AR118" s="75" t="str">
        <f t="shared" si="149"/>
        <v>X</v>
      </c>
      <c r="AS118" s="75" t="s">
        <v>2</v>
      </c>
      <c r="AT118" s="75" t="str">
        <f t="shared" si="150"/>
        <v>O</v>
      </c>
      <c r="AU118" s="75" t="str">
        <f t="shared" si="151"/>
        <v>O</v>
      </c>
      <c r="AV118" s="75" t="str">
        <f t="shared" si="152"/>
        <v>X</v>
      </c>
    </row>
    <row r="119" spans="1:48" s="38" customFormat="1" ht="12" x14ac:dyDescent="0.3">
      <c r="A119" s="110" t="s">
        <v>1065</v>
      </c>
      <c r="B119" s="111" t="s">
        <v>1066</v>
      </c>
      <c r="C119" s="112">
        <v>836</v>
      </c>
      <c r="D119" s="104">
        <v>85.6</v>
      </c>
      <c r="E119" s="106">
        <v>26</v>
      </c>
      <c r="F119" s="104">
        <v>59.3</v>
      </c>
      <c r="G119" s="17">
        <v>18</v>
      </c>
      <c r="H119" s="107">
        <v>147</v>
      </c>
      <c r="I119" s="108">
        <v>28000</v>
      </c>
      <c r="J119" s="108" t="s">
        <v>954</v>
      </c>
      <c r="K119" s="108">
        <v>25000</v>
      </c>
      <c r="L119" s="108" t="s">
        <v>954</v>
      </c>
      <c r="M119" s="109">
        <f t="shared" si="137"/>
        <v>3000</v>
      </c>
      <c r="N119" s="4">
        <f t="shared" si="138"/>
        <v>0.8928571428571429</v>
      </c>
      <c r="O119" s="105">
        <f t="shared" si="139"/>
        <v>1076.9230769230769</v>
      </c>
      <c r="P119" s="105">
        <f t="shared" si="140"/>
        <v>961.53846153846155</v>
      </c>
      <c r="Q119" s="75">
        <v>3</v>
      </c>
      <c r="R119" s="75">
        <v>2</v>
      </c>
      <c r="S119" s="75" t="s">
        <v>947</v>
      </c>
      <c r="T119" s="5">
        <v>85</v>
      </c>
      <c r="U119" s="9"/>
      <c r="W119" s="104">
        <f t="shared" si="156"/>
        <v>85.6</v>
      </c>
      <c r="X119" s="106">
        <f t="shared" si="156"/>
        <v>26</v>
      </c>
      <c r="Y119" s="102">
        <f t="shared" si="157"/>
        <v>147</v>
      </c>
      <c r="Z119" s="109">
        <f t="shared" si="157"/>
        <v>28000</v>
      </c>
      <c r="AA119" s="109">
        <f t="shared" si="141"/>
        <v>25000</v>
      </c>
      <c r="AB119" s="109">
        <f t="shared" si="158"/>
        <v>3000</v>
      </c>
      <c r="AC119" s="4">
        <f t="shared" si="158"/>
        <v>0.8928571428571429</v>
      </c>
      <c r="AD119" s="105">
        <f t="shared" si="158"/>
        <v>1076.9230769230769</v>
      </c>
      <c r="AE119" s="75" t="str">
        <f t="shared" si="142"/>
        <v>계</v>
      </c>
      <c r="AF119" s="75" t="str">
        <f t="shared" si="143"/>
        <v>3/2</v>
      </c>
      <c r="AH119" s="20" t="str">
        <f t="shared" si="159"/>
        <v>북면 창원감계힐스테이트2차</v>
      </c>
      <c r="AI119" s="106">
        <f t="shared" si="117"/>
        <v>26</v>
      </c>
      <c r="AJ119" s="75" t="str">
        <f t="shared" si="144"/>
        <v>A-</v>
      </c>
      <c r="AK119" s="75" t="s">
        <v>14</v>
      </c>
      <c r="AL119" s="75" t="s">
        <v>944</v>
      </c>
      <c r="AM119" s="75" t="s">
        <v>945</v>
      </c>
      <c r="AN119" s="75" t="str">
        <f t="shared" si="145"/>
        <v>C</v>
      </c>
      <c r="AO119" s="75" t="str">
        <f t="shared" si="146"/>
        <v>O</v>
      </c>
      <c r="AP119" s="75" t="str">
        <f t="shared" si="147"/>
        <v>O</v>
      </c>
      <c r="AQ119" s="75" t="str">
        <f t="shared" si="148"/>
        <v>X</v>
      </c>
      <c r="AR119" s="75" t="str">
        <f t="shared" si="149"/>
        <v>O</v>
      </c>
      <c r="AS119" s="75" t="s">
        <v>2</v>
      </c>
      <c r="AT119" s="75" t="str">
        <f t="shared" si="150"/>
        <v>O</v>
      </c>
      <c r="AU119" s="75" t="str">
        <f t="shared" si="151"/>
        <v>O</v>
      </c>
      <c r="AV119" s="75" t="str">
        <f t="shared" si="152"/>
        <v>후보</v>
      </c>
    </row>
    <row r="120" spans="1:48" s="38" customFormat="1" ht="12" x14ac:dyDescent="0.3">
      <c r="A120" s="110" t="s">
        <v>1065</v>
      </c>
      <c r="B120" s="111" t="s">
        <v>1066</v>
      </c>
      <c r="C120" s="112">
        <v>836</v>
      </c>
      <c r="D120" s="104">
        <v>95.7</v>
      </c>
      <c r="E120" s="106">
        <v>29</v>
      </c>
      <c r="F120" s="104">
        <v>70.099999999999994</v>
      </c>
      <c r="G120" s="17">
        <v>21</v>
      </c>
      <c r="H120" s="107">
        <v>215</v>
      </c>
      <c r="I120" s="108">
        <v>34500</v>
      </c>
      <c r="J120" s="108" t="s">
        <v>954</v>
      </c>
      <c r="K120" s="108">
        <v>30000</v>
      </c>
      <c r="L120" s="108" t="s">
        <v>954</v>
      </c>
      <c r="M120" s="109">
        <f t="shared" si="137"/>
        <v>4500</v>
      </c>
      <c r="N120" s="4">
        <f t="shared" si="138"/>
        <v>0.86956521739130432</v>
      </c>
      <c r="O120" s="105">
        <f t="shared" si="139"/>
        <v>1189.655172413793</v>
      </c>
      <c r="P120" s="105">
        <f t="shared" si="140"/>
        <v>1034.4827586206898</v>
      </c>
      <c r="Q120" s="75">
        <v>3</v>
      </c>
      <c r="R120" s="75">
        <v>2</v>
      </c>
      <c r="S120" s="75" t="s">
        <v>947</v>
      </c>
      <c r="T120" s="5">
        <v>95</v>
      </c>
      <c r="U120" s="9"/>
      <c r="W120" s="104">
        <f t="shared" si="156"/>
        <v>95.7</v>
      </c>
      <c r="X120" s="106">
        <f t="shared" si="156"/>
        <v>29</v>
      </c>
      <c r="Y120" s="102">
        <f t="shared" si="157"/>
        <v>215</v>
      </c>
      <c r="Z120" s="109">
        <f t="shared" si="157"/>
        <v>34500</v>
      </c>
      <c r="AA120" s="109">
        <f t="shared" si="141"/>
        <v>30000</v>
      </c>
      <c r="AB120" s="109">
        <f t="shared" si="158"/>
        <v>4500</v>
      </c>
      <c r="AC120" s="4">
        <f t="shared" si="158"/>
        <v>0.86956521739130432</v>
      </c>
      <c r="AD120" s="105">
        <f t="shared" si="158"/>
        <v>1189.655172413793</v>
      </c>
      <c r="AE120" s="75" t="str">
        <f t="shared" si="142"/>
        <v>계</v>
      </c>
      <c r="AF120" s="75" t="str">
        <f t="shared" si="143"/>
        <v>3/2</v>
      </c>
      <c r="AH120" s="20" t="str">
        <f t="shared" si="159"/>
        <v>북면 창원감계힐스테이트2차</v>
      </c>
      <c r="AI120" s="106">
        <f t="shared" si="117"/>
        <v>29</v>
      </c>
      <c r="AJ120" s="75" t="str">
        <f t="shared" si="144"/>
        <v>A-</v>
      </c>
      <c r="AK120" s="75" t="s">
        <v>14</v>
      </c>
      <c r="AL120" s="75" t="s">
        <v>944</v>
      </c>
      <c r="AM120" s="75" t="s">
        <v>945</v>
      </c>
      <c r="AN120" s="75" t="str">
        <f t="shared" si="145"/>
        <v>C</v>
      </c>
      <c r="AO120" s="75" t="str">
        <f t="shared" si="146"/>
        <v>O</v>
      </c>
      <c r="AP120" s="75" t="str">
        <f t="shared" si="147"/>
        <v>O</v>
      </c>
      <c r="AQ120" s="75" t="str">
        <f t="shared" si="148"/>
        <v>X</v>
      </c>
      <c r="AR120" s="75" t="str">
        <f t="shared" si="149"/>
        <v>O</v>
      </c>
      <c r="AS120" s="75" t="s">
        <v>2</v>
      </c>
      <c r="AT120" s="75" t="str">
        <f t="shared" si="150"/>
        <v>O</v>
      </c>
      <c r="AU120" s="75" t="str">
        <f t="shared" si="151"/>
        <v>O</v>
      </c>
      <c r="AV120" s="75" t="str">
        <f t="shared" si="152"/>
        <v>후보</v>
      </c>
    </row>
    <row r="121" spans="1:48" s="38" customFormat="1" ht="12" x14ac:dyDescent="0.3">
      <c r="A121" s="110" t="s">
        <v>1065</v>
      </c>
      <c r="B121" s="111" t="s">
        <v>1066</v>
      </c>
      <c r="C121" s="112">
        <v>836</v>
      </c>
      <c r="D121" s="104">
        <v>112.1</v>
      </c>
      <c r="E121" s="106">
        <v>34</v>
      </c>
      <c r="F121" s="104">
        <v>84.9</v>
      </c>
      <c r="G121" s="17">
        <v>26</v>
      </c>
      <c r="H121" s="107">
        <v>284</v>
      </c>
      <c r="I121" s="108"/>
      <c r="J121" s="108"/>
      <c r="K121" s="108"/>
      <c r="L121" s="108"/>
      <c r="M121" s="109">
        <f t="shared" si="137"/>
        <v>0</v>
      </c>
      <c r="N121" s="4" t="str">
        <f t="shared" si="138"/>
        <v/>
      </c>
      <c r="O121" s="105">
        <f t="shared" si="139"/>
        <v>0</v>
      </c>
      <c r="P121" s="105">
        <f t="shared" si="140"/>
        <v>0</v>
      </c>
      <c r="Q121" s="75">
        <v>4</v>
      </c>
      <c r="R121" s="75">
        <v>2</v>
      </c>
      <c r="S121" s="75" t="s">
        <v>947</v>
      </c>
      <c r="T121" s="5" t="s">
        <v>245</v>
      </c>
      <c r="U121" s="9"/>
      <c r="W121" s="104">
        <f t="shared" si="156"/>
        <v>112.1</v>
      </c>
      <c r="X121" s="106">
        <f t="shared" si="156"/>
        <v>34</v>
      </c>
      <c r="Y121" s="102">
        <f t="shared" si="157"/>
        <v>284</v>
      </c>
      <c r="Z121" s="109">
        <f t="shared" si="157"/>
        <v>0</v>
      </c>
      <c r="AA121" s="109">
        <f t="shared" si="141"/>
        <v>0</v>
      </c>
      <c r="AB121" s="109">
        <f t="shared" si="158"/>
        <v>0</v>
      </c>
      <c r="AC121" s="4" t="str">
        <f t="shared" si="158"/>
        <v/>
      </c>
      <c r="AD121" s="105">
        <f t="shared" si="158"/>
        <v>0</v>
      </c>
      <c r="AE121" s="75" t="str">
        <f t="shared" si="142"/>
        <v>계</v>
      </c>
      <c r="AF121" s="75" t="str">
        <f t="shared" si="143"/>
        <v>4/2</v>
      </c>
      <c r="AH121" s="20" t="str">
        <f t="shared" si="159"/>
        <v>북면 창원감계힐스테이트2차</v>
      </c>
      <c r="AI121" s="106">
        <f t="shared" si="117"/>
        <v>34</v>
      </c>
      <c r="AJ121" s="75" t="str">
        <f t="shared" si="144"/>
        <v>A-</v>
      </c>
      <c r="AK121" s="75" t="s">
        <v>14</v>
      </c>
      <c r="AL121" s="75" t="s">
        <v>944</v>
      </c>
      <c r="AM121" s="75" t="s">
        <v>945</v>
      </c>
      <c r="AN121" s="75" t="str">
        <f t="shared" si="145"/>
        <v>C</v>
      </c>
      <c r="AO121" s="75" t="str">
        <f t="shared" si="146"/>
        <v/>
      </c>
      <c r="AP121" s="75" t="str">
        <f t="shared" si="147"/>
        <v/>
      </c>
      <c r="AQ121" s="75" t="str">
        <f t="shared" si="148"/>
        <v>O</v>
      </c>
      <c r="AR121" s="75" t="str">
        <f t="shared" si="149"/>
        <v>O</v>
      </c>
      <c r="AS121" s="75" t="s">
        <v>2</v>
      </c>
      <c r="AT121" s="75" t="str">
        <f t="shared" si="150"/>
        <v>O</v>
      </c>
      <c r="AU121" s="75" t="str">
        <f t="shared" si="151"/>
        <v>O</v>
      </c>
      <c r="AV121" s="75" t="str">
        <f t="shared" si="152"/>
        <v/>
      </c>
    </row>
    <row r="122" spans="1:48" s="38" customFormat="1" ht="12" x14ac:dyDescent="0.3">
      <c r="A122" s="110" t="s">
        <v>1065</v>
      </c>
      <c r="B122" s="111" t="s">
        <v>1066</v>
      </c>
      <c r="C122" s="112">
        <v>836</v>
      </c>
      <c r="D122" s="104">
        <v>112.1</v>
      </c>
      <c r="E122" s="106">
        <v>34</v>
      </c>
      <c r="F122" s="104">
        <v>84.1</v>
      </c>
      <c r="G122" s="17">
        <v>25</v>
      </c>
      <c r="H122" s="107">
        <v>101</v>
      </c>
      <c r="I122" s="108">
        <v>39000</v>
      </c>
      <c r="J122" s="108" t="s">
        <v>957</v>
      </c>
      <c r="K122" s="108">
        <v>32000</v>
      </c>
      <c r="L122" s="108" t="s">
        <v>957</v>
      </c>
      <c r="M122" s="109">
        <f t="shared" si="137"/>
        <v>7000</v>
      </c>
      <c r="N122" s="4">
        <f t="shared" si="138"/>
        <v>0.82051282051282048</v>
      </c>
      <c r="O122" s="105">
        <f t="shared" si="139"/>
        <v>1147.0588235294117</v>
      </c>
      <c r="P122" s="105">
        <f t="shared" si="140"/>
        <v>941.17647058823525</v>
      </c>
      <c r="Q122" s="75">
        <v>4</v>
      </c>
      <c r="R122" s="75">
        <v>2</v>
      </c>
      <c r="S122" s="75" t="s">
        <v>947</v>
      </c>
      <c r="T122" s="5" t="s">
        <v>246</v>
      </c>
      <c r="U122" s="9"/>
      <c r="W122" s="104">
        <f t="shared" si="156"/>
        <v>112.1</v>
      </c>
      <c r="X122" s="106">
        <f t="shared" si="156"/>
        <v>34</v>
      </c>
      <c r="Y122" s="102">
        <f t="shared" si="157"/>
        <v>101</v>
      </c>
      <c r="Z122" s="109">
        <f t="shared" si="157"/>
        <v>39000</v>
      </c>
      <c r="AA122" s="109">
        <f t="shared" si="141"/>
        <v>32000</v>
      </c>
      <c r="AB122" s="109">
        <f t="shared" si="158"/>
        <v>7000</v>
      </c>
      <c r="AC122" s="4">
        <f t="shared" si="158"/>
        <v>0.82051282051282048</v>
      </c>
      <c r="AD122" s="105">
        <f t="shared" si="158"/>
        <v>1147.0588235294117</v>
      </c>
      <c r="AE122" s="75" t="str">
        <f t="shared" si="142"/>
        <v>계</v>
      </c>
      <c r="AF122" s="75" t="str">
        <f t="shared" si="143"/>
        <v>4/2</v>
      </c>
      <c r="AH122" s="20" t="str">
        <f t="shared" si="159"/>
        <v>북면 창원감계힐스테이트2차</v>
      </c>
      <c r="AI122" s="106">
        <f t="shared" si="117"/>
        <v>34</v>
      </c>
      <c r="AJ122" s="75" t="str">
        <f t="shared" si="144"/>
        <v>A-</v>
      </c>
      <c r="AK122" s="75" t="s">
        <v>14</v>
      </c>
      <c r="AL122" s="75" t="s">
        <v>944</v>
      </c>
      <c r="AM122" s="75" t="s">
        <v>945</v>
      </c>
      <c r="AN122" s="75" t="str">
        <f t="shared" si="145"/>
        <v>C</v>
      </c>
      <c r="AO122" s="75" t="str">
        <f t="shared" si="146"/>
        <v>O</v>
      </c>
      <c r="AP122" s="75" t="str">
        <f t="shared" si="147"/>
        <v>O</v>
      </c>
      <c r="AQ122" s="75" t="str">
        <f t="shared" si="148"/>
        <v>X</v>
      </c>
      <c r="AR122" s="75" t="str">
        <f t="shared" si="149"/>
        <v>X</v>
      </c>
      <c r="AS122" s="75" t="s">
        <v>2</v>
      </c>
      <c r="AT122" s="75" t="str">
        <f t="shared" si="150"/>
        <v>O</v>
      </c>
      <c r="AU122" s="75" t="str">
        <f t="shared" si="151"/>
        <v>O</v>
      </c>
      <c r="AV122" s="75" t="str">
        <f t="shared" si="152"/>
        <v>X</v>
      </c>
    </row>
    <row r="123" spans="1:48" s="38" customFormat="1" ht="12" x14ac:dyDescent="0.3">
      <c r="A123" s="110" t="s">
        <v>1065</v>
      </c>
      <c r="B123" s="111" t="s">
        <v>1066</v>
      </c>
      <c r="C123" s="112">
        <v>836</v>
      </c>
      <c r="D123" s="104">
        <v>132.1</v>
      </c>
      <c r="E123" s="106">
        <v>40</v>
      </c>
      <c r="F123" s="104">
        <v>101.4</v>
      </c>
      <c r="G123" s="17">
        <v>31</v>
      </c>
      <c r="H123" s="107">
        <v>89</v>
      </c>
      <c r="I123" s="108">
        <v>49000</v>
      </c>
      <c r="J123" s="108" t="s">
        <v>957</v>
      </c>
      <c r="K123" s="108">
        <v>38000</v>
      </c>
      <c r="L123" s="108" t="s">
        <v>971</v>
      </c>
      <c r="M123" s="109">
        <f t="shared" si="137"/>
        <v>11000</v>
      </c>
      <c r="N123" s="4">
        <f t="shared" si="138"/>
        <v>0.77551020408163263</v>
      </c>
      <c r="O123" s="105">
        <f t="shared" si="139"/>
        <v>1225</v>
      </c>
      <c r="P123" s="105">
        <f t="shared" si="140"/>
        <v>950</v>
      </c>
      <c r="Q123" s="75">
        <v>4</v>
      </c>
      <c r="R123" s="75">
        <v>2</v>
      </c>
      <c r="S123" s="75" t="s">
        <v>947</v>
      </c>
      <c r="T123" s="5">
        <v>132</v>
      </c>
      <c r="U123" s="9"/>
      <c r="W123" s="104">
        <f t="shared" si="156"/>
        <v>132.1</v>
      </c>
      <c r="X123" s="106">
        <f t="shared" si="156"/>
        <v>40</v>
      </c>
      <c r="Y123" s="102">
        <f t="shared" si="157"/>
        <v>89</v>
      </c>
      <c r="Z123" s="109">
        <f t="shared" si="157"/>
        <v>49000</v>
      </c>
      <c r="AA123" s="109">
        <f t="shared" si="141"/>
        <v>38000</v>
      </c>
      <c r="AB123" s="109">
        <f t="shared" si="158"/>
        <v>11000</v>
      </c>
      <c r="AC123" s="4">
        <f t="shared" si="158"/>
        <v>0.77551020408163263</v>
      </c>
      <c r="AD123" s="105">
        <f t="shared" si="158"/>
        <v>1225</v>
      </c>
      <c r="AE123" s="75" t="str">
        <f t="shared" si="142"/>
        <v>계</v>
      </c>
      <c r="AF123" s="75" t="str">
        <f t="shared" si="143"/>
        <v>4/2</v>
      </c>
      <c r="AH123" s="20" t="str">
        <f t="shared" si="159"/>
        <v>북면 창원감계힐스테이트2차</v>
      </c>
      <c r="AI123" s="106">
        <f t="shared" si="117"/>
        <v>40</v>
      </c>
      <c r="AJ123" s="75" t="str">
        <f t="shared" si="144"/>
        <v>A-</v>
      </c>
      <c r="AK123" s="75" t="s">
        <v>14</v>
      </c>
      <c r="AL123" s="75" t="s">
        <v>944</v>
      </c>
      <c r="AM123" s="75" t="s">
        <v>945</v>
      </c>
      <c r="AN123" s="75" t="str">
        <f t="shared" si="145"/>
        <v>C</v>
      </c>
      <c r="AO123" s="75" t="str">
        <f t="shared" si="146"/>
        <v>X</v>
      </c>
      <c r="AP123" s="75" t="str">
        <f t="shared" si="147"/>
        <v>X</v>
      </c>
      <c r="AQ123" s="75" t="str">
        <f t="shared" si="148"/>
        <v>X</v>
      </c>
      <c r="AR123" s="75" t="str">
        <f t="shared" si="149"/>
        <v>X</v>
      </c>
      <c r="AS123" s="75" t="s">
        <v>2</v>
      </c>
      <c r="AT123" s="75" t="str">
        <f t="shared" si="150"/>
        <v>X</v>
      </c>
      <c r="AU123" s="75" t="str">
        <f t="shared" si="151"/>
        <v>O</v>
      </c>
      <c r="AV123" s="75" t="str">
        <f t="shared" si="152"/>
        <v>X</v>
      </c>
    </row>
    <row r="124" spans="1:48" s="38" customFormat="1" ht="24" x14ac:dyDescent="0.3">
      <c r="A124" s="110" t="s">
        <v>1123</v>
      </c>
      <c r="B124" s="111" t="s">
        <v>1043</v>
      </c>
      <c r="C124" s="112">
        <v>1393</v>
      </c>
      <c r="D124" s="104">
        <v>85.1</v>
      </c>
      <c r="E124" s="106">
        <v>26</v>
      </c>
      <c r="F124" s="104">
        <v>59.9</v>
      </c>
      <c r="G124" s="17">
        <v>18</v>
      </c>
      <c r="H124" s="107">
        <v>408</v>
      </c>
      <c r="I124" s="108">
        <v>28000</v>
      </c>
      <c r="J124" s="108" t="s">
        <v>957</v>
      </c>
      <c r="K124" s="108">
        <v>27000</v>
      </c>
      <c r="L124" s="108" t="s">
        <v>957</v>
      </c>
      <c r="M124" s="109">
        <f t="shared" si="137"/>
        <v>1000</v>
      </c>
      <c r="N124" s="4">
        <f t="shared" si="138"/>
        <v>0.9642857142857143</v>
      </c>
      <c r="O124" s="105">
        <f t="shared" si="139"/>
        <v>1076.9230769230769</v>
      </c>
      <c r="P124" s="105">
        <f t="shared" si="140"/>
        <v>1038.4615384615386</v>
      </c>
      <c r="Q124" s="75">
        <v>3</v>
      </c>
      <c r="R124" s="75">
        <v>2</v>
      </c>
      <c r="S124" s="75" t="s">
        <v>947</v>
      </c>
      <c r="T124" s="5">
        <v>85</v>
      </c>
      <c r="U124" s="9"/>
      <c r="W124" s="104">
        <f t="shared" si="156"/>
        <v>85.1</v>
      </c>
      <c r="X124" s="106">
        <f t="shared" si="156"/>
        <v>26</v>
      </c>
      <c r="Y124" s="102">
        <f t="shared" si="157"/>
        <v>408</v>
      </c>
      <c r="Z124" s="109">
        <f t="shared" si="157"/>
        <v>28000</v>
      </c>
      <c r="AA124" s="109">
        <f t="shared" si="141"/>
        <v>27000</v>
      </c>
      <c r="AB124" s="109">
        <f t="shared" si="158"/>
        <v>1000</v>
      </c>
      <c r="AC124" s="4">
        <f t="shared" si="158"/>
        <v>0.9642857142857143</v>
      </c>
      <c r="AD124" s="105">
        <f t="shared" si="158"/>
        <v>1076.9230769230769</v>
      </c>
      <c r="AE124" s="75" t="str">
        <f t="shared" si="142"/>
        <v>계</v>
      </c>
      <c r="AF124" s="75" t="str">
        <f t="shared" si="143"/>
        <v>3/2</v>
      </c>
      <c r="AH124" s="20" t="str">
        <f t="shared" si="159"/>
        <v>북면 창원감계아내에코프리미엄2차</v>
      </c>
      <c r="AI124" s="106">
        <f t="shared" si="117"/>
        <v>26</v>
      </c>
      <c r="AJ124" s="75" t="str">
        <f t="shared" si="144"/>
        <v>A-</v>
      </c>
      <c r="AK124" s="75" t="s">
        <v>14</v>
      </c>
      <c r="AL124" s="75" t="s">
        <v>944</v>
      </c>
      <c r="AM124" s="75" t="s">
        <v>945</v>
      </c>
      <c r="AN124" s="75" t="str">
        <f t="shared" si="145"/>
        <v>C</v>
      </c>
      <c r="AO124" s="75" t="str">
        <f t="shared" si="146"/>
        <v>O</v>
      </c>
      <c r="AP124" s="75" t="str">
        <f t="shared" si="147"/>
        <v>O</v>
      </c>
      <c r="AQ124" s="75" t="str">
        <f t="shared" si="148"/>
        <v>X</v>
      </c>
      <c r="AR124" s="75" t="str">
        <f t="shared" si="149"/>
        <v>O</v>
      </c>
      <c r="AS124" s="75" t="s">
        <v>2</v>
      </c>
      <c r="AT124" s="75" t="str">
        <f t="shared" si="150"/>
        <v>O</v>
      </c>
      <c r="AU124" s="75" t="str">
        <f t="shared" si="151"/>
        <v>O</v>
      </c>
      <c r="AV124" s="75" t="str">
        <f t="shared" si="152"/>
        <v>후보</v>
      </c>
    </row>
    <row r="125" spans="1:48" s="38" customFormat="1" ht="24" x14ac:dyDescent="0.3">
      <c r="A125" s="110" t="s">
        <v>1123</v>
      </c>
      <c r="B125" s="111" t="s">
        <v>1043</v>
      </c>
      <c r="C125" s="112">
        <v>1393</v>
      </c>
      <c r="D125" s="104">
        <v>97.6</v>
      </c>
      <c r="E125" s="106">
        <v>30</v>
      </c>
      <c r="F125" s="104">
        <v>70.599999999999994</v>
      </c>
      <c r="G125" s="17">
        <v>21</v>
      </c>
      <c r="H125" s="107">
        <v>174</v>
      </c>
      <c r="I125" s="108">
        <v>35000</v>
      </c>
      <c r="J125" s="108" t="s">
        <v>957</v>
      </c>
      <c r="K125" s="108"/>
      <c r="L125" s="108"/>
      <c r="M125" s="109">
        <f t="shared" si="137"/>
        <v>35000</v>
      </c>
      <c r="N125" s="4">
        <f t="shared" si="138"/>
        <v>0</v>
      </c>
      <c r="O125" s="105">
        <f t="shared" si="139"/>
        <v>1166.6666666666667</v>
      </c>
      <c r="P125" s="105">
        <f t="shared" si="140"/>
        <v>0</v>
      </c>
      <c r="Q125" s="75">
        <v>3</v>
      </c>
      <c r="R125" s="75">
        <v>2</v>
      </c>
      <c r="S125" s="75" t="s">
        <v>947</v>
      </c>
      <c r="T125" s="5" t="s">
        <v>392</v>
      </c>
      <c r="U125" s="9"/>
      <c r="W125" s="104">
        <f t="shared" ref="W125:X140" si="160">D125</f>
        <v>97.6</v>
      </c>
      <c r="X125" s="106">
        <f t="shared" si="160"/>
        <v>30</v>
      </c>
      <c r="Y125" s="102">
        <f t="shared" ref="Y125:Z140" si="161">H125</f>
        <v>174</v>
      </c>
      <c r="Z125" s="109">
        <f t="shared" si="161"/>
        <v>35000</v>
      </c>
      <c r="AA125" s="109">
        <f t="shared" si="141"/>
        <v>0</v>
      </c>
      <c r="AB125" s="109">
        <f t="shared" si="158"/>
        <v>35000</v>
      </c>
      <c r="AC125" s="4">
        <f t="shared" si="158"/>
        <v>0</v>
      </c>
      <c r="AD125" s="105">
        <f t="shared" si="158"/>
        <v>1166.6666666666667</v>
      </c>
      <c r="AE125" s="75" t="str">
        <f t="shared" si="142"/>
        <v>계</v>
      </c>
      <c r="AF125" s="75" t="str">
        <f t="shared" si="143"/>
        <v>3/2</v>
      </c>
      <c r="AH125" s="20" t="str">
        <f t="shared" si="159"/>
        <v>북면 창원감계아내에코프리미엄2차</v>
      </c>
      <c r="AI125" s="106">
        <f t="shared" si="117"/>
        <v>30</v>
      </c>
      <c r="AJ125" s="75" t="str">
        <f t="shared" si="144"/>
        <v>A-</v>
      </c>
      <c r="AK125" s="75" t="s">
        <v>14</v>
      </c>
      <c r="AL125" s="75" t="s">
        <v>944</v>
      </c>
      <c r="AM125" s="75" t="s">
        <v>945</v>
      </c>
      <c r="AN125" s="75" t="str">
        <f t="shared" si="145"/>
        <v>C</v>
      </c>
      <c r="AO125" s="75" t="str">
        <f t="shared" si="146"/>
        <v>X</v>
      </c>
      <c r="AP125" s="75" t="str">
        <f t="shared" si="147"/>
        <v>O</v>
      </c>
      <c r="AQ125" s="75" t="str">
        <f t="shared" si="148"/>
        <v>X</v>
      </c>
      <c r="AR125" s="75" t="str">
        <f t="shared" si="149"/>
        <v>X</v>
      </c>
      <c r="AS125" s="75" t="s">
        <v>2</v>
      </c>
      <c r="AT125" s="75" t="str">
        <f t="shared" si="150"/>
        <v>O</v>
      </c>
      <c r="AU125" s="75" t="str">
        <f t="shared" si="151"/>
        <v>O</v>
      </c>
      <c r="AV125" s="75" t="str">
        <f t="shared" si="152"/>
        <v>X</v>
      </c>
    </row>
    <row r="126" spans="1:48" s="38" customFormat="1" ht="24" x14ac:dyDescent="0.3">
      <c r="A126" s="110" t="s">
        <v>1123</v>
      </c>
      <c r="B126" s="111" t="s">
        <v>1043</v>
      </c>
      <c r="C126" s="112">
        <v>1393</v>
      </c>
      <c r="D126" s="104">
        <v>97.8</v>
      </c>
      <c r="E126" s="106">
        <v>30</v>
      </c>
      <c r="F126" s="104">
        <v>70.900000000000006</v>
      </c>
      <c r="G126" s="17">
        <v>21</v>
      </c>
      <c r="H126" s="107">
        <v>172</v>
      </c>
      <c r="I126" s="108">
        <v>35000</v>
      </c>
      <c r="J126" s="108" t="s">
        <v>949</v>
      </c>
      <c r="K126" s="108"/>
      <c r="L126" s="108"/>
      <c r="M126" s="109">
        <f t="shared" si="137"/>
        <v>35000</v>
      </c>
      <c r="N126" s="4">
        <f t="shared" si="138"/>
        <v>0</v>
      </c>
      <c r="O126" s="105">
        <f t="shared" si="139"/>
        <v>1166.6666666666667</v>
      </c>
      <c r="P126" s="105">
        <f t="shared" si="140"/>
        <v>0</v>
      </c>
      <c r="Q126" s="75">
        <v>3</v>
      </c>
      <c r="R126" s="75">
        <v>2</v>
      </c>
      <c r="S126" s="75" t="s">
        <v>947</v>
      </c>
      <c r="T126" s="5" t="s">
        <v>442</v>
      </c>
      <c r="U126" s="9"/>
      <c r="W126" s="104">
        <f t="shared" si="160"/>
        <v>97.8</v>
      </c>
      <c r="X126" s="106">
        <f t="shared" si="160"/>
        <v>30</v>
      </c>
      <c r="Y126" s="102">
        <f t="shared" si="161"/>
        <v>172</v>
      </c>
      <c r="Z126" s="109">
        <f t="shared" si="161"/>
        <v>35000</v>
      </c>
      <c r="AA126" s="109">
        <f t="shared" si="141"/>
        <v>0</v>
      </c>
      <c r="AB126" s="109">
        <f t="shared" si="158"/>
        <v>35000</v>
      </c>
      <c r="AC126" s="4">
        <f t="shared" si="158"/>
        <v>0</v>
      </c>
      <c r="AD126" s="105">
        <f t="shared" si="158"/>
        <v>1166.6666666666667</v>
      </c>
      <c r="AE126" s="75" t="str">
        <f t="shared" si="142"/>
        <v>계</v>
      </c>
      <c r="AF126" s="75" t="str">
        <f t="shared" si="143"/>
        <v>3/2</v>
      </c>
      <c r="AH126" s="20" t="str">
        <f t="shared" si="159"/>
        <v>북면 창원감계아내에코프리미엄2차</v>
      </c>
      <c r="AI126" s="106">
        <f t="shared" si="117"/>
        <v>30</v>
      </c>
      <c r="AJ126" s="75" t="str">
        <f t="shared" si="144"/>
        <v>A-</v>
      </c>
      <c r="AK126" s="75" t="s">
        <v>14</v>
      </c>
      <c r="AL126" s="75" t="s">
        <v>944</v>
      </c>
      <c r="AM126" s="75" t="s">
        <v>945</v>
      </c>
      <c r="AN126" s="75" t="str">
        <f t="shared" si="145"/>
        <v>C</v>
      </c>
      <c r="AO126" s="75" t="str">
        <f t="shared" si="146"/>
        <v>X</v>
      </c>
      <c r="AP126" s="75" t="str">
        <f t="shared" si="147"/>
        <v>O</v>
      </c>
      <c r="AQ126" s="75" t="str">
        <f t="shared" si="148"/>
        <v>X</v>
      </c>
      <c r="AR126" s="75" t="str">
        <f t="shared" si="149"/>
        <v>X</v>
      </c>
      <c r="AS126" s="75" t="s">
        <v>2</v>
      </c>
      <c r="AT126" s="75" t="str">
        <f t="shared" si="150"/>
        <v>O</v>
      </c>
      <c r="AU126" s="75" t="str">
        <f t="shared" si="151"/>
        <v>O</v>
      </c>
      <c r="AV126" s="75" t="str">
        <f t="shared" si="152"/>
        <v>X</v>
      </c>
    </row>
    <row r="127" spans="1:48" s="38" customFormat="1" ht="24" x14ac:dyDescent="0.3">
      <c r="A127" s="110" t="s">
        <v>1123</v>
      </c>
      <c r="B127" s="111" t="s">
        <v>1124</v>
      </c>
      <c r="C127" s="112">
        <v>1393</v>
      </c>
      <c r="D127" s="104">
        <v>112.6</v>
      </c>
      <c r="E127" s="106">
        <v>34</v>
      </c>
      <c r="F127" s="104">
        <v>84.5</v>
      </c>
      <c r="G127" s="17">
        <v>26</v>
      </c>
      <c r="H127" s="107">
        <v>285</v>
      </c>
      <c r="I127" s="108">
        <v>40000</v>
      </c>
      <c r="J127" s="108" t="s">
        <v>980</v>
      </c>
      <c r="K127" s="108"/>
      <c r="L127" s="108"/>
      <c r="M127" s="109">
        <f t="shared" si="137"/>
        <v>40000</v>
      </c>
      <c r="N127" s="4">
        <f t="shared" si="138"/>
        <v>0</v>
      </c>
      <c r="O127" s="105">
        <f t="shared" si="139"/>
        <v>1176.4705882352941</v>
      </c>
      <c r="P127" s="105">
        <f t="shared" si="140"/>
        <v>0</v>
      </c>
      <c r="Q127" s="75">
        <v>3</v>
      </c>
      <c r="R127" s="75">
        <v>2</v>
      </c>
      <c r="S127" s="75" t="s">
        <v>947</v>
      </c>
      <c r="T127" s="5" t="s">
        <v>245</v>
      </c>
      <c r="U127" s="9"/>
      <c r="W127" s="104">
        <f t="shared" si="160"/>
        <v>112.6</v>
      </c>
      <c r="X127" s="106">
        <f t="shared" si="160"/>
        <v>34</v>
      </c>
      <c r="Y127" s="102">
        <f t="shared" si="161"/>
        <v>285</v>
      </c>
      <c r="Z127" s="109">
        <f t="shared" si="161"/>
        <v>40000</v>
      </c>
      <c r="AA127" s="109">
        <f t="shared" si="141"/>
        <v>0</v>
      </c>
      <c r="AB127" s="109">
        <f t="shared" ref="AB127:AD142" si="162">M127</f>
        <v>40000</v>
      </c>
      <c r="AC127" s="4">
        <f t="shared" si="162"/>
        <v>0</v>
      </c>
      <c r="AD127" s="105">
        <f t="shared" si="162"/>
        <v>1176.4705882352941</v>
      </c>
      <c r="AE127" s="75" t="str">
        <f t="shared" si="142"/>
        <v>계</v>
      </c>
      <c r="AF127" s="75" t="str">
        <f t="shared" si="143"/>
        <v>3/2</v>
      </c>
      <c r="AH127" s="20" t="str">
        <f t="shared" si="159"/>
        <v>북면 창원감계아내에코프리미엄2차</v>
      </c>
      <c r="AI127" s="106">
        <f t="shared" si="117"/>
        <v>34</v>
      </c>
      <c r="AJ127" s="75" t="str">
        <f t="shared" si="144"/>
        <v>A-</v>
      </c>
      <c r="AK127" s="75" t="s">
        <v>14</v>
      </c>
      <c r="AL127" s="75" t="s">
        <v>944</v>
      </c>
      <c r="AM127" s="75" t="s">
        <v>945</v>
      </c>
      <c r="AN127" s="75" t="str">
        <f t="shared" si="145"/>
        <v>C</v>
      </c>
      <c r="AO127" s="75" t="str">
        <f t="shared" si="146"/>
        <v>X</v>
      </c>
      <c r="AP127" s="75" t="str">
        <f t="shared" si="147"/>
        <v>O</v>
      </c>
      <c r="AQ127" s="75" t="str">
        <f t="shared" si="148"/>
        <v>X</v>
      </c>
      <c r="AR127" s="75" t="str">
        <f t="shared" si="149"/>
        <v>X</v>
      </c>
      <c r="AS127" s="75" t="s">
        <v>2</v>
      </c>
      <c r="AT127" s="75" t="str">
        <f t="shared" si="150"/>
        <v>O</v>
      </c>
      <c r="AU127" s="75" t="str">
        <f t="shared" si="151"/>
        <v>O</v>
      </c>
      <c r="AV127" s="75" t="str">
        <f t="shared" si="152"/>
        <v>X</v>
      </c>
    </row>
    <row r="128" spans="1:48" s="38" customFormat="1" ht="24" x14ac:dyDescent="0.3">
      <c r="A128" s="110" t="s">
        <v>1125</v>
      </c>
      <c r="B128" s="111" t="s">
        <v>1124</v>
      </c>
      <c r="C128" s="112">
        <v>1393</v>
      </c>
      <c r="D128" s="104">
        <v>113.1</v>
      </c>
      <c r="E128" s="106">
        <v>34</v>
      </c>
      <c r="F128" s="104">
        <v>84.9</v>
      </c>
      <c r="G128" s="17">
        <v>26</v>
      </c>
      <c r="H128" s="107">
        <v>354</v>
      </c>
      <c r="I128" s="108">
        <v>40000</v>
      </c>
      <c r="J128" s="108" t="s">
        <v>984</v>
      </c>
      <c r="K128" s="108"/>
      <c r="L128" s="108"/>
      <c r="M128" s="109">
        <f t="shared" si="137"/>
        <v>40000</v>
      </c>
      <c r="N128" s="4">
        <f t="shared" si="138"/>
        <v>0</v>
      </c>
      <c r="O128" s="105">
        <f t="shared" si="139"/>
        <v>1176.4705882352941</v>
      </c>
      <c r="P128" s="105">
        <f t="shared" si="140"/>
        <v>0</v>
      </c>
      <c r="Q128" s="75">
        <v>3</v>
      </c>
      <c r="R128" s="75">
        <v>2</v>
      </c>
      <c r="S128" s="75" t="s">
        <v>947</v>
      </c>
      <c r="T128" s="5" t="s">
        <v>599</v>
      </c>
      <c r="U128" s="9"/>
      <c r="W128" s="104">
        <f t="shared" si="160"/>
        <v>113.1</v>
      </c>
      <c r="X128" s="106">
        <f t="shared" si="160"/>
        <v>34</v>
      </c>
      <c r="Y128" s="102">
        <f t="shared" si="161"/>
        <v>354</v>
      </c>
      <c r="Z128" s="109">
        <f t="shared" si="161"/>
        <v>40000</v>
      </c>
      <c r="AA128" s="109">
        <f t="shared" si="141"/>
        <v>0</v>
      </c>
      <c r="AB128" s="109">
        <f t="shared" si="162"/>
        <v>40000</v>
      </c>
      <c r="AC128" s="4">
        <f t="shared" si="162"/>
        <v>0</v>
      </c>
      <c r="AD128" s="105">
        <f t="shared" si="162"/>
        <v>1176.4705882352941</v>
      </c>
      <c r="AE128" s="75" t="str">
        <f t="shared" si="142"/>
        <v>계</v>
      </c>
      <c r="AF128" s="75" t="str">
        <f t="shared" si="143"/>
        <v>3/2</v>
      </c>
      <c r="AH128" s="20" t="str">
        <f t="shared" si="159"/>
        <v>북면 창원감계아내에코프리미엄2차</v>
      </c>
      <c r="AI128" s="106">
        <f t="shared" si="117"/>
        <v>34</v>
      </c>
      <c r="AJ128" s="75" t="str">
        <f t="shared" si="144"/>
        <v>A-</v>
      </c>
      <c r="AK128" s="75" t="s">
        <v>14</v>
      </c>
      <c r="AL128" s="75" t="s">
        <v>944</v>
      </c>
      <c r="AM128" s="75" t="s">
        <v>945</v>
      </c>
      <c r="AN128" s="75" t="str">
        <f t="shared" si="145"/>
        <v>C</v>
      </c>
      <c r="AO128" s="75" t="str">
        <f t="shared" si="146"/>
        <v>X</v>
      </c>
      <c r="AP128" s="75" t="str">
        <f t="shared" si="147"/>
        <v>O</v>
      </c>
      <c r="AQ128" s="75" t="str">
        <f t="shared" si="148"/>
        <v>X</v>
      </c>
      <c r="AR128" s="75" t="str">
        <f t="shared" si="149"/>
        <v>X</v>
      </c>
      <c r="AS128" s="75" t="s">
        <v>2</v>
      </c>
      <c r="AT128" s="75" t="str">
        <f t="shared" si="150"/>
        <v>O</v>
      </c>
      <c r="AU128" s="75" t="str">
        <f t="shared" si="151"/>
        <v>O</v>
      </c>
      <c r="AV128" s="75" t="str">
        <f t="shared" si="152"/>
        <v>X</v>
      </c>
    </row>
    <row r="129" spans="1:48" s="38" customFormat="1" ht="12" x14ac:dyDescent="0.3">
      <c r="A129" s="110" t="s">
        <v>1044</v>
      </c>
      <c r="B129" s="111" t="s">
        <v>1045</v>
      </c>
      <c r="C129" s="112">
        <v>630</v>
      </c>
      <c r="D129" s="104">
        <v>106.9</v>
      </c>
      <c r="E129" s="106">
        <v>32</v>
      </c>
      <c r="F129" s="104">
        <v>84.9</v>
      </c>
      <c r="G129" s="17">
        <v>26</v>
      </c>
      <c r="H129" s="107">
        <v>230</v>
      </c>
      <c r="I129" s="108">
        <v>38000</v>
      </c>
      <c r="J129" s="108" t="s">
        <v>957</v>
      </c>
      <c r="K129" s="108"/>
      <c r="L129" s="108"/>
      <c r="M129" s="109">
        <f t="shared" si="137"/>
        <v>38000</v>
      </c>
      <c r="N129" s="4">
        <f t="shared" si="138"/>
        <v>0</v>
      </c>
      <c r="O129" s="105">
        <f t="shared" si="139"/>
        <v>1187.5</v>
      </c>
      <c r="P129" s="105">
        <f t="shared" si="140"/>
        <v>0</v>
      </c>
      <c r="Q129" s="75">
        <v>3</v>
      </c>
      <c r="R129" s="75">
        <v>2</v>
      </c>
      <c r="S129" s="75" t="s">
        <v>947</v>
      </c>
      <c r="T129" s="5">
        <v>106</v>
      </c>
      <c r="U129" s="9"/>
      <c r="W129" s="104">
        <f t="shared" si="160"/>
        <v>106.9</v>
      </c>
      <c r="X129" s="106">
        <f t="shared" si="160"/>
        <v>32</v>
      </c>
      <c r="Y129" s="102">
        <f t="shared" si="161"/>
        <v>230</v>
      </c>
      <c r="Z129" s="109">
        <f t="shared" si="161"/>
        <v>38000</v>
      </c>
      <c r="AA129" s="109">
        <f t="shared" si="141"/>
        <v>0</v>
      </c>
      <c r="AB129" s="109">
        <f t="shared" si="162"/>
        <v>38000</v>
      </c>
      <c r="AC129" s="4">
        <f t="shared" si="162"/>
        <v>0</v>
      </c>
      <c r="AD129" s="105">
        <f t="shared" si="162"/>
        <v>1187.5</v>
      </c>
      <c r="AE129" s="75" t="str">
        <f t="shared" si="142"/>
        <v>계</v>
      </c>
      <c r="AF129" s="75" t="str">
        <f t="shared" si="143"/>
        <v>3/2</v>
      </c>
      <c r="AH129" s="20" t="str">
        <f t="shared" si="159"/>
        <v>서상동 중동대동다숲</v>
      </c>
      <c r="AI129" s="106">
        <f t="shared" si="117"/>
        <v>32</v>
      </c>
      <c r="AJ129" s="75" t="str">
        <f t="shared" si="144"/>
        <v>A-</v>
      </c>
      <c r="AK129" s="75" t="s">
        <v>14</v>
      </c>
      <c r="AL129" s="75" t="s">
        <v>944</v>
      </c>
      <c r="AM129" s="75" t="s">
        <v>945</v>
      </c>
      <c r="AN129" s="75" t="str">
        <f t="shared" si="145"/>
        <v>C</v>
      </c>
      <c r="AO129" s="75" t="str">
        <f t="shared" si="146"/>
        <v>X</v>
      </c>
      <c r="AP129" s="75" t="str">
        <f t="shared" si="147"/>
        <v>O</v>
      </c>
      <c r="AQ129" s="75" t="str">
        <f t="shared" si="148"/>
        <v>X</v>
      </c>
      <c r="AR129" s="75" t="str">
        <f t="shared" si="149"/>
        <v>X</v>
      </c>
      <c r="AS129" s="75" t="s">
        <v>2</v>
      </c>
      <c r="AT129" s="75" t="str">
        <f t="shared" si="150"/>
        <v>O</v>
      </c>
      <c r="AU129" s="75" t="str">
        <f t="shared" si="151"/>
        <v>O</v>
      </c>
      <c r="AV129" s="75" t="str">
        <f t="shared" si="152"/>
        <v>X</v>
      </c>
    </row>
    <row r="130" spans="1:48" s="38" customFormat="1" ht="12" x14ac:dyDescent="0.3">
      <c r="A130" s="110" t="s">
        <v>1044</v>
      </c>
      <c r="B130" s="111" t="s">
        <v>1045</v>
      </c>
      <c r="C130" s="112">
        <v>630</v>
      </c>
      <c r="D130" s="104">
        <v>112.8</v>
      </c>
      <c r="E130" s="106">
        <v>34</v>
      </c>
      <c r="F130" s="104">
        <v>84.9</v>
      </c>
      <c r="G130" s="17">
        <v>26</v>
      </c>
      <c r="H130" s="107">
        <v>192</v>
      </c>
      <c r="I130" s="108">
        <v>39000</v>
      </c>
      <c r="J130" s="108" t="s">
        <v>949</v>
      </c>
      <c r="K130" s="108"/>
      <c r="L130" s="108"/>
      <c r="M130" s="109">
        <f t="shared" si="137"/>
        <v>39000</v>
      </c>
      <c r="N130" s="4">
        <f t="shared" si="138"/>
        <v>0</v>
      </c>
      <c r="O130" s="105">
        <f t="shared" si="139"/>
        <v>1147.0588235294117</v>
      </c>
      <c r="P130" s="105">
        <f t="shared" si="140"/>
        <v>0</v>
      </c>
      <c r="Q130" s="75">
        <v>3</v>
      </c>
      <c r="R130" s="75">
        <v>2</v>
      </c>
      <c r="S130" s="75" t="s">
        <v>947</v>
      </c>
      <c r="T130" s="5" t="s">
        <v>245</v>
      </c>
      <c r="U130" s="9"/>
      <c r="W130" s="104">
        <f t="shared" si="160"/>
        <v>112.8</v>
      </c>
      <c r="X130" s="106">
        <f t="shared" si="160"/>
        <v>34</v>
      </c>
      <c r="Y130" s="102">
        <f t="shared" si="161"/>
        <v>192</v>
      </c>
      <c r="Z130" s="109">
        <f t="shared" si="161"/>
        <v>39000</v>
      </c>
      <c r="AA130" s="109">
        <f t="shared" si="141"/>
        <v>0</v>
      </c>
      <c r="AB130" s="109">
        <f t="shared" si="162"/>
        <v>39000</v>
      </c>
      <c r="AC130" s="4">
        <f t="shared" si="162"/>
        <v>0</v>
      </c>
      <c r="AD130" s="105">
        <f t="shared" si="162"/>
        <v>1147.0588235294117</v>
      </c>
      <c r="AE130" s="75" t="str">
        <f t="shared" si="142"/>
        <v>계</v>
      </c>
      <c r="AF130" s="75" t="str">
        <f t="shared" si="143"/>
        <v>3/2</v>
      </c>
      <c r="AH130" s="20" t="str">
        <f t="shared" si="159"/>
        <v>서상동 중동대동다숲</v>
      </c>
      <c r="AI130" s="106">
        <f t="shared" si="117"/>
        <v>34</v>
      </c>
      <c r="AJ130" s="75" t="str">
        <f t="shared" si="144"/>
        <v>A-</v>
      </c>
      <c r="AK130" s="75" t="s">
        <v>14</v>
      </c>
      <c r="AL130" s="75" t="s">
        <v>944</v>
      </c>
      <c r="AM130" s="75" t="s">
        <v>945</v>
      </c>
      <c r="AN130" s="75" t="str">
        <f t="shared" si="145"/>
        <v>C</v>
      </c>
      <c r="AO130" s="75" t="str">
        <f t="shared" si="146"/>
        <v>X</v>
      </c>
      <c r="AP130" s="75" t="str">
        <f t="shared" si="147"/>
        <v>O</v>
      </c>
      <c r="AQ130" s="75" t="str">
        <f t="shared" si="148"/>
        <v>X</v>
      </c>
      <c r="AR130" s="75" t="str">
        <f t="shared" si="149"/>
        <v>X</v>
      </c>
      <c r="AS130" s="75" t="s">
        <v>2</v>
      </c>
      <c r="AT130" s="75" t="str">
        <f t="shared" si="150"/>
        <v>O</v>
      </c>
      <c r="AU130" s="75" t="str">
        <f t="shared" si="151"/>
        <v>O</v>
      </c>
      <c r="AV130" s="75" t="str">
        <f t="shared" si="152"/>
        <v>X</v>
      </c>
    </row>
    <row r="131" spans="1:48" s="38" customFormat="1" ht="12" x14ac:dyDescent="0.3">
      <c r="A131" s="110" t="s">
        <v>1044</v>
      </c>
      <c r="B131" s="111" t="s">
        <v>1045</v>
      </c>
      <c r="C131" s="112">
        <v>630</v>
      </c>
      <c r="D131" s="104">
        <v>113.7</v>
      </c>
      <c r="E131" s="106">
        <v>34</v>
      </c>
      <c r="F131" s="104">
        <v>85</v>
      </c>
      <c r="G131" s="17">
        <v>26</v>
      </c>
      <c r="H131" s="107">
        <v>150</v>
      </c>
      <c r="I131" s="108">
        <v>44000</v>
      </c>
      <c r="J131" s="108" t="s">
        <v>954</v>
      </c>
      <c r="K131" s="108"/>
      <c r="L131" s="108"/>
      <c r="M131" s="109">
        <f t="shared" si="137"/>
        <v>44000</v>
      </c>
      <c r="N131" s="4">
        <f t="shared" si="138"/>
        <v>0</v>
      </c>
      <c r="O131" s="105">
        <f t="shared" si="139"/>
        <v>1294.1176470588234</v>
      </c>
      <c r="P131" s="105">
        <f t="shared" si="140"/>
        <v>0</v>
      </c>
      <c r="Q131" s="75">
        <v>3</v>
      </c>
      <c r="R131" s="75">
        <v>2</v>
      </c>
      <c r="S131" s="75" t="s">
        <v>947</v>
      </c>
      <c r="T131" s="5" t="s">
        <v>599</v>
      </c>
      <c r="U131" s="9"/>
      <c r="W131" s="104">
        <f t="shared" si="160"/>
        <v>113.7</v>
      </c>
      <c r="X131" s="106">
        <f t="shared" si="160"/>
        <v>34</v>
      </c>
      <c r="Y131" s="102">
        <f t="shared" si="161"/>
        <v>150</v>
      </c>
      <c r="Z131" s="109">
        <f t="shared" si="161"/>
        <v>44000</v>
      </c>
      <c r="AA131" s="109">
        <f t="shared" si="141"/>
        <v>0</v>
      </c>
      <c r="AB131" s="109">
        <f t="shared" si="162"/>
        <v>44000</v>
      </c>
      <c r="AC131" s="4">
        <f t="shared" si="162"/>
        <v>0</v>
      </c>
      <c r="AD131" s="105">
        <f t="shared" si="162"/>
        <v>1294.1176470588234</v>
      </c>
      <c r="AE131" s="75" t="str">
        <f t="shared" si="142"/>
        <v>계</v>
      </c>
      <c r="AF131" s="75" t="str">
        <f t="shared" si="143"/>
        <v>3/2</v>
      </c>
      <c r="AH131" s="20" t="str">
        <f t="shared" si="159"/>
        <v>서상동 중동대동다숲</v>
      </c>
      <c r="AI131" s="106">
        <f t="shared" si="117"/>
        <v>34</v>
      </c>
      <c r="AJ131" s="75" t="str">
        <f t="shared" si="144"/>
        <v>A-</v>
      </c>
      <c r="AK131" s="75" t="s">
        <v>14</v>
      </c>
      <c r="AL131" s="75" t="s">
        <v>944</v>
      </c>
      <c r="AM131" s="75" t="s">
        <v>945</v>
      </c>
      <c r="AN131" s="75" t="str">
        <f t="shared" si="145"/>
        <v>C</v>
      </c>
      <c r="AO131" s="75" t="str">
        <f t="shared" si="146"/>
        <v>X</v>
      </c>
      <c r="AP131" s="75" t="str">
        <f t="shared" si="147"/>
        <v>O</v>
      </c>
      <c r="AQ131" s="75" t="str">
        <f t="shared" si="148"/>
        <v>X</v>
      </c>
      <c r="AR131" s="75" t="str">
        <f t="shared" si="149"/>
        <v>X</v>
      </c>
      <c r="AS131" s="75" t="s">
        <v>2</v>
      </c>
      <c r="AT131" s="75" t="str">
        <f t="shared" si="150"/>
        <v>O</v>
      </c>
      <c r="AU131" s="75" t="str">
        <f t="shared" si="151"/>
        <v>O</v>
      </c>
      <c r="AV131" s="75" t="str">
        <f t="shared" si="152"/>
        <v>X</v>
      </c>
    </row>
    <row r="132" spans="1:48" s="38" customFormat="1" ht="12" x14ac:dyDescent="0.3">
      <c r="A132" s="110" t="s">
        <v>1044</v>
      </c>
      <c r="B132" s="111" t="s">
        <v>1045</v>
      </c>
      <c r="C132" s="112">
        <v>630</v>
      </c>
      <c r="D132" s="104">
        <v>158</v>
      </c>
      <c r="E132" s="106">
        <v>48</v>
      </c>
      <c r="F132" s="104">
        <v>131.1</v>
      </c>
      <c r="G132" s="17">
        <v>40</v>
      </c>
      <c r="H132" s="107">
        <v>30</v>
      </c>
      <c r="I132" s="108">
        <v>55000</v>
      </c>
      <c r="J132" s="108" t="s">
        <v>958</v>
      </c>
      <c r="K132" s="108"/>
      <c r="L132" s="108"/>
      <c r="M132" s="109">
        <f t="shared" si="137"/>
        <v>55000</v>
      </c>
      <c r="N132" s="4">
        <f t="shared" si="138"/>
        <v>0</v>
      </c>
      <c r="O132" s="105">
        <f t="shared" si="139"/>
        <v>1145.8333333333333</v>
      </c>
      <c r="P132" s="105">
        <f t="shared" si="140"/>
        <v>0</v>
      </c>
      <c r="Q132" s="75">
        <v>4</v>
      </c>
      <c r="R132" s="75">
        <v>2</v>
      </c>
      <c r="S132" s="75" t="s">
        <v>947</v>
      </c>
      <c r="T132" s="5">
        <v>158</v>
      </c>
      <c r="U132" s="9"/>
      <c r="W132" s="104">
        <f t="shared" si="160"/>
        <v>158</v>
      </c>
      <c r="X132" s="106">
        <f t="shared" si="160"/>
        <v>48</v>
      </c>
      <c r="Y132" s="102">
        <f t="shared" si="161"/>
        <v>30</v>
      </c>
      <c r="Z132" s="109">
        <f t="shared" si="161"/>
        <v>55000</v>
      </c>
      <c r="AA132" s="109">
        <f t="shared" si="141"/>
        <v>0</v>
      </c>
      <c r="AB132" s="109">
        <f t="shared" si="162"/>
        <v>55000</v>
      </c>
      <c r="AC132" s="4">
        <f t="shared" si="162"/>
        <v>0</v>
      </c>
      <c r="AD132" s="105">
        <f t="shared" si="162"/>
        <v>1145.8333333333333</v>
      </c>
      <c r="AE132" s="75" t="str">
        <f t="shared" si="142"/>
        <v>계</v>
      </c>
      <c r="AF132" s="75" t="str">
        <f t="shared" si="143"/>
        <v>4/2</v>
      </c>
      <c r="AH132" s="20" t="str">
        <f t="shared" si="159"/>
        <v>서상동 중동대동다숲</v>
      </c>
      <c r="AI132" s="106">
        <f t="shared" si="117"/>
        <v>48</v>
      </c>
      <c r="AJ132" s="75" t="str">
        <f t="shared" si="144"/>
        <v>A-</v>
      </c>
      <c r="AK132" s="75" t="s">
        <v>14</v>
      </c>
      <c r="AL132" s="75" t="s">
        <v>944</v>
      </c>
      <c r="AM132" s="75" t="s">
        <v>945</v>
      </c>
      <c r="AN132" s="75" t="str">
        <f t="shared" si="145"/>
        <v>C</v>
      </c>
      <c r="AO132" s="75" t="str">
        <f t="shared" si="146"/>
        <v>X</v>
      </c>
      <c r="AP132" s="75" t="str">
        <f t="shared" si="147"/>
        <v>X</v>
      </c>
      <c r="AQ132" s="75" t="str">
        <f t="shared" si="148"/>
        <v>X</v>
      </c>
      <c r="AR132" s="75" t="str">
        <f t="shared" si="149"/>
        <v>X</v>
      </c>
      <c r="AS132" s="75" t="s">
        <v>2</v>
      </c>
      <c r="AT132" s="75" t="str">
        <f t="shared" si="150"/>
        <v>X</v>
      </c>
      <c r="AU132" s="75" t="str">
        <f t="shared" si="151"/>
        <v>O</v>
      </c>
      <c r="AV132" s="75" t="str">
        <f t="shared" si="152"/>
        <v>X</v>
      </c>
    </row>
    <row r="133" spans="1:48" s="38" customFormat="1" ht="12" x14ac:dyDescent="0.3">
      <c r="A133" s="110" t="s">
        <v>1044</v>
      </c>
      <c r="B133" s="111" t="s">
        <v>1045</v>
      </c>
      <c r="C133" s="112">
        <v>630</v>
      </c>
      <c r="D133" s="104">
        <v>182</v>
      </c>
      <c r="E133" s="106">
        <v>55</v>
      </c>
      <c r="F133" s="104">
        <v>151.9</v>
      </c>
      <c r="G133" s="17">
        <v>46</v>
      </c>
      <c r="H133" s="107">
        <v>28</v>
      </c>
      <c r="I133" s="108"/>
      <c r="J133" s="108"/>
      <c r="K133" s="108"/>
      <c r="L133" s="108"/>
      <c r="M133" s="109">
        <f t="shared" si="137"/>
        <v>0</v>
      </c>
      <c r="N133" s="4" t="str">
        <f t="shared" si="138"/>
        <v/>
      </c>
      <c r="O133" s="105">
        <f t="shared" si="139"/>
        <v>0</v>
      </c>
      <c r="P133" s="105">
        <f t="shared" si="140"/>
        <v>0</v>
      </c>
      <c r="Q133" s="75">
        <v>4</v>
      </c>
      <c r="R133" s="75">
        <v>2</v>
      </c>
      <c r="S133" s="75" t="s">
        <v>947</v>
      </c>
      <c r="T133" s="5">
        <v>181</v>
      </c>
      <c r="U133" s="9"/>
      <c r="W133" s="104">
        <f t="shared" si="160"/>
        <v>182</v>
      </c>
      <c r="X133" s="106">
        <f t="shared" si="160"/>
        <v>55</v>
      </c>
      <c r="Y133" s="102">
        <f t="shared" si="161"/>
        <v>28</v>
      </c>
      <c r="Z133" s="109">
        <f t="shared" si="161"/>
        <v>0</v>
      </c>
      <c r="AA133" s="109">
        <f t="shared" si="141"/>
        <v>0</v>
      </c>
      <c r="AB133" s="109">
        <f t="shared" si="162"/>
        <v>0</v>
      </c>
      <c r="AC133" s="4" t="str">
        <f t="shared" si="162"/>
        <v/>
      </c>
      <c r="AD133" s="105">
        <f t="shared" si="162"/>
        <v>0</v>
      </c>
      <c r="AE133" s="75" t="str">
        <f t="shared" si="142"/>
        <v>계</v>
      </c>
      <c r="AF133" s="75" t="str">
        <f t="shared" si="143"/>
        <v>4/2</v>
      </c>
      <c r="AH133" s="20" t="str">
        <f t="shared" si="159"/>
        <v>서상동 중동대동다숲</v>
      </c>
      <c r="AI133" s="106">
        <f t="shared" ref="AI133:AI180" si="163">IF(E133="","",E133)</f>
        <v>55</v>
      </c>
      <c r="AJ133" s="75" t="str">
        <f t="shared" si="144"/>
        <v>A-</v>
      </c>
      <c r="AK133" s="75" t="s">
        <v>14</v>
      </c>
      <c r="AL133" s="75" t="s">
        <v>944</v>
      </c>
      <c r="AM133" s="75" t="s">
        <v>945</v>
      </c>
      <c r="AN133" s="75" t="str">
        <f t="shared" si="145"/>
        <v>C</v>
      </c>
      <c r="AO133" s="75" t="str">
        <f t="shared" si="146"/>
        <v/>
      </c>
      <c r="AP133" s="75" t="str">
        <f t="shared" si="147"/>
        <v/>
      </c>
      <c r="AQ133" s="75" t="str">
        <f t="shared" si="148"/>
        <v>O</v>
      </c>
      <c r="AR133" s="75" t="str">
        <f t="shared" si="149"/>
        <v>O</v>
      </c>
      <c r="AS133" s="75" t="s">
        <v>2</v>
      </c>
      <c r="AT133" s="75" t="str">
        <f t="shared" si="150"/>
        <v>X</v>
      </c>
      <c r="AU133" s="75" t="str">
        <f t="shared" si="151"/>
        <v>O</v>
      </c>
      <c r="AV133" s="75" t="str">
        <f t="shared" si="152"/>
        <v/>
      </c>
    </row>
    <row r="134" spans="1:48" s="38" customFormat="1" ht="12" x14ac:dyDescent="0.3">
      <c r="A134" s="110" t="s">
        <v>1046</v>
      </c>
      <c r="B134" s="111" t="s">
        <v>1047</v>
      </c>
      <c r="C134" s="112">
        <v>243</v>
      </c>
      <c r="D134" s="104">
        <v>65.8</v>
      </c>
      <c r="E134" s="106">
        <v>20</v>
      </c>
      <c r="F134" s="104">
        <v>49.8</v>
      </c>
      <c r="G134" s="17">
        <v>15</v>
      </c>
      <c r="H134" s="107">
        <v>21</v>
      </c>
      <c r="I134" s="108"/>
      <c r="J134" s="108"/>
      <c r="K134" s="108"/>
      <c r="L134" s="108"/>
      <c r="M134" s="109">
        <f t="shared" si="137"/>
        <v>0</v>
      </c>
      <c r="N134" s="4" t="str">
        <f t="shared" si="138"/>
        <v/>
      </c>
      <c r="O134" s="105">
        <f t="shared" si="139"/>
        <v>0</v>
      </c>
      <c r="P134" s="105">
        <f t="shared" si="140"/>
        <v>0</v>
      </c>
      <c r="Q134" s="75">
        <v>2</v>
      </c>
      <c r="R134" s="75">
        <v>1</v>
      </c>
      <c r="S134" s="75" t="s">
        <v>943</v>
      </c>
      <c r="T134" s="5">
        <v>65</v>
      </c>
      <c r="U134" s="9"/>
      <c r="W134" s="104">
        <f t="shared" si="160"/>
        <v>65.8</v>
      </c>
      <c r="X134" s="106">
        <f t="shared" si="160"/>
        <v>20</v>
      </c>
      <c r="Y134" s="102">
        <f t="shared" si="161"/>
        <v>21</v>
      </c>
      <c r="Z134" s="109">
        <f t="shared" si="161"/>
        <v>0</v>
      </c>
      <c r="AA134" s="109">
        <f t="shared" si="141"/>
        <v>0</v>
      </c>
      <c r="AB134" s="109">
        <f t="shared" si="162"/>
        <v>0</v>
      </c>
      <c r="AC134" s="4" t="str">
        <f t="shared" si="162"/>
        <v/>
      </c>
      <c r="AD134" s="105">
        <f t="shared" si="162"/>
        <v>0</v>
      </c>
      <c r="AE134" s="75" t="str">
        <f t="shared" si="142"/>
        <v>복</v>
      </c>
      <c r="AF134" s="75" t="str">
        <f t="shared" si="143"/>
        <v>2/1</v>
      </c>
      <c r="AH134" s="20" t="str">
        <f>IF(A134="","",A134)</f>
        <v>소계동 소계럭키</v>
      </c>
      <c r="AI134" s="106">
        <f t="shared" si="163"/>
        <v>20</v>
      </c>
      <c r="AJ134" s="75" t="str">
        <f t="shared" si="144"/>
        <v>A-</v>
      </c>
      <c r="AK134" s="75" t="s">
        <v>14</v>
      </c>
      <c r="AL134" s="75" t="s">
        <v>944</v>
      </c>
      <c r="AM134" s="75" t="s">
        <v>945</v>
      </c>
      <c r="AN134" s="75" t="str">
        <f t="shared" si="145"/>
        <v>C</v>
      </c>
      <c r="AO134" s="75" t="str">
        <f t="shared" si="146"/>
        <v/>
      </c>
      <c r="AP134" s="75" t="str">
        <f t="shared" si="147"/>
        <v/>
      </c>
      <c r="AQ134" s="75" t="str">
        <f t="shared" si="148"/>
        <v>O</v>
      </c>
      <c r="AR134" s="75" t="str">
        <f t="shared" si="149"/>
        <v>O</v>
      </c>
      <c r="AS134" s="75" t="s">
        <v>2</v>
      </c>
      <c r="AT134" s="75" t="str">
        <f t="shared" si="150"/>
        <v>O</v>
      </c>
      <c r="AU134" s="75" t="str">
        <f t="shared" si="151"/>
        <v>X</v>
      </c>
      <c r="AV134" s="75" t="str">
        <f t="shared" si="152"/>
        <v/>
      </c>
    </row>
    <row r="135" spans="1:48" s="38" customFormat="1" ht="12" x14ac:dyDescent="0.3">
      <c r="A135" s="110" t="s">
        <v>1046</v>
      </c>
      <c r="B135" s="111" t="s">
        <v>1126</v>
      </c>
      <c r="C135" s="112">
        <v>243</v>
      </c>
      <c r="D135" s="104">
        <v>71.400000000000006</v>
      </c>
      <c r="E135" s="106">
        <v>22</v>
      </c>
      <c r="F135" s="104">
        <v>54.1</v>
      </c>
      <c r="G135" s="17">
        <v>16</v>
      </c>
      <c r="H135" s="107">
        <v>90</v>
      </c>
      <c r="I135" s="108"/>
      <c r="J135" s="108"/>
      <c r="K135" s="108"/>
      <c r="L135" s="108"/>
      <c r="M135" s="109">
        <f t="shared" si="137"/>
        <v>0</v>
      </c>
      <c r="N135" s="4" t="str">
        <f t="shared" si="138"/>
        <v/>
      </c>
      <c r="O135" s="105">
        <f t="shared" si="139"/>
        <v>0</v>
      </c>
      <c r="P135" s="105">
        <f t="shared" si="140"/>
        <v>0</v>
      </c>
      <c r="Q135" s="75">
        <v>3</v>
      </c>
      <c r="R135" s="75">
        <v>1</v>
      </c>
      <c r="S135" s="75" t="s">
        <v>943</v>
      </c>
      <c r="T135" s="5">
        <v>71</v>
      </c>
      <c r="U135" s="9"/>
      <c r="W135" s="104">
        <f t="shared" si="160"/>
        <v>71.400000000000006</v>
      </c>
      <c r="X135" s="106">
        <f t="shared" si="160"/>
        <v>22</v>
      </c>
      <c r="Y135" s="102">
        <f t="shared" si="161"/>
        <v>90</v>
      </c>
      <c r="Z135" s="109">
        <f t="shared" si="161"/>
        <v>0</v>
      </c>
      <c r="AA135" s="109">
        <f t="shared" si="141"/>
        <v>0</v>
      </c>
      <c r="AB135" s="109">
        <f t="shared" si="162"/>
        <v>0</v>
      </c>
      <c r="AC135" s="4" t="str">
        <f t="shared" si="162"/>
        <v/>
      </c>
      <c r="AD135" s="105">
        <f t="shared" si="162"/>
        <v>0</v>
      </c>
      <c r="AE135" s="75" t="str">
        <f t="shared" si="142"/>
        <v>복</v>
      </c>
      <c r="AF135" s="75" t="str">
        <f t="shared" si="143"/>
        <v>3/1</v>
      </c>
      <c r="AH135" s="20" t="str">
        <f>IF(A135="","",A135)</f>
        <v>소계동 소계럭키</v>
      </c>
      <c r="AI135" s="106">
        <f t="shared" si="163"/>
        <v>22</v>
      </c>
      <c r="AJ135" s="75" t="str">
        <f t="shared" si="144"/>
        <v>A-</v>
      </c>
      <c r="AK135" s="75" t="s">
        <v>14</v>
      </c>
      <c r="AL135" s="75" t="s">
        <v>944</v>
      </c>
      <c r="AM135" s="75" t="s">
        <v>945</v>
      </c>
      <c r="AN135" s="75" t="str">
        <f t="shared" si="145"/>
        <v>C</v>
      </c>
      <c r="AO135" s="75" t="str">
        <f t="shared" si="146"/>
        <v/>
      </c>
      <c r="AP135" s="75" t="str">
        <f t="shared" si="147"/>
        <v/>
      </c>
      <c r="AQ135" s="75" t="str">
        <f t="shared" si="148"/>
        <v>O</v>
      </c>
      <c r="AR135" s="75" t="str">
        <f t="shared" si="149"/>
        <v>O</v>
      </c>
      <c r="AS135" s="75" t="s">
        <v>2</v>
      </c>
      <c r="AT135" s="75" t="str">
        <f t="shared" si="150"/>
        <v>O</v>
      </c>
      <c r="AU135" s="75" t="str">
        <f t="shared" si="151"/>
        <v>X</v>
      </c>
      <c r="AV135" s="75" t="str">
        <f t="shared" si="152"/>
        <v/>
      </c>
    </row>
    <row r="136" spans="1:48" s="38" customFormat="1" ht="12" x14ac:dyDescent="0.3">
      <c r="A136" s="110" t="s">
        <v>1046</v>
      </c>
      <c r="B136" s="111" t="s">
        <v>1047</v>
      </c>
      <c r="C136" s="112">
        <v>243</v>
      </c>
      <c r="D136" s="104">
        <v>79.3</v>
      </c>
      <c r="E136" s="106">
        <v>24</v>
      </c>
      <c r="F136" s="104">
        <v>60</v>
      </c>
      <c r="G136" s="17">
        <v>18</v>
      </c>
      <c r="H136" s="107">
        <v>132</v>
      </c>
      <c r="I136" s="108"/>
      <c r="J136" s="108"/>
      <c r="K136" s="108"/>
      <c r="L136" s="108"/>
      <c r="M136" s="109">
        <f t="shared" si="137"/>
        <v>0</v>
      </c>
      <c r="N136" s="4" t="str">
        <f t="shared" si="138"/>
        <v/>
      </c>
      <c r="O136" s="105">
        <f t="shared" si="139"/>
        <v>0</v>
      </c>
      <c r="P136" s="105">
        <f t="shared" si="140"/>
        <v>0</v>
      </c>
      <c r="Q136" s="75">
        <v>3</v>
      </c>
      <c r="R136" s="75">
        <v>1</v>
      </c>
      <c r="S136" s="75" t="s">
        <v>943</v>
      </c>
      <c r="T136" s="5">
        <v>79</v>
      </c>
      <c r="U136" s="9"/>
      <c r="W136" s="104">
        <f t="shared" si="160"/>
        <v>79.3</v>
      </c>
      <c r="X136" s="106">
        <f t="shared" si="160"/>
        <v>24</v>
      </c>
      <c r="Y136" s="102">
        <f t="shared" si="161"/>
        <v>132</v>
      </c>
      <c r="Z136" s="109">
        <f t="shared" si="161"/>
        <v>0</v>
      </c>
      <c r="AA136" s="109">
        <f t="shared" si="141"/>
        <v>0</v>
      </c>
      <c r="AB136" s="109">
        <f t="shared" si="162"/>
        <v>0</v>
      </c>
      <c r="AC136" s="4" t="str">
        <f t="shared" si="162"/>
        <v/>
      </c>
      <c r="AD136" s="105">
        <f t="shared" si="162"/>
        <v>0</v>
      </c>
      <c r="AE136" s="75" t="str">
        <f t="shared" si="142"/>
        <v>복</v>
      </c>
      <c r="AF136" s="75" t="str">
        <f t="shared" si="143"/>
        <v>3/1</v>
      </c>
      <c r="AH136" s="20" t="str">
        <f>IF(A136="","",A136)</f>
        <v>소계동 소계럭키</v>
      </c>
      <c r="AI136" s="106">
        <f t="shared" si="163"/>
        <v>24</v>
      </c>
      <c r="AJ136" s="75" t="str">
        <f t="shared" si="144"/>
        <v>A-</v>
      </c>
      <c r="AK136" s="75" t="s">
        <v>14</v>
      </c>
      <c r="AL136" s="75" t="s">
        <v>944</v>
      </c>
      <c r="AM136" s="75" t="s">
        <v>945</v>
      </c>
      <c r="AN136" s="75" t="str">
        <f t="shared" si="145"/>
        <v>C</v>
      </c>
      <c r="AO136" s="75" t="str">
        <f t="shared" si="146"/>
        <v/>
      </c>
      <c r="AP136" s="75" t="str">
        <f t="shared" si="147"/>
        <v/>
      </c>
      <c r="AQ136" s="75" t="str">
        <f t="shared" si="148"/>
        <v>O</v>
      </c>
      <c r="AR136" s="75" t="str">
        <f t="shared" si="149"/>
        <v>O</v>
      </c>
      <c r="AS136" s="75" t="s">
        <v>2</v>
      </c>
      <c r="AT136" s="75" t="str">
        <f t="shared" si="150"/>
        <v>O</v>
      </c>
      <c r="AU136" s="75" t="str">
        <f t="shared" si="151"/>
        <v>X</v>
      </c>
      <c r="AV136" s="75" t="str">
        <f t="shared" si="152"/>
        <v/>
      </c>
    </row>
    <row r="137" spans="1:48" s="38" customFormat="1" ht="12" x14ac:dyDescent="0.3">
      <c r="A137" s="110" t="s">
        <v>1127</v>
      </c>
      <c r="B137" s="111" t="s">
        <v>1128</v>
      </c>
      <c r="C137" s="112">
        <v>1803</v>
      </c>
      <c r="D137" s="104">
        <v>83.8</v>
      </c>
      <c r="E137" s="106">
        <v>25</v>
      </c>
      <c r="F137" s="104">
        <v>60</v>
      </c>
      <c r="G137" s="17">
        <v>18</v>
      </c>
      <c r="H137" s="107">
        <v>162</v>
      </c>
      <c r="I137" s="108">
        <v>63000</v>
      </c>
      <c r="J137" s="108" t="s">
        <v>964</v>
      </c>
      <c r="K137" s="108"/>
      <c r="L137" s="108"/>
      <c r="M137" s="109">
        <f t="shared" ref="M137:M152" si="164">I137-K137</f>
        <v>63000</v>
      </c>
      <c r="N137" s="4">
        <f t="shared" ref="N137:N152" si="165">IF(ISERROR(K137/I137),"",K137/I137)</f>
        <v>0</v>
      </c>
      <c r="O137" s="105">
        <f t="shared" ref="O137:O152" si="166">I137/E137</f>
        <v>2520</v>
      </c>
      <c r="P137" s="105">
        <f t="shared" ref="P137:P152" si="167">K137/E137</f>
        <v>0</v>
      </c>
      <c r="Q137" s="75">
        <v>3</v>
      </c>
      <c r="R137" s="75">
        <v>2</v>
      </c>
      <c r="S137" s="75" t="s">
        <v>947</v>
      </c>
      <c r="T137" s="5">
        <v>83</v>
      </c>
      <c r="U137" s="9"/>
      <c r="W137" s="104">
        <f t="shared" si="160"/>
        <v>83.8</v>
      </c>
      <c r="X137" s="106">
        <f t="shared" si="160"/>
        <v>25</v>
      </c>
      <c r="Y137" s="102">
        <f t="shared" si="161"/>
        <v>162</v>
      </c>
      <c r="Z137" s="109">
        <f t="shared" si="161"/>
        <v>63000</v>
      </c>
      <c r="AA137" s="109">
        <f t="shared" ref="AA137:AA152" si="168">K137</f>
        <v>0</v>
      </c>
      <c r="AB137" s="109">
        <f t="shared" si="162"/>
        <v>63000</v>
      </c>
      <c r="AC137" s="4">
        <f t="shared" si="162"/>
        <v>0</v>
      </c>
      <c r="AD137" s="105">
        <f t="shared" si="162"/>
        <v>2520</v>
      </c>
      <c r="AE137" s="75" t="str">
        <f t="shared" ref="AE137:AE152" si="169">S137</f>
        <v>계</v>
      </c>
      <c r="AF137" s="75" t="str">
        <f t="shared" ref="AF137:AF152" si="170">Q137&amp;"/"&amp;R137</f>
        <v>3/2</v>
      </c>
      <c r="AH137" s="20" t="str">
        <f t="shared" ref="AH137:AH180" si="171">IF(A137="","",A137)</f>
        <v>중동 창원중동유니시티1단지</v>
      </c>
      <c r="AI137" s="106">
        <f t="shared" si="163"/>
        <v>25</v>
      </c>
      <c r="AJ137" s="75" t="str">
        <f t="shared" ref="AJ137:AJ152" si="172">IF(AI137="","",$AJ$2)</f>
        <v>A-</v>
      </c>
      <c r="AK137" s="75" t="s">
        <v>14</v>
      </c>
      <c r="AL137" s="75" t="s">
        <v>944</v>
      </c>
      <c r="AM137" s="75" t="s">
        <v>945</v>
      </c>
      <c r="AN137" s="75" t="str">
        <f t="shared" ref="AN137:AN152" si="173">IF(AI137="","",$AN$2)</f>
        <v>C</v>
      </c>
      <c r="AO137" s="75" t="str">
        <f t="shared" ref="AO137:AO152" si="174">IF(N137="","",IF(N137&gt;=$AO$1/100,"O","X"))</f>
        <v>X</v>
      </c>
      <c r="AP137" s="75" t="str">
        <f t="shared" ref="AP137:AP152" si="175">IF(I137="","",IF(I137&lt;=$AP$1,"O","X"))</f>
        <v>X</v>
      </c>
      <c r="AQ137" s="75" t="str">
        <f t="shared" ref="AQ137:AQ152" si="176">IF(O137="","",IF(O137&lt;=$AQ$1,"O","X"))</f>
        <v>X</v>
      </c>
      <c r="AR137" s="75" t="str">
        <f t="shared" ref="AR137:AR152" si="177">IF(M137="","",IF(M137&lt;=$AR$1,"O","X"))</f>
        <v>X</v>
      </c>
      <c r="AS137" s="75" t="s">
        <v>2</v>
      </c>
      <c r="AT137" s="75" t="str">
        <f t="shared" ref="AT137:AT152" si="178">IF(OR(F137="",AI137=""),"",IF(AND((F137&lt;=85),(AI137&gt;=15)),"O","X"))</f>
        <v>O</v>
      </c>
      <c r="AU137" s="75" t="str">
        <f t="shared" ref="AU137:AU152" si="179">IF(C137="","",IF(C137&gt;=$AU$1,"O","X"))</f>
        <v>O</v>
      </c>
      <c r="AV137" s="75" t="str">
        <f t="shared" ref="AV137:AV152" si="180">IF(AO137="","",IF(AND(AO137="O",AP137="O",AR137="O",AT137="O",AU137="O"),"후보","X"))</f>
        <v>X</v>
      </c>
    </row>
    <row r="138" spans="1:48" s="38" customFormat="1" ht="12" x14ac:dyDescent="0.3">
      <c r="A138" s="110" t="s">
        <v>1127</v>
      </c>
      <c r="B138" s="111" t="s">
        <v>1048</v>
      </c>
      <c r="C138" s="112">
        <v>1803</v>
      </c>
      <c r="D138" s="104">
        <v>100.8</v>
      </c>
      <c r="E138" s="106">
        <v>30</v>
      </c>
      <c r="F138" s="104">
        <v>72.900000000000006</v>
      </c>
      <c r="G138" s="17">
        <v>22</v>
      </c>
      <c r="H138" s="107">
        <v>182</v>
      </c>
      <c r="I138" s="108">
        <v>79000</v>
      </c>
      <c r="J138" s="108" t="s">
        <v>988</v>
      </c>
      <c r="K138" s="108">
        <v>45000</v>
      </c>
      <c r="L138" s="108" t="s">
        <v>963</v>
      </c>
      <c r="M138" s="109">
        <f t="shared" si="164"/>
        <v>34000</v>
      </c>
      <c r="N138" s="4">
        <f t="shared" si="165"/>
        <v>0.569620253164557</v>
      </c>
      <c r="O138" s="105">
        <f t="shared" si="166"/>
        <v>2633.3333333333335</v>
      </c>
      <c r="P138" s="105">
        <f t="shared" si="167"/>
        <v>1500</v>
      </c>
      <c r="Q138" s="75">
        <v>3</v>
      </c>
      <c r="R138" s="75">
        <v>2</v>
      </c>
      <c r="S138" s="75" t="s">
        <v>947</v>
      </c>
      <c r="T138" s="5">
        <v>100</v>
      </c>
      <c r="U138" s="9"/>
      <c r="W138" s="104">
        <f t="shared" si="160"/>
        <v>100.8</v>
      </c>
      <c r="X138" s="106">
        <f t="shared" si="160"/>
        <v>30</v>
      </c>
      <c r="Y138" s="102">
        <f t="shared" si="161"/>
        <v>182</v>
      </c>
      <c r="Z138" s="109">
        <f t="shared" si="161"/>
        <v>79000</v>
      </c>
      <c r="AA138" s="109">
        <f t="shared" si="168"/>
        <v>45000</v>
      </c>
      <c r="AB138" s="109">
        <f t="shared" si="162"/>
        <v>34000</v>
      </c>
      <c r="AC138" s="4">
        <f t="shared" si="162"/>
        <v>0.569620253164557</v>
      </c>
      <c r="AD138" s="105">
        <f t="shared" si="162"/>
        <v>2633.3333333333335</v>
      </c>
      <c r="AE138" s="75" t="str">
        <f t="shared" si="169"/>
        <v>계</v>
      </c>
      <c r="AF138" s="75" t="str">
        <f t="shared" si="170"/>
        <v>3/2</v>
      </c>
      <c r="AH138" s="20" t="str">
        <f t="shared" si="171"/>
        <v>중동 창원중동유니시티1단지</v>
      </c>
      <c r="AI138" s="106">
        <f t="shared" si="163"/>
        <v>30</v>
      </c>
      <c r="AJ138" s="75" t="str">
        <f t="shared" si="172"/>
        <v>A-</v>
      </c>
      <c r="AK138" s="75" t="s">
        <v>14</v>
      </c>
      <c r="AL138" s="75" t="s">
        <v>944</v>
      </c>
      <c r="AM138" s="75" t="s">
        <v>945</v>
      </c>
      <c r="AN138" s="75" t="str">
        <f t="shared" si="173"/>
        <v>C</v>
      </c>
      <c r="AO138" s="75" t="str">
        <f t="shared" si="174"/>
        <v>X</v>
      </c>
      <c r="AP138" s="75" t="str">
        <f t="shared" si="175"/>
        <v>X</v>
      </c>
      <c r="AQ138" s="75" t="str">
        <f t="shared" si="176"/>
        <v>X</v>
      </c>
      <c r="AR138" s="75" t="str">
        <f t="shared" si="177"/>
        <v>X</v>
      </c>
      <c r="AS138" s="75" t="s">
        <v>2</v>
      </c>
      <c r="AT138" s="75" t="str">
        <f t="shared" si="178"/>
        <v>O</v>
      </c>
      <c r="AU138" s="75" t="str">
        <f t="shared" si="179"/>
        <v>O</v>
      </c>
      <c r="AV138" s="75" t="str">
        <f t="shared" si="180"/>
        <v>X</v>
      </c>
    </row>
    <row r="139" spans="1:48" s="38" customFormat="1" ht="12" x14ac:dyDescent="0.3">
      <c r="A139" s="110" t="s">
        <v>1127</v>
      </c>
      <c r="B139" s="111" t="s">
        <v>1048</v>
      </c>
      <c r="C139" s="112">
        <v>1803</v>
      </c>
      <c r="D139" s="104">
        <v>116.8</v>
      </c>
      <c r="E139" s="106">
        <v>35</v>
      </c>
      <c r="F139" s="104">
        <v>84.1</v>
      </c>
      <c r="G139" s="17">
        <v>25</v>
      </c>
      <c r="H139" s="107">
        <v>269</v>
      </c>
      <c r="I139" s="108">
        <v>95000</v>
      </c>
      <c r="J139" s="108" t="s">
        <v>984</v>
      </c>
      <c r="K139" s="108">
        <v>48000</v>
      </c>
      <c r="L139" s="108" t="s">
        <v>988</v>
      </c>
      <c r="M139" s="109">
        <f t="shared" si="164"/>
        <v>47000</v>
      </c>
      <c r="N139" s="4">
        <f t="shared" si="165"/>
        <v>0.50526315789473686</v>
      </c>
      <c r="O139" s="105">
        <f t="shared" si="166"/>
        <v>2714.2857142857142</v>
      </c>
      <c r="P139" s="105">
        <f t="shared" si="167"/>
        <v>1371.4285714285713</v>
      </c>
      <c r="Q139" s="75">
        <v>3</v>
      </c>
      <c r="R139" s="75">
        <v>2</v>
      </c>
      <c r="S139" s="75" t="s">
        <v>947</v>
      </c>
      <c r="T139" s="5" t="s">
        <v>865</v>
      </c>
      <c r="U139" s="9"/>
      <c r="W139" s="104">
        <f t="shared" si="160"/>
        <v>116.8</v>
      </c>
      <c r="X139" s="106">
        <f t="shared" si="160"/>
        <v>35</v>
      </c>
      <c r="Y139" s="102">
        <f t="shared" si="161"/>
        <v>269</v>
      </c>
      <c r="Z139" s="109">
        <f t="shared" si="161"/>
        <v>95000</v>
      </c>
      <c r="AA139" s="109">
        <f t="shared" si="168"/>
        <v>48000</v>
      </c>
      <c r="AB139" s="109">
        <f t="shared" si="162"/>
        <v>47000</v>
      </c>
      <c r="AC139" s="4">
        <f t="shared" si="162"/>
        <v>0.50526315789473686</v>
      </c>
      <c r="AD139" s="105">
        <f t="shared" si="162"/>
        <v>2714.2857142857142</v>
      </c>
      <c r="AE139" s="75" t="str">
        <f t="shared" si="169"/>
        <v>계</v>
      </c>
      <c r="AF139" s="75" t="str">
        <f t="shared" si="170"/>
        <v>3/2</v>
      </c>
      <c r="AH139" s="20" t="str">
        <f t="shared" si="171"/>
        <v>중동 창원중동유니시티1단지</v>
      </c>
      <c r="AI139" s="106">
        <f t="shared" si="163"/>
        <v>35</v>
      </c>
      <c r="AJ139" s="75" t="str">
        <f t="shared" si="172"/>
        <v>A-</v>
      </c>
      <c r="AK139" s="75" t="s">
        <v>14</v>
      </c>
      <c r="AL139" s="75" t="s">
        <v>944</v>
      </c>
      <c r="AM139" s="75" t="s">
        <v>945</v>
      </c>
      <c r="AN139" s="75" t="str">
        <f t="shared" si="173"/>
        <v>C</v>
      </c>
      <c r="AO139" s="75" t="str">
        <f t="shared" si="174"/>
        <v>X</v>
      </c>
      <c r="AP139" s="75" t="str">
        <f t="shared" si="175"/>
        <v>X</v>
      </c>
      <c r="AQ139" s="75" t="str">
        <f t="shared" si="176"/>
        <v>X</v>
      </c>
      <c r="AR139" s="75" t="str">
        <f t="shared" si="177"/>
        <v>X</v>
      </c>
      <c r="AS139" s="75" t="s">
        <v>2</v>
      </c>
      <c r="AT139" s="75" t="str">
        <f t="shared" si="178"/>
        <v>O</v>
      </c>
      <c r="AU139" s="75" t="str">
        <f t="shared" si="179"/>
        <v>O</v>
      </c>
      <c r="AV139" s="75" t="str">
        <f t="shared" si="180"/>
        <v>X</v>
      </c>
    </row>
    <row r="140" spans="1:48" s="38" customFormat="1" ht="12" x14ac:dyDescent="0.3">
      <c r="A140" s="110" t="s">
        <v>1127</v>
      </c>
      <c r="B140" s="111" t="s">
        <v>1048</v>
      </c>
      <c r="C140" s="112">
        <v>1803</v>
      </c>
      <c r="D140" s="104">
        <v>117.1</v>
      </c>
      <c r="E140" s="106">
        <v>35</v>
      </c>
      <c r="F140" s="104">
        <v>84.4</v>
      </c>
      <c r="G140" s="17">
        <v>26</v>
      </c>
      <c r="H140" s="107">
        <v>506</v>
      </c>
      <c r="I140" s="108">
        <v>85000</v>
      </c>
      <c r="J140" s="108" t="s">
        <v>989</v>
      </c>
      <c r="K140" s="108">
        <v>45000</v>
      </c>
      <c r="L140" s="108" t="s">
        <v>960</v>
      </c>
      <c r="M140" s="109">
        <f t="shared" si="164"/>
        <v>40000</v>
      </c>
      <c r="N140" s="4">
        <f t="shared" si="165"/>
        <v>0.52941176470588236</v>
      </c>
      <c r="O140" s="105">
        <f t="shared" si="166"/>
        <v>2428.5714285714284</v>
      </c>
      <c r="P140" s="105">
        <f t="shared" si="167"/>
        <v>1285.7142857142858</v>
      </c>
      <c r="Q140" s="75">
        <v>3</v>
      </c>
      <c r="R140" s="75">
        <v>2</v>
      </c>
      <c r="S140" s="75" t="s">
        <v>947</v>
      </c>
      <c r="T140" s="5" t="s">
        <v>866</v>
      </c>
      <c r="U140" s="9"/>
      <c r="W140" s="104">
        <f t="shared" si="160"/>
        <v>117.1</v>
      </c>
      <c r="X140" s="106">
        <f t="shared" si="160"/>
        <v>35</v>
      </c>
      <c r="Y140" s="102">
        <f t="shared" si="161"/>
        <v>506</v>
      </c>
      <c r="Z140" s="109">
        <f t="shared" si="161"/>
        <v>85000</v>
      </c>
      <c r="AA140" s="109">
        <f t="shared" si="168"/>
        <v>45000</v>
      </c>
      <c r="AB140" s="109">
        <f t="shared" si="162"/>
        <v>40000</v>
      </c>
      <c r="AC140" s="4">
        <f t="shared" si="162"/>
        <v>0.52941176470588236</v>
      </c>
      <c r="AD140" s="105">
        <f t="shared" si="162"/>
        <v>2428.5714285714284</v>
      </c>
      <c r="AE140" s="75" t="str">
        <f t="shared" si="169"/>
        <v>계</v>
      </c>
      <c r="AF140" s="75" t="str">
        <f t="shared" si="170"/>
        <v>3/2</v>
      </c>
      <c r="AH140" s="20" t="str">
        <f t="shared" si="171"/>
        <v>중동 창원중동유니시티1단지</v>
      </c>
      <c r="AI140" s="106">
        <f t="shared" si="163"/>
        <v>35</v>
      </c>
      <c r="AJ140" s="75" t="str">
        <f t="shared" si="172"/>
        <v>A-</v>
      </c>
      <c r="AK140" s="75" t="s">
        <v>14</v>
      </c>
      <c r="AL140" s="75" t="s">
        <v>944</v>
      </c>
      <c r="AM140" s="75" t="s">
        <v>945</v>
      </c>
      <c r="AN140" s="75" t="str">
        <f t="shared" si="173"/>
        <v>C</v>
      </c>
      <c r="AO140" s="75" t="str">
        <f t="shared" si="174"/>
        <v>X</v>
      </c>
      <c r="AP140" s="75" t="str">
        <f t="shared" si="175"/>
        <v>X</v>
      </c>
      <c r="AQ140" s="75" t="str">
        <f t="shared" si="176"/>
        <v>X</v>
      </c>
      <c r="AR140" s="75" t="str">
        <f t="shared" si="177"/>
        <v>X</v>
      </c>
      <c r="AS140" s="75" t="s">
        <v>2</v>
      </c>
      <c r="AT140" s="75" t="str">
        <f t="shared" si="178"/>
        <v>O</v>
      </c>
      <c r="AU140" s="75" t="str">
        <f t="shared" si="179"/>
        <v>O</v>
      </c>
      <c r="AV140" s="75" t="str">
        <f t="shared" si="180"/>
        <v>X</v>
      </c>
    </row>
    <row r="141" spans="1:48" s="38" customFormat="1" ht="12" x14ac:dyDescent="0.3">
      <c r="A141" s="110" t="s">
        <v>1127</v>
      </c>
      <c r="B141" s="111" t="s">
        <v>1048</v>
      </c>
      <c r="C141" s="112">
        <v>1803</v>
      </c>
      <c r="D141" s="104">
        <v>136.5</v>
      </c>
      <c r="E141" s="106">
        <v>41</v>
      </c>
      <c r="F141" s="104">
        <v>99.2</v>
      </c>
      <c r="G141" s="17">
        <v>30</v>
      </c>
      <c r="H141" s="107">
        <v>474</v>
      </c>
      <c r="I141" s="108">
        <v>100000</v>
      </c>
      <c r="J141" s="108" t="s">
        <v>960</v>
      </c>
      <c r="K141" s="108">
        <v>54000</v>
      </c>
      <c r="L141" s="108" t="s">
        <v>957</v>
      </c>
      <c r="M141" s="109">
        <f t="shared" si="164"/>
        <v>46000</v>
      </c>
      <c r="N141" s="4">
        <f t="shared" si="165"/>
        <v>0.54</v>
      </c>
      <c r="O141" s="105">
        <f t="shared" si="166"/>
        <v>2439.0243902439024</v>
      </c>
      <c r="P141" s="105">
        <f t="shared" si="167"/>
        <v>1317.0731707317073</v>
      </c>
      <c r="Q141" s="75">
        <v>3</v>
      </c>
      <c r="R141" s="75">
        <v>2</v>
      </c>
      <c r="S141" s="75" t="s">
        <v>947</v>
      </c>
      <c r="T141" s="5">
        <v>136</v>
      </c>
      <c r="U141" s="9"/>
      <c r="W141" s="104">
        <f t="shared" ref="W141:X156" si="181">D141</f>
        <v>136.5</v>
      </c>
      <c r="X141" s="106">
        <f t="shared" si="181"/>
        <v>41</v>
      </c>
      <c r="Y141" s="102">
        <f t="shared" ref="Y141:Z156" si="182">H141</f>
        <v>474</v>
      </c>
      <c r="Z141" s="109">
        <f t="shared" si="182"/>
        <v>100000</v>
      </c>
      <c r="AA141" s="109">
        <f t="shared" si="168"/>
        <v>54000</v>
      </c>
      <c r="AB141" s="109">
        <f t="shared" si="162"/>
        <v>46000</v>
      </c>
      <c r="AC141" s="4">
        <f t="shared" si="162"/>
        <v>0.54</v>
      </c>
      <c r="AD141" s="105">
        <f t="shared" si="162"/>
        <v>2439.0243902439024</v>
      </c>
      <c r="AE141" s="75" t="str">
        <f t="shared" si="169"/>
        <v>계</v>
      </c>
      <c r="AF141" s="75" t="str">
        <f t="shared" si="170"/>
        <v>3/2</v>
      </c>
      <c r="AH141" s="20" t="str">
        <f t="shared" si="171"/>
        <v>중동 창원중동유니시티1단지</v>
      </c>
      <c r="AI141" s="106">
        <f t="shared" si="163"/>
        <v>41</v>
      </c>
      <c r="AJ141" s="75" t="str">
        <f t="shared" si="172"/>
        <v>A-</v>
      </c>
      <c r="AK141" s="75" t="s">
        <v>14</v>
      </c>
      <c r="AL141" s="75" t="s">
        <v>944</v>
      </c>
      <c r="AM141" s="75" t="s">
        <v>945</v>
      </c>
      <c r="AN141" s="75" t="str">
        <f t="shared" si="173"/>
        <v>C</v>
      </c>
      <c r="AO141" s="75" t="str">
        <f t="shared" si="174"/>
        <v>X</v>
      </c>
      <c r="AP141" s="75" t="str">
        <f t="shared" si="175"/>
        <v>X</v>
      </c>
      <c r="AQ141" s="75" t="str">
        <f t="shared" si="176"/>
        <v>X</v>
      </c>
      <c r="AR141" s="75" t="str">
        <f t="shared" si="177"/>
        <v>X</v>
      </c>
      <c r="AS141" s="75" t="s">
        <v>2</v>
      </c>
      <c r="AT141" s="75" t="str">
        <f t="shared" si="178"/>
        <v>X</v>
      </c>
      <c r="AU141" s="75" t="str">
        <f t="shared" si="179"/>
        <v>O</v>
      </c>
      <c r="AV141" s="75" t="str">
        <f t="shared" si="180"/>
        <v>X</v>
      </c>
    </row>
    <row r="142" spans="1:48" s="38" customFormat="1" ht="12" x14ac:dyDescent="0.3">
      <c r="A142" s="110" t="s">
        <v>1127</v>
      </c>
      <c r="B142" s="111" t="s">
        <v>1048</v>
      </c>
      <c r="C142" s="112">
        <v>1803</v>
      </c>
      <c r="D142" s="104">
        <v>158.6</v>
      </c>
      <c r="E142" s="106">
        <v>48</v>
      </c>
      <c r="F142" s="104">
        <v>115.7</v>
      </c>
      <c r="G142" s="17">
        <v>35</v>
      </c>
      <c r="H142" s="107">
        <v>128</v>
      </c>
      <c r="I142" s="108">
        <v>152000</v>
      </c>
      <c r="J142" s="108" t="s">
        <v>954</v>
      </c>
      <c r="K142" s="108"/>
      <c r="L142" s="108"/>
      <c r="M142" s="109">
        <f t="shared" si="164"/>
        <v>152000</v>
      </c>
      <c r="N142" s="4">
        <f t="shared" si="165"/>
        <v>0</v>
      </c>
      <c r="O142" s="105">
        <f t="shared" si="166"/>
        <v>3166.6666666666665</v>
      </c>
      <c r="P142" s="105">
        <f t="shared" si="167"/>
        <v>0</v>
      </c>
      <c r="Q142" s="75">
        <v>4</v>
      </c>
      <c r="R142" s="75">
        <v>2</v>
      </c>
      <c r="S142" s="75" t="s">
        <v>947</v>
      </c>
      <c r="T142" s="5">
        <v>158</v>
      </c>
      <c r="U142" s="9"/>
      <c r="W142" s="104">
        <f t="shared" si="181"/>
        <v>158.6</v>
      </c>
      <c r="X142" s="106">
        <f t="shared" si="181"/>
        <v>48</v>
      </c>
      <c r="Y142" s="102">
        <f t="shared" si="182"/>
        <v>128</v>
      </c>
      <c r="Z142" s="109">
        <f t="shared" si="182"/>
        <v>152000</v>
      </c>
      <c r="AA142" s="109">
        <f t="shared" si="168"/>
        <v>0</v>
      </c>
      <c r="AB142" s="109">
        <f t="shared" si="162"/>
        <v>152000</v>
      </c>
      <c r="AC142" s="4">
        <f t="shared" si="162"/>
        <v>0</v>
      </c>
      <c r="AD142" s="105">
        <f t="shared" si="162"/>
        <v>3166.6666666666665</v>
      </c>
      <c r="AE142" s="75" t="str">
        <f t="shared" si="169"/>
        <v>계</v>
      </c>
      <c r="AF142" s="75" t="str">
        <f t="shared" si="170"/>
        <v>4/2</v>
      </c>
      <c r="AH142" s="20" t="str">
        <f t="shared" si="171"/>
        <v>중동 창원중동유니시티1단지</v>
      </c>
      <c r="AI142" s="106">
        <f t="shared" si="163"/>
        <v>48</v>
      </c>
      <c r="AJ142" s="75" t="str">
        <f t="shared" si="172"/>
        <v>A-</v>
      </c>
      <c r="AK142" s="75" t="s">
        <v>14</v>
      </c>
      <c r="AL142" s="75" t="s">
        <v>944</v>
      </c>
      <c r="AM142" s="75" t="s">
        <v>945</v>
      </c>
      <c r="AN142" s="75" t="str">
        <f t="shared" si="173"/>
        <v>C</v>
      </c>
      <c r="AO142" s="75" t="str">
        <f t="shared" si="174"/>
        <v>X</v>
      </c>
      <c r="AP142" s="75" t="str">
        <f t="shared" si="175"/>
        <v>X</v>
      </c>
      <c r="AQ142" s="75" t="str">
        <f t="shared" si="176"/>
        <v>X</v>
      </c>
      <c r="AR142" s="75" t="str">
        <f t="shared" si="177"/>
        <v>X</v>
      </c>
      <c r="AS142" s="75" t="s">
        <v>2</v>
      </c>
      <c r="AT142" s="75" t="str">
        <f t="shared" si="178"/>
        <v>X</v>
      </c>
      <c r="AU142" s="75" t="str">
        <f t="shared" si="179"/>
        <v>O</v>
      </c>
      <c r="AV142" s="75" t="str">
        <f t="shared" si="180"/>
        <v>X</v>
      </c>
    </row>
    <row r="143" spans="1:48" s="38" customFormat="1" ht="12" x14ac:dyDescent="0.3">
      <c r="A143" s="110" t="s">
        <v>1127</v>
      </c>
      <c r="B143" s="111" t="s">
        <v>1048</v>
      </c>
      <c r="C143" s="112">
        <v>1803</v>
      </c>
      <c r="D143" s="104">
        <v>185.8</v>
      </c>
      <c r="E143" s="106">
        <v>56</v>
      </c>
      <c r="F143" s="104">
        <v>135.9</v>
      </c>
      <c r="G143" s="17">
        <v>41</v>
      </c>
      <c r="H143" s="107">
        <v>41</v>
      </c>
      <c r="I143" s="108"/>
      <c r="J143" s="108"/>
      <c r="K143" s="108"/>
      <c r="L143" s="108"/>
      <c r="M143" s="109">
        <f t="shared" si="164"/>
        <v>0</v>
      </c>
      <c r="N143" s="4" t="str">
        <f t="shared" si="165"/>
        <v/>
      </c>
      <c r="O143" s="105">
        <f t="shared" si="166"/>
        <v>0</v>
      </c>
      <c r="P143" s="105">
        <f t="shared" si="167"/>
        <v>0</v>
      </c>
      <c r="Q143" s="75">
        <v>4</v>
      </c>
      <c r="R143" s="75">
        <v>2</v>
      </c>
      <c r="S143" s="75" t="s">
        <v>947</v>
      </c>
      <c r="T143" s="5" t="s">
        <v>867</v>
      </c>
      <c r="U143" s="9"/>
      <c r="W143" s="104">
        <f t="shared" si="181"/>
        <v>185.8</v>
      </c>
      <c r="X143" s="106">
        <f t="shared" si="181"/>
        <v>56</v>
      </c>
      <c r="Y143" s="102">
        <f t="shared" si="182"/>
        <v>41</v>
      </c>
      <c r="Z143" s="109">
        <f t="shared" si="182"/>
        <v>0</v>
      </c>
      <c r="AA143" s="109">
        <f t="shared" si="168"/>
        <v>0</v>
      </c>
      <c r="AB143" s="109">
        <f t="shared" ref="AB143:AD158" si="183">M143</f>
        <v>0</v>
      </c>
      <c r="AC143" s="4" t="str">
        <f t="shared" si="183"/>
        <v/>
      </c>
      <c r="AD143" s="105">
        <f t="shared" si="183"/>
        <v>0</v>
      </c>
      <c r="AE143" s="75" t="str">
        <f t="shared" si="169"/>
        <v>계</v>
      </c>
      <c r="AF143" s="75" t="str">
        <f t="shared" si="170"/>
        <v>4/2</v>
      </c>
      <c r="AH143" s="20" t="str">
        <f t="shared" si="171"/>
        <v>중동 창원중동유니시티1단지</v>
      </c>
      <c r="AI143" s="106">
        <f t="shared" si="163"/>
        <v>56</v>
      </c>
      <c r="AJ143" s="75" t="str">
        <f t="shared" si="172"/>
        <v>A-</v>
      </c>
      <c r="AK143" s="75" t="s">
        <v>14</v>
      </c>
      <c r="AL143" s="75" t="s">
        <v>944</v>
      </c>
      <c r="AM143" s="75" t="s">
        <v>945</v>
      </c>
      <c r="AN143" s="75" t="str">
        <f t="shared" si="173"/>
        <v>C</v>
      </c>
      <c r="AO143" s="75" t="str">
        <f t="shared" si="174"/>
        <v/>
      </c>
      <c r="AP143" s="75" t="str">
        <f t="shared" si="175"/>
        <v/>
      </c>
      <c r="AQ143" s="75" t="str">
        <f t="shared" si="176"/>
        <v>O</v>
      </c>
      <c r="AR143" s="75" t="str">
        <f t="shared" si="177"/>
        <v>O</v>
      </c>
      <c r="AS143" s="75" t="s">
        <v>2</v>
      </c>
      <c r="AT143" s="75" t="str">
        <f t="shared" si="178"/>
        <v>X</v>
      </c>
      <c r="AU143" s="75" t="str">
        <f t="shared" si="179"/>
        <v>O</v>
      </c>
      <c r="AV143" s="75" t="str">
        <f t="shared" si="180"/>
        <v/>
      </c>
    </row>
    <row r="144" spans="1:48" s="38" customFormat="1" ht="12" x14ac:dyDescent="0.3">
      <c r="A144" s="110" t="s">
        <v>1127</v>
      </c>
      <c r="B144" s="111" t="s">
        <v>1048</v>
      </c>
      <c r="C144" s="112">
        <v>1803</v>
      </c>
      <c r="D144" s="104">
        <v>186.9</v>
      </c>
      <c r="E144" s="106">
        <v>57</v>
      </c>
      <c r="F144" s="104">
        <v>135.80000000000001</v>
      </c>
      <c r="G144" s="17">
        <v>41</v>
      </c>
      <c r="H144" s="107">
        <v>41</v>
      </c>
      <c r="I144" s="108"/>
      <c r="J144" s="108"/>
      <c r="K144" s="108"/>
      <c r="L144" s="108"/>
      <c r="M144" s="109">
        <f t="shared" si="164"/>
        <v>0</v>
      </c>
      <c r="N144" s="4" t="str">
        <f t="shared" si="165"/>
        <v/>
      </c>
      <c r="O144" s="105">
        <f t="shared" si="166"/>
        <v>0</v>
      </c>
      <c r="P144" s="105">
        <f t="shared" si="167"/>
        <v>0</v>
      </c>
      <c r="Q144" s="75">
        <v>3</v>
      </c>
      <c r="R144" s="75">
        <v>2</v>
      </c>
      <c r="S144" s="75" t="s">
        <v>947</v>
      </c>
      <c r="T144" s="5" t="s">
        <v>868</v>
      </c>
      <c r="U144" s="9"/>
      <c r="W144" s="104">
        <f t="shared" si="181"/>
        <v>186.9</v>
      </c>
      <c r="X144" s="106">
        <f t="shared" si="181"/>
        <v>57</v>
      </c>
      <c r="Y144" s="102">
        <f t="shared" si="182"/>
        <v>41</v>
      </c>
      <c r="Z144" s="109">
        <f t="shared" si="182"/>
        <v>0</v>
      </c>
      <c r="AA144" s="109">
        <f t="shared" si="168"/>
        <v>0</v>
      </c>
      <c r="AB144" s="109">
        <f t="shared" si="183"/>
        <v>0</v>
      </c>
      <c r="AC144" s="4" t="str">
        <f t="shared" si="183"/>
        <v/>
      </c>
      <c r="AD144" s="105">
        <f t="shared" si="183"/>
        <v>0</v>
      </c>
      <c r="AE144" s="75" t="str">
        <f t="shared" si="169"/>
        <v>계</v>
      </c>
      <c r="AF144" s="75" t="str">
        <f t="shared" si="170"/>
        <v>3/2</v>
      </c>
      <c r="AH144" s="20" t="str">
        <f t="shared" si="171"/>
        <v>중동 창원중동유니시티1단지</v>
      </c>
      <c r="AI144" s="106">
        <f t="shared" si="163"/>
        <v>57</v>
      </c>
      <c r="AJ144" s="75" t="str">
        <f t="shared" si="172"/>
        <v>A-</v>
      </c>
      <c r="AK144" s="75" t="s">
        <v>14</v>
      </c>
      <c r="AL144" s="75" t="s">
        <v>944</v>
      </c>
      <c r="AM144" s="75" t="s">
        <v>945</v>
      </c>
      <c r="AN144" s="75" t="str">
        <f t="shared" si="173"/>
        <v>C</v>
      </c>
      <c r="AO144" s="75" t="str">
        <f t="shared" si="174"/>
        <v/>
      </c>
      <c r="AP144" s="75" t="str">
        <f t="shared" si="175"/>
        <v/>
      </c>
      <c r="AQ144" s="75" t="str">
        <f t="shared" si="176"/>
        <v>O</v>
      </c>
      <c r="AR144" s="75" t="str">
        <f t="shared" si="177"/>
        <v>O</v>
      </c>
      <c r="AS144" s="75" t="s">
        <v>2</v>
      </c>
      <c r="AT144" s="75" t="str">
        <f t="shared" si="178"/>
        <v>X</v>
      </c>
      <c r="AU144" s="75" t="str">
        <f t="shared" si="179"/>
        <v>O</v>
      </c>
      <c r="AV144" s="75" t="str">
        <f t="shared" si="180"/>
        <v/>
      </c>
    </row>
    <row r="145" spans="1:48" s="38" customFormat="1" ht="12" x14ac:dyDescent="0.3">
      <c r="A145" s="110" t="s">
        <v>1049</v>
      </c>
      <c r="B145" s="111" t="s">
        <v>1050</v>
      </c>
      <c r="C145" s="112">
        <v>1768</v>
      </c>
      <c r="D145" s="104">
        <v>82.7</v>
      </c>
      <c r="E145" s="106">
        <v>25</v>
      </c>
      <c r="F145" s="104">
        <v>60</v>
      </c>
      <c r="G145" s="17">
        <v>18</v>
      </c>
      <c r="H145" s="107">
        <v>104</v>
      </c>
      <c r="I145" s="108">
        <v>70000</v>
      </c>
      <c r="J145" s="108" t="s">
        <v>954</v>
      </c>
      <c r="K145" s="108">
        <v>42000</v>
      </c>
      <c r="L145" s="108" t="s">
        <v>989</v>
      </c>
      <c r="M145" s="109">
        <f t="shared" si="164"/>
        <v>28000</v>
      </c>
      <c r="N145" s="4">
        <f t="shared" si="165"/>
        <v>0.6</v>
      </c>
      <c r="O145" s="105">
        <f t="shared" si="166"/>
        <v>2800</v>
      </c>
      <c r="P145" s="105">
        <f t="shared" si="167"/>
        <v>1680</v>
      </c>
      <c r="Q145" s="75">
        <v>3</v>
      </c>
      <c r="R145" s="75">
        <v>2</v>
      </c>
      <c r="S145" s="75" t="s">
        <v>947</v>
      </c>
      <c r="T145" s="5">
        <v>82</v>
      </c>
      <c r="U145" s="9"/>
      <c r="W145" s="104">
        <f t="shared" si="181"/>
        <v>82.7</v>
      </c>
      <c r="X145" s="106">
        <f t="shared" si="181"/>
        <v>25</v>
      </c>
      <c r="Y145" s="102">
        <f t="shared" si="182"/>
        <v>104</v>
      </c>
      <c r="Z145" s="109">
        <f t="shared" si="182"/>
        <v>70000</v>
      </c>
      <c r="AA145" s="109">
        <f t="shared" si="168"/>
        <v>42000</v>
      </c>
      <c r="AB145" s="109">
        <f t="shared" si="183"/>
        <v>28000</v>
      </c>
      <c r="AC145" s="4">
        <f t="shared" si="183"/>
        <v>0.6</v>
      </c>
      <c r="AD145" s="105">
        <f t="shared" si="183"/>
        <v>2800</v>
      </c>
      <c r="AE145" s="75" t="str">
        <f t="shared" si="169"/>
        <v>계</v>
      </c>
      <c r="AF145" s="75" t="str">
        <f t="shared" si="170"/>
        <v>3/2</v>
      </c>
      <c r="AH145" s="20" t="str">
        <f t="shared" si="171"/>
        <v>중동 창원중동유니시티4단지</v>
      </c>
      <c r="AI145" s="106">
        <f t="shared" si="163"/>
        <v>25</v>
      </c>
      <c r="AJ145" s="75" t="str">
        <f t="shared" si="172"/>
        <v>A-</v>
      </c>
      <c r="AK145" s="75" t="s">
        <v>14</v>
      </c>
      <c r="AL145" s="75" t="s">
        <v>944</v>
      </c>
      <c r="AM145" s="75" t="s">
        <v>945</v>
      </c>
      <c r="AN145" s="75" t="str">
        <f t="shared" si="173"/>
        <v>C</v>
      </c>
      <c r="AO145" s="75" t="str">
        <f t="shared" si="174"/>
        <v>X</v>
      </c>
      <c r="AP145" s="75" t="str">
        <f t="shared" si="175"/>
        <v>X</v>
      </c>
      <c r="AQ145" s="75" t="str">
        <f t="shared" si="176"/>
        <v>X</v>
      </c>
      <c r="AR145" s="75" t="str">
        <f t="shared" si="177"/>
        <v>X</v>
      </c>
      <c r="AS145" s="75" t="s">
        <v>2</v>
      </c>
      <c r="AT145" s="75" t="str">
        <f t="shared" si="178"/>
        <v>O</v>
      </c>
      <c r="AU145" s="75" t="str">
        <f t="shared" si="179"/>
        <v>O</v>
      </c>
      <c r="AV145" s="75" t="str">
        <f t="shared" si="180"/>
        <v>X</v>
      </c>
    </row>
    <row r="146" spans="1:48" s="38" customFormat="1" ht="12" x14ac:dyDescent="0.3">
      <c r="A146" s="110" t="s">
        <v>1049</v>
      </c>
      <c r="B146" s="111" t="s">
        <v>1050</v>
      </c>
      <c r="C146" s="112">
        <v>1768</v>
      </c>
      <c r="D146" s="104">
        <v>99.2</v>
      </c>
      <c r="E146" s="106">
        <v>30</v>
      </c>
      <c r="F146" s="104">
        <v>72.900000000000006</v>
      </c>
      <c r="G146" s="17">
        <v>22</v>
      </c>
      <c r="H146" s="107">
        <v>104</v>
      </c>
      <c r="I146" s="108">
        <v>72000</v>
      </c>
      <c r="J146" s="108" t="s">
        <v>960</v>
      </c>
      <c r="K146" s="108"/>
      <c r="L146" s="108"/>
      <c r="M146" s="109">
        <f t="shared" si="164"/>
        <v>72000</v>
      </c>
      <c r="N146" s="4">
        <f t="shared" si="165"/>
        <v>0</v>
      </c>
      <c r="O146" s="105">
        <f t="shared" si="166"/>
        <v>2400</v>
      </c>
      <c r="P146" s="105">
        <f t="shared" si="167"/>
        <v>0</v>
      </c>
      <c r="Q146" s="75">
        <v>3</v>
      </c>
      <c r="R146" s="75">
        <v>2</v>
      </c>
      <c r="S146" s="75" t="s">
        <v>947</v>
      </c>
      <c r="T146" s="5">
        <v>99</v>
      </c>
      <c r="U146" s="9"/>
      <c r="W146" s="104">
        <f t="shared" si="181"/>
        <v>99.2</v>
      </c>
      <c r="X146" s="106">
        <f t="shared" si="181"/>
        <v>30</v>
      </c>
      <c r="Y146" s="102">
        <f t="shared" si="182"/>
        <v>104</v>
      </c>
      <c r="Z146" s="109">
        <f t="shared" si="182"/>
        <v>72000</v>
      </c>
      <c r="AA146" s="109">
        <f t="shared" si="168"/>
        <v>0</v>
      </c>
      <c r="AB146" s="109">
        <f t="shared" si="183"/>
        <v>72000</v>
      </c>
      <c r="AC146" s="4">
        <f t="shared" si="183"/>
        <v>0</v>
      </c>
      <c r="AD146" s="105">
        <f t="shared" si="183"/>
        <v>2400</v>
      </c>
      <c r="AE146" s="75" t="str">
        <f t="shared" si="169"/>
        <v>계</v>
      </c>
      <c r="AF146" s="75" t="str">
        <f t="shared" si="170"/>
        <v>3/2</v>
      </c>
      <c r="AH146" s="20" t="str">
        <f t="shared" si="171"/>
        <v>중동 창원중동유니시티4단지</v>
      </c>
      <c r="AI146" s="106">
        <f t="shared" si="163"/>
        <v>30</v>
      </c>
      <c r="AJ146" s="75" t="str">
        <f t="shared" si="172"/>
        <v>A-</v>
      </c>
      <c r="AK146" s="75" t="s">
        <v>14</v>
      </c>
      <c r="AL146" s="75" t="s">
        <v>944</v>
      </c>
      <c r="AM146" s="75" t="s">
        <v>945</v>
      </c>
      <c r="AN146" s="75" t="str">
        <f t="shared" si="173"/>
        <v>C</v>
      </c>
      <c r="AO146" s="75" t="str">
        <f t="shared" si="174"/>
        <v>X</v>
      </c>
      <c r="AP146" s="75" t="str">
        <f t="shared" si="175"/>
        <v>X</v>
      </c>
      <c r="AQ146" s="75" t="str">
        <f t="shared" si="176"/>
        <v>X</v>
      </c>
      <c r="AR146" s="75" t="str">
        <f t="shared" si="177"/>
        <v>X</v>
      </c>
      <c r="AS146" s="75" t="s">
        <v>2</v>
      </c>
      <c r="AT146" s="75" t="str">
        <f t="shared" si="178"/>
        <v>O</v>
      </c>
      <c r="AU146" s="75" t="str">
        <f t="shared" si="179"/>
        <v>O</v>
      </c>
      <c r="AV146" s="75" t="str">
        <f t="shared" si="180"/>
        <v>X</v>
      </c>
    </row>
    <row r="147" spans="1:48" s="38" customFormat="1" ht="12" x14ac:dyDescent="0.3">
      <c r="A147" s="110" t="s">
        <v>1049</v>
      </c>
      <c r="B147" s="111" t="s">
        <v>1050</v>
      </c>
      <c r="C147" s="112">
        <v>1768</v>
      </c>
      <c r="D147" s="104">
        <v>115.7</v>
      </c>
      <c r="E147" s="106">
        <v>35</v>
      </c>
      <c r="F147" s="104">
        <v>84.7</v>
      </c>
      <c r="G147" s="17">
        <v>26</v>
      </c>
      <c r="H147" s="107">
        <v>686</v>
      </c>
      <c r="I147" s="108">
        <v>86000</v>
      </c>
      <c r="J147" s="108" t="s">
        <v>954</v>
      </c>
      <c r="K147" s="108">
        <v>48000</v>
      </c>
      <c r="L147" s="108" t="s">
        <v>960</v>
      </c>
      <c r="M147" s="109">
        <f t="shared" si="164"/>
        <v>38000</v>
      </c>
      <c r="N147" s="4">
        <f t="shared" si="165"/>
        <v>0.55813953488372092</v>
      </c>
      <c r="O147" s="105">
        <f t="shared" si="166"/>
        <v>2457.1428571428573</v>
      </c>
      <c r="P147" s="105">
        <f t="shared" si="167"/>
        <v>1371.4285714285713</v>
      </c>
      <c r="Q147" s="75">
        <v>3</v>
      </c>
      <c r="R147" s="75">
        <v>2</v>
      </c>
      <c r="S147" s="75" t="s">
        <v>947</v>
      </c>
      <c r="T147" s="5" t="s">
        <v>697</v>
      </c>
      <c r="U147" s="9"/>
      <c r="W147" s="104">
        <f t="shared" si="181"/>
        <v>115.7</v>
      </c>
      <c r="X147" s="106">
        <f t="shared" si="181"/>
        <v>35</v>
      </c>
      <c r="Y147" s="102">
        <f t="shared" si="182"/>
        <v>686</v>
      </c>
      <c r="Z147" s="109">
        <f t="shared" si="182"/>
        <v>86000</v>
      </c>
      <c r="AA147" s="109">
        <f t="shared" si="168"/>
        <v>48000</v>
      </c>
      <c r="AB147" s="109">
        <f t="shared" si="183"/>
        <v>38000</v>
      </c>
      <c r="AC147" s="4">
        <f t="shared" si="183"/>
        <v>0.55813953488372092</v>
      </c>
      <c r="AD147" s="105">
        <f t="shared" si="183"/>
        <v>2457.1428571428573</v>
      </c>
      <c r="AE147" s="75" t="str">
        <f t="shared" si="169"/>
        <v>계</v>
      </c>
      <c r="AF147" s="75" t="str">
        <f t="shared" si="170"/>
        <v>3/2</v>
      </c>
      <c r="AH147" s="20" t="str">
        <f t="shared" si="171"/>
        <v>중동 창원중동유니시티4단지</v>
      </c>
      <c r="AI147" s="106">
        <f t="shared" si="163"/>
        <v>35</v>
      </c>
      <c r="AJ147" s="75" t="str">
        <f t="shared" si="172"/>
        <v>A-</v>
      </c>
      <c r="AK147" s="75" t="s">
        <v>14</v>
      </c>
      <c r="AL147" s="75" t="s">
        <v>944</v>
      </c>
      <c r="AM147" s="75" t="s">
        <v>945</v>
      </c>
      <c r="AN147" s="75" t="str">
        <f t="shared" si="173"/>
        <v>C</v>
      </c>
      <c r="AO147" s="75" t="str">
        <f t="shared" si="174"/>
        <v>X</v>
      </c>
      <c r="AP147" s="75" t="str">
        <f t="shared" si="175"/>
        <v>X</v>
      </c>
      <c r="AQ147" s="75" t="str">
        <f t="shared" si="176"/>
        <v>X</v>
      </c>
      <c r="AR147" s="75" t="str">
        <f t="shared" si="177"/>
        <v>X</v>
      </c>
      <c r="AS147" s="75" t="s">
        <v>2</v>
      </c>
      <c r="AT147" s="75" t="str">
        <f t="shared" si="178"/>
        <v>O</v>
      </c>
      <c r="AU147" s="75" t="str">
        <f t="shared" si="179"/>
        <v>O</v>
      </c>
      <c r="AV147" s="75" t="str">
        <f t="shared" si="180"/>
        <v>X</v>
      </c>
    </row>
    <row r="148" spans="1:48" s="38" customFormat="1" ht="12" x14ac:dyDescent="0.3">
      <c r="A148" s="110" t="s">
        <v>1049</v>
      </c>
      <c r="B148" s="111" t="s">
        <v>1050</v>
      </c>
      <c r="C148" s="112">
        <v>1768</v>
      </c>
      <c r="D148" s="104">
        <v>115.9</v>
      </c>
      <c r="E148" s="106">
        <v>35</v>
      </c>
      <c r="F148" s="104">
        <v>84.8</v>
      </c>
      <c r="G148" s="17">
        <v>26</v>
      </c>
      <c r="H148" s="107">
        <v>308</v>
      </c>
      <c r="I148" s="108">
        <v>82000</v>
      </c>
      <c r="J148" s="108" t="s">
        <v>991</v>
      </c>
      <c r="K148" s="108">
        <v>48000</v>
      </c>
      <c r="L148" s="108" t="s">
        <v>954</v>
      </c>
      <c r="M148" s="109">
        <f t="shared" si="164"/>
        <v>34000</v>
      </c>
      <c r="N148" s="4">
        <f t="shared" si="165"/>
        <v>0.58536585365853655</v>
      </c>
      <c r="O148" s="105">
        <f t="shared" si="166"/>
        <v>2342.8571428571427</v>
      </c>
      <c r="P148" s="105">
        <f t="shared" si="167"/>
        <v>1371.4285714285713</v>
      </c>
      <c r="Q148" s="75">
        <v>3</v>
      </c>
      <c r="R148" s="75">
        <v>2</v>
      </c>
      <c r="S148" s="75" t="s">
        <v>947</v>
      </c>
      <c r="T148" s="5" t="s">
        <v>627</v>
      </c>
      <c r="U148" s="9"/>
      <c r="W148" s="104">
        <f t="shared" si="181"/>
        <v>115.9</v>
      </c>
      <c r="X148" s="106">
        <f t="shared" si="181"/>
        <v>35</v>
      </c>
      <c r="Y148" s="102">
        <f t="shared" si="182"/>
        <v>308</v>
      </c>
      <c r="Z148" s="109">
        <f t="shared" si="182"/>
        <v>82000</v>
      </c>
      <c r="AA148" s="109">
        <f t="shared" si="168"/>
        <v>48000</v>
      </c>
      <c r="AB148" s="109">
        <f t="shared" si="183"/>
        <v>34000</v>
      </c>
      <c r="AC148" s="4">
        <f t="shared" si="183"/>
        <v>0.58536585365853655</v>
      </c>
      <c r="AD148" s="105">
        <f t="shared" si="183"/>
        <v>2342.8571428571427</v>
      </c>
      <c r="AE148" s="75" t="str">
        <f t="shared" si="169"/>
        <v>계</v>
      </c>
      <c r="AF148" s="75" t="str">
        <f t="shared" si="170"/>
        <v>3/2</v>
      </c>
      <c r="AH148" s="20" t="str">
        <f t="shared" si="171"/>
        <v>중동 창원중동유니시티4단지</v>
      </c>
      <c r="AI148" s="106">
        <f t="shared" si="163"/>
        <v>35</v>
      </c>
      <c r="AJ148" s="75" t="str">
        <f t="shared" si="172"/>
        <v>A-</v>
      </c>
      <c r="AK148" s="75" t="s">
        <v>14</v>
      </c>
      <c r="AL148" s="75" t="s">
        <v>944</v>
      </c>
      <c r="AM148" s="75" t="s">
        <v>945</v>
      </c>
      <c r="AN148" s="75" t="str">
        <f t="shared" si="173"/>
        <v>C</v>
      </c>
      <c r="AO148" s="75" t="str">
        <f t="shared" si="174"/>
        <v>X</v>
      </c>
      <c r="AP148" s="75" t="str">
        <f t="shared" si="175"/>
        <v>X</v>
      </c>
      <c r="AQ148" s="75" t="str">
        <f t="shared" si="176"/>
        <v>X</v>
      </c>
      <c r="AR148" s="75" t="str">
        <f t="shared" si="177"/>
        <v>X</v>
      </c>
      <c r="AS148" s="75" t="s">
        <v>2</v>
      </c>
      <c r="AT148" s="75" t="str">
        <f t="shared" si="178"/>
        <v>O</v>
      </c>
      <c r="AU148" s="75" t="str">
        <f t="shared" si="179"/>
        <v>O</v>
      </c>
      <c r="AV148" s="75" t="str">
        <f t="shared" si="180"/>
        <v>X</v>
      </c>
    </row>
    <row r="149" spans="1:48" s="38" customFormat="1" ht="12" x14ac:dyDescent="0.3">
      <c r="A149" s="110" t="s">
        <v>1129</v>
      </c>
      <c r="B149" s="111" t="s">
        <v>1050</v>
      </c>
      <c r="C149" s="112">
        <v>1768</v>
      </c>
      <c r="D149" s="104">
        <v>135.6</v>
      </c>
      <c r="E149" s="106">
        <v>41</v>
      </c>
      <c r="F149" s="104">
        <v>100.3</v>
      </c>
      <c r="G149" s="17">
        <v>30</v>
      </c>
      <c r="H149" s="107">
        <v>372</v>
      </c>
      <c r="I149" s="108">
        <v>105000</v>
      </c>
      <c r="J149" s="108" t="s">
        <v>954</v>
      </c>
      <c r="K149" s="108">
        <v>55000</v>
      </c>
      <c r="L149" s="108" t="s">
        <v>992</v>
      </c>
      <c r="M149" s="109">
        <f t="shared" si="164"/>
        <v>50000</v>
      </c>
      <c r="N149" s="4">
        <f t="shared" si="165"/>
        <v>0.52380952380952384</v>
      </c>
      <c r="O149" s="105">
        <f t="shared" si="166"/>
        <v>2560.9756097560976</v>
      </c>
      <c r="P149" s="105">
        <f t="shared" si="167"/>
        <v>1341.4634146341464</v>
      </c>
      <c r="Q149" s="75">
        <v>3</v>
      </c>
      <c r="R149" s="75">
        <v>2</v>
      </c>
      <c r="S149" s="75" t="s">
        <v>947</v>
      </c>
      <c r="T149" s="5">
        <v>135</v>
      </c>
      <c r="U149" s="9"/>
      <c r="W149" s="104">
        <f t="shared" si="181"/>
        <v>135.6</v>
      </c>
      <c r="X149" s="106">
        <f t="shared" si="181"/>
        <v>41</v>
      </c>
      <c r="Y149" s="102">
        <f t="shared" si="182"/>
        <v>372</v>
      </c>
      <c r="Z149" s="109">
        <f t="shared" si="182"/>
        <v>105000</v>
      </c>
      <c r="AA149" s="109">
        <f t="shared" si="168"/>
        <v>55000</v>
      </c>
      <c r="AB149" s="109">
        <f t="shared" si="183"/>
        <v>50000</v>
      </c>
      <c r="AC149" s="4">
        <f t="shared" si="183"/>
        <v>0.52380952380952384</v>
      </c>
      <c r="AD149" s="105">
        <f t="shared" si="183"/>
        <v>2560.9756097560976</v>
      </c>
      <c r="AE149" s="75" t="str">
        <f t="shared" si="169"/>
        <v>계</v>
      </c>
      <c r="AF149" s="75" t="str">
        <f t="shared" si="170"/>
        <v>3/2</v>
      </c>
      <c r="AH149" s="20" t="str">
        <f t="shared" si="171"/>
        <v>중동 창원중동유니시티4단지</v>
      </c>
      <c r="AI149" s="106">
        <f t="shared" si="163"/>
        <v>41</v>
      </c>
      <c r="AJ149" s="75" t="str">
        <f t="shared" si="172"/>
        <v>A-</v>
      </c>
      <c r="AK149" s="75" t="s">
        <v>14</v>
      </c>
      <c r="AL149" s="75" t="s">
        <v>944</v>
      </c>
      <c r="AM149" s="75" t="s">
        <v>945</v>
      </c>
      <c r="AN149" s="75" t="str">
        <f t="shared" si="173"/>
        <v>C</v>
      </c>
      <c r="AO149" s="75" t="str">
        <f t="shared" si="174"/>
        <v>X</v>
      </c>
      <c r="AP149" s="75" t="str">
        <f t="shared" si="175"/>
        <v>X</v>
      </c>
      <c r="AQ149" s="75" t="str">
        <f t="shared" si="176"/>
        <v>X</v>
      </c>
      <c r="AR149" s="75" t="str">
        <f t="shared" si="177"/>
        <v>X</v>
      </c>
      <c r="AS149" s="75" t="s">
        <v>2</v>
      </c>
      <c r="AT149" s="75" t="str">
        <f t="shared" si="178"/>
        <v>X</v>
      </c>
      <c r="AU149" s="75" t="str">
        <f t="shared" si="179"/>
        <v>O</v>
      </c>
      <c r="AV149" s="75" t="str">
        <f t="shared" si="180"/>
        <v>X</v>
      </c>
    </row>
    <row r="150" spans="1:48" s="38" customFormat="1" ht="12" x14ac:dyDescent="0.3">
      <c r="A150" s="110" t="s">
        <v>1049</v>
      </c>
      <c r="B150" s="111" t="s">
        <v>1050</v>
      </c>
      <c r="C150" s="112">
        <v>1768</v>
      </c>
      <c r="D150" s="104">
        <v>158.80000000000001</v>
      </c>
      <c r="E150" s="106">
        <v>48</v>
      </c>
      <c r="F150" s="104">
        <v>117.9</v>
      </c>
      <c r="G150" s="17">
        <v>36</v>
      </c>
      <c r="H150" s="107">
        <v>112</v>
      </c>
      <c r="I150" s="108">
        <v>142000</v>
      </c>
      <c r="J150" s="108" t="s">
        <v>981</v>
      </c>
      <c r="K150" s="108">
        <v>80000</v>
      </c>
      <c r="L150" s="108" t="s">
        <v>993</v>
      </c>
      <c r="M150" s="109">
        <f t="shared" si="164"/>
        <v>62000</v>
      </c>
      <c r="N150" s="4">
        <f t="shared" si="165"/>
        <v>0.56338028169014087</v>
      </c>
      <c r="O150" s="105">
        <f t="shared" si="166"/>
        <v>2958.3333333333335</v>
      </c>
      <c r="P150" s="105">
        <f t="shared" si="167"/>
        <v>1666.6666666666667</v>
      </c>
      <c r="Q150" s="75">
        <v>4</v>
      </c>
      <c r="R150" s="75">
        <v>2</v>
      </c>
      <c r="S150" s="75" t="s">
        <v>947</v>
      </c>
      <c r="T150" s="5">
        <v>158</v>
      </c>
      <c r="U150" s="9"/>
      <c r="W150" s="104">
        <f t="shared" si="181"/>
        <v>158.80000000000001</v>
      </c>
      <c r="X150" s="106">
        <f t="shared" si="181"/>
        <v>48</v>
      </c>
      <c r="Y150" s="102">
        <f t="shared" si="182"/>
        <v>112</v>
      </c>
      <c r="Z150" s="109">
        <f t="shared" si="182"/>
        <v>142000</v>
      </c>
      <c r="AA150" s="109">
        <f t="shared" si="168"/>
        <v>80000</v>
      </c>
      <c r="AB150" s="109">
        <f t="shared" si="183"/>
        <v>62000</v>
      </c>
      <c r="AC150" s="4">
        <f t="shared" si="183"/>
        <v>0.56338028169014087</v>
      </c>
      <c r="AD150" s="105">
        <f t="shared" si="183"/>
        <v>2958.3333333333335</v>
      </c>
      <c r="AE150" s="75" t="str">
        <f t="shared" si="169"/>
        <v>계</v>
      </c>
      <c r="AF150" s="75" t="str">
        <f t="shared" si="170"/>
        <v>4/2</v>
      </c>
      <c r="AH150" s="20" t="str">
        <f t="shared" si="171"/>
        <v>중동 창원중동유니시티4단지</v>
      </c>
      <c r="AI150" s="106">
        <f t="shared" si="163"/>
        <v>48</v>
      </c>
      <c r="AJ150" s="75" t="str">
        <f t="shared" si="172"/>
        <v>A-</v>
      </c>
      <c r="AK150" s="75" t="s">
        <v>14</v>
      </c>
      <c r="AL150" s="75" t="s">
        <v>944</v>
      </c>
      <c r="AM150" s="75" t="s">
        <v>945</v>
      </c>
      <c r="AN150" s="75" t="str">
        <f t="shared" si="173"/>
        <v>C</v>
      </c>
      <c r="AO150" s="75" t="str">
        <f t="shared" si="174"/>
        <v>X</v>
      </c>
      <c r="AP150" s="75" t="str">
        <f t="shared" si="175"/>
        <v>X</v>
      </c>
      <c r="AQ150" s="75" t="str">
        <f t="shared" si="176"/>
        <v>X</v>
      </c>
      <c r="AR150" s="75" t="str">
        <f t="shared" si="177"/>
        <v>X</v>
      </c>
      <c r="AS150" s="75" t="s">
        <v>2</v>
      </c>
      <c r="AT150" s="75" t="str">
        <f t="shared" si="178"/>
        <v>X</v>
      </c>
      <c r="AU150" s="75" t="str">
        <f t="shared" si="179"/>
        <v>O</v>
      </c>
      <c r="AV150" s="75" t="str">
        <f t="shared" si="180"/>
        <v>X</v>
      </c>
    </row>
    <row r="151" spans="1:48" s="38" customFormat="1" ht="12" x14ac:dyDescent="0.3">
      <c r="A151" s="110" t="s">
        <v>1049</v>
      </c>
      <c r="B151" s="111" t="s">
        <v>1050</v>
      </c>
      <c r="C151" s="112">
        <v>1768</v>
      </c>
      <c r="D151" s="104">
        <v>185.3</v>
      </c>
      <c r="E151" s="106">
        <v>56</v>
      </c>
      <c r="F151" s="104">
        <v>137.9</v>
      </c>
      <c r="G151" s="17">
        <v>42</v>
      </c>
      <c r="H151" s="107">
        <v>41</v>
      </c>
      <c r="I151" s="108">
        <v>230000</v>
      </c>
      <c r="J151" s="108" t="s">
        <v>954</v>
      </c>
      <c r="K151" s="108"/>
      <c r="L151" s="108"/>
      <c r="M151" s="109">
        <f t="shared" si="164"/>
        <v>230000</v>
      </c>
      <c r="N151" s="4">
        <f t="shared" si="165"/>
        <v>0</v>
      </c>
      <c r="O151" s="105">
        <f t="shared" si="166"/>
        <v>4107.1428571428569</v>
      </c>
      <c r="P151" s="105">
        <f t="shared" si="167"/>
        <v>0</v>
      </c>
      <c r="Q151" s="75">
        <v>4</v>
      </c>
      <c r="R151" s="75">
        <v>2</v>
      </c>
      <c r="S151" s="75" t="s">
        <v>947</v>
      </c>
      <c r="T151" s="5" t="s">
        <v>867</v>
      </c>
      <c r="U151" s="9"/>
      <c r="W151" s="104">
        <f t="shared" si="181"/>
        <v>185.3</v>
      </c>
      <c r="X151" s="106">
        <f t="shared" si="181"/>
        <v>56</v>
      </c>
      <c r="Y151" s="102">
        <f t="shared" si="182"/>
        <v>41</v>
      </c>
      <c r="Z151" s="109">
        <f t="shared" si="182"/>
        <v>230000</v>
      </c>
      <c r="AA151" s="109">
        <f t="shared" si="168"/>
        <v>0</v>
      </c>
      <c r="AB151" s="109">
        <f t="shared" si="183"/>
        <v>230000</v>
      </c>
      <c r="AC151" s="4">
        <f t="shared" si="183"/>
        <v>0</v>
      </c>
      <c r="AD151" s="105">
        <f t="shared" si="183"/>
        <v>4107.1428571428569</v>
      </c>
      <c r="AE151" s="75" t="str">
        <f t="shared" si="169"/>
        <v>계</v>
      </c>
      <c r="AF151" s="75" t="str">
        <f t="shared" si="170"/>
        <v>4/2</v>
      </c>
      <c r="AH151" s="20" t="str">
        <f t="shared" si="171"/>
        <v>중동 창원중동유니시티4단지</v>
      </c>
      <c r="AI151" s="106">
        <f t="shared" si="163"/>
        <v>56</v>
      </c>
      <c r="AJ151" s="75" t="str">
        <f t="shared" si="172"/>
        <v>A-</v>
      </c>
      <c r="AK151" s="75" t="s">
        <v>14</v>
      </c>
      <c r="AL151" s="75" t="s">
        <v>944</v>
      </c>
      <c r="AM151" s="75" t="s">
        <v>945</v>
      </c>
      <c r="AN151" s="75" t="str">
        <f t="shared" si="173"/>
        <v>C</v>
      </c>
      <c r="AO151" s="75" t="str">
        <f t="shared" si="174"/>
        <v>X</v>
      </c>
      <c r="AP151" s="75" t="str">
        <f t="shared" si="175"/>
        <v>X</v>
      </c>
      <c r="AQ151" s="75" t="str">
        <f t="shared" si="176"/>
        <v>X</v>
      </c>
      <c r="AR151" s="75" t="str">
        <f t="shared" si="177"/>
        <v>X</v>
      </c>
      <c r="AS151" s="75" t="s">
        <v>2</v>
      </c>
      <c r="AT151" s="75" t="str">
        <f t="shared" si="178"/>
        <v>X</v>
      </c>
      <c r="AU151" s="75" t="str">
        <f t="shared" si="179"/>
        <v>O</v>
      </c>
      <c r="AV151" s="75" t="str">
        <f t="shared" si="180"/>
        <v>X</v>
      </c>
    </row>
    <row r="152" spans="1:48" s="38" customFormat="1" ht="12" x14ac:dyDescent="0.3">
      <c r="A152" s="110" t="s">
        <v>1049</v>
      </c>
      <c r="B152" s="111" t="s">
        <v>1050</v>
      </c>
      <c r="C152" s="112">
        <v>1768</v>
      </c>
      <c r="D152" s="104">
        <v>185.6</v>
      </c>
      <c r="E152" s="106">
        <v>56</v>
      </c>
      <c r="F152" s="104">
        <v>137.19999999999999</v>
      </c>
      <c r="G152" s="17">
        <v>41</v>
      </c>
      <c r="H152" s="107">
        <v>41</v>
      </c>
      <c r="I152" s="108">
        <v>200000</v>
      </c>
      <c r="J152" s="108" t="s">
        <v>954</v>
      </c>
      <c r="K152" s="108">
        <v>100000</v>
      </c>
      <c r="L152" s="108" t="s">
        <v>954</v>
      </c>
      <c r="M152" s="109">
        <f t="shared" si="164"/>
        <v>100000</v>
      </c>
      <c r="N152" s="4">
        <f t="shared" si="165"/>
        <v>0.5</v>
      </c>
      <c r="O152" s="105">
        <f t="shared" si="166"/>
        <v>3571.4285714285716</v>
      </c>
      <c r="P152" s="105">
        <f t="shared" si="167"/>
        <v>1785.7142857142858</v>
      </c>
      <c r="Q152" s="75">
        <v>4</v>
      </c>
      <c r="R152" s="75">
        <v>2</v>
      </c>
      <c r="S152" s="75" t="s">
        <v>947</v>
      </c>
      <c r="T152" s="5" t="s">
        <v>874</v>
      </c>
      <c r="U152" s="9"/>
      <c r="W152" s="104">
        <f t="shared" si="181"/>
        <v>185.6</v>
      </c>
      <c r="X152" s="106">
        <f t="shared" si="181"/>
        <v>56</v>
      </c>
      <c r="Y152" s="102">
        <f t="shared" si="182"/>
        <v>41</v>
      </c>
      <c r="Z152" s="109">
        <f t="shared" si="182"/>
        <v>200000</v>
      </c>
      <c r="AA152" s="109">
        <f t="shared" si="168"/>
        <v>100000</v>
      </c>
      <c r="AB152" s="109">
        <f t="shared" si="183"/>
        <v>100000</v>
      </c>
      <c r="AC152" s="4">
        <f t="shared" si="183"/>
        <v>0.5</v>
      </c>
      <c r="AD152" s="105">
        <f t="shared" si="183"/>
        <v>3571.4285714285716</v>
      </c>
      <c r="AE152" s="75" t="str">
        <f t="shared" si="169"/>
        <v>계</v>
      </c>
      <c r="AF152" s="75" t="str">
        <f t="shared" si="170"/>
        <v>4/2</v>
      </c>
      <c r="AH152" s="20" t="str">
        <f t="shared" si="171"/>
        <v>중동 창원중동유니시티4단지</v>
      </c>
      <c r="AI152" s="106">
        <f t="shared" si="163"/>
        <v>56</v>
      </c>
      <c r="AJ152" s="75" t="str">
        <f t="shared" si="172"/>
        <v>A-</v>
      </c>
      <c r="AK152" s="75" t="s">
        <v>14</v>
      </c>
      <c r="AL152" s="75" t="s">
        <v>944</v>
      </c>
      <c r="AM152" s="75" t="s">
        <v>945</v>
      </c>
      <c r="AN152" s="75" t="str">
        <f t="shared" si="173"/>
        <v>C</v>
      </c>
      <c r="AO152" s="75" t="str">
        <f t="shared" si="174"/>
        <v>X</v>
      </c>
      <c r="AP152" s="75" t="str">
        <f t="shared" si="175"/>
        <v>X</v>
      </c>
      <c r="AQ152" s="75" t="str">
        <f t="shared" si="176"/>
        <v>X</v>
      </c>
      <c r="AR152" s="75" t="str">
        <f t="shared" si="177"/>
        <v>X</v>
      </c>
      <c r="AS152" s="75" t="s">
        <v>2</v>
      </c>
      <c r="AT152" s="75" t="str">
        <f t="shared" si="178"/>
        <v>X</v>
      </c>
      <c r="AU152" s="75" t="str">
        <f t="shared" si="179"/>
        <v>O</v>
      </c>
      <c r="AV152" s="75" t="str">
        <f t="shared" si="180"/>
        <v>X</v>
      </c>
    </row>
    <row r="153" spans="1:48" s="38" customFormat="1" ht="12" x14ac:dyDescent="0.3">
      <c r="A153" s="110" t="s">
        <v>1051</v>
      </c>
      <c r="B153" s="111" t="s">
        <v>1130</v>
      </c>
      <c r="C153" s="112">
        <v>1465</v>
      </c>
      <c r="D153" s="104">
        <v>84</v>
      </c>
      <c r="E153" s="106">
        <v>25</v>
      </c>
      <c r="F153" s="104">
        <v>60</v>
      </c>
      <c r="G153" s="17">
        <v>18</v>
      </c>
      <c r="H153" s="107">
        <v>160</v>
      </c>
      <c r="I153" s="108">
        <v>62000</v>
      </c>
      <c r="J153" s="108" t="s">
        <v>954</v>
      </c>
      <c r="K153" s="108">
        <v>40000</v>
      </c>
      <c r="L153" s="108" t="s">
        <v>989</v>
      </c>
      <c r="M153" s="109">
        <f t="shared" ref="M153:M180" si="184">I153-K153</f>
        <v>22000</v>
      </c>
      <c r="N153" s="4">
        <f t="shared" ref="N153:N180" si="185">IF(ISERROR(K153/I153),"",K153/I153)</f>
        <v>0.64516129032258063</v>
      </c>
      <c r="O153" s="105">
        <f t="shared" ref="O153:O180" si="186">I153/E153</f>
        <v>2480</v>
      </c>
      <c r="P153" s="105">
        <f t="shared" ref="P153:P180" si="187">K153/E153</f>
        <v>1600</v>
      </c>
      <c r="Q153" s="75">
        <v>3</v>
      </c>
      <c r="R153" s="75">
        <v>2</v>
      </c>
      <c r="S153" s="75" t="s">
        <v>947</v>
      </c>
      <c r="T153" s="5">
        <v>84</v>
      </c>
      <c r="U153" s="9"/>
      <c r="W153" s="104">
        <f t="shared" si="181"/>
        <v>84</v>
      </c>
      <c r="X153" s="106">
        <f t="shared" si="181"/>
        <v>25</v>
      </c>
      <c r="Y153" s="102">
        <f t="shared" si="182"/>
        <v>160</v>
      </c>
      <c r="Z153" s="109">
        <f t="shared" si="182"/>
        <v>62000</v>
      </c>
      <c r="AA153" s="109">
        <f t="shared" ref="AA153:AA180" si="188">K153</f>
        <v>40000</v>
      </c>
      <c r="AB153" s="109">
        <f t="shared" si="183"/>
        <v>22000</v>
      </c>
      <c r="AC153" s="4">
        <f t="shared" si="183"/>
        <v>0.64516129032258063</v>
      </c>
      <c r="AD153" s="105">
        <f t="shared" si="183"/>
        <v>2480</v>
      </c>
      <c r="AE153" s="75" t="str">
        <f t="shared" ref="AE153:AE180" si="189">S153</f>
        <v>계</v>
      </c>
      <c r="AF153" s="75" t="str">
        <f t="shared" ref="AF153:AF180" si="190">Q153&amp;"/"&amp;R153</f>
        <v>3/2</v>
      </c>
      <c r="AH153" s="20" t="str">
        <f t="shared" si="171"/>
        <v>중동 창원중동유니시티3단지</v>
      </c>
      <c r="AI153" s="106">
        <f t="shared" si="163"/>
        <v>25</v>
      </c>
      <c r="AJ153" s="75" t="str">
        <f t="shared" ref="AJ153:AJ180" si="191">IF(AI153="","",$AJ$2)</f>
        <v>A-</v>
      </c>
      <c r="AK153" s="75" t="s">
        <v>14</v>
      </c>
      <c r="AL153" s="75" t="s">
        <v>944</v>
      </c>
      <c r="AM153" s="75" t="s">
        <v>945</v>
      </c>
      <c r="AN153" s="75" t="str">
        <f t="shared" ref="AN153:AN180" si="192">IF(AI153="","",$AN$2)</f>
        <v>C</v>
      </c>
      <c r="AO153" s="75" t="str">
        <f t="shared" ref="AO153:AO180" si="193">IF(N153="","",IF(N153&gt;=$AO$1/100,"O","X"))</f>
        <v>X</v>
      </c>
      <c r="AP153" s="75" t="str">
        <f t="shared" ref="AP153:AP180" si="194">IF(I153="","",IF(I153&lt;=$AP$1,"O","X"))</f>
        <v>X</v>
      </c>
      <c r="AQ153" s="75" t="str">
        <f t="shared" ref="AQ153:AQ180" si="195">IF(O153="","",IF(O153&lt;=$AQ$1,"O","X"))</f>
        <v>X</v>
      </c>
      <c r="AR153" s="75" t="str">
        <f t="shared" ref="AR153:AR180" si="196">IF(M153="","",IF(M153&lt;=$AR$1,"O","X"))</f>
        <v>X</v>
      </c>
      <c r="AS153" s="75" t="s">
        <v>2</v>
      </c>
      <c r="AT153" s="75" t="str">
        <f t="shared" ref="AT153:AT180" si="197">IF(OR(F153="",AI153=""),"",IF(AND((F153&lt;=85),(AI153&gt;=15)),"O","X"))</f>
        <v>O</v>
      </c>
      <c r="AU153" s="75" t="str">
        <f t="shared" ref="AU153:AU180" si="198">IF(C153="","",IF(C153&gt;=$AU$1,"O","X"))</f>
        <v>O</v>
      </c>
      <c r="AV153" s="75" t="str">
        <f t="shared" ref="AV153:AV180" si="199">IF(AO153="","",IF(AND(AO153="O",AP153="O",AR153="O",AT153="O",AU153="O"),"후보","X"))</f>
        <v>X</v>
      </c>
    </row>
    <row r="154" spans="1:48" s="38" customFormat="1" ht="12" x14ac:dyDescent="0.3">
      <c r="A154" s="110" t="s">
        <v>1131</v>
      </c>
      <c r="B154" s="111" t="s">
        <v>1050</v>
      </c>
      <c r="C154" s="112">
        <v>1465</v>
      </c>
      <c r="D154" s="104">
        <v>100.9</v>
      </c>
      <c r="E154" s="106">
        <v>31</v>
      </c>
      <c r="F154" s="104">
        <v>72.900000000000006</v>
      </c>
      <c r="G154" s="17">
        <v>22</v>
      </c>
      <c r="H154" s="107">
        <v>50</v>
      </c>
      <c r="I154" s="108">
        <v>75000</v>
      </c>
      <c r="J154" s="108" t="s">
        <v>954</v>
      </c>
      <c r="K154" s="108">
        <v>45000</v>
      </c>
      <c r="L154" s="108" t="s">
        <v>994</v>
      </c>
      <c r="M154" s="109">
        <f t="shared" si="184"/>
        <v>30000</v>
      </c>
      <c r="N154" s="4">
        <f t="shared" si="185"/>
        <v>0.6</v>
      </c>
      <c r="O154" s="105">
        <f t="shared" si="186"/>
        <v>2419.3548387096776</v>
      </c>
      <c r="P154" s="105">
        <f t="shared" si="187"/>
        <v>1451.6129032258063</v>
      </c>
      <c r="Q154" s="75">
        <v>3</v>
      </c>
      <c r="R154" s="75">
        <v>2</v>
      </c>
      <c r="S154" s="75" t="s">
        <v>947</v>
      </c>
      <c r="T154" s="5">
        <v>100</v>
      </c>
      <c r="U154" s="9"/>
      <c r="W154" s="104">
        <f t="shared" si="181"/>
        <v>100.9</v>
      </c>
      <c r="X154" s="106">
        <f t="shared" si="181"/>
        <v>31</v>
      </c>
      <c r="Y154" s="102">
        <f t="shared" si="182"/>
        <v>50</v>
      </c>
      <c r="Z154" s="109">
        <f t="shared" si="182"/>
        <v>75000</v>
      </c>
      <c r="AA154" s="109">
        <f t="shared" si="188"/>
        <v>45000</v>
      </c>
      <c r="AB154" s="109">
        <f t="shared" si="183"/>
        <v>30000</v>
      </c>
      <c r="AC154" s="4">
        <f t="shared" si="183"/>
        <v>0.6</v>
      </c>
      <c r="AD154" s="105">
        <f t="shared" si="183"/>
        <v>2419.3548387096776</v>
      </c>
      <c r="AE154" s="75" t="str">
        <f t="shared" si="189"/>
        <v>계</v>
      </c>
      <c r="AF154" s="75" t="str">
        <f t="shared" si="190"/>
        <v>3/2</v>
      </c>
      <c r="AH154" s="20" t="str">
        <f t="shared" si="171"/>
        <v>중동 창원중동유니시티3단지</v>
      </c>
      <c r="AI154" s="106">
        <f t="shared" si="163"/>
        <v>31</v>
      </c>
      <c r="AJ154" s="75" t="str">
        <f t="shared" si="191"/>
        <v>A-</v>
      </c>
      <c r="AK154" s="75" t="s">
        <v>14</v>
      </c>
      <c r="AL154" s="75" t="s">
        <v>944</v>
      </c>
      <c r="AM154" s="75" t="s">
        <v>945</v>
      </c>
      <c r="AN154" s="75" t="str">
        <f t="shared" si="192"/>
        <v>C</v>
      </c>
      <c r="AO154" s="75" t="str">
        <f t="shared" si="193"/>
        <v>X</v>
      </c>
      <c r="AP154" s="75" t="str">
        <f t="shared" si="194"/>
        <v>X</v>
      </c>
      <c r="AQ154" s="75" t="str">
        <f t="shared" si="195"/>
        <v>X</v>
      </c>
      <c r="AR154" s="75" t="str">
        <f t="shared" si="196"/>
        <v>X</v>
      </c>
      <c r="AS154" s="75" t="s">
        <v>2</v>
      </c>
      <c r="AT154" s="75" t="str">
        <f t="shared" si="197"/>
        <v>O</v>
      </c>
      <c r="AU154" s="75" t="str">
        <f t="shared" si="198"/>
        <v>O</v>
      </c>
      <c r="AV154" s="75" t="str">
        <f t="shared" si="199"/>
        <v>X</v>
      </c>
    </row>
    <row r="155" spans="1:48" s="38" customFormat="1" ht="12" x14ac:dyDescent="0.3">
      <c r="A155" s="110" t="s">
        <v>1051</v>
      </c>
      <c r="B155" s="111" t="s">
        <v>1050</v>
      </c>
      <c r="C155" s="112">
        <v>1465</v>
      </c>
      <c r="D155" s="104">
        <v>117.6</v>
      </c>
      <c r="E155" s="106">
        <v>36</v>
      </c>
      <c r="F155" s="104">
        <v>84.7</v>
      </c>
      <c r="G155" s="17">
        <v>26</v>
      </c>
      <c r="H155" s="107">
        <v>658</v>
      </c>
      <c r="I155" s="108">
        <v>85000</v>
      </c>
      <c r="J155" s="108" t="s">
        <v>957</v>
      </c>
      <c r="K155" s="108">
        <v>48000</v>
      </c>
      <c r="L155" s="108" t="s">
        <v>957</v>
      </c>
      <c r="M155" s="109">
        <f t="shared" si="184"/>
        <v>37000</v>
      </c>
      <c r="N155" s="4">
        <f t="shared" si="185"/>
        <v>0.56470588235294117</v>
      </c>
      <c r="O155" s="105">
        <f t="shared" si="186"/>
        <v>2361.1111111111113</v>
      </c>
      <c r="P155" s="105">
        <f t="shared" si="187"/>
        <v>1333.3333333333333</v>
      </c>
      <c r="Q155" s="75">
        <v>3</v>
      </c>
      <c r="R155" s="75">
        <v>2</v>
      </c>
      <c r="S155" s="75" t="s">
        <v>947</v>
      </c>
      <c r="T155" s="5" t="s">
        <v>866</v>
      </c>
      <c r="U155" s="9"/>
      <c r="W155" s="104">
        <f t="shared" si="181"/>
        <v>117.6</v>
      </c>
      <c r="X155" s="106">
        <f t="shared" si="181"/>
        <v>36</v>
      </c>
      <c r="Y155" s="102">
        <f t="shared" si="182"/>
        <v>658</v>
      </c>
      <c r="Z155" s="109">
        <f t="shared" si="182"/>
        <v>85000</v>
      </c>
      <c r="AA155" s="109">
        <f t="shared" si="188"/>
        <v>48000</v>
      </c>
      <c r="AB155" s="109">
        <f t="shared" si="183"/>
        <v>37000</v>
      </c>
      <c r="AC155" s="4">
        <f t="shared" si="183"/>
        <v>0.56470588235294117</v>
      </c>
      <c r="AD155" s="105">
        <f t="shared" si="183"/>
        <v>2361.1111111111113</v>
      </c>
      <c r="AE155" s="75" t="str">
        <f t="shared" si="189"/>
        <v>계</v>
      </c>
      <c r="AF155" s="75" t="str">
        <f t="shared" si="190"/>
        <v>3/2</v>
      </c>
      <c r="AH155" s="20" t="str">
        <f t="shared" si="171"/>
        <v>중동 창원중동유니시티3단지</v>
      </c>
      <c r="AI155" s="106">
        <f t="shared" si="163"/>
        <v>36</v>
      </c>
      <c r="AJ155" s="75" t="str">
        <f t="shared" si="191"/>
        <v>A-</v>
      </c>
      <c r="AK155" s="75" t="s">
        <v>14</v>
      </c>
      <c r="AL155" s="75" t="s">
        <v>944</v>
      </c>
      <c r="AM155" s="75" t="s">
        <v>945</v>
      </c>
      <c r="AN155" s="75" t="str">
        <f t="shared" si="192"/>
        <v>C</v>
      </c>
      <c r="AO155" s="75" t="str">
        <f t="shared" si="193"/>
        <v>X</v>
      </c>
      <c r="AP155" s="75" t="str">
        <f t="shared" si="194"/>
        <v>X</v>
      </c>
      <c r="AQ155" s="75" t="str">
        <f t="shared" si="195"/>
        <v>X</v>
      </c>
      <c r="AR155" s="75" t="str">
        <f t="shared" si="196"/>
        <v>X</v>
      </c>
      <c r="AS155" s="75" t="s">
        <v>2</v>
      </c>
      <c r="AT155" s="75" t="str">
        <f t="shared" si="197"/>
        <v>O</v>
      </c>
      <c r="AU155" s="75" t="str">
        <f t="shared" si="198"/>
        <v>O</v>
      </c>
      <c r="AV155" s="75" t="str">
        <f t="shared" si="199"/>
        <v>X</v>
      </c>
    </row>
    <row r="156" spans="1:48" s="38" customFormat="1" ht="12" x14ac:dyDescent="0.3">
      <c r="A156" s="110" t="s">
        <v>1132</v>
      </c>
      <c r="B156" s="111" t="s">
        <v>1050</v>
      </c>
      <c r="C156" s="112">
        <v>1465</v>
      </c>
      <c r="D156" s="104">
        <v>117.9</v>
      </c>
      <c r="E156" s="106">
        <v>36</v>
      </c>
      <c r="F156" s="104">
        <v>84.8</v>
      </c>
      <c r="G156" s="17">
        <v>26</v>
      </c>
      <c r="H156" s="107">
        <v>273</v>
      </c>
      <c r="I156" s="108">
        <v>85000</v>
      </c>
      <c r="J156" s="108" t="s">
        <v>957</v>
      </c>
      <c r="K156" s="108">
        <v>50000</v>
      </c>
      <c r="L156" s="108" t="s">
        <v>995</v>
      </c>
      <c r="M156" s="109">
        <f t="shared" si="184"/>
        <v>35000</v>
      </c>
      <c r="N156" s="4">
        <f t="shared" si="185"/>
        <v>0.58823529411764708</v>
      </c>
      <c r="O156" s="105">
        <f t="shared" si="186"/>
        <v>2361.1111111111113</v>
      </c>
      <c r="P156" s="105">
        <f t="shared" si="187"/>
        <v>1388.8888888888889</v>
      </c>
      <c r="Q156" s="75">
        <v>3</v>
      </c>
      <c r="R156" s="75">
        <v>2</v>
      </c>
      <c r="S156" s="75" t="s">
        <v>947</v>
      </c>
      <c r="T156" s="5" t="s">
        <v>879</v>
      </c>
      <c r="U156" s="9"/>
      <c r="W156" s="104">
        <f t="shared" si="181"/>
        <v>117.9</v>
      </c>
      <c r="X156" s="106">
        <f t="shared" si="181"/>
        <v>36</v>
      </c>
      <c r="Y156" s="102">
        <f t="shared" si="182"/>
        <v>273</v>
      </c>
      <c r="Z156" s="109">
        <f t="shared" si="182"/>
        <v>85000</v>
      </c>
      <c r="AA156" s="109">
        <f t="shared" si="188"/>
        <v>50000</v>
      </c>
      <c r="AB156" s="109">
        <f t="shared" si="183"/>
        <v>35000</v>
      </c>
      <c r="AC156" s="4">
        <f t="shared" si="183"/>
        <v>0.58823529411764708</v>
      </c>
      <c r="AD156" s="105">
        <f t="shared" si="183"/>
        <v>2361.1111111111113</v>
      </c>
      <c r="AE156" s="75" t="str">
        <f t="shared" si="189"/>
        <v>계</v>
      </c>
      <c r="AF156" s="75" t="str">
        <f t="shared" si="190"/>
        <v>3/2</v>
      </c>
      <c r="AH156" s="20" t="str">
        <f t="shared" si="171"/>
        <v>중동 창원중동유니시티3단지</v>
      </c>
      <c r="AI156" s="106">
        <f t="shared" si="163"/>
        <v>36</v>
      </c>
      <c r="AJ156" s="75" t="str">
        <f t="shared" si="191"/>
        <v>A-</v>
      </c>
      <c r="AK156" s="75" t="s">
        <v>14</v>
      </c>
      <c r="AL156" s="75" t="s">
        <v>944</v>
      </c>
      <c r="AM156" s="75" t="s">
        <v>945</v>
      </c>
      <c r="AN156" s="75" t="str">
        <f t="shared" si="192"/>
        <v>C</v>
      </c>
      <c r="AO156" s="75" t="str">
        <f t="shared" si="193"/>
        <v>X</v>
      </c>
      <c r="AP156" s="75" t="str">
        <f t="shared" si="194"/>
        <v>X</v>
      </c>
      <c r="AQ156" s="75" t="str">
        <f t="shared" si="195"/>
        <v>X</v>
      </c>
      <c r="AR156" s="75" t="str">
        <f t="shared" si="196"/>
        <v>X</v>
      </c>
      <c r="AS156" s="75" t="s">
        <v>2</v>
      </c>
      <c r="AT156" s="75" t="str">
        <f t="shared" si="197"/>
        <v>O</v>
      </c>
      <c r="AU156" s="75" t="str">
        <f t="shared" si="198"/>
        <v>O</v>
      </c>
      <c r="AV156" s="75" t="str">
        <f t="shared" si="199"/>
        <v>X</v>
      </c>
    </row>
    <row r="157" spans="1:48" s="38" customFormat="1" ht="12" x14ac:dyDescent="0.3">
      <c r="A157" s="110" t="s">
        <v>1051</v>
      </c>
      <c r="B157" s="111" t="s">
        <v>1050</v>
      </c>
      <c r="C157" s="112">
        <v>1465</v>
      </c>
      <c r="D157" s="104">
        <v>137.9</v>
      </c>
      <c r="E157" s="106">
        <v>42</v>
      </c>
      <c r="F157" s="104">
        <v>100.3</v>
      </c>
      <c r="G157" s="17">
        <v>30</v>
      </c>
      <c r="H157" s="107">
        <v>324</v>
      </c>
      <c r="I157" s="108">
        <v>110000</v>
      </c>
      <c r="J157" s="108" t="s">
        <v>954</v>
      </c>
      <c r="K157" s="108"/>
      <c r="L157" s="108"/>
      <c r="M157" s="109">
        <f t="shared" si="184"/>
        <v>110000</v>
      </c>
      <c r="N157" s="4">
        <f t="shared" si="185"/>
        <v>0</v>
      </c>
      <c r="O157" s="105">
        <f t="shared" si="186"/>
        <v>2619.0476190476193</v>
      </c>
      <c r="P157" s="105">
        <f t="shared" si="187"/>
        <v>0</v>
      </c>
      <c r="Q157" s="75">
        <v>3</v>
      </c>
      <c r="R157" s="75">
        <v>2</v>
      </c>
      <c r="S157" s="75" t="s">
        <v>947</v>
      </c>
      <c r="T157" s="5">
        <v>137</v>
      </c>
      <c r="U157" s="9"/>
      <c r="W157" s="104">
        <f t="shared" ref="W157:X162" si="200">D157</f>
        <v>137.9</v>
      </c>
      <c r="X157" s="106">
        <f t="shared" si="200"/>
        <v>42</v>
      </c>
      <c r="Y157" s="102">
        <f t="shared" ref="Y157:Z162" si="201">H157</f>
        <v>324</v>
      </c>
      <c r="Z157" s="109">
        <f t="shared" si="201"/>
        <v>110000</v>
      </c>
      <c r="AA157" s="109">
        <f t="shared" si="188"/>
        <v>0</v>
      </c>
      <c r="AB157" s="109">
        <f t="shared" si="183"/>
        <v>110000</v>
      </c>
      <c r="AC157" s="4">
        <f t="shared" si="183"/>
        <v>0</v>
      </c>
      <c r="AD157" s="105">
        <f t="shared" si="183"/>
        <v>2619.0476190476193</v>
      </c>
      <c r="AE157" s="75" t="str">
        <f t="shared" si="189"/>
        <v>계</v>
      </c>
      <c r="AF157" s="75" t="str">
        <f t="shared" si="190"/>
        <v>3/2</v>
      </c>
      <c r="AH157" s="20" t="str">
        <f t="shared" si="171"/>
        <v>중동 창원중동유니시티3단지</v>
      </c>
      <c r="AI157" s="106">
        <f t="shared" si="163"/>
        <v>42</v>
      </c>
      <c r="AJ157" s="75" t="str">
        <f t="shared" si="191"/>
        <v>A-</v>
      </c>
      <c r="AK157" s="75" t="s">
        <v>14</v>
      </c>
      <c r="AL157" s="75" t="s">
        <v>944</v>
      </c>
      <c r="AM157" s="75" t="s">
        <v>945</v>
      </c>
      <c r="AN157" s="75" t="str">
        <f t="shared" si="192"/>
        <v>C</v>
      </c>
      <c r="AO157" s="75" t="str">
        <f t="shared" si="193"/>
        <v>X</v>
      </c>
      <c r="AP157" s="75" t="str">
        <f t="shared" si="194"/>
        <v>X</v>
      </c>
      <c r="AQ157" s="75" t="str">
        <f t="shared" si="195"/>
        <v>X</v>
      </c>
      <c r="AR157" s="75" t="str">
        <f t="shared" si="196"/>
        <v>X</v>
      </c>
      <c r="AS157" s="75" t="s">
        <v>2</v>
      </c>
      <c r="AT157" s="75" t="str">
        <f t="shared" si="197"/>
        <v>X</v>
      </c>
      <c r="AU157" s="75" t="str">
        <f t="shared" si="198"/>
        <v>O</v>
      </c>
      <c r="AV157" s="75" t="str">
        <f t="shared" si="199"/>
        <v>X</v>
      </c>
    </row>
    <row r="158" spans="1:48" s="38" customFormat="1" ht="12" x14ac:dyDescent="0.3">
      <c r="A158" s="110" t="s">
        <v>1052</v>
      </c>
      <c r="B158" s="111" t="s">
        <v>1048</v>
      </c>
      <c r="C158" s="112">
        <v>1064</v>
      </c>
      <c r="D158" s="104">
        <v>85.1</v>
      </c>
      <c r="E158" s="106">
        <v>26</v>
      </c>
      <c r="F158" s="104">
        <v>60</v>
      </c>
      <c r="G158" s="17">
        <v>18</v>
      </c>
      <c r="H158" s="107">
        <v>60</v>
      </c>
      <c r="I158" s="108">
        <v>61500</v>
      </c>
      <c r="J158" s="108" t="s">
        <v>968</v>
      </c>
      <c r="K158" s="108">
        <v>43000</v>
      </c>
      <c r="L158" s="108" t="s">
        <v>988</v>
      </c>
      <c r="M158" s="109">
        <f t="shared" si="184"/>
        <v>18500</v>
      </c>
      <c r="N158" s="4">
        <f t="shared" si="185"/>
        <v>0.69918699186991873</v>
      </c>
      <c r="O158" s="105">
        <f t="shared" si="186"/>
        <v>2365.3846153846152</v>
      </c>
      <c r="P158" s="105">
        <f t="shared" si="187"/>
        <v>1653.8461538461538</v>
      </c>
      <c r="Q158" s="75">
        <v>3</v>
      </c>
      <c r="R158" s="75">
        <v>2</v>
      </c>
      <c r="S158" s="75" t="s">
        <v>947</v>
      </c>
      <c r="T158" s="5">
        <v>85</v>
      </c>
      <c r="U158" s="9"/>
      <c r="W158" s="104">
        <f t="shared" si="200"/>
        <v>85.1</v>
      </c>
      <c r="X158" s="106">
        <f t="shared" si="200"/>
        <v>26</v>
      </c>
      <c r="Y158" s="102">
        <f t="shared" si="201"/>
        <v>60</v>
      </c>
      <c r="Z158" s="109">
        <f t="shared" si="201"/>
        <v>61500</v>
      </c>
      <c r="AA158" s="109">
        <f t="shared" si="188"/>
        <v>43000</v>
      </c>
      <c r="AB158" s="109">
        <f t="shared" si="183"/>
        <v>18500</v>
      </c>
      <c r="AC158" s="4">
        <f t="shared" si="183"/>
        <v>0.69918699186991873</v>
      </c>
      <c r="AD158" s="105">
        <f t="shared" si="183"/>
        <v>2365.3846153846152</v>
      </c>
      <c r="AE158" s="75" t="str">
        <f t="shared" si="189"/>
        <v>계</v>
      </c>
      <c r="AF158" s="75" t="str">
        <f t="shared" si="190"/>
        <v>3/2</v>
      </c>
      <c r="AH158" s="20" t="str">
        <f t="shared" si="171"/>
        <v>중동 창원중동유니시티2단지</v>
      </c>
      <c r="AI158" s="106">
        <f t="shared" si="163"/>
        <v>26</v>
      </c>
      <c r="AJ158" s="75" t="str">
        <f t="shared" si="191"/>
        <v>A-</v>
      </c>
      <c r="AK158" s="75" t="s">
        <v>14</v>
      </c>
      <c r="AL158" s="75" t="s">
        <v>944</v>
      </c>
      <c r="AM158" s="75" t="s">
        <v>945</v>
      </c>
      <c r="AN158" s="75" t="str">
        <f t="shared" si="192"/>
        <v>C</v>
      </c>
      <c r="AO158" s="75" t="str">
        <f t="shared" si="193"/>
        <v>X</v>
      </c>
      <c r="AP158" s="75" t="str">
        <f t="shared" si="194"/>
        <v>X</v>
      </c>
      <c r="AQ158" s="75" t="str">
        <f t="shared" si="195"/>
        <v>X</v>
      </c>
      <c r="AR158" s="75" t="str">
        <f t="shared" si="196"/>
        <v>X</v>
      </c>
      <c r="AS158" s="75" t="s">
        <v>2</v>
      </c>
      <c r="AT158" s="75" t="str">
        <f t="shared" si="197"/>
        <v>O</v>
      </c>
      <c r="AU158" s="75" t="str">
        <f t="shared" si="198"/>
        <v>O</v>
      </c>
      <c r="AV158" s="75" t="str">
        <f t="shared" si="199"/>
        <v>X</v>
      </c>
    </row>
    <row r="159" spans="1:48" s="38" customFormat="1" ht="12" x14ac:dyDescent="0.3">
      <c r="A159" s="110" t="s">
        <v>1052</v>
      </c>
      <c r="B159" s="111" t="s">
        <v>1048</v>
      </c>
      <c r="C159" s="112">
        <v>1064</v>
      </c>
      <c r="D159" s="104">
        <v>102.3</v>
      </c>
      <c r="E159" s="106">
        <v>31</v>
      </c>
      <c r="F159" s="104">
        <v>72.900000000000006</v>
      </c>
      <c r="G159" s="17">
        <v>22</v>
      </c>
      <c r="H159" s="107">
        <v>124</v>
      </c>
      <c r="I159" s="108">
        <v>75000</v>
      </c>
      <c r="J159" s="108" t="s">
        <v>980</v>
      </c>
      <c r="K159" s="108">
        <v>47000</v>
      </c>
      <c r="L159" s="108" t="s">
        <v>957</v>
      </c>
      <c r="M159" s="109">
        <f t="shared" si="184"/>
        <v>28000</v>
      </c>
      <c r="N159" s="4">
        <f t="shared" si="185"/>
        <v>0.62666666666666671</v>
      </c>
      <c r="O159" s="105">
        <f t="shared" si="186"/>
        <v>2419.3548387096776</v>
      </c>
      <c r="P159" s="105">
        <f t="shared" si="187"/>
        <v>1516.1290322580646</v>
      </c>
      <c r="Q159" s="75">
        <v>3</v>
      </c>
      <c r="R159" s="75">
        <v>2</v>
      </c>
      <c r="S159" s="75" t="s">
        <v>947</v>
      </c>
      <c r="T159" s="5">
        <v>102</v>
      </c>
      <c r="U159" s="9"/>
      <c r="W159" s="104">
        <f t="shared" si="200"/>
        <v>102.3</v>
      </c>
      <c r="X159" s="106">
        <f t="shared" si="200"/>
        <v>31</v>
      </c>
      <c r="Y159" s="102">
        <f t="shared" si="201"/>
        <v>124</v>
      </c>
      <c r="Z159" s="109">
        <f t="shared" si="201"/>
        <v>75000</v>
      </c>
      <c r="AA159" s="109">
        <f t="shared" si="188"/>
        <v>47000</v>
      </c>
      <c r="AB159" s="109">
        <f t="shared" ref="AB159:AD174" si="202">M159</f>
        <v>28000</v>
      </c>
      <c r="AC159" s="4">
        <f t="shared" si="202"/>
        <v>0.62666666666666671</v>
      </c>
      <c r="AD159" s="105">
        <f t="shared" si="202"/>
        <v>2419.3548387096776</v>
      </c>
      <c r="AE159" s="75" t="str">
        <f t="shared" si="189"/>
        <v>계</v>
      </c>
      <c r="AF159" s="75" t="str">
        <f t="shared" si="190"/>
        <v>3/2</v>
      </c>
      <c r="AH159" s="20" t="str">
        <f t="shared" si="171"/>
        <v>중동 창원중동유니시티2단지</v>
      </c>
      <c r="AI159" s="106">
        <f t="shared" si="163"/>
        <v>31</v>
      </c>
      <c r="AJ159" s="75" t="str">
        <f t="shared" si="191"/>
        <v>A-</v>
      </c>
      <c r="AK159" s="75" t="s">
        <v>14</v>
      </c>
      <c r="AL159" s="75" t="s">
        <v>944</v>
      </c>
      <c r="AM159" s="75" t="s">
        <v>945</v>
      </c>
      <c r="AN159" s="75" t="str">
        <f t="shared" si="192"/>
        <v>C</v>
      </c>
      <c r="AO159" s="75" t="str">
        <f t="shared" si="193"/>
        <v>X</v>
      </c>
      <c r="AP159" s="75" t="str">
        <f t="shared" si="194"/>
        <v>X</v>
      </c>
      <c r="AQ159" s="75" t="str">
        <f t="shared" si="195"/>
        <v>X</v>
      </c>
      <c r="AR159" s="75" t="str">
        <f t="shared" si="196"/>
        <v>X</v>
      </c>
      <c r="AS159" s="75" t="s">
        <v>2</v>
      </c>
      <c r="AT159" s="75" t="str">
        <f t="shared" si="197"/>
        <v>O</v>
      </c>
      <c r="AU159" s="75" t="str">
        <f t="shared" si="198"/>
        <v>O</v>
      </c>
      <c r="AV159" s="75" t="str">
        <f t="shared" si="199"/>
        <v>X</v>
      </c>
    </row>
    <row r="160" spans="1:48" s="38" customFormat="1" ht="12" x14ac:dyDescent="0.3">
      <c r="A160" s="110" t="s">
        <v>1052</v>
      </c>
      <c r="B160" s="111" t="s">
        <v>1048</v>
      </c>
      <c r="C160" s="112">
        <v>1064</v>
      </c>
      <c r="D160" s="104">
        <v>118.9</v>
      </c>
      <c r="E160" s="106">
        <v>36</v>
      </c>
      <c r="F160" s="104">
        <v>84.4</v>
      </c>
      <c r="G160" s="17">
        <v>26</v>
      </c>
      <c r="H160" s="107">
        <v>411</v>
      </c>
      <c r="I160" s="108">
        <v>83000</v>
      </c>
      <c r="J160" s="108" t="s">
        <v>957</v>
      </c>
      <c r="K160" s="108">
        <v>48000</v>
      </c>
      <c r="L160" s="108" t="s">
        <v>954</v>
      </c>
      <c r="M160" s="109">
        <f t="shared" si="184"/>
        <v>35000</v>
      </c>
      <c r="N160" s="4">
        <f t="shared" si="185"/>
        <v>0.57831325301204817</v>
      </c>
      <c r="O160" s="105">
        <f t="shared" si="186"/>
        <v>2305.5555555555557</v>
      </c>
      <c r="P160" s="105">
        <f t="shared" si="187"/>
        <v>1333.3333333333333</v>
      </c>
      <c r="Q160" s="75">
        <v>3</v>
      </c>
      <c r="R160" s="75">
        <v>2</v>
      </c>
      <c r="S160" s="75" t="s">
        <v>947</v>
      </c>
      <c r="T160" s="5" t="s">
        <v>889</v>
      </c>
      <c r="U160" s="9"/>
      <c r="W160" s="104">
        <f t="shared" si="200"/>
        <v>118.9</v>
      </c>
      <c r="X160" s="106">
        <f t="shared" si="200"/>
        <v>36</v>
      </c>
      <c r="Y160" s="102">
        <f t="shared" si="201"/>
        <v>411</v>
      </c>
      <c r="Z160" s="109">
        <f t="shared" si="201"/>
        <v>83000</v>
      </c>
      <c r="AA160" s="109">
        <f t="shared" si="188"/>
        <v>48000</v>
      </c>
      <c r="AB160" s="109">
        <f t="shared" si="202"/>
        <v>35000</v>
      </c>
      <c r="AC160" s="4">
        <f t="shared" si="202"/>
        <v>0.57831325301204817</v>
      </c>
      <c r="AD160" s="105">
        <f t="shared" si="202"/>
        <v>2305.5555555555557</v>
      </c>
      <c r="AE160" s="75" t="str">
        <f t="shared" si="189"/>
        <v>계</v>
      </c>
      <c r="AF160" s="75" t="str">
        <f t="shared" si="190"/>
        <v>3/2</v>
      </c>
      <c r="AH160" s="20" t="str">
        <f t="shared" si="171"/>
        <v>중동 창원중동유니시티2단지</v>
      </c>
      <c r="AI160" s="106">
        <f t="shared" si="163"/>
        <v>36</v>
      </c>
      <c r="AJ160" s="75" t="str">
        <f t="shared" si="191"/>
        <v>A-</v>
      </c>
      <c r="AK160" s="75" t="s">
        <v>14</v>
      </c>
      <c r="AL160" s="75" t="s">
        <v>944</v>
      </c>
      <c r="AM160" s="75" t="s">
        <v>945</v>
      </c>
      <c r="AN160" s="75" t="str">
        <f t="shared" si="192"/>
        <v>C</v>
      </c>
      <c r="AO160" s="75" t="str">
        <f t="shared" si="193"/>
        <v>X</v>
      </c>
      <c r="AP160" s="75" t="str">
        <f t="shared" si="194"/>
        <v>X</v>
      </c>
      <c r="AQ160" s="75" t="str">
        <f t="shared" si="195"/>
        <v>X</v>
      </c>
      <c r="AR160" s="75" t="str">
        <f t="shared" si="196"/>
        <v>X</v>
      </c>
      <c r="AS160" s="75" t="s">
        <v>2</v>
      </c>
      <c r="AT160" s="75" t="str">
        <f t="shared" si="197"/>
        <v>O</v>
      </c>
      <c r="AU160" s="75" t="str">
        <f t="shared" si="198"/>
        <v>O</v>
      </c>
      <c r="AV160" s="75" t="str">
        <f t="shared" si="199"/>
        <v>X</v>
      </c>
    </row>
    <row r="161" spans="1:48" s="38" customFormat="1" ht="12" x14ac:dyDescent="0.3">
      <c r="A161" s="110" t="s">
        <v>1052</v>
      </c>
      <c r="B161" s="111" t="s">
        <v>1048</v>
      </c>
      <c r="C161" s="112">
        <v>1064</v>
      </c>
      <c r="D161" s="104">
        <v>118.6</v>
      </c>
      <c r="E161" s="106">
        <v>36</v>
      </c>
      <c r="F161" s="104">
        <v>84.1</v>
      </c>
      <c r="G161" s="17">
        <v>25</v>
      </c>
      <c r="H161" s="107">
        <v>223</v>
      </c>
      <c r="I161" s="108">
        <v>83000</v>
      </c>
      <c r="J161" s="108" t="s">
        <v>968</v>
      </c>
      <c r="K161" s="108">
        <v>46000</v>
      </c>
      <c r="L161" s="108" t="s">
        <v>954</v>
      </c>
      <c r="M161" s="109">
        <f t="shared" si="184"/>
        <v>37000</v>
      </c>
      <c r="N161" s="4">
        <f t="shared" si="185"/>
        <v>0.55421686746987953</v>
      </c>
      <c r="O161" s="105">
        <f t="shared" si="186"/>
        <v>2305.5555555555557</v>
      </c>
      <c r="P161" s="105">
        <f t="shared" si="187"/>
        <v>1277.7777777777778</v>
      </c>
      <c r="Q161" s="75">
        <v>3</v>
      </c>
      <c r="R161" s="75">
        <v>2</v>
      </c>
      <c r="S161" s="75" t="s">
        <v>947</v>
      </c>
      <c r="T161" s="5" t="s">
        <v>890</v>
      </c>
      <c r="U161" s="9"/>
      <c r="W161" s="104">
        <f t="shared" si="200"/>
        <v>118.6</v>
      </c>
      <c r="X161" s="106">
        <f t="shared" si="200"/>
        <v>36</v>
      </c>
      <c r="Y161" s="102">
        <f t="shared" si="201"/>
        <v>223</v>
      </c>
      <c r="Z161" s="109">
        <f t="shared" si="201"/>
        <v>83000</v>
      </c>
      <c r="AA161" s="109">
        <f t="shared" si="188"/>
        <v>46000</v>
      </c>
      <c r="AB161" s="109">
        <f t="shared" si="202"/>
        <v>37000</v>
      </c>
      <c r="AC161" s="4">
        <f t="shared" si="202"/>
        <v>0.55421686746987953</v>
      </c>
      <c r="AD161" s="105">
        <f t="shared" si="202"/>
        <v>2305.5555555555557</v>
      </c>
      <c r="AE161" s="75" t="str">
        <f t="shared" si="189"/>
        <v>계</v>
      </c>
      <c r="AF161" s="75" t="str">
        <f t="shared" si="190"/>
        <v>3/2</v>
      </c>
      <c r="AH161" s="20" t="str">
        <f t="shared" si="171"/>
        <v>중동 창원중동유니시티2단지</v>
      </c>
      <c r="AI161" s="106">
        <f t="shared" si="163"/>
        <v>36</v>
      </c>
      <c r="AJ161" s="75" t="str">
        <f t="shared" si="191"/>
        <v>A-</v>
      </c>
      <c r="AK161" s="75" t="s">
        <v>14</v>
      </c>
      <c r="AL161" s="75" t="s">
        <v>944</v>
      </c>
      <c r="AM161" s="75" t="s">
        <v>945</v>
      </c>
      <c r="AN161" s="75" t="str">
        <f t="shared" si="192"/>
        <v>C</v>
      </c>
      <c r="AO161" s="75" t="str">
        <f t="shared" si="193"/>
        <v>X</v>
      </c>
      <c r="AP161" s="75" t="str">
        <f t="shared" si="194"/>
        <v>X</v>
      </c>
      <c r="AQ161" s="75" t="str">
        <f t="shared" si="195"/>
        <v>X</v>
      </c>
      <c r="AR161" s="75" t="str">
        <f t="shared" si="196"/>
        <v>X</v>
      </c>
      <c r="AS161" s="75" t="s">
        <v>2</v>
      </c>
      <c r="AT161" s="75" t="str">
        <f t="shared" si="197"/>
        <v>O</v>
      </c>
      <c r="AU161" s="75" t="str">
        <f t="shared" si="198"/>
        <v>O</v>
      </c>
      <c r="AV161" s="75" t="str">
        <f t="shared" si="199"/>
        <v>X</v>
      </c>
    </row>
    <row r="162" spans="1:48" s="38" customFormat="1" ht="12" x14ac:dyDescent="0.3">
      <c r="A162" s="110" t="s">
        <v>1052</v>
      </c>
      <c r="B162" s="111" t="s">
        <v>1048</v>
      </c>
      <c r="C162" s="112">
        <v>1064</v>
      </c>
      <c r="D162" s="104">
        <v>138.6</v>
      </c>
      <c r="E162" s="106">
        <v>42</v>
      </c>
      <c r="F162" s="104">
        <v>99.2</v>
      </c>
      <c r="G162" s="17">
        <v>30</v>
      </c>
      <c r="H162" s="107">
        <v>246</v>
      </c>
      <c r="I162" s="108">
        <v>112000</v>
      </c>
      <c r="J162" s="108" t="s">
        <v>957</v>
      </c>
      <c r="K162" s="108"/>
      <c r="L162" s="108"/>
      <c r="M162" s="109">
        <f t="shared" si="184"/>
        <v>112000</v>
      </c>
      <c r="N162" s="4">
        <f t="shared" si="185"/>
        <v>0</v>
      </c>
      <c r="O162" s="105">
        <f t="shared" si="186"/>
        <v>2666.6666666666665</v>
      </c>
      <c r="P162" s="105">
        <f t="shared" si="187"/>
        <v>0</v>
      </c>
      <c r="Q162" s="75">
        <v>3</v>
      </c>
      <c r="R162" s="75">
        <v>2</v>
      </c>
      <c r="S162" s="75" t="s">
        <v>947</v>
      </c>
      <c r="T162" s="5">
        <v>138</v>
      </c>
      <c r="U162" s="9"/>
      <c r="W162" s="104">
        <f t="shared" si="200"/>
        <v>138.6</v>
      </c>
      <c r="X162" s="106">
        <f t="shared" si="200"/>
        <v>42</v>
      </c>
      <c r="Y162" s="102">
        <f t="shared" si="201"/>
        <v>246</v>
      </c>
      <c r="Z162" s="109">
        <f t="shared" si="201"/>
        <v>112000</v>
      </c>
      <c r="AA162" s="109">
        <f t="shared" si="188"/>
        <v>0</v>
      </c>
      <c r="AB162" s="109">
        <f t="shared" si="202"/>
        <v>112000</v>
      </c>
      <c r="AC162" s="4">
        <f t="shared" si="202"/>
        <v>0</v>
      </c>
      <c r="AD162" s="105">
        <f t="shared" si="202"/>
        <v>2666.6666666666665</v>
      </c>
      <c r="AE162" s="75" t="str">
        <f t="shared" si="189"/>
        <v>계</v>
      </c>
      <c r="AF162" s="75" t="str">
        <f t="shared" si="190"/>
        <v>3/2</v>
      </c>
      <c r="AH162" s="20" t="str">
        <f t="shared" si="171"/>
        <v>중동 창원중동유니시티2단지</v>
      </c>
      <c r="AI162" s="106">
        <f t="shared" si="163"/>
        <v>42</v>
      </c>
      <c r="AJ162" s="75" t="str">
        <f t="shared" si="191"/>
        <v>A-</v>
      </c>
      <c r="AK162" s="75" t="s">
        <v>14</v>
      </c>
      <c r="AL162" s="75" t="s">
        <v>944</v>
      </c>
      <c r="AM162" s="75" t="s">
        <v>945</v>
      </c>
      <c r="AN162" s="75" t="str">
        <f t="shared" si="192"/>
        <v>C</v>
      </c>
      <c r="AO162" s="75" t="str">
        <f t="shared" si="193"/>
        <v>X</v>
      </c>
      <c r="AP162" s="75" t="str">
        <f t="shared" si="194"/>
        <v>X</v>
      </c>
      <c r="AQ162" s="75" t="str">
        <f t="shared" si="195"/>
        <v>X</v>
      </c>
      <c r="AR162" s="75" t="str">
        <f t="shared" si="196"/>
        <v>X</v>
      </c>
      <c r="AS162" s="75" t="s">
        <v>2</v>
      </c>
      <c r="AT162" s="75" t="str">
        <f t="shared" si="197"/>
        <v>X</v>
      </c>
      <c r="AU162" s="75" t="str">
        <f t="shared" si="198"/>
        <v>O</v>
      </c>
      <c r="AV162" s="75" t="str">
        <f t="shared" si="199"/>
        <v>X</v>
      </c>
    </row>
    <row r="163" spans="1:48" s="38" customFormat="1" ht="12" x14ac:dyDescent="0.3">
      <c r="A163" s="110" t="s">
        <v>1053</v>
      </c>
      <c r="B163" s="111" t="s">
        <v>1067</v>
      </c>
      <c r="C163" s="112">
        <v>672</v>
      </c>
      <c r="D163" s="104">
        <v>79.900000000000006</v>
      </c>
      <c r="E163" s="106">
        <v>24</v>
      </c>
      <c r="F163" s="104">
        <v>60</v>
      </c>
      <c r="G163" s="17">
        <v>18</v>
      </c>
      <c r="H163" s="107">
        <v>592</v>
      </c>
      <c r="I163" s="108">
        <v>30000</v>
      </c>
      <c r="J163" s="108" t="s">
        <v>949</v>
      </c>
      <c r="K163" s="108">
        <v>25000</v>
      </c>
      <c r="L163" s="108" t="s">
        <v>954</v>
      </c>
      <c r="M163" s="109">
        <f t="shared" si="184"/>
        <v>5000</v>
      </c>
      <c r="N163" s="4">
        <f t="shared" si="185"/>
        <v>0.83333333333333337</v>
      </c>
      <c r="O163" s="105">
        <f t="shared" si="186"/>
        <v>1250</v>
      </c>
      <c r="P163" s="105">
        <f t="shared" si="187"/>
        <v>1041.6666666666667</v>
      </c>
      <c r="Q163" s="75">
        <v>3</v>
      </c>
      <c r="R163" s="75">
        <v>1</v>
      </c>
      <c r="S163" s="75" t="s">
        <v>947</v>
      </c>
      <c r="T163" s="5">
        <v>79</v>
      </c>
      <c r="U163" s="9"/>
      <c r="W163" s="104">
        <f>D163</f>
        <v>79.900000000000006</v>
      </c>
      <c r="X163" s="106">
        <f>E163</f>
        <v>24</v>
      </c>
      <c r="Y163" s="102">
        <f>H163</f>
        <v>592</v>
      </c>
      <c r="Z163" s="109">
        <f>I163</f>
        <v>30000</v>
      </c>
      <c r="AA163" s="109">
        <f t="shared" si="188"/>
        <v>25000</v>
      </c>
      <c r="AB163" s="109">
        <f t="shared" si="202"/>
        <v>5000</v>
      </c>
      <c r="AC163" s="4">
        <f t="shared" si="202"/>
        <v>0.83333333333333337</v>
      </c>
      <c r="AD163" s="105">
        <f t="shared" si="202"/>
        <v>1250</v>
      </c>
      <c r="AE163" s="75" t="str">
        <f t="shared" si="189"/>
        <v>계</v>
      </c>
      <c r="AF163" s="75" t="str">
        <f t="shared" si="190"/>
        <v>3/1</v>
      </c>
      <c r="AH163" s="20" t="str">
        <f t="shared" si="171"/>
        <v>팔용동 팔용벽산블루밍A단지</v>
      </c>
      <c r="AI163" s="106">
        <f t="shared" si="163"/>
        <v>24</v>
      </c>
      <c r="AJ163" s="75" t="str">
        <f t="shared" si="191"/>
        <v>A-</v>
      </c>
      <c r="AK163" s="75" t="s">
        <v>14</v>
      </c>
      <c r="AL163" s="75" t="s">
        <v>944</v>
      </c>
      <c r="AM163" s="75" t="s">
        <v>945</v>
      </c>
      <c r="AN163" s="75" t="str">
        <f t="shared" si="192"/>
        <v>C</v>
      </c>
      <c r="AO163" s="75" t="str">
        <f t="shared" si="193"/>
        <v>O</v>
      </c>
      <c r="AP163" s="75" t="str">
        <f t="shared" si="194"/>
        <v>O</v>
      </c>
      <c r="AQ163" s="75" t="str">
        <f t="shared" si="195"/>
        <v>X</v>
      </c>
      <c r="AR163" s="75" t="str">
        <f t="shared" si="196"/>
        <v>O</v>
      </c>
      <c r="AS163" s="75" t="s">
        <v>2</v>
      </c>
      <c r="AT163" s="75" t="str">
        <f t="shared" si="197"/>
        <v>O</v>
      </c>
      <c r="AU163" s="75" t="str">
        <f t="shared" si="198"/>
        <v>O</v>
      </c>
      <c r="AV163" s="75" t="str">
        <f t="shared" si="199"/>
        <v>후보</v>
      </c>
    </row>
    <row r="164" spans="1:48" s="38" customFormat="1" ht="12" x14ac:dyDescent="0.3">
      <c r="A164" s="110" t="s">
        <v>1053</v>
      </c>
      <c r="B164" s="111" t="s">
        <v>1133</v>
      </c>
      <c r="C164" s="112">
        <v>672</v>
      </c>
      <c r="D164" s="104">
        <v>106.9</v>
      </c>
      <c r="E164" s="106">
        <v>32</v>
      </c>
      <c r="F164" s="104">
        <v>84.9</v>
      </c>
      <c r="G164" s="17">
        <v>26</v>
      </c>
      <c r="H164" s="107">
        <v>80</v>
      </c>
      <c r="I164" s="108">
        <v>47000</v>
      </c>
      <c r="J164" s="108" t="s">
        <v>957</v>
      </c>
      <c r="K164" s="108"/>
      <c r="L164" s="108"/>
      <c r="M164" s="109">
        <f t="shared" si="184"/>
        <v>47000</v>
      </c>
      <c r="N164" s="4">
        <f t="shared" si="185"/>
        <v>0</v>
      </c>
      <c r="O164" s="105">
        <f t="shared" si="186"/>
        <v>1468.75</v>
      </c>
      <c r="P164" s="105">
        <f t="shared" si="187"/>
        <v>0</v>
      </c>
      <c r="Q164" s="75">
        <v>3</v>
      </c>
      <c r="R164" s="75">
        <v>2</v>
      </c>
      <c r="S164" s="75" t="s">
        <v>947</v>
      </c>
      <c r="T164" s="5">
        <v>106</v>
      </c>
      <c r="U164" s="9"/>
      <c r="W164" s="104">
        <f>D164</f>
        <v>106.9</v>
      </c>
      <c r="X164" s="106">
        <f>E164</f>
        <v>32</v>
      </c>
      <c r="Y164" s="102">
        <f>H164</f>
        <v>80</v>
      </c>
      <c r="Z164" s="109">
        <f>I164</f>
        <v>47000</v>
      </c>
      <c r="AA164" s="109">
        <f t="shared" si="188"/>
        <v>0</v>
      </c>
      <c r="AB164" s="109">
        <f t="shared" si="202"/>
        <v>47000</v>
      </c>
      <c r="AC164" s="4">
        <f t="shared" si="202"/>
        <v>0</v>
      </c>
      <c r="AD164" s="105">
        <f t="shared" si="202"/>
        <v>1468.75</v>
      </c>
      <c r="AE164" s="75" t="str">
        <f t="shared" si="189"/>
        <v>계</v>
      </c>
      <c r="AF164" s="75" t="str">
        <f t="shared" si="190"/>
        <v>3/2</v>
      </c>
      <c r="AH164" s="20" t="str">
        <f t="shared" si="171"/>
        <v>팔용동 팔용벽산블루밍A단지</v>
      </c>
      <c r="AI164" s="106">
        <f t="shared" si="163"/>
        <v>32</v>
      </c>
      <c r="AJ164" s="75" t="str">
        <f t="shared" si="191"/>
        <v>A-</v>
      </c>
      <c r="AK164" s="75" t="s">
        <v>14</v>
      </c>
      <c r="AL164" s="75" t="s">
        <v>944</v>
      </c>
      <c r="AM164" s="75" t="s">
        <v>945</v>
      </c>
      <c r="AN164" s="75" t="str">
        <f t="shared" si="192"/>
        <v>C</v>
      </c>
      <c r="AO164" s="75" t="str">
        <f t="shared" si="193"/>
        <v>X</v>
      </c>
      <c r="AP164" s="75" t="str">
        <f t="shared" si="194"/>
        <v>X</v>
      </c>
      <c r="AQ164" s="75" t="str">
        <f t="shared" si="195"/>
        <v>X</v>
      </c>
      <c r="AR164" s="75" t="str">
        <f t="shared" si="196"/>
        <v>X</v>
      </c>
      <c r="AS164" s="75" t="s">
        <v>2</v>
      </c>
      <c r="AT164" s="75" t="str">
        <f t="shared" si="197"/>
        <v>O</v>
      </c>
      <c r="AU164" s="75" t="str">
        <f t="shared" si="198"/>
        <v>O</v>
      </c>
      <c r="AV164" s="75" t="str">
        <f t="shared" si="199"/>
        <v>X</v>
      </c>
    </row>
    <row r="165" spans="1:48" s="38" customFormat="1" ht="12" x14ac:dyDescent="0.3">
      <c r="A165" s="110" t="s">
        <v>1054</v>
      </c>
      <c r="B165" s="111" t="s">
        <v>1055</v>
      </c>
      <c r="C165" s="112">
        <v>1650</v>
      </c>
      <c r="D165" s="104">
        <v>79.8</v>
      </c>
      <c r="E165" s="106">
        <v>24</v>
      </c>
      <c r="F165" s="104">
        <v>60</v>
      </c>
      <c r="G165" s="17">
        <v>18</v>
      </c>
      <c r="H165" s="107">
        <v>360</v>
      </c>
      <c r="I165" s="108">
        <v>31000</v>
      </c>
      <c r="J165" s="108" t="s">
        <v>954</v>
      </c>
      <c r="K165" s="108">
        <v>24000</v>
      </c>
      <c r="L165" s="108" t="s">
        <v>954</v>
      </c>
      <c r="M165" s="109">
        <f t="shared" si="184"/>
        <v>7000</v>
      </c>
      <c r="N165" s="4">
        <f t="shared" si="185"/>
        <v>0.77419354838709675</v>
      </c>
      <c r="O165" s="105">
        <f t="shared" si="186"/>
        <v>1291.6666666666667</v>
      </c>
      <c r="P165" s="105">
        <f t="shared" si="187"/>
        <v>1000</v>
      </c>
      <c r="Q165" s="75">
        <v>3</v>
      </c>
      <c r="R165" s="75">
        <v>1</v>
      </c>
      <c r="S165" s="75" t="s">
        <v>947</v>
      </c>
      <c r="T165" s="5">
        <v>79</v>
      </c>
      <c r="U165" s="9"/>
      <c r="W165" s="104">
        <f t="shared" ref="W165:X180" si="203">D165</f>
        <v>79.8</v>
      </c>
      <c r="X165" s="106">
        <f t="shared" si="203"/>
        <v>24</v>
      </c>
      <c r="Y165" s="102">
        <f t="shared" ref="Y165:Z180" si="204">H165</f>
        <v>360</v>
      </c>
      <c r="Z165" s="109">
        <f t="shared" si="204"/>
        <v>31000</v>
      </c>
      <c r="AA165" s="109">
        <f t="shared" si="188"/>
        <v>24000</v>
      </c>
      <c r="AB165" s="109">
        <f t="shared" si="202"/>
        <v>7000</v>
      </c>
      <c r="AC165" s="4">
        <f t="shared" si="202"/>
        <v>0.77419354838709675</v>
      </c>
      <c r="AD165" s="105">
        <f t="shared" si="202"/>
        <v>1291.6666666666667</v>
      </c>
      <c r="AE165" s="75" t="str">
        <f t="shared" si="189"/>
        <v>계</v>
      </c>
      <c r="AF165" s="75" t="str">
        <f t="shared" si="190"/>
        <v>3/1</v>
      </c>
      <c r="AH165" s="20" t="str">
        <f t="shared" si="171"/>
        <v>팔용동 벽산블루밍B단지</v>
      </c>
      <c r="AI165" s="106">
        <f t="shared" si="163"/>
        <v>24</v>
      </c>
      <c r="AJ165" s="75" t="str">
        <f t="shared" si="191"/>
        <v>A-</v>
      </c>
      <c r="AK165" s="75" t="s">
        <v>14</v>
      </c>
      <c r="AL165" s="75" t="s">
        <v>944</v>
      </c>
      <c r="AM165" s="75" t="s">
        <v>945</v>
      </c>
      <c r="AN165" s="75" t="str">
        <f t="shared" si="192"/>
        <v>C</v>
      </c>
      <c r="AO165" s="75" t="str">
        <f t="shared" si="193"/>
        <v>X</v>
      </c>
      <c r="AP165" s="75" t="str">
        <f t="shared" si="194"/>
        <v>O</v>
      </c>
      <c r="AQ165" s="75" t="str">
        <f t="shared" si="195"/>
        <v>X</v>
      </c>
      <c r="AR165" s="75" t="str">
        <f t="shared" si="196"/>
        <v>X</v>
      </c>
      <c r="AS165" s="75" t="s">
        <v>2</v>
      </c>
      <c r="AT165" s="75" t="str">
        <f t="shared" si="197"/>
        <v>O</v>
      </c>
      <c r="AU165" s="75" t="str">
        <f t="shared" si="198"/>
        <v>O</v>
      </c>
      <c r="AV165" s="75" t="str">
        <f t="shared" si="199"/>
        <v>X</v>
      </c>
    </row>
    <row r="166" spans="1:48" s="38" customFormat="1" ht="12" x14ac:dyDescent="0.3">
      <c r="A166" s="110" t="s">
        <v>1054</v>
      </c>
      <c r="B166" s="111" t="s">
        <v>1055</v>
      </c>
      <c r="C166" s="112">
        <v>1650</v>
      </c>
      <c r="D166" s="104">
        <v>95.1</v>
      </c>
      <c r="E166" s="106">
        <v>29</v>
      </c>
      <c r="F166" s="104">
        <v>74</v>
      </c>
      <c r="G166" s="17">
        <v>22</v>
      </c>
      <c r="H166" s="107">
        <v>570</v>
      </c>
      <c r="I166" s="108"/>
      <c r="J166" s="108"/>
      <c r="K166" s="108"/>
      <c r="L166" s="108"/>
      <c r="M166" s="109">
        <f t="shared" si="184"/>
        <v>0</v>
      </c>
      <c r="N166" s="4" t="str">
        <f t="shared" si="185"/>
        <v/>
      </c>
      <c r="O166" s="105">
        <f t="shared" si="186"/>
        <v>0</v>
      </c>
      <c r="P166" s="105">
        <f t="shared" si="187"/>
        <v>0</v>
      </c>
      <c r="Q166" s="75">
        <v>3</v>
      </c>
      <c r="R166" s="75">
        <v>1</v>
      </c>
      <c r="S166" s="75" t="s">
        <v>947</v>
      </c>
      <c r="T166" s="5">
        <v>95</v>
      </c>
      <c r="U166" s="9"/>
      <c r="W166" s="104">
        <f t="shared" si="203"/>
        <v>95.1</v>
      </c>
      <c r="X166" s="106">
        <f t="shared" si="203"/>
        <v>29</v>
      </c>
      <c r="Y166" s="102">
        <f t="shared" si="204"/>
        <v>570</v>
      </c>
      <c r="Z166" s="109">
        <f t="shared" si="204"/>
        <v>0</v>
      </c>
      <c r="AA166" s="109">
        <f t="shared" si="188"/>
        <v>0</v>
      </c>
      <c r="AB166" s="109">
        <f t="shared" si="202"/>
        <v>0</v>
      </c>
      <c r="AC166" s="4" t="str">
        <f t="shared" si="202"/>
        <v/>
      </c>
      <c r="AD166" s="105">
        <f t="shared" si="202"/>
        <v>0</v>
      </c>
      <c r="AE166" s="75" t="str">
        <f t="shared" si="189"/>
        <v>계</v>
      </c>
      <c r="AF166" s="75" t="str">
        <f t="shared" si="190"/>
        <v>3/1</v>
      </c>
      <c r="AH166" s="20" t="str">
        <f t="shared" si="171"/>
        <v>팔용동 벽산블루밍B단지</v>
      </c>
      <c r="AI166" s="106">
        <f t="shared" si="163"/>
        <v>29</v>
      </c>
      <c r="AJ166" s="75" t="str">
        <f t="shared" si="191"/>
        <v>A-</v>
      </c>
      <c r="AK166" s="75" t="s">
        <v>14</v>
      </c>
      <c r="AL166" s="75" t="s">
        <v>944</v>
      </c>
      <c r="AM166" s="75" t="s">
        <v>945</v>
      </c>
      <c r="AN166" s="75" t="str">
        <f t="shared" si="192"/>
        <v>C</v>
      </c>
      <c r="AO166" s="75" t="str">
        <f t="shared" si="193"/>
        <v/>
      </c>
      <c r="AP166" s="75" t="str">
        <f t="shared" si="194"/>
        <v/>
      </c>
      <c r="AQ166" s="75" t="str">
        <f t="shared" si="195"/>
        <v>O</v>
      </c>
      <c r="AR166" s="75" t="str">
        <f t="shared" si="196"/>
        <v>O</v>
      </c>
      <c r="AS166" s="75" t="s">
        <v>2</v>
      </c>
      <c r="AT166" s="75" t="str">
        <f t="shared" si="197"/>
        <v>O</v>
      </c>
      <c r="AU166" s="75" t="str">
        <f t="shared" si="198"/>
        <v>O</v>
      </c>
      <c r="AV166" s="75" t="str">
        <f t="shared" si="199"/>
        <v/>
      </c>
    </row>
    <row r="167" spans="1:48" s="38" customFormat="1" ht="12" x14ac:dyDescent="0.3">
      <c r="A167" s="110" t="s">
        <v>1054</v>
      </c>
      <c r="B167" s="111" t="s">
        <v>1055</v>
      </c>
      <c r="C167" s="112">
        <v>1650</v>
      </c>
      <c r="D167" s="104">
        <v>108.1</v>
      </c>
      <c r="E167" s="106">
        <v>33</v>
      </c>
      <c r="F167" s="104">
        <v>84.9</v>
      </c>
      <c r="G167" s="17">
        <v>26</v>
      </c>
      <c r="H167" s="107">
        <v>720</v>
      </c>
      <c r="I167" s="108">
        <v>42800</v>
      </c>
      <c r="J167" s="108" t="s">
        <v>974</v>
      </c>
      <c r="K167" s="108"/>
      <c r="L167" s="108"/>
      <c r="M167" s="109">
        <f t="shared" si="184"/>
        <v>42800</v>
      </c>
      <c r="N167" s="4">
        <f t="shared" si="185"/>
        <v>0</v>
      </c>
      <c r="O167" s="105">
        <f t="shared" si="186"/>
        <v>1296.969696969697</v>
      </c>
      <c r="P167" s="105">
        <f t="shared" si="187"/>
        <v>0</v>
      </c>
      <c r="Q167" s="75">
        <v>3</v>
      </c>
      <c r="R167" s="75">
        <v>2</v>
      </c>
      <c r="S167" s="75" t="s">
        <v>947</v>
      </c>
      <c r="T167" s="5">
        <v>108</v>
      </c>
      <c r="U167" s="9"/>
      <c r="W167" s="104">
        <f t="shared" si="203"/>
        <v>108.1</v>
      </c>
      <c r="X167" s="106">
        <f t="shared" si="203"/>
        <v>33</v>
      </c>
      <c r="Y167" s="102">
        <f t="shared" si="204"/>
        <v>720</v>
      </c>
      <c r="Z167" s="109">
        <f t="shared" si="204"/>
        <v>42800</v>
      </c>
      <c r="AA167" s="109">
        <f t="shared" si="188"/>
        <v>0</v>
      </c>
      <c r="AB167" s="109">
        <f t="shared" si="202"/>
        <v>42800</v>
      </c>
      <c r="AC167" s="4">
        <f t="shared" si="202"/>
        <v>0</v>
      </c>
      <c r="AD167" s="105">
        <f t="shared" si="202"/>
        <v>1296.969696969697</v>
      </c>
      <c r="AE167" s="75" t="str">
        <f t="shared" si="189"/>
        <v>계</v>
      </c>
      <c r="AF167" s="75" t="str">
        <f t="shared" si="190"/>
        <v>3/2</v>
      </c>
      <c r="AH167" s="20" t="str">
        <f t="shared" si="171"/>
        <v>팔용동 벽산블루밍B단지</v>
      </c>
      <c r="AI167" s="106">
        <f t="shared" si="163"/>
        <v>33</v>
      </c>
      <c r="AJ167" s="75" t="str">
        <f t="shared" si="191"/>
        <v>A-</v>
      </c>
      <c r="AK167" s="75" t="s">
        <v>14</v>
      </c>
      <c r="AL167" s="75" t="s">
        <v>944</v>
      </c>
      <c r="AM167" s="75" t="s">
        <v>945</v>
      </c>
      <c r="AN167" s="75" t="str">
        <f t="shared" si="192"/>
        <v>C</v>
      </c>
      <c r="AO167" s="75" t="str">
        <f t="shared" si="193"/>
        <v>X</v>
      </c>
      <c r="AP167" s="75" t="str">
        <f t="shared" si="194"/>
        <v>O</v>
      </c>
      <c r="AQ167" s="75" t="str">
        <f t="shared" si="195"/>
        <v>X</v>
      </c>
      <c r="AR167" s="75" t="str">
        <f t="shared" si="196"/>
        <v>X</v>
      </c>
      <c r="AS167" s="75" t="s">
        <v>2</v>
      </c>
      <c r="AT167" s="75" t="str">
        <f t="shared" si="197"/>
        <v>O</v>
      </c>
      <c r="AU167" s="75" t="str">
        <f t="shared" si="198"/>
        <v>O</v>
      </c>
      <c r="AV167" s="75" t="str">
        <f t="shared" si="199"/>
        <v>X</v>
      </c>
    </row>
    <row r="168" spans="1:48" s="38" customFormat="1" ht="12" x14ac:dyDescent="0.3">
      <c r="A168" s="110" t="s">
        <v>1056</v>
      </c>
      <c r="B168" s="111" t="s">
        <v>1057</v>
      </c>
      <c r="C168" s="112">
        <v>594</v>
      </c>
      <c r="D168" s="104">
        <v>79.599999999999994</v>
      </c>
      <c r="E168" s="106">
        <v>24</v>
      </c>
      <c r="F168" s="104">
        <v>60</v>
      </c>
      <c r="G168" s="17">
        <v>18</v>
      </c>
      <c r="H168" s="107">
        <v>231</v>
      </c>
      <c r="I168" s="108">
        <v>30000</v>
      </c>
      <c r="J168" s="108" t="s">
        <v>954</v>
      </c>
      <c r="K168" s="108"/>
      <c r="L168" s="108"/>
      <c r="M168" s="109">
        <f t="shared" si="184"/>
        <v>30000</v>
      </c>
      <c r="N168" s="4">
        <f t="shared" si="185"/>
        <v>0</v>
      </c>
      <c r="O168" s="105">
        <f t="shared" si="186"/>
        <v>1250</v>
      </c>
      <c r="P168" s="105">
        <f t="shared" si="187"/>
        <v>0</v>
      </c>
      <c r="Q168" s="75">
        <v>3</v>
      </c>
      <c r="R168" s="75">
        <v>1</v>
      </c>
      <c r="S168" s="75" t="s">
        <v>947</v>
      </c>
      <c r="T168" s="5">
        <v>79</v>
      </c>
      <c r="U168" s="9"/>
      <c r="W168" s="104">
        <f t="shared" si="203"/>
        <v>79.599999999999994</v>
      </c>
      <c r="X168" s="106">
        <f t="shared" si="203"/>
        <v>24</v>
      </c>
      <c r="Y168" s="102">
        <f t="shared" si="204"/>
        <v>231</v>
      </c>
      <c r="Z168" s="109">
        <f t="shared" si="204"/>
        <v>30000</v>
      </c>
      <c r="AA168" s="109">
        <f t="shared" si="188"/>
        <v>0</v>
      </c>
      <c r="AB168" s="109">
        <f t="shared" si="202"/>
        <v>30000</v>
      </c>
      <c r="AC168" s="4">
        <f t="shared" si="202"/>
        <v>0</v>
      </c>
      <c r="AD168" s="105">
        <f t="shared" si="202"/>
        <v>1250</v>
      </c>
      <c r="AE168" s="75" t="str">
        <f t="shared" si="189"/>
        <v>계</v>
      </c>
      <c r="AF168" s="75" t="str">
        <f t="shared" si="190"/>
        <v>3/1</v>
      </c>
      <c r="AH168" s="20" t="str">
        <f t="shared" si="171"/>
        <v>팔용동 벽산블루밍C단지</v>
      </c>
      <c r="AI168" s="106">
        <f t="shared" si="163"/>
        <v>24</v>
      </c>
      <c r="AJ168" s="75" t="str">
        <f t="shared" si="191"/>
        <v>A-</v>
      </c>
      <c r="AK168" s="75" t="s">
        <v>14</v>
      </c>
      <c r="AL168" s="75" t="s">
        <v>944</v>
      </c>
      <c r="AM168" s="75" t="s">
        <v>945</v>
      </c>
      <c r="AN168" s="75" t="str">
        <f t="shared" si="192"/>
        <v>C</v>
      </c>
      <c r="AO168" s="75" t="str">
        <f t="shared" si="193"/>
        <v>X</v>
      </c>
      <c r="AP168" s="75" t="str">
        <f t="shared" si="194"/>
        <v>O</v>
      </c>
      <c r="AQ168" s="75" t="str">
        <f t="shared" si="195"/>
        <v>X</v>
      </c>
      <c r="AR168" s="75" t="str">
        <f t="shared" si="196"/>
        <v>X</v>
      </c>
      <c r="AS168" s="75" t="s">
        <v>2</v>
      </c>
      <c r="AT168" s="75" t="str">
        <f t="shared" si="197"/>
        <v>O</v>
      </c>
      <c r="AU168" s="75" t="str">
        <f t="shared" si="198"/>
        <v>O</v>
      </c>
      <c r="AV168" s="75" t="str">
        <f t="shared" si="199"/>
        <v>X</v>
      </c>
    </row>
    <row r="169" spans="1:48" s="38" customFormat="1" ht="12" x14ac:dyDescent="0.3">
      <c r="A169" s="110" t="s">
        <v>1056</v>
      </c>
      <c r="B169" s="111" t="s">
        <v>1057</v>
      </c>
      <c r="C169" s="112">
        <v>594</v>
      </c>
      <c r="D169" s="104">
        <v>94.7</v>
      </c>
      <c r="E169" s="106">
        <v>29</v>
      </c>
      <c r="F169" s="104">
        <v>74</v>
      </c>
      <c r="G169" s="17">
        <v>22</v>
      </c>
      <c r="H169" s="107">
        <v>87</v>
      </c>
      <c r="I169" s="108"/>
      <c r="J169" s="108"/>
      <c r="K169" s="108"/>
      <c r="L169" s="108"/>
      <c r="M169" s="109">
        <f t="shared" si="184"/>
        <v>0</v>
      </c>
      <c r="N169" s="4" t="str">
        <f t="shared" si="185"/>
        <v/>
      </c>
      <c r="O169" s="105">
        <f t="shared" si="186"/>
        <v>0</v>
      </c>
      <c r="P169" s="105">
        <f t="shared" si="187"/>
        <v>0</v>
      </c>
      <c r="Q169" s="75">
        <v>3</v>
      </c>
      <c r="R169" s="75">
        <v>1</v>
      </c>
      <c r="S169" s="75" t="s">
        <v>947</v>
      </c>
      <c r="T169" s="5">
        <v>94</v>
      </c>
      <c r="U169" s="9"/>
      <c r="W169" s="104">
        <f t="shared" si="203"/>
        <v>94.7</v>
      </c>
      <c r="X169" s="106">
        <f t="shared" si="203"/>
        <v>29</v>
      </c>
      <c r="Y169" s="102">
        <f t="shared" si="204"/>
        <v>87</v>
      </c>
      <c r="Z169" s="109">
        <f t="shared" si="204"/>
        <v>0</v>
      </c>
      <c r="AA169" s="109">
        <f t="shared" si="188"/>
        <v>0</v>
      </c>
      <c r="AB169" s="109">
        <f t="shared" si="202"/>
        <v>0</v>
      </c>
      <c r="AC169" s="4" t="str">
        <f t="shared" si="202"/>
        <v/>
      </c>
      <c r="AD169" s="105">
        <f t="shared" si="202"/>
        <v>0</v>
      </c>
      <c r="AE169" s="75" t="str">
        <f t="shared" si="189"/>
        <v>계</v>
      </c>
      <c r="AF169" s="75" t="str">
        <f t="shared" si="190"/>
        <v>3/1</v>
      </c>
      <c r="AH169" s="20" t="str">
        <f t="shared" si="171"/>
        <v>팔용동 벽산블루밍C단지</v>
      </c>
      <c r="AI169" s="106">
        <f t="shared" si="163"/>
        <v>29</v>
      </c>
      <c r="AJ169" s="75" t="str">
        <f t="shared" si="191"/>
        <v>A-</v>
      </c>
      <c r="AK169" s="75" t="s">
        <v>14</v>
      </c>
      <c r="AL169" s="75" t="s">
        <v>944</v>
      </c>
      <c r="AM169" s="75" t="s">
        <v>945</v>
      </c>
      <c r="AN169" s="75" t="str">
        <f t="shared" si="192"/>
        <v>C</v>
      </c>
      <c r="AO169" s="75" t="str">
        <f t="shared" si="193"/>
        <v/>
      </c>
      <c r="AP169" s="75" t="str">
        <f t="shared" si="194"/>
        <v/>
      </c>
      <c r="AQ169" s="75" t="str">
        <f t="shared" si="195"/>
        <v>O</v>
      </c>
      <c r="AR169" s="75" t="str">
        <f t="shared" si="196"/>
        <v>O</v>
      </c>
      <c r="AS169" s="75" t="s">
        <v>2</v>
      </c>
      <c r="AT169" s="75" t="str">
        <f t="shared" si="197"/>
        <v>O</v>
      </c>
      <c r="AU169" s="75" t="str">
        <f t="shared" si="198"/>
        <v>O</v>
      </c>
      <c r="AV169" s="75" t="str">
        <f t="shared" si="199"/>
        <v/>
      </c>
    </row>
    <row r="170" spans="1:48" s="38" customFormat="1" ht="12" x14ac:dyDescent="0.3">
      <c r="A170" s="110" t="s">
        <v>1056</v>
      </c>
      <c r="B170" s="111" t="s">
        <v>1057</v>
      </c>
      <c r="C170" s="112">
        <v>594</v>
      </c>
      <c r="D170" s="104">
        <v>106.5</v>
      </c>
      <c r="E170" s="106">
        <v>32</v>
      </c>
      <c r="F170" s="104">
        <v>84.9</v>
      </c>
      <c r="G170" s="17">
        <v>26</v>
      </c>
      <c r="H170" s="107">
        <v>276</v>
      </c>
      <c r="I170" s="108">
        <v>35000</v>
      </c>
      <c r="J170" s="108" t="s">
        <v>957</v>
      </c>
      <c r="K170" s="108">
        <v>31000</v>
      </c>
      <c r="L170" s="108" t="s">
        <v>957</v>
      </c>
      <c r="M170" s="109">
        <f t="shared" si="184"/>
        <v>4000</v>
      </c>
      <c r="N170" s="4">
        <f t="shared" si="185"/>
        <v>0.88571428571428568</v>
      </c>
      <c r="O170" s="105">
        <f t="shared" si="186"/>
        <v>1093.75</v>
      </c>
      <c r="P170" s="105">
        <f t="shared" si="187"/>
        <v>968.75</v>
      </c>
      <c r="Q170" s="75">
        <v>3</v>
      </c>
      <c r="R170" s="75">
        <v>2</v>
      </c>
      <c r="S170" s="75" t="s">
        <v>947</v>
      </c>
      <c r="T170" s="5">
        <v>106</v>
      </c>
      <c r="U170" s="9"/>
      <c r="W170" s="104">
        <f t="shared" si="203"/>
        <v>106.5</v>
      </c>
      <c r="X170" s="106">
        <f t="shared" si="203"/>
        <v>32</v>
      </c>
      <c r="Y170" s="102">
        <f t="shared" si="204"/>
        <v>276</v>
      </c>
      <c r="Z170" s="109">
        <f t="shared" si="204"/>
        <v>35000</v>
      </c>
      <c r="AA170" s="109">
        <f t="shared" si="188"/>
        <v>31000</v>
      </c>
      <c r="AB170" s="109">
        <f t="shared" si="202"/>
        <v>4000</v>
      </c>
      <c r="AC170" s="4">
        <f t="shared" si="202"/>
        <v>0.88571428571428568</v>
      </c>
      <c r="AD170" s="105">
        <f t="shared" si="202"/>
        <v>1093.75</v>
      </c>
      <c r="AE170" s="75" t="str">
        <f t="shared" si="189"/>
        <v>계</v>
      </c>
      <c r="AF170" s="75" t="str">
        <f t="shared" si="190"/>
        <v>3/2</v>
      </c>
      <c r="AH170" s="20" t="str">
        <f t="shared" si="171"/>
        <v>팔용동 벽산블루밍C단지</v>
      </c>
      <c r="AI170" s="106">
        <f t="shared" si="163"/>
        <v>32</v>
      </c>
      <c r="AJ170" s="75" t="str">
        <f t="shared" si="191"/>
        <v>A-</v>
      </c>
      <c r="AK170" s="75" t="s">
        <v>14</v>
      </c>
      <c r="AL170" s="75" t="s">
        <v>944</v>
      </c>
      <c r="AM170" s="75" t="s">
        <v>945</v>
      </c>
      <c r="AN170" s="75" t="str">
        <f t="shared" si="192"/>
        <v>C</v>
      </c>
      <c r="AO170" s="75" t="str">
        <f t="shared" si="193"/>
        <v>O</v>
      </c>
      <c r="AP170" s="75" t="str">
        <f t="shared" si="194"/>
        <v>O</v>
      </c>
      <c r="AQ170" s="75" t="str">
        <f t="shared" si="195"/>
        <v>X</v>
      </c>
      <c r="AR170" s="75" t="str">
        <f t="shared" si="196"/>
        <v>O</v>
      </c>
      <c r="AS170" s="75" t="s">
        <v>2</v>
      </c>
      <c r="AT170" s="75" t="str">
        <f t="shared" si="197"/>
        <v>O</v>
      </c>
      <c r="AU170" s="75" t="str">
        <f t="shared" si="198"/>
        <v>O</v>
      </c>
      <c r="AV170" s="75" t="str">
        <f t="shared" si="199"/>
        <v>후보</v>
      </c>
    </row>
    <row r="171" spans="1:48" s="38" customFormat="1" ht="12" x14ac:dyDescent="0.3">
      <c r="A171" s="110" t="s">
        <v>1134</v>
      </c>
      <c r="B171" s="111" t="s">
        <v>1059</v>
      </c>
      <c r="C171" s="112">
        <v>1132</v>
      </c>
      <c r="D171" s="104">
        <v>112.9</v>
      </c>
      <c r="E171" s="106">
        <v>34</v>
      </c>
      <c r="F171" s="104">
        <v>84.9</v>
      </c>
      <c r="G171" s="17">
        <v>26</v>
      </c>
      <c r="H171" s="107">
        <v>378</v>
      </c>
      <c r="I171" s="108"/>
      <c r="J171" s="108"/>
      <c r="K171" s="108"/>
      <c r="L171" s="108"/>
      <c r="M171" s="109">
        <f t="shared" si="184"/>
        <v>0</v>
      </c>
      <c r="N171" s="4" t="str">
        <f t="shared" si="185"/>
        <v/>
      </c>
      <c r="O171" s="105">
        <f t="shared" si="186"/>
        <v>0</v>
      </c>
      <c r="P171" s="105">
        <f t="shared" si="187"/>
        <v>0</v>
      </c>
      <c r="Q171" s="75">
        <v>3</v>
      </c>
      <c r="R171" s="75">
        <v>2</v>
      </c>
      <c r="S171" s="75" t="s">
        <v>947</v>
      </c>
      <c r="T171" s="5" t="s">
        <v>245</v>
      </c>
      <c r="U171" s="9"/>
      <c r="W171" s="104">
        <f t="shared" si="203"/>
        <v>112.9</v>
      </c>
      <c r="X171" s="106">
        <f t="shared" si="203"/>
        <v>34</v>
      </c>
      <c r="Y171" s="102">
        <f t="shared" si="204"/>
        <v>378</v>
      </c>
      <c r="Z171" s="109">
        <f t="shared" si="204"/>
        <v>0</v>
      </c>
      <c r="AA171" s="109">
        <f t="shared" si="188"/>
        <v>0</v>
      </c>
      <c r="AB171" s="109">
        <f t="shared" si="202"/>
        <v>0</v>
      </c>
      <c r="AC171" s="4" t="str">
        <f t="shared" si="202"/>
        <v/>
      </c>
      <c r="AD171" s="105">
        <f t="shared" si="202"/>
        <v>0</v>
      </c>
      <c r="AE171" s="75" t="str">
        <f t="shared" si="189"/>
        <v>계</v>
      </c>
      <c r="AF171" s="75" t="str">
        <f t="shared" si="190"/>
        <v>3/2</v>
      </c>
      <c r="AH171" s="20" t="str">
        <f t="shared" si="171"/>
        <v>팔용동 힐스테이트아티움시티</v>
      </c>
      <c r="AI171" s="106">
        <f t="shared" si="163"/>
        <v>34</v>
      </c>
      <c r="AJ171" s="75" t="str">
        <f t="shared" si="191"/>
        <v>A-</v>
      </c>
      <c r="AK171" s="75" t="s">
        <v>14</v>
      </c>
      <c r="AL171" s="75" t="s">
        <v>944</v>
      </c>
      <c r="AM171" s="75" t="s">
        <v>945</v>
      </c>
      <c r="AN171" s="75" t="str">
        <f t="shared" si="192"/>
        <v>C</v>
      </c>
      <c r="AO171" s="75" t="str">
        <f t="shared" si="193"/>
        <v/>
      </c>
      <c r="AP171" s="75" t="str">
        <f t="shared" si="194"/>
        <v/>
      </c>
      <c r="AQ171" s="75" t="str">
        <f t="shared" si="195"/>
        <v>O</v>
      </c>
      <c r="AR171" s="75" t="str">
        <f t="shared" si="196"/>
        <v>O</v>
      </c>
      <c r="AS171" s="75" t="s">
        <v>2</v>
      </c>
      <c r="AT171" s="75" t="str">
        <f t="shared" si="197"/>
        <v>O</v>
      </c>
      <c r="AU171" s="75" t="str">
        <f t="shared" si="198"/>
        <v>O</v>
      </c>
      <c r="AV171" s="75" t="str">
        <f t="shared" si="199"/>
        <v/>
      </c>
    </row>
    <row r="172" spans="1:48" s="38" customFormat="1" ht="12" x14ac:dyDescent="0.3">
      <c r="A172" s="110" t="s">
        <v>1058</v>
      </c>
      <c r="B172" s="111" t="s">
        <v>1135</v>
      </c>
      <c r="C172" s="112">
        <v>1132</v>
      </c>
      <c r="D172" s="104">
        <v>114.3</v>
      </c>
      <c r="E172" s="106">
        <v>35</v>
      </c>
      <c r="F172" s="104">
        <v>84.6</v>
      </c>
      <c r="G172" s="17">
        <v>26</v>
      </c>
      <c r="H172" s="107">
        <v>378</v>
      </c>
      <c r="I172" s="108"/>
      <c r="J172" s="108"/>
      <c r="K172" s="108"/>
      <c r="L172" s="108"/>
      <c r="M172" s="109">
        <f t="shared" si="184"/>
        <v>0</v>
      </c>
      <c r="N172" s="4" t="str">
        <f t="shared" si="185"/>
        <v/>
      </c>
      <c r="O172" s="105">
        <f t="shared" si="186"/>
        <v>0</v>
      </c>
      <c r="P172" s="105">
        <f t="shared" si="187"/>
        <v>0</v>
      </c>
      <c r="Q172" s="75">
        <v>3</v>
      </c>
      <c r="R172" s="75">
        <v>2</v>
      </c>
      <c r="S172" s="75" t="s">
        <v>947</v>
      </c>
      <c r="T172" s="5" t="s">
        <v>688</v>
      </c>
      <c r="U172" s="9"/>
      <c r="W172" s="104">
        <f t="shared" si="203"/>
        <v>114.3</v>
      </c>
      <c r="X172" s="106">
        <f t="shared" si="203"/>
        <v>35</v>
      </c>
      <c r="Y172" s="102">
        <f t="shared" si="204"/>
        <v>378</v>
      </c>
      <c r="Z172" s="109">
        <f t="shared" si="204"/>
        <v>0</v>
      </c>
      <c r="AA172" s="109">
        <f t="shared" si="188"/>
        <v>0</v>
      </c>
      <c r="AB172" s="109">
        <f t="shared" si="202"/>
        <v>0</v>
      </c>
      <c r="AC172" s="4" t="str">
        <f t="shared" si="202"/>
        <v/>
      </c>
      <c r="AD172" s="105">
        <f t="shared" si="202"/>
        <v>0</v>
      </c>
      <c r="AE172" s="75" t="str">
        <f t="shared" si="189"/>
        <v>계</v>
      </c>
      <c r="AF172" s="75" t="str">
        <f t="shared" si="190"/>
        <v>3/2</v>
      </c>
      <c r="AH172" s="20" t="str">
        <f t="shared" si="171"/>
        <v>팔용동 힐스테이트아티움시티</v>
      </c>
      <c r="AI172" s="106">
        <f t="shared" si="163"/>
        <v>35</v>
      </c>
      <c r="AJ172" s="75" t="str">
        <f t="shared" si="191"/>
        <v>A-</v>
      </c>
      <c r="AK172" s="75" t="s">
        <v>14</v>
      </c>
      <c r="AL172" s="75" t="s">
        <v>944</v>
      </c>
      <c r="AM172" s="75" t="s">
        <v>945</v>
      </c>
      <c r="AN172" s="75" t="str">
        <f t="shared" si="192"/>
        <v>C</v>
      </c>
      <c r="AO172" s="75" t="str">
        <f t="shared" si="193"/>
        <v/>
      </c>
      <c r="AP172" s="75" t="str">
        <f t="shared" si="194"/>
        <v/>
      </c>
      <c r="AQ172" s="75" t="str">
        <f t="shared" si="195"/>
        <v>O</v>
      </c>
      <c r="AR172" s="75" t="str">
        <f t="shared" si="196"/>
        <v>O</v>
      </c>
      <c r="AS172" s="75" t="s">
        <v>2</v>
      </c>
      <c r="AT172" s="75" t="str">
        <f t="shared" si="197"/>
        <v>O</v>
      </c>
      <c r="AU172" s="75" t="str">
        <f t="shared" si="198"/>
        <v>O</v>
      </c>
      <c r="AV172" s="75" t="str">
        <f t="shared" si="199"/>
        <v/>
      </c>
    </row>
    <row r="173" spans="1:48" s="38" customFormat="1" ht="12" x14ac:dyDescent="0.3">
      <c r="A173" s="110" t="s">
        <v>1058</v>
      </c>
      <c r="B173" s="111" t="s">
        <v>1059</v>
      </c>
      <c r="C173" s="112">
        <v>1132</v>
      </c>
      <c r="D173" s="104">
        <v>114.9</v>
      </c>
      <c r="E173" s="106">
        <v>35</v>
      </c>
      <c r="F173" s="104">
        <v>84.9</v>
      </c>
      <c r="G173" s="17">
        <v>26</v>
      </c>
      <c r="H173" s="107">
        <v>376</v>
      </c>
      <c r="I173" s="108"/>
      <c r="J173" s="108"/>
      <c r="K173" s="108"/>
      <c r="L173" s="108"/>
      <c r="M173" s="109">
        <f t="shared" si="184"/>
        <v>0</v>
      </c>
      <c r="N173" s="4" t="str">
        <f t="shared" si="185"/>
        <v/>
      </c>
      <c r="O173" s="105">
        <f t="shared" si="186"/>
        <v>0</v>
      </c>
      <c r="P173" s="105">
        <f t="shared" si="187"/>
        <v>0</v>
      </c>
      <c r="Q173" s="75">
        <v>3</v>
      </c>
      <c r="R173" s="75">
        <v>2</v>
      </c>
      <c r="S173" s="75" t="s">
        <v>947</v>
      </c>
      <c r="T173" s="5" t="s">
        <v>210</v>
      </c>
      <c r="U173" s="9"/>
      <c r="W173" s="104">
        <f t="shared" si="203"/>
        <v>114.9</v>
      </c>
      <c r="X173" s="106">
        <f t="shared" si="203"/>
        <v>35</v>
      </c>
      <c r="Y173" s="102">
        <f t="shared" si="204"/>
        <v>376</v>
      </c>
      <c r="Z173" s="109">
        <f t="shared" si="204"/>
        <v>0</v>
      </c>
      <c r="AA173" s="109">
        <f t="shared" si="188"/>
        <v>0</v>
      </c>
      <c r="AB173" s="109">
        <f t="shared" si="202"/>
        <v>0</v>
      </c>
      <c r="AC173" s="4" t="str">
        <f t="shared" si="202"/>
        <v/>
      </c>
      <c r="AD173" s="105">
        <f t="shared" si="202"/>
        <v>0</v>
      </c>
      <c r="AE173" s="75" t="str">
        <f t="shared" si="189"/>
        <v>계</v>
      </c>
      <c r="AF173" s="75" t="str">
        <f t="shared" si="190"/>
        <v>3/2</v>
      </c>
      <c r="AH173" s="20" t="str">
        <f t="shared" si="171"/>
        <v>팔용동 힐스테이트아티움시티</v>
      </c>
      <c r="AI173" s="106">
        <f t="shared" si="163"/>
        <v>35</v>
      </c>
      <c r="AJ173" s="75" t="str">
        <f t="shared" si="191"/>
        <v>A-</v>
      </c>
      <c r="AK173" s="75" t="s">
        <v>14</v>
      </c>
      <c r="AL173" s="75" t="s">
        <v>944</v>
      </c>
      <c r="AM173" s="75" t="s">
        <v>945</v>
      </c>
      <c r="AN173" s="75" t="str">
        <f t="shared" si="192"/>
        <v>C</v>
      </c>
      <c r="AO173" s="75" t="str">
        <f t="shared" si="193"/>
        <v/>
      </c>
      <c r="AP173" s="75" t="str">
        <f t="shared" si="194"/>
        <v/>
      </c>
      <c r="AQ173" s="75" t="str">
        <f t="shared" si="195"/>
        <v>O</v>
      </c>
      <c r="AR173" s="75" t="str">
        <f t="shared" si="196"/>
        <v>O</v>
      </c>
      <c r="AS173" s="75" t="s">
        <v>2</v>
      </c>
      <c r="AT173" s="75" t="str">
        <f t="shared" si="197"/>
        <v>O</v>
      </c>
      <c r="AU173" s="75" t="str">
        <f t="shared" si="198"/>
        <v>O</v>
      </c>
      <c r="AV173" s="75" t="str">
        <f t="shared" si="199"/>
        <v/>
      </c>
    </row>
    <row r="174" spans="1:48" s="38" customFormat="1" ht="12" x14ac:dyDescent="0.3">
      <c r="A174" s="110" t="s">
        <v>1060</v>
      </c>
      <c r="B174" s="111" t="s">
        <v>1136</v>
      </c>
      <c r="C174" s="112">
        <v>1059</v>
      </c>
      <c r="D174" s="104">
        <v>72.900000000000006</v>
      </c>
      <c r="E174" s="106">
        <v>22</v>
      </c>
      <c r="F174" s="104">
        <v>49.9</v>
      </c>
      <c r="G174" s="17">
        <v>15</v>
      </c>
      <c r="H174" s="107">
        <v>108</v>
      </c>
      <c r="I174" s="108">
        <v>17500</v>
      </c>
      <c r="J174" s="108" t="s">
        <v>954</v>
      </c>
      <c r="K174" s="108"/>
      <c r="L174" s="108"/>
      <c r="M174" s="109">
        <f t="shared" si="184"/>
        <v>17500</v>
      </c>
      <c r="N174" s="4">
        <f t="shared" si="185"/>
        <v>0</v>
      </c>
      <c r="O174" s="105">
        <f t="shared" si="186"/>
        <v>795.4545454545455</v>
      </c>
      <c r="P174" s="105">
        <f t="shared" si="187"/>
        <v>0</v>
      </c>
      <c r="Q174" s="75">
        <v>2</v>
      </c>
      <c r="R174" s="75">
        <v>1</v>
      </c>
      <c r="S174" s="75" t="s">
        <v>943</v>
      </c>
      <c r="T174" s="5">
        <v>72</v>
      </c>
      <c r="U174" s="9"/>
      <c r="W174" s="104">
        <f t="shared" si="203"/>
        <v>72.900000000000006</v>
      </c>
      <c r="X174" s="106">
        <f t="shared" si="203"/>
        <v>22</v>
      </c>
      <c r="Y174" s="102">
        <f t="shared" si="204"/>
        <v>108</v>
      </c>
      <c r="Z174" s="109">
        <f t="shared" si="204"/>
        <v>17500</v>
      </c>
      <c r="AA174" s="109">
        <f t="shared" si="188"/>
        <v>0</v>
      </c>
      <c r="AB174" s="109">
        <f t="shared" si="202"/>
        <v>17500</v>
      </c>
      <c r="AC174" s="4">
        <f t="shared" si="202"/>
        <v>0</v>
      </c>
      <c r="AD174" s="105">
        <f t="shared" si="202"/>
        <v>795.4545454545455</v>
      </c>
      <c r="AE174" s="75" t="str">
        <f t="shared" si="189"/>
        <v>복</v>
      </c>
      <c r="AF174" s="75" t="str">
        <f t="shared" si="190"/>
        <v>2/1</v>
      </c>
      <c r="AH174" s="20" t="str">
        <f t="shared" si="171"/>
        <v>팔용동 극동</v>
      </c>
      <c r="AI174" s="106">
        <f t="shared" si="163"/>
        <v>22</v>
      </c>
      <c r="AJ174" s="75" t="str">
        <f t="shared" si="191"/>
        <v>A-</v>
      </c>
      <c r="AK174" s="75" t="s">
        <v>14</v>
      </c>
      <c r="AL174" s="75" t="s">
        <v>944</v>
      </c>
      <c r="AM174" s="75" t="s">
        <v>945</v>
      </c>
      <c r="AN174" s="75" t="str">
        <f t="shared" si="192"/>
        <v>C</v>
      </c>
      <c r="AO174" s="75" t="str">
        <f t="shared" si="193"/>
        <v>X</v>
      </c>
      <c r="AP174" s="75" t="str">
        <f t="shared" si="194"/>
        <v>O</v>
      </c>
      <c r="AQ174" s="75" t="str">
        <f t="shared" si="195"/>
        <v>O</v>
      </c>
      <c r="AR174" s="75" t="str">
        <f t="shared" si="196"/>
        <v>X</v>
      </c>
      <c r="AS174" s="75" t="s">
        <v>2</v>
      </c>
      <c r="AT174" s="75" t="str">
        <f t="shared" si="197"/>
        <v>O</v>
      </c>
      <c r="AU174" s="75" t="str">
        <f t="shared" si="198"/>
        <v>O</v>
      </c>
      <c r="AV174" s="75" t="str">
        <f t="shared" si="199"/>
        <v>X</v>
      </c>
    </row>
    <row r="175" spans="1:48" s="38" customFormat="1" ht="12" x14ac:dyDescent="0.3">
      <c r="A175" s="110" t="s">
        <v>1137</v>
      </c>
      <c r="B175" s="111" t="s">
        <v>1061</v>
      </c>
      <c r="C175" s="112">
        <v>1059</v>
      </c>
      <c r="D175" s="104">
        <v>86.7</v>
      </c>
      <c r="E175" s="106">
        <v>26</v>
      </c>
      <c r="F175" s="104">
        <v>59.3</v>
      </c>
      <c r="G175" s="17">
        <v>18</v>
      </c>
      <c r="H175" s="107">
        <v>299</v>
      </c>
      <c r="I175" s="108">
        <v>23000</v>
      </c>
      <c r="J175" s="108" t="s">
        <v>981</v>
      </c>
      <c r="K175" s="108">
        <v>20000</v>
      </c>
      <c r="L175" s="108" t="s">
        <v>957</v>
      </c>
      <c r="M175" s="109">
        <f t="shared" si="184"/>
        <v>3000</v>
      </c>
      <c r="N175" s="4">
        <f t="shared" si="185"/>
        <v>0.86956521739130432</v>
      </c>
      <c r="O175" s="105">
        <f t="shared" si="186"/>
        <v>884.61538461538464</v>
      </c>
      <c r="P175" s="105">
        <f t="shared" si="187"/>
        <v>769.23076923076928</v>
      </c>
      <c r="Q175" s="75">
        <v>3</v>
      </c>
      <c r="R175" s="75">
        <v>1</v>
      </c>
      <c r="S175" s="75" t="s">
        <v>943</v>
      </c>
      <c r="T175" s="5">
        <v>86</v>
      </c>
      <c r="U175" s="9"/>
      <c r="W175" s="104">
        <f t="shared" si="203"/>
        <v>86.7</v>
      </c>
      <c r="X175" s="106">
        <f t="shared" si="203"/>
        <v>26</v>
      </c>
      <c r="Y175" s="102">
        <f t="shared" si="204"/>
        <v>299</v>
      </c>
      <c r="Z175" s="109">
        <f t="shared" si="204"/>
        <v>23000</v>
      </c>
      <c r="AA175" s="109">
        <f t="shared" si="188"/>
        <v>20000</v>
      </c>
      <c r="AB175" s="109">
        <f t="shared" ref="AB175:AD180" si="205">M175</f>
        <v>3000</v>
      </c>
      <c r="AC175" s="4">
        <f t="shared" si="205"/>
        <v>0.86956521739130432</v>
      </c>
      <c r="AD175" s="105">
        <f t="shared" si="205"/>
        <v>884.61538461538464</v>
      </c>
      <c r="AE175" s="75" t="str">
        <f t="shared" si="189"/>
        <v>복</v>
      </c>
      <c r="AF175" s="75" t="str">
        <f t="shared" si="190"/>
        <v>3/1</v>
      </c>
      <c r="AH175" s="20" t="str">
        <f t="shared" si="171"/>
        <v>팔용동 극동</v>
      </c>
      <c r="AI175" s="106">
        <f t="shared" si="163"/>
        <v>26</v>
      </c>
      <c r="AJ175" s="75" t="str">
        <f t="shared" si="191"/>
        <v>A-</v>
      </c>
      <c r="AK175" s="75" t="s">
        <v>14</v>
      </c>
      <c r="AL175" s="75" t="s">
        <v>944</v>
      </c>
      <c r="AM175" s="75" t="s">
        <v>945</v>
      </c>
      <c r="AN175" s="75" t="str">
        <f t="shared" si="192"/>
        <v>C</v>
      </c>
      <c r="AO175" s="75" t="str">
        <f t="shared" si="193"/>
        <v>O</v>
      </c>
      <c r="AP175" s="75" t="str">
        <f t="shared" si="194"/>
        <v>O</v>
      </c>
      <c r="AQ175" s="75" t="str">
        <f t="shared" si="195"/>
        <v>O</v>
      </c>
      <c r="AR175" s="75" t="str">
        <f t="shared" si="196"/>
        <v>O</v>
      </c>
      <c r="AS175" s="75" t="s">
        <v>2</v>
      </c>
      <c r="AT175" s="75" t="str">
        <f t="shared" si="197"/>
        <v>O</v>
      </c>
      <c r="AU175" s="75" t="str">
        <f t="shared" si="198"/>
        <v>O</v>
      </c>
      <c r="AV175" s="75" t="str">
        <f t="shared" si="199"/>
        <v>후보</v>
      </c>
    </row>
    <row r="176" spans="1:48" s="38" customFormat="1" ht="12" x14ac:dyDescent="0.3">
      <c r="A176" s="110" t="s">
        <v>1137</v>
      </c>
      <c r="B176" s="111" t="s">
        <v>1138</v>
      </c>
      <c r="C176" s="112">
        <v>1059</v>
      </c>
      <c r="D176" s="104">
        <v>105.5</v>
      </c>
      <c r="E176" s="106">
        <v>32</v>
      </c>
      <c r="F176" s="104">
        <v>84.9</v>
      </c>
      <c r="G176" s="17">
        <v>26</v>
      </c>
      <c r="H176" s="107">
        <v>360</v>
      </c>
      <c r="I176" s="108">
        <v>31300</v>
      </c>
      <c r="J176" s="108" t="s">
        <v>957</v>
      </c>
      <c r="K176" s="108"/>
      <c r="L176" s="108"/>
      <c r="M176" s="109">
        <f t="shared" si="184"/>
        <v>31300</v>
      </c>
      <c r="N176" s="4">
        <f t="shared" si="185"/>
        <v>0</v>
      </c>
      <c r="O176" s="105">
        <f t="shared" si="186"/>
        <v>978.125</v>
      </c>
      <c r="P176" s="105">
        <f t="shared" si="187"/>
        <v>0</v>
      </c>
      <c r="Q176" s="75">
        <v>3</v>
      </c>
      <c r="R176" s="75">
        <v>2</v>
      </c>
      <c r="S176" s="75" t="s">
        <v>947</v>
      </c>
      <c r="T176" s="5">
        <v>105</v>
      </c>
      <c r="U176" s="9"/>
      <c r="W176" s="104">
        <f t="shared" si="203"/>
        <v>105.5</v>
      </c>
      <c r="X176" s="106">
        <f t="shared" si="203"/>
        <v>32</v>
      </c>
      <c r="Y176" s="102">
        <f t="shared" si="204"/>
        <v>360</v>
      </c>
      <c r="Z176" s="109">
        <f t="shared" si="204"/>
        <v>31300</v>
      </c>
      <c r="AA176" s="109">
        <f t="shared" si="188"/>
        <v>0</v>
      </c>
      <c r="AB176" s="109">
        <f t="shared" si="205"/>
        <v>31300</v>
      </c>
      <c r="AC176" s="4">
        <f t="shared" si="205"/>
        <v>0</v>
      </c>
      <c r="AD176" s="105">
        <f t="shared" si="205"/>
        <v>978.125</v>
      </c>
      <c r="AE176" s="75" t="str">
        <f t="shared" si="189"/>
        <v>계</v>
      </c>
      <c r="AF176" s="75" t="str">
        <f t="shared" si="190"/>
        <v>3/2</v>
      </c>
      <c r="AH176" s="20" t="str">
        <f t="shared" si="171"/>
        <v>팔용동 극동</v>
      </c>
      <c r="AI176" s="106">
        <f t="shared" si="163"/>
        <v>32</v>
      </c>
      <c r="AJ176" s="75" t="str">
        <f t="shared" si="191"/>
        <v>A-</v>
      </c>
      <c r="AK176" s="75" t="s">
        <v>14</v>
      </c>
      <c r="AL176" s="75" t="s">
        <v>944</v>
      </c>
      <c r="AM176" s="75" t="s">
        <v>945</v>
      </c>
      <c r="AN176" s="75" t="str">
        <f t="shared" si="192"/>
        <v>C</v>
      </c>
      <c r="AO176" s="75" t="str">
        <f t="shared" si="193"/>
        <v>X</v>
      </c>
      <c r="AP176" s="75" t="str">
        <f t="shared" si="194"/>
        <v>O</v>
      </c>
      <c r="AQ176" s="75" t="str">
        <f t="shared" si="195"/>
        <v>O</v>
      </c>
      <c r="AR176" s="75" t="str">
        <f t="shared" si="196"/>
        <v>X</v>
      </c>
      <c r="AS176" s="75" t="s">
        <v>2</v>
      </c>
      <c r="AT176" s="75" t="str">
        <f t="shared" si="197"/>
        <v>O</v>
      </c>
      <c r="AU176" s="75" t="str">
        <f t="shared" si="198"/>
        <v>O</v>
      </c>
      <c r="AV176" s="75" t="str">
        <f t="shared" si="199"/>
        <v>X</v>
      </c>
    </row>
    <row r="177" spans="1:51" s="38" customFormat="1" ht="12" x14ac:dyDescent="0.3">
      <c r="A177" s="110" t="s">
        <v>1137</v>
      </c>
      <c r="B177" s="111" t="s">
        <v>1138</v>
      </c>
      <c r="C177" s="112">
        <v>1059</v>
      </c>
      <c r="D177" s="104">
        <v>135.1</v>
      </c>
      <c r="E177" s="106">
        <v>41</v>
      </c>
      <c r="F177" s="104">
        <v>108.7</v>
      </c>
      <c r="G177" s="17">
        <v>33</v>
      </c>
      <c r="H177" s="107">
        <v>292</v>
      </c>
      <c r="I177" s="108">
        <v>36000</v>
      </c>
      <c r="J177" s="108" t="s">
        <v>954</v>
      </c>
      <c r="K177" s="108">
        <v>31000</v>
      </c>
      <c r="L177" s="108" t="s">
        <v>954</v>
      </c>
      <c r="M177" s="109">
        <f t="shared" si="184"/>
        <v>5000</v>
      </c>
      <c r="N177" s="4">
        <f t="shared" si="185"/>
        <v>0.86111111111111116</v>
      </c>
      <c r="O177" s="105">
        <f t="shared" si="186"/>
        <v>878.04878048780483</v>
      </c>
      <c r="P177" s="105">
        <f t="shared" si="187"/>
        <v>756.09756097560978</v>
      </c>
      <c r="Q177" s="75">
        <v>4</v>
      </c>
      <c r="R177" s="75">
        <v>2</v>
      </c>
      <c r="S177" s="75" t="s">
        <v>947</v>
      </c>
      <c r="T177" s="5">
        <v>135</v>
      </c>
      <c r="U177" s="9"/>
      <c r="W177" s="104">
        <f t="shared" si="203"/>
        <v>135.1</v>
      </c>
      <c r="X177" s="106">
        <f t="shared" si="203"/>
        <v>41</v>
      </c>
      <c r="Y177" s="102">
        <f t="shared" si="204"/>
        <v>292</v>
      </c>
      <c r="Z177" s="109">
        <f t="shared" si="204"/>
        <v>36000</v>
      </c>
      <c r="AA177" s="109">
        <f t="shared" si="188"/>
        <v>31000</v>
      </c>
      <c r="AB177" s="109">
        <f t="shared" si="205"/>
        <v>5000</v>
      </c>
      <c r="AC177" s="4">
        <f t="shared" si="205"/>
        <v>0.86111111111111116</v>
      </c>
      <c r="AD177" s="105">
        <f t="shared" si="205"/>
        <v>878.04878048780483</v>
      </c>
      <c r="AE177" s="75" t="str">
        <f t="shared" si="189"/>
        <v>계</v>
      </c>
      <c r="AF177" s="75" t="str">
        <f t="shared" si="190"/>
        <v>4/2</v>
      </c>
      <c r="AH177" s="20" t="str">
        <f t="shared" si="171"/>
        <v>팔용동 극동</v>
      </c>
      <c r="AI177" s="106">
        <f t="shared" si="163"/>
        <v>41</v>
      </c>
      <c r="AJ177" s="75" t="str">
        <f t="shared" si="191"/>
        <v>A-</v>
      </c>
      <c r="AK177" s="75" t="s">
        <v>14</v>
      </c>
      <c r="AL177" s="75" t="s">
        <v>944</v>
      </c>
      <c r="AM177" s="75" t="s">
        <v>945</v>
      </c>
      <c r="AN177" s="75" t="str">
        <f t="shared" si="192"/>
        <v>C</v>
      </c>
      <c r="AO177" s="75" t="str">
        <f t="shared" si="193"/>
        <v>O</v>
      </c>
      <c r="AP177" s="75" t="str">
        <f t="shared" si="194"/>
        <v>O</v>
      </c>
      <c r="AQ177" s="75" t="str">
        <f t="shared" si="195"/>
        <v>O</v>
      </c>
      <c r="AR177" s="75" t="str">
        <f t="shared" si="196"/>
        <v>O</v>
      </c>
      <c r="AS177" s="75" t="s">
        <v>2</v>
      </c>
      <c r="AT177" s="75" t="str">
        <f t="shared" si="197"/>
        <v>X</v>
      </c>
      <c r="AU177" s="75" t="str">
        <f t="shared" si="198"/>
        <v>O</v>
      </c>
      <c r="AV177" s="75" t="str">
        <f t="shared" si="199"/>
        <v>X</v>
      </c>
    </row>
    <row r="178" spans="1:51" s="38" customFormat="1" ht="12" x14ac:dyDescent="0.3">
      <c r="A178" s="110" t="s">
        <v>1139</v>
      </c>
      <c r="B178" s="111" t="s">
        <v>1140</v>
      </c>
      <c r="C178" s="112">
        <v>1040</v>
      </c>
      <c r="D178" s="104">
        <v>69.7</v>
      </c>
      <c r="E178" s="106">
        <v>21</v>
      </c>
      <c r="F178" s="104">
        <v>59.9</v>
      </c>
      <c r="G178" s="17">
        <v>18</v>
      </c>
      <c r="H178" s="107">
        <v>830</v>
      </c>
      <c r="I178" s="108">
        <v>24000</v>
      </c>
      <c r="J178" s="108" t="s">
        <v>964</v>
      </c>
      <c r="K178" s="108"/>
      <c r="L178" s="108"/>
      <c r="M178" s="109">
        <f t="shared" si="184"/>
        <v>24000</v>
      </c>
      <c r="N178" s="4">
        <f t="shared" si="185"/>
        <v>0</v>
      </c>
      <c r="O178" s="105">
        <f t="shared" si="186"/>
        <v>1142.8571428571429</v>
      </c>
      <c r="P178" s="105">
        <f t="shared" si="187"/>
        <v>0</v>
      </c>
      <c r="Q178" s="75">
        <v>3</v>
      </c>
      <c r="R178" s="75">
        <v>1</v>
      </c>
      <c r="S178" s="75" t="s">
        <v>947</v>
      </c>
      <c r="T178" s="5">
        <v>69</v>
      </c>
      <c r="U178" s="9"/>
      <c r="W178" s="104">
        <f t="shared" si="203"/>
        <v>69.7</v>
      </c>
      <c r="X178" s="106">
        <f t="shared" si="203"/>
        <v>21</v>
      </c>
      <c r="Y178" s="102">
        <f t="shared" si="204"/>
        <v>830</v>
      </c>
      <c r="Z178" s="109">
        <f t="shared" si="204"/>
        <v>24000</v>
      </c>
      <c r="AA178" s="109">
        <f t="shared" si="188"/>
        <v>0</v>
      </c>
      <c r="AB178" s="109">
        <f t="shared" si="205"/>
        <v>24000</v>
      </c>
      <c r="AC178" s="4">
        <f t="shared" si="205"/>
        <v>0</v>
      </c>
      <c r="AD178" s="105">
        <f t="shared" si="205"/>
        <v>1142.8571428571429</v>
      </c>
      <c r="AE178" s="75" t="str">
        <f t="shared" si="189"/>
        <v>계</v>
      </c>
      <c r="AF178" s="75" t="str">
        <f t="shared" si="190"/>
        <v>3/1</v>
      </c>
      <c r="AH178" s="20" t="str">
        <f t="shared" si="171"/>
        <v>팔용동 대동중앙</v>
      </c>
      <c r="AI178" s="106">
        <f t="shared" si="163"/>
        <v>21</v>
      </c>
      <c r="AJ178" s="75" t="str">
        <f t="shared" si="191"/>
        <v>A-</v>
      </c>
      <c r="AK178" s="75" t="s">
        <v>14</v>
      </c>
      <c r="AL178" s="75" t="s">
        <v>944</v>
      </c>
      <c r="AM178" s="75" t="s">
        <v>945</v>
      </c>
      <c r="AN178" s="75" t="str">
        <f t="shared" si="192"/>
        <v>C</v>
      </c>
      <c r="AO178" s="75" t="str">
        <f t="shared" si="193"/>
        <v>X</v>
      </c>
      <c r="AP178" s="75" t="str">
        <f t="shared" si="194"/>
        <v>O</v>
      </c>
      <c r="AQ178" s="75" t="str">
        <f t="shared" si="195"/>
        <v>X</v>
      </c>
      <c r="AR178" s="75" t="str">
        <f t="shared" si="196"/>
        <v>X</v>
      </c>
      <c r="AS178" s="75" t="s">
        <v>2</v>
      </c>
      <c r="AT178" s="75" t="str">
        <f t="shared" si="197"/>
        <v>O</v>
      </c>
      <c r="AU178" s="75" t="str">
        <f t="shared" si="198"/>
        <v>O</v>
      </c>
      <c r="AV178" s="75" t="str">
        <f t="shared" si="199"/>
        <v>X</v>
      </c>
    </row>
    <row r="179" spans="1:51" s="38" customFormat="1" ht="12" x14ac:dyDescent="0.3">
      <c r="A179" s="110" t="s">
        <v>1062</v>
      </c>
      <c r="B179" s="111" t="s">
        <v>1063</v>
      </c>
      <c r="C179" s="112">
        <v>1040</v>
      </c>
      <c r="D179" s="104">
        <v>69.400000000000006</v>
      </c>
      <c r="E179" s="106">
        <v>21</v>
      </c>
      <c r="F179" s="104">
        <v>59.7</v>
      </c>
      <c r="G179" s="17">
        <v>18</v>
      </c>
      <c r="H179" s="107">
        <v>120</v>
      </c>
      <c r="I179" s="108">
        <v>27500</v>
      </c>
      <c r="J179" s="108" t="s">
        <v>957</v>
      </c>
      <c r="K179" s="108"/>
      <c r="L179" s="108"/>
      <c r="M179" s="109">
        <f t="shared" si="184"/>
        <v>27500</v>
      </c>
      <c r="N179" s="4">
        <f t="shared" si="185"/>
        <v>0</v>
      </c>
      <c r="O179" s="105">
        <f t="shared" si="186"/>
        <v>1309.5238095238096</v>
      </c>
      <c r="P179" s="105">
        <f t="shared" si="187"/>
        <v>0</v>
      </c>
      <c r="Q179" s="75">
        <v>3</v>
      </c>
      <c r="R179" s="75">
        <v>1</v>
      </c>
      <c r="S179" s="75" t="s">
        <v>947</v>
      </c>
      <c r="T179" s="5" t="s">
        <v>345</v>
      </c>
      <c r="U179" s="9"/>
      <c r="W179" s="104">
        <f t="shared" si="203"/>
        <v>69.400000000000006</v>
      </c>
      <c r="X179" s="106">
        <f t="shared" si="203"/>
        <v>21</v>
      </c>
      <c r="Y179" s="102">
        <f t="shared" si="204"/>
        <v>120</v>
      </c>
      <c r="Z179" s="109">
        <f t="shared" si="204"/>
        <v>27500</v>
      </c>
      <c r="AA179" s="109">
        <f t="shared" si="188"/>
        <v>0</v>
      </c>
      <c r="AB179" s="109">
        <f t="shared" si="205"/>
        <v>27500</v>
      </c>
      <c r="AC179" s="4">
        <f t="shared" si="205"/>
        <v>0</v>
      </c>
      <c r="AD179" s="105">
        <f t="shared" si="205"/>
        <v>1309.5238095238096</v>
      </c>
      <c r="AE179" s="75" t="str">
        <f t="shared" si="189"/>
        <v>계</v>
      </c>
      <c r="AF179" s="75" t="str">
        <f t="shared" si="190"/>
        <v>3/1</v>
      </c>
      <c r="AH179" s="20" t="str">
        <f t="shared" si="171"/>
        <v>팔용동 대동중앙</v>
      </c>
      <c r="AI179" s="106">
        <f t="shared" si="163"/>
        <v>21</v>
      </c>
      <c r="AJ179" s="75" t="str">
        <f t="shared" si="191"/>
        <v>A-</v>
      </c>
      <c r="AK179" s="75" t="s">
        <v>14</v>
      </c>
      <c r="AL179" s="75" t="s">
        <v>944</v>
      </c>
      <c r="AM179" s="75" t="s">
        <v>945</v>
      </c>
      <c r="AN179" s="75" t="str">
        <f t="shared" si="192"/>
        <v>C</v>
      </c>
      <c r="AO179" s="75" t="str">
        <f t="shared" si="193"/>
        <v>X</v>
      </c>
      <c r="AP179" s="75" t="str">
        <f t="shared" si="194"/>
        <v>O</v>
      </c>
      <c r="AQ179" s="75" t="str">
        <f t="shared" si="195"/>
        <v>X</v>
      </c>
      <c r="AR179" s="75" t="str">
        <f t="shared" si="196"/>
        <v>X</v>
      </c>
      <c r="AS179" s="75" t="s">
        <v>2</v>
      </c>
      <c r="AT179" s="75" t="str">
        <f t="shared" si="197"/>
        <v>O</v>
      </c>
      <c r="AU179" s="75" t="str">
        <f t="shared" si="198"/>
        <v>O</v>
      </c>
      <c r="AV179" s="75" t="str">
        <f t="shared" si="199"/>
        <v>X</v>
      </c>
    </row>
    <row r="180" spans="1:51" s="38" customFormat="1" ht="12" x14ac:dyDescent="0.3">
      <c r="A180" s="110" t="s">
        <v>1062</v>
      </c>
      <c r="B180" s="111" t="s">
        <v>1063</v>
      </c>
      <c r="C180" s="112">
        <v>1040</v>
      </c>
      <c r="D180" s="104">
        <v>69.7</v>
      </c>
      <c r="E180" s="106">
        <v>21</v>
      </c>
      <c r="F180" s="104">
        <v>59.9</v>
      </c>
      <c r="G180" s="17">
        <v>18</v>
      </c>
      <c r="H180" s="107">
        <v>90</v>
      </c>
      <c r="I180" s="108">
        <v>24000</v>
      </c>
      <c r="J180" s="108" t="s">
        <v>964</v>
      </c>
      <c r="K180" s="108"/>
      <c r="L180" s="108"/>
      <c r="M180" s="109">
        <f t="shared" si="184"/>
        <v>24000</v>
      </c>
      <c r="N180" s="4">
        <f t="shared" si="185"/>
        <v>0</v>
      </c>
      <c r="O180" s="105">
        <f t="shared" si="186"/>
        <v>1142.8571428571429</v>
      </c>
      <c r="P180" s="105">
        <f t="shared" si="187"/>
        <v>0</v>
      </c>
      <c r="Q180" s="75">
        <v>3</v>
      </c>
      <c r="R180" s="75">
        <v>1</v>
      </c>
      <c r="S180" s="75" t="s">
        <v>947</v>
      </c>
      <c r="T180" s="5" t="s">
        <v>349</v>
      </c>
      <c r="U180" s="9"/>
      <c r="W180" s="104">
        <f t="shared" si="203"/>
        <v>69.7</v>
      </c>
      <c r="X180" s="106">
        <f t="shared" si="203"/>
        <v>21</v>
      </c>
      <c r="Y180" s="102">
        <f t="shared" si="204"/>
        <v>90</v>
      </c>
      <c r="Z180" s="109">
        <f t="shared" si="204"/>
        <v>24000</v>
      </c>
      <c r="AA180" s="109">
        <f t="shared" si="188"/>
        <v>0</v>
      </c>
      <c r="AB180" s="109">
        <f t="shared" si="205"/>
        <v>24000</v>
      </c>
      <c r="AC180" s="4">
        <f t="shared" si="205"/>
        <v>0</v>
      </c>
      <c r="AD180" s="105">
        <f t="shared" si="205"/>
        <v>1142.8571428571429</v>
      </c>
      <c r="AE180" s="75" t="str">
        <f t="shared" si="189"/>
        <v>계</v>
      </c>
      <c r="AF180" s="75" t="str">
        <f t="shared" si="190"/>
        <v>3/1</v>
      </c>
      <c r="AH180" s="20" t="str">
        <f t="shared" si="171"/>
        <v>팔용동 대동중앙</v>
      </c>
      <c r="AI180" s="106">
        <f t="shared" si="163"/>
        <v>21</v>
      </c>
      <c r="AJ180" s="75" t="str">
        <f t="shared" si="191"/>
        <v>A-</v>
      </c>
      <c r="AK180" s="75" t="s">
        <v>14</v>
      </c>
      <c r="AL180" s="75" t="s">
        <v>944</v>
      </c>
      <c r="AM180" s="75" t="s">
        <v>945</v>
      </c>
      <c r="AN180" s="75" t="str">
        <f t="shared" si="192"/>
        <v>C</v>
      </c>
      <c r="AO180" s="75" t="str">
        <f t="shared" si="193"/>
        <v>X</v>
      </c>
      <c r="AP180" s="75" t="str">
        <f t="shared" si="194"/>
        <v>O</v>
      </c>
      <c r="AQ180" s="75" t="str">
        <f t="shared" si="195"/>
        <v>X</v>
      </c>
      <c r="AR180" s="75" t="str">
        <f t="shared" si="196"/>
        <v>X</v>
      </c>
      <c r="AS180" s="75" t="s">
        <v>2</v>
      </c>
      <c r="AT180" s="75" t="str">
        <f t="shared" si="197"/>
        <v>O</v>
      </c>
      <c r="AU180" s="75" t="str">
        <f t="shared" si="198"/>
        <v>O</v>
      </c>
      <c r="AV180" s="75" t="str">
        <f t="shared" si="199"/>
        <v>X</v>
      </c>
    </row>
    <row r="181" spans="1:51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X181" s="84">
        <v>1994</v>
      </c>
      <c r="AY181" s="84">
        <v>12</v>
      </c>
    </row>
    <row r="182" spans="1:51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X182" s="84">
        <v>1994</v>
      </c>
      <c r="AY182" s="84">
        <v>12</v>
      </c>
    </row>
    <row r="183" spans="1:51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X183" s="84">
        <v>1997</v>
      </c>
      <c r="AY183" s="84">
        <v>7</v>
      </c>
    </row>
    <row r="184" spans="1:51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  <c r="AG184" s="77"/>
      <c r="AH184" s="77"/>
      <c r="AI184" s="77"/>
      <c r="AJ184" s="77"/>
      <c r="AK184" s="77"/>
      <c r="AL184" s="77"/>
      <c r="AM184" s="77"/>
      <c r="AN184" s="77"/>
      <c r="AO184" s="77"/>
      <c r="AP184" s="77"/>
      <c r="AQ184" s="77"/>
      <c r="AR184" s="77"/>
      <c r="AS184" s="77"/>
      <c r="AT184" s="77"/>
      <c r="AU184" s="77"/>
      <c r="AV184" s="77"/>
      <c r="AX184" s="84">
        <v>1997</v>
      </c>
      <c r="AY184" s="84">
        <v>7</v>
      </c>
    </row>
    <row r="185" spans="1:51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  <c r="AG185" s="77"/>
      <c r="AH185" s="77"/>
      <c r="AI185" s="77"/>
      <c r="AJ185" s="77"/>
      <c r="AK185" s="77"/>
      <c r="AL185" s="77"/>
      <c r="AM185" s="77"/>
      <c r="AN185" s="77"/>
      <c r="AO185" s="77"/>
      <c r="AP185" s="77"/>
      <c r="AQ185" s="77"/>
      <c r="AR185" s="77"/>
      <c r="AS185" s="77"/>
      <c r="AT185" s="77"/>
      <c r="AU185" s="77"/>
      <c r="AV185" s="77"/>
      <c r="AX185" s="84">
        <v>1996</v>
      </c>
      <c r="AY185" s="84">
        <v>3</v>
      </c>
    </row>
    <row r="186" spans="1:51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  <c r="AG186" s="77"/>
      <c r="AH186" s="77"/>
      <c r="AI186" s="77"/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  <c r="AX186" s="84">
        <v>1996</v>
      </c>
      <c r="AY186" s="84">
        <v>3</v>
      </c>
    </row>
    <row r="187" spans="1:51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  <c r="AT187" s="77"/>
      <c r="AU187" s="77"/>
      <c r="AV187" s="77"/>
      <c r="AX187" s="84">
        <v>1995</v>
      </c>
      <c r="AY187" s="84">
        <v>1</v>
      </c>
    </row>
    <row r="188" spans="1:51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77"/>
      <c r="AJ188" s="77"/>
      <c r="AK188" s="77"/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X188" s="84">
        <v>1995</v>
      </c>
      <c r="AY188" s="84">
        <v>1</v>
      </c>
    </row>
    <row r="189" spans="1:51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  <c r="AG189" s="77"/>
      <c r="AH189" s="77"/>
      <c r="AI189" s="77"/>
      <c r="AJ189" s="77"/>
      <c r="AK189" s="77"/>
      <c r="AL189" s="77"/>
      <c r="AM189" s="77"/>
      <c r="AN189" s="77"/>
      <c r="AO189" s="77"/>
      <c r="AP189" s="77"/>
      <c r="AQ189" s="77"/>
      <c r="AR189" s="77"/>
      <c r="AS189" s="77"/>
      <c r="AT189" s="77"/>
      <c r="AU189" s="77"/>
      <c r="AV189" s="77"/>
      <c r="AX189" s="84">
        <v>1995</v>
      </c>
      <c r="AY189" s="84">
        <v>1</v>
      </c>
    </row>
    <row r="190" spans="1:51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  <c r="AG190" s="77"/>
      <c r="AH190" s="77"/>
      <c r="AI190" s="77"/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  <c r="AX190" s="84">
        <v>1998</v>
      </c>
      <c r="AY190" s="84">
        <v>8</v>
      </c>
    </row>
    <row r="191" spans="1:51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  <c r="AO191" s="77"/>
      <c r="AP191" s="77"/>
      <c r="AQ191" s="77"/>
      <c r="AR191" s="77"/>
      <c r="AS191" s="77"/>
      <c r="AT191" s="77"/>
      <c r="AU191" s="77"/>
      <c r="AV191" s="77"/>
      <c r="AX191" s="84">
        <v>1998</v>
      </c>
      <c r="AY191" s="84">
        <v>8</v>
      </c>
    </row>
    <row r="192" spans="1:51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  <c r="AO192" s="77"/>
      <c r="AP192" s="77"/>
      <c r="AQ192" s="77"/>
      <c r="AR192" s="77"/>
      <c r="AS192" s="77"/>
      <c r="AT192" s="77"/>
      <c r="AU192" s="77"/>
      <c r="AV192" s="77"/>
      <c r="AX192" s="84">
        <v>1998</v>
      </c>
      <c r="AY192" s="84">
        <v>8</v>
      </c>
    </row>
    <row r="193" spans="1:51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X193" s="84">
        <v>1996</v>
      </c>
      <c r="AY193" s="84">
        <v>1</v>
      </c>
    </row>
    <row r="194" spans="1:51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  <c r="AO194" s="77"/>
      <c r="AP194" s="77"/>
      <c r="AQ194" s="77"/>
      <c r="AR194" s="77"/>
      <c r="AS194" s="77"/>
      <c r="AT194" s="77"/>
      <c r="AU194" s="77"/>
      <c r="AV194" s="77"/>
      <c r="AX194" s="84">
        <v>1996</v>
      </c>
      <c r="AY194" s="84">
        <v>1</v>
      </c>
    </row>
    <row r="195" spans="1:51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  <c r="AX195" s="84">
        <v>1996</v>
      </c>
      <c r="AY195" s="84">
        <v>1</v>
      </c>
    </row>
    <row r="196" spans="1:51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  <c r="AO196" s="77"/>
      <c r="AP196" s="77"/>
      <c r="AQ196" s="77"/>
      <c r="AR196" s="77"/>
      <c r="AS196" s="77"/>
      <c r="AT196" s="77"/>
      <c r="AU196" s="77"/>
      <c r="AV196" s="77"/>
      <c r="AX196" s="84">
        <v>1997</v>
      </c>
      <c r="AY196" s="84">
        <v>12</v>
      </c>
    </row>
    <row r="197" spans="1:51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  <c r="AO197" s="77"/>
      <c r="AP197" s="77"/>
      <c r="AQ197" s="77"/>
      <c r="AR197" s="77"/>
      <c r="AS197" s="77"/>
      <c r="AT197" s="77"/>
      <c r="AU197" s="77"/>
      <c r="AV197" s="77"/>
      <c r="AX197" s="84">
        <v>1997</v>
      </c>
      <c r="AY197" s="84">
        <v>12</v>
      </c>
    </row>
    <row r="198" spans="1:51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  <c r="AO198" s="77"/>
      <c r="AP198" s="77"/>
      <c r="AQ198" s="77"/>
      <c r="AR198" s="77"/>
      <c r="AS198" s="77"/>
      <c r="AT198" s="77"/>
      <c r="AU198" s="77"/>
      <c r="AV198" s="77"/>
      <c r="AX198" s="84">
        <v>1998</v>
      </c>
      <c r="AY198" s="84">
        <v>3</v>
      </c>
    </row>
    <row r="199" spans="1:51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  <c r="AO199" s="77"/>
      <c r="AP199" s="77"/>
      <c r="AQ199" s="77"/>
      <c r="AR199" s="77"/>
      <c r="AS199" s="77"/>
      <c r="AT199" s="77"/>
      <c r="AU199" s="77"/>
      <c r="AV199" s="77"/>
      <c r="AX199" s="84">
        <v>1998</v>
      </c>
      <c r="AY199" s="84">
        <v>3</v>
      </c>
    </row>
    <row r="200" spans="1:51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  <c r="AO200" s="77"/>
      <c r="AP200" s="77"/>
      <c r="AQ200" s="77"/>
      <c r="AR200" s="77"/>
      <c r="AS200" s="77"/>
      <c r="AT200" s="77"/>
      <c r="AU200" s="77"/>
      <c r="AV200" s="77"/>
      <c r="AX200" s="84">
        <v>1998</v>
      </c>
      <c r="AY200" s="84">
        <v>3</v>
      </c>
    </row>
    <row r="201" spans="1:51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  <c r="AO201" s="77"/>
      <c r="AP201" s="77"/>
      <c r="AQ201" s="77"/>
      <c r="AR201" s="77"/>
      <c r="AS201" s="77"/>
      <c r="AT201" s="77"/>
      <c r="AU201" s="77"/>
      <c r="AV201" s="77"/>
      <c r="AX201" s="84">
        <v>1998</v>
      </c>
      <c r="AY201" s="84">
        <v>3</v>
      </c>
    </row>
    <row r="202" spans="1:51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  <c r="AO202" s="77"/>
      <c r="AP202" s="77"/>
      <c r="AQ202" s="77"/>
      <c r="AR202" s="77"/>
      <c r="AS202" s="77"/>
      <c r="AT202" s="77"/>
      <c r="AU202" s="77"/>
      <c r="AV202" s="77"/>
      <c r="AX202" s="84">
        <v>1997</v>
      </c>
      <c r="AY202" s="84">
        <v>8</v>
      </c>
    </row>
    <row r="203" spans="1:51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  <c r="AO203" s="77"/>
      <c r="AP203" s="77"/>
      <c r="AQ203" s="77"/>
      <c r="AR203" s="77"/>
      <c r="AS203" s="77"/>
      <c r="AT203" s="77"/>
      <c r="AU203" s="77"/>
      <c r="AV203" s="77"/>
      <c r="AX203" s="84">
        <v>1997</v>
      </c>
      <c r="AY203" s="84">
        <v>8</v>
      </c>
    </row>
    <row r="204" spans="1:51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  <c r="AG204" s="77"/>
      <c r="AH204" s="77"/>
      <c r="AI204" s="77"/>
      <c r="AJ204" s="77"/>
      <c r="AK204" s="77"/>
      <c r="AL204" s="77"/>
      <c r="AM204" s="77"/>
      <c r="AN204" s="77"/>
      <c r="AO204" s="77"/>
      <c r="AP204" s="77"/>
      <c r="AQ204" s="77"/>
      <c r="AR204" s="77"/>
      <c r="AS204" s="77"/>
      <c r="AT204" s="77"/>
      <c r="AU204" s="77"/>
      <c r="AV204" s="77"/>
      <c r="AX204" s="84">
        <v>1997</v>
      </c>
      <c r="AY204" s="84">
        <v>8</v>
      </c>
    </row>
    <row r="205" spans="1:51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  <c r="AG205" s="77"/>
      <c r="AH205" s="77"/>
      <c r="AI205" s="77"/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  <c r="AX205" s="84">
        <v>1996</v>
      </c>
      <c r="AY205" s="84">
        <v>9</v>
      </c>
    </row>
    <row r="206" spans="1:51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  <c r="AG206" s="77"/>
      <c r="AH206" s="77"/>
      <c r="AI206" s="77"/>
      <c r="AJ206" s="77"/>
      <c r="AK206" s="77"/>
      <c r="AL206" s="77"/>
      <c r="AM206" s="77"/>
      <c r="AN206" s="77"/>
      <c r="AO206" s="77"/>
      <c r="AP206" s="77"/>
      <c r="AQ206" s="77"/>
      <c r="AR206" s="77"/>
      <c r="AS206" s="77"/>
      <c r="AT206" s="77"/>
      <c r="AU206" s="77"/>
      <c r="AV206" s="77"/>
      <c r="AX206" s="84">
        <v>1996</v>
      </c>
      <c r="AY206" s="84">
        <v>9</v>
      </c>
    </row>
    <row r="207" spans="1:51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  <c r="AG207" s="77"/>
      <c r="AH207" s="77"/>
      <c r="AI207" s="77"/>
      <c r="AJ207" s="77"/>
      <c r="AK207" s="77"/>
      <c r="AL207" s="77"/>
      <c r="AM207" s="77"/>
      <c r="AN207" s="77"/>
      <c r="AO207" s="77"/>
      <c r="AP207" s="77"/>
      <c r="AQ207" s="77"/>
      <c r="AR207" s="77"/>
      <c r="AS207" s="77"/>
      <c r="AT207" s="77"/>
      <c r="AU207" s="77"/>
      <c r="AV207" s="77"/>
      <c r="AX207" s="84">
        <v>1994</v>
      </c>
      <c r="AY207" s="84">
        <v>11</v>
      </c>
    </row>
    <row r="208" spans="1:51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  <c r="AG208" s="77"/>
      <c r="AH208" s="77"/>
      <c r="AI208" s="77"/>
      <c r="AJ208" s="77"/>
      <c r="AK208" s="77"/>
      <c r="AL208" s="77"/>
      <c r="AM208" s="77"/>
      <c r="AN208" s="77"/>
      <c r="AO208" s="77"/>
      <c r="AP208" s="77"/>
      <c r="AQ208" s="77"/>
      <c r="AR208" s="77"/>
      <c r="AS208" s="77"/>
      <c r="AT208" s="77"/>
      <c r="AU208" s="77"/>
      <c r="AV208" s="77"/>
      <c r="AX208" s="84">
        <v>1994</v>
      </c>
      <c r="AY208" s="84">
        <v>11</v>
      </c>
    </row>
    <row r="209" spans="1:58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  <c r="AG209" s="77"/>
      <c r="AH209" s="77"/>
      <c r="AI209" s="77"/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  <c r="AX209" s="84">
        <v>1984</v>
      </c>
      <c r="AY209" s="84">
        <v>1</v>
      </c>
    </row>
    <row r="210" spans="1:58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  <c r="AG210" s="77"/>
      <c r="AH210" s="77"/>
      <c r="AI210" s="77"/>
      <c r="AJ210" s="77"/>
      <c r="AK210" s="77"/>
      <c r="AL210" s="77"/>
      <c r="AM210" s="77"/>
      <c r="AN210" s="77"/>
      <c r="AO210" s="77"/>
      <c r="AP210" s="77"/>
      <c r="AQ210" s="77"/>
      <c r="AR210" s="77"/>
      <c r="AS210" s="77"/>
      <c r="AT210" s="77"/>
      <c r="AU210" s="77"/>
      <c r="AV210" s="77"/>
      <c r="AX210" s="84">
        <v>1984</v>
      </c>
      <c r="AY210" s="84">
        <v>1</v>
      </c>
    </row>
    <row r="211" spans="1:58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  <c r="AG211" s="77"/>
      <c r="AH211" s="77"/>
      <c r="AI211" s="77"/>
      <c r="AJ211" s="77"/>
      <c r="AK211" s="77"/>
      <c r="AL211" s="77"/>
      <c r="AM211" s="77"/>
      <c r="AN211" s="77"/>
      <c r="AO211" s="77"/>
      <c r="AP211" s="77"/>
      <c r="AQ211" s="77"/>
      <c r="AR211" s="77"/>
      <c r="AS211" s="77"/>
      <c r="AT211" s="77"/>
      <c r="AU211" s="77"/>
      <c r="AV211" s="77"/>
      <c r="AX211" s="84">
        <v>1994</v>
      </c>
      <c r="AY211" s="84">
        <v>1</v>
      </c>
    </row>
    <row r="212" spans="1:58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  <c r="AG212" s="77"/>
      <c r="AH212" s="77"/>
      <c r="AI212" s="77"/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  <c r="AX212" s="84">
        <v>1994</v>
      </c>
      <c r="AY212" s="84">
        <v>1</v>
      </c>
    </row>
    <row r="213" spans="1:58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  <c r="AG213" s="77"/>
      <c r="AH213" s="77"/>
      <c r="AI213" s="77"/>
      <c r="AJ213" s="77"/>
      <c r="AK213" s="77"/>
      <c r="AL213" s="77"/>
      <c r="AM213" s="77"/>
      <c r="AN213" s="77"/>
      <c r="AO213" s="77"/>
      <c r="AP213" s="77"/>
      <c r="AQ213" s="77"/>
      <c r="AR213" s="77"/>
      <c r="AS213" s="77"/>
      <c r="AT213" s="77"/>
      <c r="AU213" s="77"/>
      <c r="AV213" s="77"/>
      <c r="AX213" s="84">
        <v>1997</v>
      </c>
      <c r="AY213" s="84">
        <v>5</v>
      </c>
    </row>
    <row r="214" spans="1:58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  <c r="AG214" s="77"/>
      <c r="AH214" s="77"/>
      <c r="AI214" s="77"/>
      <c r="AJ214" s="77"/>
      <c r="AK214" s="77"/>
      <c r="AL214" s="77"/>
      <c r="AM214" s="77"/>
      <c r="AN214" s="77"/>
      <c r="AO214" s="77"/>
      <c r="AP214" s="77"/>
      <c r="AQ214" s="77"/>
      <c r="AR214" s="77"/>
      <c r="AS214" s="77"/>
      <c r="AT214" s="77"/>
      <c r="AU214" s="77"/>
      <c r="AV214" s="77"/>
      <c r="AX214" s="84">
        <v>1997</v>
      </c>
      <c r="AY214" s="84">
        <v>5</v>
      </c>
    </row>
    <row r="215" spans="1:58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  <c r="AG215" s="77"/>
      <c r="AH215" s="77"/>
      <c r="AI215" s="77"/>
      <c r="AJ215" s="77"/>
      <c r="AK215" s="77"/>
      <c r="AL215" s="77"/>
      <c r="AM215" s="77"/>
      <c r="AN215" s="77"/>
      <c r="AO215" s="77"/>
      <c r="AP215" s="77"/>
      <c r="AQ215" s="77"/>
      <c r="AR215" s="77"/>
      <c r="AS215" s="77"/>
      <c r="AT215" s="77"/>
      <c r="AU215" s="77"/>
      <c r="AV215" s="77"/>
      <c r="AX215" s="84">
        <v>1997</v>
      </c>
      <c r="AY215" s="84">
        <v>5</v>
      </c>
    </row>
    <row r="216" spans="1:58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  <c r="AG216" s="77"/>
      <c r="AH216" s="77"/>
      <c r="AI216" s="77"/>
      <c r="AJ216" s="77"/>
      <c r="AK216" s="77"/>
      <c r="AL216" s="77"/>
      <c r="AM216" s="77"/>
      <c r="AN216" s="77"/>
      <c r="AO216" s="77"/>
      <c r="AP216" s="77"/>
      <c r="AQ216" s="77"/>
      <c r="AR216" s="77"/>
      <c r="AS216" s="77"/>
      <c r="AT216" s="77"/>
      <c r="AU216" s="77"/>
      <c r="AV216" s="77"/>
      <c r="AX216" s="84">
        <v>1997</v>
      </c>
      <c r="AY216" s="84">
        <v>11</v>
      </c>
    </row>
    <row r="217" spans="1:58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  <c r="AG217" s="77"/>
      <c r="AH217" s="77"/>
      <c r="AI217" s="77"/>
      <c r="AJ217" s="77"/>
      <c r="AK217" s="77"/>
      <c r="AL217" s="77"/>
      <c r="AM217" s="77"/>
      <c r="AN217" s="77"/>
      <c r="AO217" s="77"/>
      <c r="AP217" s="77"/>
      <c r="AQ217" s="77"/>
      <c r="AR217" s="77"/>
      <c r="AS217" s="77"/>
      <c r="AT217" s="77"/>
      <c r="AU217" s="77"/>
      <c r="AV217" s="77"/>
      <c r="AX217" s="84">
        <v>1997</v>
      </c>
      <c r="AY217" s="84">
        <v>11</v>
      </c>
    </row>
    <row r="218" spans="1:58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  <c r="AG218" s="77"/>
      <c r="AH218" s="77"/>
      <c r="AI218" s="77"/>
      <c r="AJ218" s="77"/>
      <c r="AK218" s="77"/>
      <c r="AL218" s="77"/>
      <c r="AM218" s="77"/>
      <c r="AN218" s="77"/>
      <c r="AO218" s="77"/>
      <c r="AP218" s="77"/>
      <c r="AQ218" s="77"/>
      <c r="AR218" s="77"/>
      <c r="AS218" s="77"/>
      <c r="AT218" s="77"/>
      <c r="AU218" s="77"/>
      <c r="AV218" s="77"/>
      <c r="AX218" s="84">
        <v>1997</v>
      </c>
      <c r="AY218" s="84">
        <v>11</v>
      </c>
    </row>
    <row r="219" spans="1:58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  <c r="AG219" s="77"/>
      <c r="AH219" s="77"/>
      <c r="AI219" s="77"/>
      <c r="AJ219" s="77"/>
      <c r="AK219" s="77"/>
      <c r="AL219" s="77"/>
      <c r="AM219" s="77"/>
      <c r="AN219" s="77"/>
      <c r="AO219" s="77"/>
      <c r="AP219" s="77"/>
      <c r="AQ219" s="77"/>
      <c r="AR219" s="77"/>
      <c r="AS219" s="77"/>
      <c r="AT219" s="77"/>
      <c r="AU219" s="77"/>
      <c r="AV219" s="77"/>
      <c r="AX219" s="84">
        <v>2002</v>
      </c>
      <c r="AY219" s="84">
        <v>6</v>
      </c>
    </row>
    <row r="220" spans="1:58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  <c r="AG220" s="77"/>
      <c r="AH220" s="77"/>
      <c r="AI220" s="77"/>
      <c r="AJ220" s="77"/>
      <c r="AK220" s="77"/>
      <c r="AL220" s="77"/>
      <c r="AM220" s="77"/>
      <c r="AN220" s="77"/>
      <c r="AO220" s="77"/>
      <c r="AP220" s="77"/>
      <c r="AQ220" s="77"/>
      <c r="AR220" s="77"/>
      <c r="AS220" s="77"/>
      <c r="AT220" s="77"/>
      <c r="AU220" s="77"/>
      <c r="AV220" s="77"/>
      <c r="AX220" s="84">
        <v>2002</v>
      </c>
      <c r="AY220" s="84">
        <v>6</v>
      </c>
    </row>
    <row r="221" spans="1:58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  <c r="AG221" s="77"/>
      <c r="AH221" s="77"/>
      <c r="AI221" s="77"/>
      <c r="AJ221" s="77"/>
      <c r="AK221" s="77"/>
      <c r="AL221" s="77"/>
      <c r="AM221" s="77"/>
      <c r="AN221" s="77"/>
      <c r="AO221" s="77"/>
      <c r="AP221" s="77"/>
      <c r="AQ221" s="77"/>
      <c r="AR221" s="77"/>
      <c r="AS221" s="77"/>
      <c r="AT221" s="77"/>
      <c r="AU221" s="77"/>
      <c r="AV221" s="77"/>
      <c r="AX221" s="84">
        <v>1990</v>
      </c>
      <c r="AY221" s="84">
        <v>6</v>
      </c>
    </row>
    <row r="222" spans="1:58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X222" s="84">
        <v>1990</v>
      </c>
      <c r="AY222" s="84">
        <v>6</v>
      </c>
    </row>
    <row r="223" spans="1:58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X223" s="84">
        <v>1994</v>
      </c>
      <c r="AY223" s="84">
        <v>1</v>
      </c>
      <c r="AZ223" s="84"/>
      <c r="BA223" s="75" t="s">
        <v>60</v>
      </c>
      <c r="BB223" s="85">
        <v>0</v>
      </c>
      <c r="BC223" s="85">
        <v>0</v>
      </c>
      <c r="BD223" s="85">
        <v>0</v>
      </c>
      <c r="BE223" s="85">
        <v>0</v>
      </c>
      <c r="BF223" s="85">
        <v>0</v>
      </c>
    </row>
    <row r="224" spans="1:58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X224" s="84">
        <v>1994</v>
      </c>
      <c r="AY224" s="84">
        <v>1</v>
      </c>
      <c r="AZ224" s="84"/>
      <c r="BA224" s="75" t="s">
        <v>61</v>
      </c>
      <c r="BB224" s="85">
        <v>0</v>
      </c>
      <c r="BC224" s="85">
        <v>0</v>
      </c>
      <c r="BD224" s="85">
        <v>0</v>
      </c>
      <c r="BE224" s="85">
        <v>0</v>
      </c>
      <c r="BF224" s="85">
        <v>0</v>
      </c>
    </row>
    <row r="225" spans="1:58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X225" s="84">
        <v>1995</v>
      </c>
      <c r="AY225" s="84">
        <v>3</v>
      </c>
      <c r="AZ225" s="84"/>
      <c r="BA225" s="75" t="s">
        <v>67</v>
      </c>
      <c r="BB225" s="85">
        <v>0</v>
      </c>
      <c r="BC225" s="85">
        <v>0</v>
      </c>
      <c r="BD225" s="85">
        <v>0</v>
      </c>
      <c r="BE225" s="85">
        <v>0</v>
      </c>
      <c r="BF225" s="85">
        <v>0</v>
      </c>
    </row>
    <row r="226" spans="1:58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X226" s="84">
        <v>1995</v>
      </c>
      <c r="AY226" s="84">
        <v>3</v>
      </c>
      <c r="AZ226" s="84"/>
      <c r="BA226" s="2"/>
    </row>
    <row r="227" spans="1:58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X227" s="84">
        <v>1995</v>
      </c>
      <c r="AY227" s="84">
        <v>3</v>
      </c>
      <c r="AZ227" s="84"/>
      <c r="BA227" s="75"/>
      <c r="BB227" s="75" t="s">
        <v>63</v>
      </c>
      <c r="BC227" s="75" t="s">
        <v>64</v>
      </c>
      <c r="BD227" s="75" t="s">
        <v>65</v>
      </c>
      <c r="BE227" s="75" t="s">
        <v>66</v>
      </c>
      <c r="BF227" s="75" t="s">
        <v>67</v>
      </c>
    </row>
    <row r="228" spans="1:58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X228" s="84">
        <v>1994</v>
      </c>
      <c r="AY228" s="84">
        <v>9</v>
      </c>
      <c r="BA228" s="75" t="s">
        <v>61</v>
      </c>
      <c r="BB228" s="87" t="e">
        <v>#DIV/0!</v>
      </c>
      <c r="BC228" s="87" t="e">
        <v>#DIV/0!</v>
      </c>
      <c r="BD228" s="87" t="e">
        <v>#DIV/0!</v>
      </c>
      <c r="BE228" s="87" t="e">
        <v>#DIV/0!</v>
      </c>
      <c r="BF228" s="87" t="e">
        <v>#DIV/0!</v>
      </c>
    </row>
    <row r="229" spans="1:58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X229" s="84">
        <v>1993</v>
      </c>
      <c r="AY229" s="84">
        <v>11</v>
      </c>
      <c r="BA229" s="75" t="s">
        <v>67</v>
      </c>
      <c r="BB229" s="87" t="e">
        <v>#DIV/0!</v>
      </c>
      <c r="BC229" s="87" t="e">
        <v>#DIV/0!</v>
      </c>
      <c r="BD229" s="87" t="e">
        <v>#DIV/0!</v>
      </c>
      <c r="BE229" s="87" t="e">
        <v>#DIV/0!</v>
      </c>
      <c r="BF229" s="87" t="e">
        <v>#DIV/0!</v>
      </c>
    </row>
    <row r="230" spans="1:58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  <c r="AX230" s="84">
        <v>2000</v>
      </c>
      <c r="AY230" s="84">
        <v>6</v>
      </c>
    </row>
    <row r="231" spans="1:58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/>
      <c r="AP231" s="77"/>
      <c r="AQ231" s="77"/>
      <c r="AR231" s="77"/>
      <c r="AS231" s="77"/>
      <c r="AT231" s="77"/>
      <c r="AU231" s="77"/>
      <c r="AV231" s="77"/>
      <c r="AX231" s="84">
        <v>2000</v>
      </c>
      <c r="AY231" s="84">
        <v>6</v>
      </c>
    </row>
    <row r="232" spans="1:58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X232" s="84">
        <v>1994</v>
      </c>
      <c r="AY232" s="84">
        <v>3</v>
      </c>
    </row>
    <row r="233" spans="1:58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X233" s="84">
        <v>1993</v>
      </c>
      <c r="AY233" s="84">
        <v>6</v>
      </c>
    </row>
    <row r="234" spans="1:58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X234" s="84"/>
      <c r="AY234" s="84"/>
      <c r="AZ234" s="66"/>
    </row>
    <row r="235" spans="1:58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X235" s="84"/>
      <c r="AY235" s="84"/>
      <c r="AZ235" s="66"/>
    </row>
    <row r="236" spans="1:58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X236" s="84"/>
      <c r="AY236" s="84"/>
      <c r="AZ236" s="66"/>
    </row>
    <row r="237" spans="1:58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X237" s="84"/>
      <c r="AY237" s="84"/>
      <c r="AZ237" s="66"/>
    </row>
    <row r="238" spans="1:58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X238" s="84"/>
      <c r="AY238" s="84"/>
      <c r="AZ238" s="66"/>
    </row>
    <row r="239" spans="1:58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X239" s="84"/>
      <c r="AY239" s="84"/>
      <c r="AZ239" s="66"/>
    </row>
    <row r="240" spans="1:58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X240" s="84"/>
      <c r="AY240" s="84"/>
      <c r="AZ240" s="66"/>
    </row>
    <row r="241" spans="1:5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X241" s="84"/>
      <c r="AY241" s="84"/>
      <c r="AZ241" s="66"/>
    </row>
    <row r="242" spans="1:5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X242" s="84"/>
      <c r="AY242" s="84"/>
      <c r="AZ242" s="66"/>
    </row>
    <row r="243" spans="1:5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X243" s="84"/>
      <c r="AY243" s="84"/>
      <c r="AZ243" s="66"/>
    </row>
    <row r="244" spans="1:5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X244" s="84"/>
      <c r="AY244" s="84"/>
      <c r="AZ244" s="66"/>
    </row>
    <row r="245" spans="1:5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X245" s="84"/>
      <c r="AY245" s="84"/>
      <c r="AZ245" s="66"/>
    </row>
    <row r="246" spans="1:5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X246" s="84"/>
      <c r="AY246" s="84"/>
      <c r="AZ246" s="66"/>
    </row>
    <row r="247" spans="1:5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X247" s="84"/>
      <c r="AY247" s="84"/>
      <c r="AZ247" s="66"/>
    </row>
    <row r="248" spans="1:5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X248" s="84"/>
      <c r="AY248" s="84"/>
      <c r="AZ248" s="66"/>
    </row>
    <row r="249" spans="1:5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X249" s="84"/>
      <c r="AY249" s="84"/>
      <c r="AZ249" s="66"/>
    </row>
    <row r="250" spans="1:5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X250" s="84"/>
      <c r="AY250" s="84"/>
      <c r="AZ250" s="66"/>
    </row>
    <row r="251" spans="1:5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X251" s="84"/>
      <c r="AY251" s="84"/>
      <c r="AZ251" s="66"/>
    </row>
    <row r="252" spans="1:5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X252" s="84"/>
      <c r="AY252" s="84"/>
      <c r="AZ252" s="66"/>
    </row>
    <row r="253" spans="1:5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X253" s="84"/>
      <c r="AY253" s="84"/>
      <c r="AZ253" s="66"/>
    </row>
    <row r="254" spans="1:5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X254" s="84"/>
      <c r="AY254" s="84"/>
      <c r="AZ254" s="66"/>
    </row>
    <row r="255" spans="1:5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X255" s="84"/>
      <c r="AY255" s="84"/>
      <c r="AZ255" s="66"/>
    </row>
    <row r="256" spans="1:5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/>
      <c r="AP256" s="77"/>
      <c r="AQ256" s="77"/>
      <c r="AR256" s="77"/>
      <c r="AS256" s="77"/>
      <c r="AT256" s="77"/>
      <c r="AU256" s="77"/>
      <c r="AV256" s="77"/>
      <c r="AX256" s="84"/>
      <c r="AY256" s="84"/>
      <c r="AZ256" s="66"/>
    </row>
    <row r="257" spans="1:5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X257" s="84"/>
      <c r="AY257" s="84"/>
      <c r="AZ257" s="66"/>
    </row>
    <row r="258" spans="1:5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/>
      <c r="AP258" s="77"/>
      <c r="AQ258" s="77"/>
      <c r="AR258" s="77"/>
      <c r="AS258" s="77"/>
      <c r="AT258" s="77"/>
      <c r="AU258" s="77"/>
      <c r="AV258" s="77"/>
      <c r="AX258" s="84"/>
      <c r="AY258" s="84"/>
      <c r="AZ258" s="66"/>
    </row>
    <row r="259" spans="1:5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X259" s="84"/>
      <c r="AY259" s="84"/>
      <c r="AZ259" s="66"/>
    </row>
    <row r="260" spans="1:5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X260" s="84"/>
      <c r="AY260" s="84"/>
      <c r="AZ260" s="66"/>
    </row>
    <row r="261" spans="1:5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X261" s="84"/>
      <c r="AY261" s="84"/>
      <c r="AZ261" s="66"/>
    </row>
    <row r="262" spans="1:5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X262" s="84"/>
      <c r="AY262" s="84"/>
      <c r="AZ262" s="66"/>
    </row>
    <row r="263" spans="1:5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X263" s="84"/>
      <c r="AY263" s="84"/>
      <c r="AZ263" s="66"/>
    </row>
    <row r="264" spans="1:5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X264" s="84"/>
      <c r="AY264" s="84"/>
      <c r="AZ264" s="66"/>
    </row>
    <row r="265" spans="1:5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X265" s="84"/>
      <c r="AY265" s="84"/>
      <c r="AZ265" s="66"/>
    </row>
    <row r="266" spans="1:5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X266" s="84"/>
      <c r="AY266" s="84"/>
      <c r="AZ266" s="66"/>
    </row>
    <row r="267" spans="1:5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X267" s="84"/>
      <c r="AY267" s="84"/>
      <c r="AZ267" s="66"/>
    </row>
    <row r="268" spans="1:5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X268" s="84"/>
      <c r="AY268" s="84"/>
      <c r="AZ268" s="66"/>
    </row>
    <row r="269" spans="1:5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X269" s="84"/>
      <c r="AY269" s="84"/>
      <c r="AZ269" s="66"/>
    </row>
    <row r="270" spans="1:5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X270" s="84"/>
      <c r="AY270" s="84"/>
      <c r="AZ270" s="66"/>
    </row>
    <row r="271" spans="1:5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X271" s="84"/>
      <c r="AY271" s="84"/>
      <c r="AZ271" s="66"/>
    </row>
    <row r="272" spans="1:5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X272" s="84"/>
      <c r="AY272" s="84"/>
      <c r="AZ272" s="66"/>
    </row>
    <row r="273" spans="1:5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X273" s="84"/>
      <c r="AY273" s="84"/>
      <c r="AZ273" s="66"/>
    </row>
    <row r="274" spans="1:5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X274" s="84"/>
      <c r="AY274" s="84"/>
      <c r="AZ274" s="66"/>
    </row>
    <row r="275" spans="1:5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X275" s="84"/>
      <c r="AY275" s="84"/>
      <c r="AZ275" s="66"/>
    </row>
    <row r="276" spans="1:5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X276" s="84"/>
      <c r="AY276" s="84"/>
      <c r="AZ276" s="66"/>
    </row>
    <row r="277" spans="1:5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X277" s="84"/>
      <c r="AY277" s="84"/>
      <c r="AZ277" s="66"/>
    </row>
    <row r="278" spans="1:5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X278" s="84"/>
      <c r="AY278" s="84"/>
      <c r="AZ278" s="66"/>
    </row>
    <row r="279" spans="1:5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X279" s="84"/>
      <c r="AY279" s="84"/>
      <c r="AZ279" s="66"/>
    </row>
    <row r="280" spans="1:5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X280" s="84"/>
      <c r="AY280" s="84"/>
      <c r="AZ280" s="66"/>
    </row>
    <row r="281" spans="1:5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X281" s="84"/>
      <c r="AY281" s="84"/>
      <c r="AZ281" s="66"/>
    </row>
    <row r="282" spans="1:5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X282" s="84"/>
      <c r="AY282" s="84"/>
      <c r="AZ282" s="66"/>
    </row>
    <row r="283" spans="1:5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X283" s="84"/>
      <c r="AY283" s="84"/>
      <c r="AZ283" s="66"/>
    </row>
    <row r="284" spans="1:5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X284" s="84"/>
      <c r="AY284" s="84"/>
      <c r="AZ284" s="66"/>
    </row>
    <row r="285" spans="1:5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X285" s="84"/>
      <c r="AY285" s="84"/>
      <c r="AZ285" s="66"/>
    </row>
    <row r="286" spans="1:5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X286" s="84"/>
      <c r="AY286" s="84"/>
      <c r="AZ286" s="66"/>
    </row>
    <row r="287" spans="1:5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X287" s="84"/>
      <c r="AY287" s="84"/>
      <c r="AZ287" s="66"/>
    </row>
    <row r="288" spans="1:5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X288" s="84"/>
      <c r="AY288" s="84"/>
      <c r="AZ288" s="66"/>
    </row>
    <row r="289" spans="1:5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X289" s="84"/>
      <c r="AY289" s="84"/>
      <c r="AZ289" s="66"/>
    </row>
    <row r="290" spans="1:5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X290" s="84"/>
      <c r="AY290" s="84"/>
      <c r="AZ290" s="66"/>
    </row>
    <row r="291" spans="1:5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X291" s="84"/>
      <c r="AY291" s="84"/>
      <c r="AZ291" s="66"/>
    </row>
    <row r="292" spans="1:5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X292" s="84"/>
      <c r="AY292" s="84"/>
      <c r="AZ292" s="66"/>
    </row>
    <row r="293" spans="1:5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X293" s="84"/>
      <c r="AY293" s="84"/>
      <c r="AZ293" s="66"/>
    </row>
    <row r="294" spans="1:5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X294" s="84"/>
      <c r="AY294" s="84"/>
      <c r="AZ294" s="66"/>
    </row>
    <row r="295" spans="1:5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X295" s="84"/>
      <c r="AY295" s="84"/>
      <c r="AZ295" s="66"/>
    </row>
    <row r="296" spans="1:5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X296" s="84"/>
      <c r="AY296" s="84"/>
      <c r="AZ296" s="66"/>
    </row>
    <row r="297" spans="1:5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X297" s="84"/>
      <c r="AY297" s="84"/>
      <c r="AZ297" s="66"/>
    </row>
    <row r="298" spans="1:5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X298" s="84"/>
      <c r="AY298" s="84"/>
      <c r="AZ298" s="66"/>
    </row>
    <row r="299" spans="1:5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X299" s="84"/>
      <c r="AY299" s="84"/>
      <c r="AZ299" s="66"/>
    </row>
    <row r="300" spans="1:5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X300" s="84"/>
      <c r="AY300" s="84"/>
      <c r="AZ300" s="66"/>
    </row>
    <row r="301" spans="1:5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X301" s="84"/>
      <c r="AY301" s="84"/>
      <c r="AZ301" s="66"/>
    </row>
    <row r="302" spans="1:5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X302" s="84"/>
      <c r="AY302" s="84"/>
      <c r="AZ302" s="66"/>
    </row>
    <row r="303" spans="1:5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X303" s="84"/>
      <c r="AY303" s="84"/>
      <c r="AZ303" s="66"/>
    </row>
    <row r="304" spans="1:5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X304" s="84"/>
      <c r="AY304" s="84"/>
      <c r="AZ304" s="66"/>
    </row>
    <row r="305" spans="1:5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X305" s="84"/>
      <c r="AY305" s="84"/>
      <c r="AZ305" s="66"/>
    </row>
    <row r="306" spans="1:5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X306" s="84"/>
      <c r="AY306" s="84"/>
      <c r="AZ306" s="66"/>
    </row>
    <row r="307" spans="1:5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X307" s="84"/>
      <c r="AY307" s="84"/>
      <c r="AZ307" s="66"/>
    </row>
    <row r="308" spans="1:5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X308" s="84"/>
      <c r="AY308" s="84"/>
      <c r="AZ308" s="66"/>
    </row>
    <row r="309" spans="1:5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X309" s="84"/>
      <c r="AY309" s="84"/>
      <c r="AZ309" s="66"/>
    </row>
    <row r="310" spans="1:5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/>
      <c r="AP310" s="77"/>
      <c r="AQ310" s="77"/>
      <c r="AR310" s="77"/>
      <c r="AS310" s="77"/>
      <c r="AT310" s="77"/>
      <c r="AU310" s="77"/>
      <c r="AV310" s="77"/>
      <c r="AX310" s="84"/>
      <c r="AY310" s="84"/>
      <c r="AZ310" s="66"/>
    </row>
    <row r="311" spans="1:5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/>
      <c r="AP311" s="77"/>
      <c r="AQ311" s="77"/>
      <c r="AR311" s="77"/>
      <c r="AS311" s="77"/>
      <c r="AT311" s="77"/>
      <c r="AU311" s="77"/>
      <c r="AV311" s="77"/>
      <c r="AX311" s="84"/>
      <c r="AY311" s="84"/>
      <c r="AZ311" s="66"/>
    </row>
    <row r="312" spans="1:5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X312" s="84"/>
      <c r="AY312" s="84"/>
      <c r="AZ312" s="66"/>
    </row>
    <row r="313" spans="1:5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/>
      <c r="AP313" s="77"/>
      <c r="AQ313" s="77"/>
      <c r="AR313" s="77"/>
      <c r="AS313" s="77"/>
      <c r="AT313" s="77"/>
      <c r="AU313" s="77"/>
      <c r="AV313" s="77"/>
      <c r="AX313" s="84"/>
      <c r="AY313" s="84"/>
      <c r="AZ313" s="66"/>
    </row>
    <row r="314" spans="1:5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/>
      <c r="AP314" s="77"/>
      <c r="AQ314" s="77"/>
      <c r="AR314" s="77"/>
      <c r="AS314" s="77"/>
      <c r="AT314" s="77"/>
      <c r="AU314" s="77"/>
      <c r="AV314" s="77"/>
      <c r="AX314" s="84"/>
      <c r="AY314" s="84"/>
      <c r="AZ314" s="66"/>
    </row>
    <row r="315" spans="1:5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X315" s="84"/>
      <c r="AY315" s="84"/>
      <c r="AZ315" s="66"/>
    </row>
    <row r="316" spans="1:5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/>
      <c r="AP316" s="77"/>
      <c r="AQ316" s="77"/>
      <c r="AR316" s="77"/>
      <c r="AS316" s="77"/>
      <c r="AT316" s="77"/>
      <c r="AU316" s="77"/>
      <c r="AV316" s="77"/>
      <c r="AX316" s="84"/>
      <c r="AY316" s="84"/>
      <c r="AZ316" s="66"/>
    </row>
    <row r="317" spans="1:5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/>
      <c r="AP317" s="77"/>
      <c r="AQ317" s="77"/>
      <c r="AR317" s="77"/>
      <c r="AS317" s="77"/>
      <c r="AT317" s="77"/>
      <c r="AU317" s="77"/>
      <c r="AV317" s="77"/>
      <c r="AX317" s="84"/>
      <c r="AY317" s="84"/>
      <c r="AZ317" s="66"/>
    </row>
    <row r="318" spans="1:5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X318" s="84"/>
      <c r="AY318" s="84"/>
      <c r="AZ318" s="66"/>
    </row>
    <row r="319" spans="1:5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/>
      <c r="AP319" s="77"/>
      <c r="AQ319" s="77"/>
      <c r="AR319" s="77"/>
      <c r="AS319" s="77"/>
      <c r="AT319" s="77"/>
      <c r="AU319" s="77"/>
      <c r="AV319" s="77"/>
      <c r="AX319" s="84"/>
      <c r="AY319" s="84"/>
      <c r="AZ319" s="66"/>
    </row>
    <row r="320" spans="1:5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X320" s="84"/>
      <c r="AY320" s="84"/>
      <c r="AZ320" s="66"/>
    </row>
    <row r="321" spans="1:58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X321" s="84"/>
      <c r="AY321" s="84"/>
      <c r="AZ321" s="66"/>
    </row>
    <row r="322" spans="1:58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/>
      <c r="AP322" s="77"/>
      <c r="AQ322" s="77"/>
      <c r="AR322" s="77"/>
      <c r="AS322" s="77"/>
      <c r="AT322" s="77"/>
      <c r="AU322" s="77"/>
      <c r="AV322" s="77"/>
      <c r="AX322" s="84"/>
      <c r="AY322" s="84"/>
      <c r="AZ322" s="66"/>
    </row>
    <row r="323" spans="1:58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/>
      <c r="AP323" s="77"/>
      <c r="AQ323" s="77"/>
      <c r="AR323" s="77"/>
      <c r="AS323" s="77"/>
      <c r="AT323" s="77"/>
      <c r="AU323" s="77"/>
      <c r="AV323" s="77"/>
      <c r="AX323" s="84"/>
      <c r="AY323" s="84"/>
      <c r="AZ323" s="66"/>
    </row>
    <row r="324" spans="1:58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X324" s="84"/>
      <c r="AY324" s="84"/>
      <c r="AZ324" s="66"/>
    </row>
    <row r="325" spans="1:58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/>
      <c r="AP325" s="77"/>
      <c r="AQ325" s="77"/>
      <c r="AR325" s="77"/>
      <c r="AS325" s="77"/>
      <c r="AT325" s="77"/>
      <c r="AU325" s="77"/>
      <c r="AV325" s="77"/>
      <c r="AX325" s="84"/>
      <c r="AY325" s="84"/>
      <c r="AZ325" s="66"/>
    </row>
    <row r="326" spans="1:58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/>
      <c r="AP326" s="77"/>
      <c r="AQ326" s="77"/>
      <c r="AR326" s="77"/>
      <c r="AS326" s="77"/>
      <c r="AT326" s="77"/>
      <c r="AU326" s="77"/>
      <c r="AV326" s="77"/>
      <c r="AX326" s="84"/>
      <c r="AY326" s="84"/>
      <c r="AZ326" s="66"/>
    </row>
    <row r="327" spans="1:58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X327" s="84"/>
      <c r="AY327" s="84"/>
      <c r="AZ327" s="66"/>
    </row>
    <row r="328" spans="1:58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X328" s="84"/>
      <c r="AY328" s="84"/>
      <c r="AZ328" s="66"/>
    </row>
    <row r="329" spans="1:58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/>
      <c r="AP329" s="77"/>
      <c r="AQ329" s="77"/>
      <c r="AR329" s="77"/>
      <c r="AS329" s="77"/>
      <c r="AT329" s="77"/>
      <c r="AU329" s="77"/>
      <c r="AV329" s="77"/>
      <c r="AX329" s="84"/>
      <c r="AY329" s="84"/>
      <c r="AZ329" s="66"/>
    </row>
    <row r="330" spans="1:58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X330" s="84"/>
      <c r="AY330" s="84"/>
      <c r="AZ330" s="66"/>
    </row>
    <row r="331" spans="1:58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X331" s="84"/>
      <c r="AY331" s="84"/>
      <c r="AZ331" s="66"/>
    </row>
    <row r="332" spans="1:58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/>
      <c r="AP332" s="77"/>
      <c r="AQ332" s="77"/>
      <c r="AR332" s="77"/>
      <c r="AS332" s="77"/>
      <c r="AT332" s="77"/>
      <c r="AU332" s="77"/>
      <c r="AV332" s="77"/>
      <c r="AX332" s="84"/>
      <c r="AY332" s="84"/>
      <c r="AZ332" s="66"/>
    </row>
    <row r="333" spans="1:58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X333" s="84"/>
      <c r="AY333" s="84"/>
      <c r="AZ333" s="66"/>
    </row>
    <row r="334" spans="1:58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X334" s="84"/>
      <c r="AY334" s="84"/>
      <c r="AZ334" s="66"/>
    </row>
    <row r="335" spans="1:58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/>
      <c r="AP335" s="77"/>
      <c r="AQ335" s="77"/>
      <c r="AR335" s="77"/>
      <c r="AS335" s="77"/>
      <c r="AT335" s="77"/>
      <c r="AU335" s="77"/>
      <c r="AV335" s="77"/>
      <c r="AX335" s="84"/>
      <c r="AY335" s="84"/>
      <c r="AZ335" s="66"/>
    </row>
    <row r="336" spans="1:58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X336" s="84"/>
      <c r="AY336" s="84"/>
      <c r="AZ336" s="84"/>
      <c r="BA336" s="75" t="s">
        <v>60</v>
      </c>
      <c r="BB336" s="85">
        <v>0</v>
      </c>
      <c r="BC336" s="85">
        <v>0</v>
      </c>
      <c r="BD336" s="85">
        <v>0</v>
      </c>
      <c r="BE336" s="85">
        <v>0</v>
      </c>
      <c r="BF336" s="85">
        <v>0</v>
      </c>
    </row>
    <row r="337" spans="1:58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X337" s="84"/>
      <c r="AY337" s="84"/>
      <c r="AZ337" s="84"/>
      <c r="BA337" s="75" t="s">
        <v>61</v>
      </c>
      <c r="BB337" s="85">
        <v>0</v>
      </c>
      <c r="BC337" s="85">
        <v>0</v>
      </c>
      <c r="BD337" s="85">
        <v>0</v>
      </c>
      <c r="BE337" s="85">
        <v>0</v>
      </c>
      <c r="BF337" s="85">
        <v>0</v>
      </c>
    </row>
    <row r="338" spans="1:58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/>
      <c r="AP338" s="77"/>
      <c r="AQ338" s="77"/>
      <c r="AR338" s="77"/>
      <c r="AS338" s="77"/>
      <c r="AT338" s="77"/>
      <c r="AU338" s="77"/>
      <c r="AV338" s="77"/>
      <c r="AX338" s="84"/>
      <c r="AY338" s="84"/>
      <c r="AZ338" s="84"/>
      <c r="BA338" s="76" t="s">
        <v>62</v>
      </c>
      <c r="BB338" s="86">
        <v>0</v>
      </c>
      <c r="BC338" s="86">
        <v>0</v>
      </c>
      <c r="BD338" s="86">
        <v>0</v>
      </c>
      <c r="BE338" s="86">
        <v>0</v>
      </c>
      <c r="BF338" s="86">
        <v>0</v>
      </c>
    </row>
    <row r="339" spans="1:58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X339" s="84"/>
      <c r="AY339" s="84"/>
      <c r="AZ339" s="84"/>
      <c r="BA339" s="2"/>
    </row>
    <row r="340" spans="1:58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X340" s="84"/>
      <c r="AY340" s="84"/>
      <c r="AZ340" s="84"/>
      <c r="BA340" s="75"/>
      <c r="BB340" s="75" t="s">
        <v>63</v>
      </c>
      <c r="BC340" s="75" t="s">
        <v>64</v>
      </c>
      <c r="BD340" s="75" t="s">
        <v>65</v>
      </c>
      <c r="BE340" s="75" t="s">
        <v>66</v>
      </c>
      <c r="BF340" s="75" t="s">
        <v>67</v>
      </c>
    </row>
    <row r="341" spans="1:58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/>
      <c r="AP341" s="77"/>
      <c r="AQ341" s="77"/>
      <c r="AR341" s="77"/>
      <c r="AS341" s="77"/>
      <c r="AT341" s="77"/>
      <c r="AU341" s="77"/>
      <c r="AV341" s="77"/>
      <c r="AX341" s="84"/>
      <c r="AY341" s="84"/>
      <c r="BA341" s="75" t="s">
        <v>60</v>
      </c>
      <c r="BB341" s="87" t="e">
        <v>#DIV/0!</v>
      </c>
      <c r="BC341" s="87" t="e">
        <v>#DIV/0!</v>
      </c>
      <c r="BD341" s="87" t="e">
        <v>#DIV/0!</v>
      </c>
      <c r="BE341" s="87" t="e">
        <v>#DIV/0!</v>
      </c>
      <c r="BF341" s="87" t="e">
        <v>#DIV/0!</v>
      </c>
    </row>
    <row r="342" spans="1:58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/>
      <c r="AP342" s="77"/>
      <c r="AQ342" s="77"/>
      <c r="AR342" s="77"/>
      <c r="AS342" s="77"/>
      <c r="AT342" s="77"/>
      <c r="AU342" s="77"/>
      <c r="AV342" s="77"/>
      <c r="AX342" s="84"/>
      <c r="AY342" s="84"/>
      <c r="BA342" s="76" t="s">
        <v>62</v>
      </c>
      <c r="BB342" s="88" t="e">
        <v>#DIV/0!</v>
      </c>
      <c r="BC342" s="88" t="e">
        <v>#DIV/0!</v>
      </c>
      <c r="BD342" s="88" t="e">
        <v>#DIV/0!</v>
      </c>
      <c r="BE342" s="88" t="e">
        <v>#DIV/0!</v>
      </c>
      <c r="BF342" s="88" t="e">
        <v>#DIV/0!</v>
      </c>
    </row>
    <row r="343" spans="1:58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X343" s="84"/>
      <c r="AY343" s="84"/>
      <c r="BA343" s="75" t="s">
        <v>67</v>
      </c>
      <c r="BB343" s="87" t="e">
        <v>#DIV/0!</v>
      </c>
      <c r="BC343" s="87" t="e">
        <v>#DIV/0!</v>
      </c>
      <c r="BD343" s="87" t="e">
        <v>#DIV/0!</v>
      </c>
      <c r="BE343" s="87" t="e">
        <v>#DIV/0!</v>
      </c>
      <c r="BF343" s="87" t="e">
        <v>#DIV/0!</v>
      </c>
    </row>
    <row r="344" spans="1:58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X344" s="84"/>
      <c r="AY344" s="84"/>
    </row>
    <row r="345" spans="1:58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X345" s="84"/>
      <c r="AY345" s="84"/>
    </row>
    <row r="346" spans="1:58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X346" s="84"/>
      <c r="AY346" s="84"/>
    </row>
    <row r="347" spans="1:58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X347" s="84"/>
      <c r="AY347" s="84"/>
    </row>
    <row r="348" spans="1:58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X348" s="84"/>
      <c r="AY348" s="84"/>
    </row>
    <row r="349" spans="1:58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X349" s="84"/>
      <c r="AY349" s="84"/>
    </row>
    <row r="350" spans="1:58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X350" s="84"/>
      <c r="AY350" s="84"/>
    </row>
    <row r="351" spans="1:58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/>
      <c r="AP351" s="77"/>
      <c r="AQ351" s="77"/>
      <c r="AR351" s="77"/>
      <c r="AS351" s="77"/>
      <c r="AT351" s="77"/>
      <c r="AU351" s="77"/>
      <c r="AV351" s="77"/>
      <c r="AX351" s="84"/>
      <c r="AY351" s="84"/>
    </row>
    <row r="352" spans="1:58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/>
      <c r="AP352" s="77"/>
      <c r="AQ352" s="77"/>
      <c r="AR352" s="77"/>
      <c r="AS352" s="77"/>
      <c r="AT352" s="77"/>
      <c r="AU352" s="77"/>
      <c r="AV352" s="77"/>
      <c r="AX352" s="84"/>
      <c r="AY352" s="84"/>
    </row>
    <row r="353" spans="1:51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X353" s="84"/>
      <c r="AY353" s="84"/>
    </row>
    <row r="354" spans="1:51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/>
      <c r="AP354" s="77"/>
      <c r="AQ354" s="77"/>
      <c r="AR354" s="77"/>
      <c r="AS354" s="77"/>
      <c r="AT354" s="77"/>
      <c r="AU354" s="77"/>
      <c r="AV354" s="77"/>
      <c r="AX354" s="84"/>
      <c r="AY354" s="84"/>
    </row>
    <row r="355" spans="1:51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77"/>
      <c r="AV355" s="77"/>
      <c r="AX355" s="84"/>
      <c r="AY355" s="84"/>
    </row>
    <row r="356" spans="1:51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X356" s="84"/>
      <c r="AY356" s="84"/>
    </row>
    <row r="357" spans="1:51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/>
      <c r="AP357" s="77"/>
      <c r="AQ357" s="77"/>
      <c r="AR357" s="77"/>
      <c r="AS357" s="77"/>
      <c r="AT357" s="77"/>
      <c r="AU357" s="77"/>
      <c r="AV357" s="77"/>
      <c r="AX357" s="84"/>
      <c r="AY357" s="84"/>
    </row>
    <row r="358" spans="1:51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X358" s="84"/>
      <c r="AY358" s="84"/>
    </row>
    <row r="359" spans="1:51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X359" s="84"/>
      <c r="AY359" s="84"/>
    </row>
    <row r="360" spans="1:51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/>
      <c r="AP360" s="77"/>
      <c r="AQ360" s="77"/>
      <c r="AR360" s="77"/>
      <c r="AS360" s="77"/>
      <c r="AT360" s="77"/>
      <c r="AU360" s="77"/>
      <c r="AV360" s="77"/>
      <c r="AX360" s="84"/>
      <c r="AY360" s="84"/>
    </row>
    <row r="361" spans="1:51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X361" s="84"/>
      <c r="AY361" s="84"/>
    </row>
    <row r="362" spans="1:51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X362" s="84"/>
      <c r="AY362" s="84"/>
    </row>
    <row r="363" spans="1:51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/>
      <c r="AP363" s="77"/>
      <c r="AQ363" s="77"/>
      <c r="AR363" s="77"/>
      <c r="AS363" s="77"/>
      <c r="AT363" s="77"/>
      <c r="AU363" s="77"/>
      <c r="AV363" s="77"/>
      <c r="AX363" s="84"/>
      <c r="AY363" s="84"/>
    </row>
    <row r="364" spans="1:51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/>
      <c r="AP364" s="77"/>
      <c r="AQ364" s="77"/>
      <c r="AR364" s="77"/>
      <c r="AS364" s="77"/>
      <c r="AT364" s="77"/>
      <c r="AU364" s="77"/>
      <c r="AV364" s="77"/>
      <c r="AX364" s="84"/>
      <c r="AY364" s="84"/>
    </row>
    <row r="365" spans="1:51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X365" s="84"/>
      <c r="AY365" s="84"/>
    </row>
    <row r="366" spans="1:51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X366" s="84"/>
      <c r="AY366" s="84"/>
    </row>
    <row r="367" spans="1:51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/>
      <c r="AP367" s="77"/>
      <c r="AQ367" s="77"/>
      <c r="AR367" s="77"/>
      <c r="AS367" s="77"/>
      <c r="AT367" s="77"/>
      <c r="AU367" s="77"/>
      <c r="AV367" s="77"/>
      <c r="AX367" s="84"/>
      <c r="AY367" s="84"/>
    </row>
    <row r="368" spans="1:51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/>
      <c r="AP368" s="77"/>
      <c r="AQ368" s="77"/>
      <c r="AR368" s="77"/>
      <c r="AS368" s="77"/>
      <c r="AT368" s="77"/>
      <c r="AU368" s="77"/>
      <c r="AV368" s="77"/>
      <c r="AX368" s="84"/>
      <c r="AY368" s="84"/>
    </row>
    <row r="369" spans="1:51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X369" s="84"/>
      <c r="AY369" s="84"/>
    </row>
    <row r="370" spans="1:51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/>
      <c r="AP370" s="77"/>
      <c r="AQ370" s="77"/>
      <c r="AR370" s="77"/>
      <c r="AS370" s="77"/>
      <c r="AT370" s="77"/>
      <c r="AU370" s="77"/>
      <c r="AV370" s="77"/>
      <c r="AX370" s="84"/>
      <c r="AY370" s="84"/>
    </row>
    <row r="371" spans="1:51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/>
      <c r="AP371" s="77"/>
      <c r="AQ371" s="77"/>
      <c r="AR371" s="77"/>
      <c r="AS371" s="77"/>
      <c r="AT371" s="77"/>
      <c r="AU371" s="77"/>
      <c r="AV371" s="77"/>
      <c r="AX371" s="84"/>
      <c r="AY371" s="84"/>
    </row>
    <row r="372" spans="1:51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X372" s="84"/>
      <c r="AY372" s="84"/>
    </row>
    <row r="373" spans="1:51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/>
      <c r="AP373" s="77"/>
      <c r="AQ373" s="77"/>
      <c r="AR373" s="77"/>
      <c r="AS373" s="77"/>
      <c r="AT373" s="77"/>
      <c r="AU373" s="77"/>
      <c r="AV373" s="77"/>
      <c r="AX373" s="84"/>
      <c r="AY373" s="84"/>
    </row>
    <row r="374" spans="1:51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X374" s="84"/>
      <c r="AY374" s="84"/>
    </row>
    <row r="375" spans="1:51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X375" s="84"/>
      <c r="AY375" s="84"/>
    </row>
    <row r="376" spans="1:51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/>
      <c r="AP376" s="77"/>
      <c r="AQ376" s="77"/>
      <c r="AR376" s="77"/>
      <c r="AS376" s="77"/>
      <c r="AT376" s="77"/>
      <c r="AU376" s="77"/>
      <c r="AV376" s="77"/>
      <c r="AX376" s="84"/>
      <c r="AY376" s="84"/>
    </row>
    <row r="377" spans="1:51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/>
      <c r="AP377" s="77"/>
      <c r="AQ377" s="77"/>
      <c r="AR377" s="77"/>
      <c r="AS377" s="77"/>
      <c r="AT377" s="77"/>
      <c r="AU377" s="77"/>
      <c r="AV377" s="77"/>
      <c r="AX377" s="84"/>
      <c r="AY377" s="84"/>
    </row>
    <row r="378" spans="1:51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X378" s="84"/>
      <c r="AY378" s="84"/>
    </row>
    <row r="379" spans="1:51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/>
      <c r="AP379" s="77"/>
      <c r="AQ379" s="77"/>
      <c r="AR379" s="77"/>
      <c r="AS379" s="77"/>
      <c r="AT379" s="77"/>
      <c r="AU379" s="77"/>
      <c r="AV379" s="77"/>
      <c r="AX379" s="84"/>
      <c r="AY379" s="84"/>
    </row>
    <row r="380" spans="1:51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X380" s="84"/>
      <c r="AY380" s="84"/>
    </row>
    <row r="381" spans="1:51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X381" s="84"/>
      <c r="AY381" s="84"/>
    </row>
    <row r="382" spans="1:51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77"/>
      <c r="AV382" s="77"/>
      <c r="AX382" s="84"/>
      <c r="AY382" s="84"/>
    </row>
    <row r="383" spans="1:51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/>
      <c r="AP383" s="77"/>
      <c r="AQ383" s="77"/>
      <c r="AR383" s="77"/>
      <c r="AS383" s="77"/>
      <c r="AT383" s="77"/>
      <c r="AU383" s="77"/>
      <c r="AV383" s="77"/>
      <c r="AX383" s="84"/>
      <c r="AY383" s="84"/>
    </row>
    <row r="384" spans="1:51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X384" s="84"/>
      <c r="AY384" s="84"/>
    </row>
    <row r="385" spans="1:51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X385" s="84"/>
      <c r="AY385" s="84"/>
    </row>
    <row r="386" spans="1:51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/>
      <c r="AP386" s="77"/>
      <c r="AQ386" s="77"/>
      <c r="AR386" s="77"/>
      <c r="AS386" s="77"/>
      <c r="AT386" s="77"/>
      <c r="AU386" s="77"/>
      <c r="AV386" s="77"/>
      <c r="AX386" s="84"/>
      <c r="AY386" s="84"/>
    </row>
    <row r="387" spans="1:51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/>
      <c r="AP387" s="77"/>
      <c r="AQ387" s="77"/>
      <c r="AR387" s="77"/>
      <c r="AS387" s="77"/>
      <c r="AT387" s="77"/>
      <c r="AU387" s="77"/>
      <c r="AV387" s="77"/>
      <c r="AX387" s="84"/>
      <c r="AY387" s="84"/>
    </row>
    <row r="388" spans="1:51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X388" s="84"/>
      <c r="AY388" s="84"/>
    </row>
    <row r="389" spans="1:51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/>
      <c r="AP389" s="77"/>
      <c r="AQ389" s="77"/>
      <c r="AR389" s="77"/>
      <c r="AS389" s="77"/>
      <c r="AT389" s="77"/>
      <c r="AU389" s="77"/>
      <c r="AV389" s="77"/>
      <c r="AX389" s="84"/>
      <c r="AY389" s="84"/>
    </row>
    <row r="390" spans="1:51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/>
      <c r="AP390" s="77"/>
      <c r="AQ390" s="77"/>
      <c r="AR390" s="77"/>
      <c r="AS390" s="77"/>
      <c r="AT390" s="77"/>
      <c r="AU390" s="77"/>
      <c r="AV390" s="77"/>
      <c r="AX390" s="84"/>
      <c r="AY390" s="84"/>
    </row>
    <row r="391" spans="1:51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X391" s="84"/>
      <c r="AY391" s="84"/>
    </row>
    <row r="392" spans="1:51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/>
      <c r="AP392" s="77"/>
      <c r="AQ392" s="77"/>
      <c r="AR392" s="77"/>
      <c r="AS392" s="77"/>
      <c r="AT392" s="77"/>
      <c r="AU392" s="77"/>
      <c r="AV392" s="77"/>
      <c r="AX392" s="84"/>
      <c r="AY392" s="84"/>
    </row>
    <row r="393" spans="1:51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X393" s="84"/>
      <c r="AY393" s="84"/>
    </row>
    <row r="394" spans="1:51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X394" s="84"/>
      <c r="AY394" s="84"/>
    </row>
    <row r="395" spans="1:51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/>
      <c r="AP395" s="77"/>
      <c r="AQ395" s="77"/>
      <c r="AR395" s="77"/>
      <c r="AS395" s="77"/>
      <c r="AT395" s="77"/>
      <c r="AU395" s="77"/>
      <c r="AV395" s="77"/>
      <c r="AX395" s="84"/>
      <c r="AY395" s="84"/>
    </row>
    <row r="396" spans="1:51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X396" s="84"/>
      <c r="AY396" s="84"/>
    </row>
    <row r="397" spans="1:51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X397" s="84"/>
      <c r="AY397" s="84"/>
    </row>
    <row r="398" spans="1:51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/>
      <c r="AP398" s="77"/>
      <c r="AQ398" s="77"/>
      <c r="AR398" s="77"/>
      <c r="AS398" s="77"/>
      <c r="AT398" s="77"/>
      <c r="AU398" s="77"/>
      <c r="AV398" s="77"/>
      <c r="AX398" s="84"/>
      <c r="AY398" s="84"/>
    </row>
    <row r="399" spans="1:51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X399" s="84"/>
      <c r="AY399" s="84"/>
    </row>
    <row r="400" spans="1:51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X400" s="84"/>
      <c r="AY400" s="84"/>
    </row>
    <row r="401" spans="1:58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X401" s="84"/>
      <c r="AY401" s="84"/>
    </row>
    <row r="402" spans="1:58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/>
      <c r="AP402" s="77"/>
      <c r="AQ402" s="77"/>
      <c r="AR402" s="77"/>
      <c r="AS402" s="77"/>
      <c r="AT402" s="77"/>
      <c r="AU402" s="77"/>
      <c r="AV402" s="77"/>
      <c r="AX402" s="84"/>
      <c r="AY402" s="84"/>
    </row>
    <row r="403" spans="1:58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X403" s="84"/>
      <c r="AY403" s="84"/>
    </row>
    <row r="404" spans="1:58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X404" s="84"/>
      <c r="AY404" s="84"/>
      <c r="AZ404" s="84"/>
      <c r="BA404" s="75" t="s">
        <v>60</v>
      </c>
      <c r="BB404" s="85">
        <v>0</v>
      </c>
      <c r="BC404" s="85">
        <v>0</v>
      </c>
      <c r="BD404" s="85">
        <v>0</v>
      </c>
      <c r="BE404" s="85">
        <v>0</v>
      </c>
      <c r="BF404" s="85">
        <v>0</v>
      </c>
    </row>
    <row r="405" spans="1:58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/>
      <c r="AP405" s="77"/>
      <c r="AQ405" s="77"/>
      <c r="AR405" s="77"/>
      <c r="AS405" s="77"/>
      <c r="AT405" s="77"/>
      <c r="AU405" s="77"/>
      <c r="AV405" s="77"/>
      <c r="AX405" s="84"/>
      <c r="AY405" s="84"/>
      <c r="AZ405" s="84"/>
      <c r="BA405" s="75" t="s">
        <v>61</v>
      </c>
      <c r="BB405" s="85">
        <v>0</v>
      </c>
      <c r="BC405" s="85">
        <v>0</v>
      </c>
      <c r="BD405" s="85">
        <v>0</v>
      </c>
      <c r="BE405" s="85">
        <v>0</v>
      </c>
      <c r="BF405" s="85">
        <v>0</v>
      </c>
    </row>
    <row r="406" spans="1:58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/>
      <c r="AP406" s="77"/>
      <c r="AQ406" s="77"/>
      <c r="AR406" s="77"/>
      <c r="AS406" s="77"/>
      <c r="AT406" s="77"/>
      <c r="AU406" s="77"/>
      <c r="AV406" s="77"/>
      <c r="AX406" s="84"/>
      <c r="AY406" s="84"/>
      <c r="AZ406" s="84"/>
      <c r="BA406" s="75" t="s">
        <v>67</v>
      </c>
      <c r="BB406" s="85">
        <v>0</v>
      </c>
      <c r="BC406" s="85">
        <v>0</v>
      </c>
      <c r="BD406" s="85">
        <v>0</v>
      </c>
      <c r="BE406" s="85">
        <v>0</v>
      </c>
      <c r="BF406" s="85">
        <v>0</v>
      </c>
    </row>
    <row r="407" spans="1:58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X407" s="84"/>
      <c r="AY407" s="84"/>
      <c r="AZ407" s="84"/>
      <c r="BA407" s="2"/>
    </row>
    <row r="408" spans="1:58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/>
      <c r="AP408" s="77"/>
      <c r="AQ408" s="77"/>
      <c r="AR408" s="77"/>
      <c r="AS408" s="77"/>
      <c r="AT408" s="77"/>
      <c r="AU408" s="77"/>
      <c r="AV408" s="77"/>
      <c r="AX408" s="84"/>
      <c r="AY408" s="84"/>
      <c r="AZ408" s="84"/>
      <c r="BA408" s="75"/>
      <c r="BB408" s="75" t="s">
        <v>63</v>
      </c>
      <c r="BC408" s="75" t="s">
        <v>64</v>
      </c>
      <c r="BD408" s="75" t="s">
        <v>65</v>
      </c>
      <c r="BE408" s="75" t="s">
        <v>66</v>
      </c>
      <c r="BF408" s="75" t="s">
        <v>67</v>
      </c>
    </row>
    <row r="409" spans="1:58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/>
      <c r="AP409" s="77"/>
      <c r="AQ409" s="77"/>
      <c r="AR409" s="77"/>
      <c r="AS409" s="77"/>
      <c r="AT409" s="77"/>
      <c r="AU409" s="77"/>
      <c r="AV409" s="77"/>
      <c r="AX409" s="84"/>
      <c r="AY409" s="84"/>
      <c r="BA409" s="75" t="s">
        <v>60</v>
      </c>
      <c r="BB409" s="87" t="e">
        <v>#DIV/0!</v>
      </c>
      <c r="BC409" s="87" t="e">
        <v>#DIV/0!</v>
      </c>
      <c r="BD409" s="87" t="e">
        <v>#DIV/0!</v>
      </c>
      <c r="BE409" s="87" t="e">
        <v>#DIV/0!</v>
      </c>
      <c r="BF409" s="87" t="e">
        <v>#DIV/0!</v>
      </c>
    </row>
    <row r="410" spans="1:58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X410" s="84"/>
      <c r="AY410" s="84"/>
      <c r="BA410" s="75" t="s">
        <v>61</v>
      </c>
      <c r="BB410" s="87" t="e">
        <v>#DIV/0!</v>
      </c>
      <c r="BC410" s="87" t="e">
        <v>#DIV/0!</v>
      </c>
      <c r="BD410" s="87" t="e">
        <v>#DIV/0!</v>
      </c>
      <c r="BE410" s="87" t="e">
        <v>#DIV/0!</v>
      </c>
      <c r="BF410" s="87" t="e">
        <v>#DIV/0!</v>
      </c>
    </row>
    <row r="411" spans="1:58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/>
      <c r="AP411" s="77"/>
      <c r="AQ411" s="77"/>
      <c r="AR411" s="77"/>
      <c r="AS411" s="77"/>
      <c r="AT411" s="77"/>
      <c r="AU411" s="77"/>
      <c r="AV411" s="77"/>
      <c r="AX411" s="84"/>
      <c r="AY411" s="84"/>
      <c r="BA411" s="75" t="s">
        <v>67</v>
      </c>
      <c r="BB411" s="87" t="e">
        <v>#DIV/0!</v>
      </c>
      <c r="BC411" s="87" t="e">
        <v>#DIV/0!</v>
      </c>
      <c r="BD411" s="87" t="e">
        <v>#DIV/0!</v>
      </c>
      <c r="BE411" s="87" t="e">
        <v>#DIV/0!</v>
      </c>
      <c r="BF411" s="87" t="e">
        <v>#DIV/0!</v>
      </c>
    </row>
    <row r="412" spans="1:58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X412" s="84"/>
      <c r="AY412" s="84"/>
    </row>
    <row r="413" spans="1:58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X413" s="84"/>
      <c r="AY413" s="84"/>
    </row>
    <row r="414" spans="1:58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/>
      <c r="AP414" s="77"/>
      <c r="AQ414" s="77"/>
      <c r="AR414" s="77"/>
      <c r="AS414" s="77"/>
      <c r="AT414" s="77"/>
      <c r="AU414" s="77"/>
      <c r="AV414" s="77"/>
      <c r="AX414" s="84"/>
      <c r="AY414" s="84"/>
    </row>
    <row r="415" spans="1:58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X415" s="84"/>
      <c r="AY415" s="84"/>
    </row>
    <row r="416" spans="1:58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X416" s="84"/>
      <c r="AY416" s="84"/>
    </row>
    <row r="417" spans="1:58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/>
      <c r="AP417" s="77"/>
      <c r="AQ417" s="77"/>
      <c r="AR417" s="77"/>
      <c r="AS417" s="77"/>
      <c r="AT417" s="77"/>
      <c r="AU417" s="77"/>
      <c r="AV417" s="77"/>
      <c r="AX417" s="84"/>
      <c r="AY417" s="84"/>
    </row>
    <row r="418" spans="1:58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X418" s="84"/>
      <c r="AY418" s="84"/>
    </row>
    <row r="419" spans="1:58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X419" s="84"/>
      <c r="AY419" s="84"/>
    </row>
    <row r="420" spans="1:58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/>
      <c r="AP420" s="77"/>
      <c r="AQ420" s="77"/>
      <c r="AR420" s="77"/>
      <c r="AS420" s="77"/>
      <c r="AT420" s="77"/>
      <c r="AU420" s="77"/>
      <c r="AV420" s="77"/>
      <c r="AX420" s="84"/>
      <c r="AY420" s="84"/>
    </row>
    <row r="421" spans="1:58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/>
      <c r="AP421" s="77"/>
      <c r="AQ421" s="77"/>
      <c r="AR421" s="77"/>
      <c r="AS421" s="77"/>
      <c r="AT421" s="77"/>
      <c r="AU421" s="77"/>
      <c r="AV421" s="77"/>
      <c r="AX421" s="84"/>
      <c r="AY421" s="84"/>
    </row>
    <row r="422" spans="1:58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X422" s="84"/>
      <c r="AY422" s="84"/>
      <c r="AZ422" s="84"/>
      <c r="BA422" s="75" t="s">
        <v>60</v>
      </c>
      <c r="BB422" s="85">
        <v>0</v>
      </c>
      <c r="BC422" s="85">
        <v>0</v>
      </c>
      <c r="BD422" s="85">
        <v>0</v>
      </c>
      <c r="BE422" s="85">
        <v>0</v>
      </c>
      <c r="BF422" s="85">
        <v>0</v>
      </c>
    </row>
    <row r="423" spans="1:58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X423" s="84"/>
      <c r="AY423" s="84"/>
      <c r="AZ423" s="84"/>
      <c r="BA423" s="75" t="s">
        <v>61</v>
      </c>
      <c r="BB423" s="85">
        <v>0</v>
      </c>
      <c r="BC423" s="85">
        <v>0</v>
      </c>
      <c r="BD423" s="85">
        <v>0</v>
      </c>
      <c r="BE423" s="85">
        <v>0</v>
      </c>
      <c r="BF423" s="85">
        <v>0</v>
      </c>
    </row>
    <row r="424" spans="1:58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/>
      <c r="AP424" s="77"/>
      <c r="AQ424" s="77"/>
      <c r="AR424" s="77"/>
      <c r="AS424" s="77"/>
      <c r="AT424" s="77"/>
      <c r="AU424" s="77"/>
      <c r="AV424" s="77"/>
      <c r="AX424" s="84"/>
      <c r="AY424" s="84"/>
      <c r="AZ424" s="84"/>
      <c r="BA424" s="76" t="s">
        <v>62</v>
      </c>
      <c r="BB424" s="86">
        <v>0</v>
      </c>
      <c r="BC424" s="86">
        <v>0</v>
      </c>
      <c r="BD424" s="86">
        <v>0</v>
      </c>
      <c r="BE424" s="86">
        <v>0</v>
      </c>
      <c r="BF424" s="86">
        <v>0</v>
      </c>
    </row>
    <row r="425" spans="1:58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X425" s="84"/>
      <c r="AY425" s="84"/>
      <c r="AZ425" s="84"/>
      <c r="BA425" s="2"/>
    </row>
    <row r="426" spans="1:58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X426" s="84"/>
      <c r="AY426" s="84"/>
      <c r="AZ426" s="84"/>
      <c r="BA426" s="75" t="s">
        <v>68</v>
      </c>
      <c r="BB426" s="87" t="e">
        <v>#DIV/0!</v>
      </c>
      <c r="BC426" s="87" t="e">
        <v>#DIV/0!</v>
      </c>
      <c r="BD426" s="87" t="e">
        <v>#DIV/0!</v>
      </c>
      <c r="BE426" s="87" t="e">
        <v>#DIV/0!</v>
      </c>
      <c r="BF426" s="87" t="e">
        <v>#DIV/0!</v>
      </c>
    </row>
    <row r="427" spans="1:58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/>
      <c r="AP427" s="77"/>
      <c r="AQ427" s="77"/>
      <c r="AR427" s="77"/>
      <c r="AS427" s="77"/>
      <c r="AT427" s="77"/>
      <c r="AU427" s="77"/>
      <c r="AV427" s="77"/>
      <c r="AX427" s="84"/>
      <c r="AY427" s="84"/>
      <c r="BA427" s="75" t="s">
        <v>61</v>
      </c>
      <c r="BB427" s="87" t="e">
        <v>#DIV/0!</v>
      </c>
      <c r="BC427" s="87" t="e">
        <v>#DIV/0!</v>
      </c>
      <c r="BD427" s="87" t="e">
        <v>#DIV/0!</v>
      </c>
      <c r="BE427" s="87" t="e">
        <v>#DIV/0!</v>
      </c>
      <c r="BF427" s="87" t="e">
        <v>#DIV/0!</v>
      </c>
    </row>
    <row r="428" spans="1:58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X428" s="84"/>
      <c r="AY428" s="84"/>
      <c r="BA428" s="76" t="s">
        <v>62</v>
      </c>
      <c r="BB428" s="88" t="e">
        <v>#DIV/0!</v>
      </c>
      <c r="BC428" s="88" t="e">
        <v>#DIV/0!</v>
      </c>
      <c r="BD428" s="88" t="e">
        <v>#DIV/0!</v>
      </c>
      <c r="BE428" s="88" t="e">
        <v>#DIV/0!</v>
      </c>
      <c r="BF428" s="88" t="e">
        <v>#DIV/0!</v>
      </c>
    </row>
    <row r="429" spans="1:58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X429" s="84"/>
      <c r="AY429" s="84"/>
      <c r="BA429" s="75" t="s">
        <v>67</v>
      </c>
      <c r="BB429" s="87" t="e">
        <v>#DIV/0!</v>
      </c>
      <c r="BC429" s="87" t="e">
        <v>#DIV/0!</v>
      </c>
      <c r="BD429" s="87" t="e">
        <v>#DIV/0!</v>
      </c>
      <c r="BE429" s="87" t="e">
        <v>#DIV/0!</v>
      </c>
      <c r="BF429" s="87" t="e">
        <v>#DIV/0!</v>
      </c>
    </row>
    <row r="430" spans="1:58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/>
      <c r="AP430" s="77"/>
      <c r="AQ430" s="77"/>
      <c r="AR430" s="77"/>
      <c r="AS430" s="77"/>
      <c r="AT430" s="77"/>
      <c r="AU430" s="77"/>
      <c r="AV430" s="77"/>
      <c r="AX430" s="84"/>
      <c r="AY430" s="84"/>
    </row>
    <row r="431" spans="1:58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X431" s="84"/>
      <c r="AY431" s="84"/>
    </row>
    <row r="432" spans="1:58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X432" s="84"/>
      <c r="AY432" s="84"/>
    </row>
    <row r="433" spans="1:51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/>
      <c r="AP433" s="77"/>
      <c r="AQ433" s="77"/>
      <c r="AR433" s="77"/>
      <c r="AS433" s="77"/>
      <c r="AT433" s="77"/>
      <c r="AU433" s="77"/>
      <c r="AV433" s="77"/>
      <c r="AX433" s="84"/>
      <c r="AY433" s="84"/>
    </row>
    <row r="434" spans="1:51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X434" s="84"/>
      <c r="AY434" s="84"/>
    </row>
    <row r="435" spans="1:51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X435" s="84"/>
      <c r="AY435" s="84"/>
    </row>
    <row r="436" spans="1:51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/>
      <c r="AP436" s="77"/>
      <c r="AQ436" s="77"/>
      <c r="AR436" s="77"/>
      <c r="AS436" s="77"/>
      <c r="AT436" s="77"/>
      <c r="AU436" s="77"/>
      <c r="AV436" s="77"/>
      <c r="AX436" s="84"/>
      <c r="AY436" s="84"/>
    </row>
    <row r="437" spans="1:51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X437" s="84"/>
      <c r="AY437" s="84"/>
    </row>
    <row r="438" spans="1:51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X438" s="84"/>
      <c r="AY438" s="84"/>
    </row>
    <row r="439" spans="1:51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X439" s="84"/>
      <c r="AY439" s="84"/>
    </row>
    <row r="440" spans="1:51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X440" s="84"/>
      <c r="AY440" s="84"/>
    </row>
    <row r="441" spans="1:51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X441" s="84"/>
      <c r="AY441" s="84"/>
    </row>
    <row r="442" spans="1:51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X442" s="84"/>
      <c r="AY442" s="84"/>
    </row>
    <row r="443" spans="1:51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X443" s="84"/>
      <c r="AY443" s="84"/>
    </row>
    <row r="444" spans="1:51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X444" s="84"/>
      <c r="AY444" s="84"/>
    </row>
    <row r="445" spans="1:51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X445" s="84"/>
      <c r="AY445" s="84"/>
    </row>
    <row r="446" spans="1:51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X446" s="84"/>
      <c r="AY446" s="84"/>
    </row>
    <row r="447" spans="1:51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X447" s="84"/>
      <c r="AY447" s="84"/>
    </row>
    <row r="448" spans="1:51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X448" s="84"/>
      <c r="AY448" s="84"/>
    </row>
    <row r="449" spans="1:58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X449" s="84"/>
      <c r="AY449" s="84"/>
    </row>
    <row r="450" spans="1:58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X450" s="84"/>
      <c r="AY450" s="84"/>
    </row>
    <row r="451" spans="1:58" s="38" customFormat="1" ht="16.5" customHeight="1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X451" s="84"/>
      <c r="AY451" s="84"/>
    </row>
    <row r="452" spans="1:58" s="38" customFormat="1" ht="16.5" customHeight="1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X452" s="84"/>
      <c r="AY452" s="84"/>
    </row>
    <row r="453" spans="1:58" s="38" customFormat="1" ht="16.5" customHeight="1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X453" s="84"/>
      <c r="AY453" s="84"/>
    </row>
    <row r="454" spans="1:58" s="38" customFormat="1" ht="16.5" customHeight="1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X454" s="84"/>
      <c r="AY454" s="84"/>
    </row>
    <row r="455" spans="1:58" s="38" customFormat="1" ht="16.5" customHeight="1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X455" s="84"/>
      <c r="AY455" s="84"/>
    </row>
    <row r="456" spans="1:58" s="38" customFormat="1" ht="16.5" customHeight="1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X456" s="84"/>
      <c r="AY456" s="84"/>
    </row>
    <row r="457" spans="1:58" s="38" customFormat="1" ht="16.5" customHeight="1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X457" s="84"/>
      <c r="AY457" s="84"/>
    </row>
    <row r="458" spans="1:58" s="38" customFormat="1" ht="16.5" customHeight="1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X458" s="84"/>
      <c r="AY458" s="84"/>
    </row>
    <row r="459" spans="1:58" s="38" customFormat="1" ht="16.5" customHeight="1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X459" s="84"/>
      <c r="AY459" s="84"/>
    </row>
    <row r="460" spans="1:58" s="38" customFormat="1" ht="16.5" customHeight="1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X460" s="84"/>
      <c r="AY460" s="84"/>
    </row>
    <row r="461" spans="1:58" s="38" customFormat="1" ht="16.5" customHeight="1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X461" s="84"/>
      <c r="AY461" s="84"/>
    </row>
    <row r="462" spans="1:58" s="38" customFormat="1" ht="16.5" customHeight="1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X462" s="84"/>
      <c r="AY462" s="84"/>
    </row>
    <row r="463" spans="1:58" s="38" customFormat="1" ht="16.5" customHeight="1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X463" s="84"/>
      <c r="AY463" s="84"/>
    </row>
    <row r="464" spans="1:58" s="38" customFormat="1" ht="16.5" customHeight="1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X464" s="84"/>
      <c r="AY464" s="84"/>
      <c r="AZ464" s="84"/>
      <c r="BA464" s="75" t="s">
        <v>60</v>
      </c>
      <c r="BB464" s="85">
        <v>0</v>
      </c>
      <c r="BC464" s="85">
        <v>0</v>
      </c>
      <c r="BD464" s="85">
        <v>0</v>
      </c>
      <c r="BE464" s="85">
        <v>0</v>
      </c>
      <c r="BF464" s="85">
        <v>0</v>
      </c>
    </row>
    <row r="465" spans="1:58" s="38" customFormat="1" ht="16.5" customHeight="1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X465" s="84"/>
      <c r="AY465" s="84"/>
      <c r="AZ465" s="84"/>
      <c r="BA465" s="75" t="s">
        <v>61</v>
      </c>
      <c r="BB465" s="85">
        <v>0</v>
      </c>
      <c r="BC465" s="85">
        <v>0</v>
      </c>
      <c r="BD465" s="85">
        <v>0</v>
      </c>
      <c r="BE465" s="85">
        <v>0</v>
      </c>
      <c r="BF465" s="85">
        <v>0</v>
      </c>
    </row>
    <row r="466" spans="1:58" s="38" customFormat="1" ht="16.5" customHeight="1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X466" s="84"/>
      <c r="AY466" s="84"/>
      <c r="AZ466" s="84"/>
      <c r="BA466" s="76" t="s">
        <v>62</v>
      </c>
      <c r="BB466" s="86">
        <v>0</v>
      </c>
      <c r="BC466" s="86">
        <v>0</v>
      </c>
      <c r="BD466" s="86">
        <v>0</v>
      </c>
      <c r="BE466" s="86">
        <v>0</v>
      </c>
      <c r="BF466" s="86">
        <v>0</v>
      </c>
    </row>
    <row r="467" spans="1:58" s="38" customFormat="1" ht="16.5" customHeight="1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X467" s="84"/>
      <c r="AY467" s="84"/>
      <c r="AZ467" s="84"/>
      <c r="BA467" s="75" t="s">
        <v>67</v>
      </c>
      <c r="BB467" s="85">
        <v>0</v>
      </c>
      <c r="BC467" s="85">
        <v>0</v>
      </c>
      <c r="BD467" s="85">
        <v>0</v>
      </c>
      <c r="BE467" s="85">
        <v>0</v>
      </c>
      <c r="BF467" s="85">
        <v>0</v>
      </c>
    </row>
    <row r="468" spans="1:58" s="38" customFormat="1" ht="16.5" customHeight="1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X468" s="84"/>
      <c r="AY468" s="84"/>
      <c r="AZ468" s="84"/>
      <c r="BA468" s="75"/>
      <c r="BB468" s="75" t="s">
        <v>63</v>
      </c>
      <c r="BC468" s="75" t="s">
        <v>64</v>
      </c>
      <c r="BD468" s="75" t="s">
        <v>65</v>
      </c>
      <c r="BE468" s="75" t="s">
        <v>66</v>
      </c>
      <c r="BF468" s="75" t="s">
        <v>67</v>
      </c>
    </row>
    <row r="469" spans="1:58" s="38" customFormat="1" ht="16.5" customHeight="1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X469" s="84"/>
      <c r="AY469" s="84"/>
      <c r="AZ469" s="84"/>
      <c r="BA469" s="75" t="s">
        <v>68</v>
      </c>
      <c r="BB469" s="87" t="e">
        <v>#DIV/0!</v>
      </c>
      <c r="BC469" s="87" t="e">
        <v>#DIV/0!</v>
      </c>
      <c r="BD469" s="87" t="e">
        <v>#DIV/0!</v>
      </c>
      <c r="BE469" s="87" t="e">
        <v>#DIV/0!</v>
      </c>
      <c r="BF469" s="87" t="e">
        <v>#DIV/0!</v>
      </c>
    </row>
    <row r="470" spans="1:58" s="38" customFormat="1" ht="16.5" customHeight="1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X470" s="84"/>
      <c r="AY470" s="84"/>
      <c r="BA470" s="75" t="s">
        <v>60</v>
      </c>
      <c r="BB470" s="87" t="e">
        <v>#DIV/0!</v>
      </c>
      <c r="BC470" s="87" t="e">
        <v>#DIV/0!</v>
      </c>
      <c r="BD470" s="87" t="e">
        <v>#DIV/0!</v>
      </c>
      <c r="BE470" s="87" t="e">
        <v>#DIV/0!</v>
      </c>
      <c r="BF470" s="87" t="e">
        <v>#DIV/0!</v>
      </c>
    </row>
    <row r="471" spans="1:58" s="38" customFormat="1" ht="16.5" customHeight="1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X471" s="84"/>
      <c r="AY471" s="84"/>
      <c r="BA471" s="76" t="s">
        <v>62</v>
      </c>
      <c r="BB471" s="88" t="e">
        <v>#DIV/0!</v>
      </c>
      <c r="BC471" s="88" t="e">
        <v>#DIV/0!</v>
      </c>
      <c r="BD471" s="88" t="e">
        <v>#DIV/0!</v>
      </c>
      <c r="BE471" s="88" t="e">
        <v>#DIV/0!</v>
      </c>
      <c r="BF471" s="88" t="e">
        <v>#DIV/0!</v>
      </c>
    </row>
    <row r="472" spans="1:58" s="38" customFormat="1" ht="16.5" customHeight="1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X472" s="84"/>
      <c r="AY472" s="84"/>
      <c r="BA472" s="75" t="s">
        <v>67</v>
      </c>
      <c r="BB472" s="87" t="e">
        <v>#DIV/0!</v>
      </c>
      <c r="BC472" s="87" t="e">
        <v>#DIV/0!</v>
      </c>
      <c r="BD472" s="87" t="e">
        <v>#DIV/0!</v>
      </c>
      <c r="BE472" s="87" t="e">
        <v>#DIV/0!</v>
      </c>
      <c r="BF472" s="87" t="e">
        <v>#DIV/0!</v>
      </c>
    </row>
    <row r="473" spans="1:58" s="38" customFormat="1" ht="16.5" customHeight="1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X473" s="84"/>
      <c r="AY473" s="84"/>
    </row>
    <row r="474" spans="1:58" s="38" customFormat="1" ht="16.5" customHeight="1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X474" s="84"/>
      <c r="AY474" s="84"/>
    </row>
    <row r="475" spans="1:58" s="38" customFormat="1" ht="16.5" customHeight="1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X475" s="84"/>
      <c r="AY475" s="84"/>
    </row>
    <row r="476" spans="1:58" s="38" customFormat="1" ht="16.5" customHeight="1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X476" s="84"/>
      <c r="AY476" s="84"/>
    </row>
    <row r="477" spans="1:58" s="38" customFormat="1" ht="16.5" customHeight="1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X477" s="84"/>
      <c r="AY477" s="84"/>
    </row>
    <row r="478" spans="1:58" s="38" customFormat="1" ht="16.5" customHeight="1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X478" s="84"/>
      <c r="AY478" s="84"/>
    </row>
    <row r="479" spans="1:58" s="38" customFormat="1" ht="16.5" customHeight="1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X479" s="84"/>
      <c r="AY479" s="84"/>
    </row>
    <row r="480" spans="1:58" s="38" customFormat="1" ht="16.5" customHeight="1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X480" s="84"/>
      <c r="AY480" s="84"/>
    </row>
    <row r="481" spans="1:51" s="38" customFormat="1" ht="16.5" customHeight="1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X481" s="84"/>
      <c r="AY481" s="84"/>
    </row>
    <row r="482" spans="1:51" s="38" customFormat="1" ht="16.5" customHeight="1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X482" s="84"/>
      <c r="AY482" s="84"/>
    </row>
    <row r="483" spans="1:51" s="38" customFormat="1" ht="16.5" customHeight="1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X483" s="84"/>
      <c r="AY483" s="84"/>
    </row>
    <row r="484" spans="1:51" s="38" customFormat="1" ht="16.5" customHeight="1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X484" s="84"/>
      <c r="AY484" s="84"/>
    </row>
    <row r="485" spans="1:51" s="38" customFormat="1" ht="16.5" customHeight="1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X485" s="84"/>
      <c r="AY485" s="84"/>
    </row>
    <row r="486" spans="1:51" s="38" customFormat="1" ht="16.5" customHeight="1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X486" s="84"/>
      <c r="AY486" s="84"/>
    </row>
    <row r="487" spans="1:51" s="38" customFormat="1" ht="16.5" customHeight="1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X487" s="84"/>
      <c r="AY487" s="84"/>
    </row>
    <row r="488" spans="1:51" s="38" customFormat="1" ht="16.5" customHeight="1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X488" s="84"/>
      <c r="AY488" s="84"/>
    </row>
    <row r="489" spans="1:51" s="38" customFormat="1" ht="16.5" customHeight="1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X489" s="84"/>
      <c r="AY489" s="84"/>
    </row>
    <row r="490" spans="1:51" s="38" customFormat="1" ht="16.5" customHeight="1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X490" s="84"/>
      <c r="AY490" s="84"/>
    </row>
    <row r="491" spans="1:51" s="38" customFormat="1" ht="16.5" customHeight="1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X491" s="84"/>
      <c r="AY491" s="84"/>
    </row>
    <row r="492" spans="1:51" s="38" customFormat="1" ht="16.5" customHeight="1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X492" s="84"/>
      <c r="AY492" s="84"/>
    </row>
    <row r="493" spans="1:51" s="38" customFormat="1" ht="16.5" customHeight="1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X493" s="84"/>
      <c r="AY493" s="84"/>
    </row>
    <row r="494" spans="1:51" s="38" customFormat="1" ht="16.5" customHeight="1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X494" s="84"/>
      <c r="AY494" s="84"/>
    </row>
    <row r="495" spans="1:51" s="38" customFormat="1" ht="16.5" customHeight="1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X495" s="84"/>
      <c r="AY495" s="84"/>
    </row>
    <row r="496" spans="1:51" s="38" customFormat="1" ht="16.5" customHeight="1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X496" s="84"/>
      <c r="AY496" s="84"/>
    </row>
    <row r="497" spans="1:51" s="38" customFormat="1" ht="16.5" customHeight="1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X497" s="84"/>
      <c r="AY497" s="84"/>
    </row>
    <row r="498" spans="1:51" s="38" customFormat="1" ht="16.5" customHeight="1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X498" s="84"/>
      <c r="AY498" s="84"/>
    </row>
    <row r="499" spans="1:51" s="38" customFormat="1" ht="16.5" customHeight="1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X499" s="84"/>
      <c r="AY499" s="84"/>
    </row>
    <row r="500" spans="1:51" s="38" customFormat="1" ht="16.5" customHeight="1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X500" s="84"/>
      <c r="AY500" s="84"/>
    </row>
    <row r="501" spans="1:51" s="38" customFormat="1" ht="16.5" customHeight="1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X501" s="84"/>
      <c r="AY501" s="84"/>
    </row>
    <row r="502" spans="1:51" s="38" customFormat="1" ht="16.5" customHeight="1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X502" s="84"/>
      <c r="AY502" s="84"/>
    </row>
    <row r="503" spans="1:51" s="38" customFormat="1" ht="16.5" customHeight="1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X503" s="84"/>
      <c r="AY503" s="84"/>
    </row>
    <row r="504" spans="1:51" s="38" customFormat="1" ht="16.5" customHeight="1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X504" s="84"/>
      <c r="AY504" s="84"/>
    </row>
    <row r="505" spans="1:51" s="38" customFormat="1" ht="16.5" customHeight="1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X505" s="84"/>
      <c r="AY505" s="84"/>
    </row>
    <row r="506" spans="1:51" s="38" customFormat="1" ht="16.5" customHeight="1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X506" s="84"/>
      <c r="AY506" s="84"/>
    </row>
    <row r="507" spans="1:51" s="38" customFormat="1" ht="16.5" customHeight="1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X507" s="84"/>
      <c r="AY507" s="84"/>
    </row>
    <row r="508" spans="1:51" s="38" customFormat="1" ht="16.5" customHeight="1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X508" s="84"/>
      <c r="AY508" s="84"/>
    </row>
    <row r="509" spans="1:51" s="38" customFormat="1" ht="16.5" customHeight="1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X509" s="84"/>
      <c r="AY509" s="84"/>
    </row>
    <row r="510" spans="1:51" s="38" customFormat="1" ht="16.5" customHeight="1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X510" s="84"/>
      <c r="AY510" s="84"/>
    </row>
    <row r="511" spans="1:51" s="38" customFormat="1" ht="16.5" customHeight="1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X511" s="84"/>
      <c r="AY511" s="84"/>
    </row>
    <row r="512" spans="1:51" s="38" customFormat="1" ht="16.5" customHeight="1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X512" s="84"/>
      <c r="AY512" s="84"/>
    </row>
    <row r="513" spans="1:58" s="38" customFormat="1" ht="16.5" customHeight="1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X513" s="84"/>
      <c r="AY513" s="84"/>
    </row>
    <row r="514" spans="1:58" s="38" customFormat="1" ht="16.5" customHeight="1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X514" s="84"/>
      <c r="AY514" s="84"/>
    </row>
    <row r="515" spans="1:58" s="38" customFormat="1" ht="16.5" customHeight="1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X515" s="84"/>
      <c r="AY515" s="84"/>
    </row>
    <row r="516" spans="1:58" s="38" customFormat="1" ht="16.5" customHeight="1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X516" s="84"/>
      <c r="AY516" s="84"/>
    </row>
    <row r="517" spans="1:58" s="38" customFormat="1" ht="16.5" customHeight="1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X517" s="84"/>
      <c r="AY517" s="84"/>
    </row>
    <row r="518" spans="1:58" s="38" customFormat="1" ht="16.5" customHeight="1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X518" s="84"/>
      <c r="AY518" s="84"/>
    </row>
    <row r="519" spans="1:58" s="38" customFormat="1" ht="16.5" customHeight="1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X519" s="84"/>
      <c r="AY519" s="84"/>
    </row>
    <row r="520" spans="1:58" s="38" customFormat="1" ht="16.5" customHeight="1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X520" s="84"/>
      <c r="AY520" s="84"/>
    </row>
    <row r="521" spans="1:58" s="38" customFormat="1" ht="16.5" customHeight="1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X521" s="84"/>
      <c r="AY521" s="84"/>
    </row>
    <row r="522" spans="1:58" s="38" customFormat="1" ht="16.5" customHeight="1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X522" s="84"/>
      <c r="AY522" s="84"/>
    </row>
    <row r="523" spans="1:58" s="38" customFormat="1" ht="16.5" customHeight="1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X523" s="84"/>
      <c r="AY523" s="84"/>
    </row>
    <row r="524" spans="1:58" s="38" customFormat="1" ht="16.5" customHeight="1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X524" s="84"/>
      <c r="AY524" s="84"/>
    </row>
    <row r="525" spans="1:58" s="38" customFormat="1" ht="16.5" customHeight="1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X525" s="84"/>
      <c r="AY525" s="84"/>
    </row>
    <row r="526" spans="1:58" s="38" customFormat="1" ht="16.5" customHeight="1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X526" s="84"/>
      <c r="AY526" s="84"/>
    </row>
    <row r="527" spans="1:58" s="38" customFormat="1" ht="16.5" customHeight="1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X527" s="84"/>
      <c r="AY527" s="84"/>
    </row>
    <row r="528" spans="1:58" s="38" customFormat="1" ht="16.5" customHeight="1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X528" s="84"/>
      <c r="AY528" s="84"/>
      <c r="AZ528" s="84"/>
      <c r="BA528" s="75" t="s">
        <v>60</v>
      </c>
      <c r="BB528" s="85">
        <v>0</v>
      </c>
      <c r="BC528" s="85">
        <v>0</v>
      </c>
      <c r="BD528" s="85">
        <v>0</v>
      </c>
      <c r="BE528" s="85">
        <v>0</v>
      </c>
      <c r="BF528" s="85">
        <v>0</v>
      </c>
    </row>
    <row r="529" spans="1:58" s="38" customFormat="1" ht="16.5" customHeight="1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X529" s="84"/>
      <c r="AY529" s="84"/>
      <c r="AZ529" s="84"/>
      <c r="BA529" s="75" t="s">
        <v>61</v>
      </c>
      <c r="BB529" s="85">
        <v>0</v>
      </c>
      <c r="BC529" s="85">
        <v>0</v>
      </c>
      <c r="BD529" s="85">
        <v>0</v>
      </c>
      <c r="BE529" s="85">
        <v>0</v>
      </c>
      <c r="BF529" s="85">
        <v>0</v>
      </c>
    </row>
    <row r="530" spans="1:58" s="38" customFormat="1" ht="16.5" customHeight="1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X530" s="84"/>
      <c r="AY530" s="84"/>
      <c r="AZ530" s="84"/>
      <c r="BA530" s="75" t="s">
        <v>67</v>
      </c>
      <c r="BB530" s="85">
        <v>0</v>
      </c>
      <c r="BC530" s="85">
        <v>0</v>
      </c>
      <c r="BD530" s="85">
        <v>0</v>
      </c>
      <c r="BE530" s="85">
        <v>0</v>
      </c>
      <c r="BF530" s="85">
        <v>0</v>
      </c>
    </row>
    <row r="531" spans="1:58" s="38" customFormat="1" ht="16.5" customHeight="1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X531" s="84"/>
      <c r="AY531" s="84"/>
      <c r="AZ531" s="84"/>
      <c r="BA531" s="2"/>
    </row>
    <row r="532" spans="1:58" s="38" customFormat="1" ht="16.5" customHeight="1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X532" s="84"/>
      <c r="AY532" s="84"/>
      <c r="AZ532" s="84"/>
      <c r="BA532" s="75"/>
      <c r="BB532" s="75" t="s">
        <v>63</v>
      </c>
      <c r="BC532" s="75" t="s">
        <v>64</v>
      </c>
      <c r="BD532" s="75" t="s">
        <v>65</v>
      </c>
      <c r="BE532" s="75" t="s">
        <v>66</v>
      </c>
      <c r="BF532" s="75" t="s">
        <v>67</v>
      </c>
    </row>
    <row r="533" spans="1:58" s="38" customFormat="1" ht="16.5" customHeight="1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X533" s="84"/>
      <c r="AY533" s="84"/>
      <c r="BA533" s="75" t="s">
        <v>60</v>
      </c>
      <c r="BB533" s="87" t="e">
        <v>#DIV/0!</v>
      </c>
      <c r="BC533" s="87" t="e">
        <v>#DIV/0!</v>
      </c>
      <c r="BD533" s="87" t="e">
        <v>#DIV/0!</v>
      </c>
      <c r="BE533" s="87" t="e">
        <v>#DIV/0!</v>
      </c>
      <c r="BF533" s="87" t="e">
        <v>#DIV/0!</v>
      </c>
    </row>
    <row r="534" spans="1:58" s="38" customFormat="1" ht="16.5" customHeight="1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X534" s="84"/>
      <c r="AY534" s="84"/>
      <c r="BA534" s="75" t="s">
        <v>61</v>
      </c>
      <c r="BB534" s="87" t="e">
        <v>#DIV/0!</v>
      </c>
      <c r="BC534" s="87" t="e">
        <v>#DIV/0!</v>
      </c>
      <c r="BD534" s="87" t="e">
        <v>#DIV/0!</v>
      </c>
      <c r="BE534" s="87" t="e">
        <v>#DIV/0!</v>
      </c>
      <c r="BF534" s="87" t="e">
        <v>#DIV/0!</v>
      </c>
    </row>
    <row r="535" spans="1:58" s="38" customFormat="1" ht="16.5" customHeight="1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X535" s="84"/>
      <c r="AY535" s="84"/>
      <c r="BA535" s="75" t="s">
        <v>67</v>
      </c>
      <c r="BB535" s="87" t="e">
        <v>#DIV/0!</v>
      </c>
      <c r="BC535" s="87" t="e">
        <v>#DIV/0!</v>
      </c>
      <c r="BD535" s="87" t="e">
        <v>#DIV/0!</v>
      </c>
      <c r="BE535" s="87" t="e">
        <v>#DIV/0!</v>
      </c>
      <c r="BF535" s="87" t="e">
        <v>#DIV/0!</v>
      </c>
    </row>
    <row r="536" spans="1:58" s="38" customFormat="1" ht="16.5" customHeight="1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X536" s="84"/>
      <c r="AY536" s="84"/>
    </row>
    <row r="537" spans="1:58" s="38" customFormat="1" ht="16.5" customHeight="1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X537" s="84"/>
      <c r="AY537" s="84"/>
    </row>
    <row r="538" spans="1:58" s="38" customFormat="1" ht="16.5" customHeight="1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X538" s="84"/>
      <c r="AY538" s="84"/>
    </row>
    <row r="539" spans="1:58" s="38" customFormat="1" ht="16.5" customHeight="1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X539" s="84"/>
      <c r="AY539" s="8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6769" priority="76330" operator="lessThan">
      <formula>15.1</formula>
    </cfRule>
    <cfRule type="cellIs" dxfId="6768" priority="76331" operator="lessThan">
      <formula>18.1</formula>
    </cfRule>
    <cfRule type="cellIs" dxfId="6767" priority="76332" operator="lessThan">
      <formula>21.1</formula>
    </cfRule>
    <cfRule type="cellIs" dxfId="6766" priority="76333" operator="lessThan">
      <formula>24.1</formula>
    </cfRule>
    <cfRule type="cellIs" dxfId="6765" priority="76334" operator="lessThan">
      <formula>30</formula>
    </cfRule>
    <cfRule type="cellIs" dxfId="6764" priority="76335" operator="lessThan">
      <formula>34.1</formula>
    </cfRule>
  </conditionalFormatting>
  <conditionalFormatting sqref="Z3">
    <cfRule type="colorScale" priority="763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6763" priority="76327" operator="greaterThan">
      <formula>0.9</formula>
    </cfRule>
    <cfRule type="cellIs" dxfId="6762" priority="76328" operator="greaterThan">
      <formula>0.85</formula>
    </cfRule>
  </conditionalFormatting>
  <conditionalFormatting sqref="N2">
    <cfRule type="cellIs" dxfId="6761" priority="76325" operator="greaterThan">
      <formula>0.9</formula>
    </cfRule>
    <cfRule type="cellIs" dxfId="6760" priority="76326" operator="greaterThan">
      <formula>0.85</formula>
    </cfRule>
  </conditionalFormatting>
  <conditionalFormatting sqref="AV4">
    <cfRule type="expression" dxfId="6759" priority="3185">
      <formula>AV4="X"</formula>
    </cfRule>
    <cfRule type="expression" dxfId="6758" priority="3186">
      <formula>AV4="후보"</formula>
    </cfRule>
  </conditionalFormatting>
  <conditionalFormatting sqref="AC4">
    <cfRule type="cellIs" dxfId="6757" priority="3183" operator="greaterThan">
      <formula>0.9</formula>
    </cfRule>
    <cfRule type="cellIs" dxfId="6756" priority="3184" operator="greaterThan">
      <formula>0.85</formula>
    </cfRule>
  </conditionalFormatting>
  <conditionalFormatting sqref="N4">
    <cfRule type="cellIs" dxfId="6755" priority="3181" operator="greaterThan">
      <formula>0.9</formula>
    </cfRule>
    <cfRule type="cellIs" dxfId="6754" priority="3182" operator="greaterThan">
      <formula>0.85</formula>
    </cfRule>
  </conditionalFormatting>
  <conditionalFormatting sqref="E4">
    <cfRule type="expression" dxfId="6753" priority="3177">
      <formula>AND(IF(OR($Q4=1,$Q4=2),1,0),IF($X4&lt;=20,1,0))</formula>
    </cfRule>
    <cfRule type="expression" dxfId="6752" priority="3178">
      <formula>AND(IF($Q4=2,1,0),IF($X4&lt;30,1,0))</formula>
    </cfRule>
    <cfRule type="expression" dxfId="6751" priority="3179">
      <formula>AND(IF($Q4=3,1,0),IF($X4&lt;30,1,0))</formula>
    </cfRule>
    <cfRule type="expression" dxfId="6750" priority="3180">
      <formula>AND(IF($Q4=3,1,IF($Q4=4,1,0)),IF($F4&lt;=85,1,0))</formula>
    </cfRule>
  </conditionalFormatting>
  <conditionalFormatting sqref="X4">
    <cfRule type="expression" dxfId="6749" priority="3173">
      <formula>AND(IF(OR($Q4=1,$Q4=2),1,0),IF($X4&lt;=20,1,0))</formula>
    </cfRule>
    <cfRule type="expression" dxfId="6748" priority="3174">
      <formula>AND(IF($Q4=2,1,0),IF($X4&lt;30,1,0))</formula>
    </cfRule>
    <cfRule type="expression" dxfId="6747" priority="3175">
      <formula>AND(IF($Q4=3,1,0),IF($X4&lt;30,1,0))</formula>
    </cfRule>
    <cfRule type="expression" dxfId="6746" priority="3176">
      <formula>AND(IF($Q4=3,1,IF($Q4=4,1,0)),IF($F4&lt;=85,1,0))</formula>
    </cfRule>
  </conditionalFormatting>
  <conditionalFormatting sqref="AI4">
    <cfRule type="expression" dxfId="6745" priority="3169">
      <formula>AND(IF(OR($Q4=1,$Q4=2),1,0),IF($X4&lt;=20,1,0))</formula>
    </cfRule>
    <cfRule type="expression" dxfId="6744" priority="3170">
      <formula>AND(IF($Q4=2,1,0),IF($X4&lt;30,1,0))</formula>
    </cfRule>
    <cfRule type="expression" dxfId="6743" priority="3171">
      <formula>AND(IF($Q4=3,1,0),IF($X4&lt;30,1,0))</formula>
    </cfRule>
    <cfRule type="expression" dxfId="6742" priority="3172">
      <formula>AND(IF($Q4=3,1,IF($Q4=4,1,0)),IF($F4&lt;=85,1,0))</formula>
    </cfRule>
  </conditionalFormatting>
  <conditionalFormatting sqref="AV5">
    <cfRule type="expression" dxfId="6741" priority="3167">
      <formula>AV5="X"</formula>
    </cfRule>
    <cfRule type="expression" dxfId="6740" priority="3168">
      <formula>AV5="후보"</formula>
    </cfRule>
  </conditionalFormatting>
  <conditionalFormatting sqref="AC5">
    <cfRule type="cellIs" dxfId="6739" priority="3165" operator="greaterThan">
      <formula>0.9</formula>
    </cfRule>
    <cfRule type="cellIs" dxfId="6738" priority="3166" operator="greaterThan">
      <formula>0.85</formula>
    </cfRule>
  </conditionalFormatting>
  <conditionalFormatting sqref="N5">
    <cfRule type="cellIs" dxfId="6737" priority="3163" operator="greaterThan">
      <formula>0.9</formula>
    </cfRule>
    <cfRule type="cellIs" dxfId="6736" priority="3164" operator="greaterThan">
      <formula>0.85</formula>
    </cfRule>
  </conditionalFormatting>
  <conditionalFormatting sqref="E5">
    <cfRule type="expression" dxfId="6735" priority="3159">
      <formula>AND(IF(OR($Q5=1,$Q5=2),1,0),IF($X5&lt;=20,1,0))</formula>
    </cfRule>
    <cfRule type="expression" dxfId="6734" priority="3160">
      <formula>AND(IF($Q5=2,1,0),IF($X5&lt;30,1,0))</formula>
    </cfRule>
    <cfRule type="expression" dxfId="6733" priority="3161">
      <formula>AND(IF($Q5=3,1,0),IF($X5&lt;30,1,0))</formula>
    </cfRule>
    <cfRule type="expression" dxfId="6732" priority="3162">
      <formula>AND(IF($Q5=3,1,IF($Q5=4,1,0)),IF($F5&lt;=85,1,0))</formula>
    </cfRule>
  </conditionalFormatting>
  <conditionalFormatting sqref="X5">
    <cfRule type="expression" dxfId="6731" priority="3155">
      <formula>AND(IF(OR($Q5=1,$Q5=2),1,0),IF($X5&lt;=20,1,0))</formula>
    </cfRule>
    <cfRule type="expression" dxfId="6730" priority="3156">
      <formula>AND(IF($Q5=2,1,0),IF($X5&lt;30,1,0))</formula>
    </cfRule>
    <cfRule type="expression" dxfId="6729" priority="3157">
      <formula>AND(IF($Q5=3,1,0),IF($X5&lt;30,1,0))</formula>
    </cfRule>
    <cfRule type="expression" dxfId="6728" priority="3158">
      <formula>AND(IF($Q5=3,1,IF($Q5=4,1,0)),IF($F5&lt;=85,1,0))</formula>
    </cfRule>
  </conditionalFormatting>
  <conditionalFormatting sqref="AI5">
    <cfRule type="expression" dxfId="6727" priority="3151">
      <formula>AND(IF(OR($Q5=1,$Q5=2),1,0),IF($X5&lt;=20,1,0))</formula>
    </cfRule>
    <cfRule type="expression" dxfId="6726" priority="3152">
      <formula>AND(IF($Q5=2,1,0),IF($X5&lt;30,1,0))</formula>
    </cfRule>
    <cfRule type="expression" dxfId="6725" priority="3153">
      <formula>AND(IF($Q5=3,1,0),IF($X5&lt;30,1,0))</formula>
    </cfRule>
    <cfRule type="expression" dxfId="6724" priority="3154">
      <formula>AND(IF($Q5=3,1,IF($Q5=4,1,0)),IF($F5&lt;=85,1,0))</formula>
    </cfRule>
  </conditionalFormatting>
  <conditionalFormatting sqref="AV6">
    <cfRule type="expression" dxfId="6723" priority="3149">
      <formula>AV6="X"</formula>
    </cfRule>
    <cfRule type="expression" dxfId="6722" priority="3150">
      <formula>AV6="후보"</formula>
    </cfRule>
  </conditionalFormatting>
  <conditionalFormatting sqref="AC6">
    <cfRule type="cellIs" dxfId="6721" priority="3147" operator="greaterThan">
      <formula>0.9</formula>
    </cfRule>
    <cfRule type="cellIs" dxfId="6720" priority="3148" operator="greaterThan">
      <formula>0.85</formula>
    </cfRule>
  </conditionalFormatting>
  <conditionalFormatting sqref="N6">
    <cfRule type="cellIs" dxfId="6719" priority="3145" operator="greaterThan">
      <formula>0.9</formula>
    </cfRule>
    <cfRule type="cellIs" dxfId="6718" priority="3146" operator="greaterThan">
      <formula>0.85</formula>
    </cfRule>
  </conditionalFormatting>
  <conditionalFormatting sqref="E6">
    <cfRule type="expression" dxfId="6717" priority="3141">
      <formula>AND(IF(OR($Q6=1,$Q6=2),1,0),IF($X6&lt;=20,1,0))</formula>
    </cfRule>
    <cfRule type="expression" dxfId="6716" priority="3142">
      <formula>AND(IF($Q6=2,1,0),IF($X6&lt;30,1,0))</formula>
    </cfRule>
    <cfRule type="expression" dxfId="6715" priority="3143">
      <formula>AND(IF($Q6=3,1,0),IF($X6&lt;30,1,0))</formula>
    </cfRule>
    <cfRule type="expression" dxfId="6714" priority="3144">
      <formula>AND(IF($Q6=3,1,IF($Q6=4,1,0)),IF($F6&lt;=85,1,0))</formula>
    </cfRule>
  </conditionalFormatting>
  <conditionalFormatting sqref="X6">
    <cfRule type="expression" dxfId="6713" priority="3137">
      <formula>AND(IF(OR($Q6=1,$Q6=2),1,0),IF($X6&lt;=20,1,0))</formula>
    </cfRule>
    <cfRule type="expression" dxfId="6712" priority="3138">
      <formula>AND(IF($Q6=2,1,0),IF($X6&lt;30,1,0))</formula>
    </cfRule>
    <cfRule type="expression" dxfId="6711" priority="3139">
      <formula>AND(IF($Q6=3,1,0),IF($X6&lt;30,1,0))</formula>
    </cfRule>
    <cfRule type="expression" dxfId="6710" priority="3140">
      <formula>AND(IF($Q6=3,1,IF($Q6=4,1,0)),IF($F6&lt;=85,1,0))</formula>
    </cfRule>
  </conditionalFormatting>
  <conditionalFormatting sqref="AI6">
    <cfRule type="expression" dxfId="6709" priority="3133">
      <formula>AND(IF(OR($Q6=1,$Q6=2),1,0),IF($X6&lt;=20,1,0))</formula>
    </cfRule>
    <cfRule type="expression" dxfId="6708" priority="3134">
      <formula>AND(IF($Q6=2,1,0),IF($X6&lt;30,1,0))</formula>
    </cfRule>
    <cfRule type="expression" dxfId="6707" priority="3135">
      <formula>AND(IF($Q6=3,1,0),IF($X6&lt;30,1,0))</formula>
    </cfRule>
    <cfRule type="expression" dxfId="6706" priority="3136">
      <formula>AND(IF($Q6=3,1,IF($Q6=4,1,0)),IF($F6&lt;=85,1,0))</formula>
    </cfRule>
  </conditionalFormatting>
  <conditionalFormatting sqref="AV7">
    <cfRule type="expression" dxfId="6705" priority="3131">
      <formula>AV7="X"</formula>
    </cfRule>
    <cfRule type="expression" dxfId="6704" priority="3132">
      <formula>AV7="후보"</formula>
    </cfRule>
  </conditionalFormatting>
  <conditionalFormatting sqref="AC7">
    <cfRule type="cellIs" dxfId="6703" priority="3129" operator="greaterThan">
      <formula>0.9</formula>
    </cfRule>
    <cfRule type="cellIs" dxfId="6702" priority="3130" operator="greaterThan">
      <formula>0.85</formula>
    </cfRule>
  </conditionalFormatting>
  <conditionalFormatting sqref="N7">
    <cfRule type="cellIs" dxfId="6701" priority="3127" operator="greaterThan">
      <formula>0.9</formula>
    </cfRule>
    <cfRule type="cellIs" dxfId="6700" priority="3128" operator="greaterThan">
      <formula>0.85</formula>
    </cfRule>
  </conditionalFormatting>
  <conditionalFormatting sqref="E7">
    <cfRule type="expression" dxfId="6699" priority="3123">
      <formula>AND(IF(OR($Q7=1,$Q7=2),1,0),IF($X7&lt;=20,1,0))</formula>
    </cfRule>
    <cfRule type="expression" dxfId="6698" priority="3124">
      <formula>AND(IF($Q7=2,1,0),IF($X7&lt;30,1,0))</formula>
    </cfRule>
    <cfRule type="expression" dxfId="6697" priority="3125">
      <formula>AND(IF($Q7=3,1,0),IF($X7&lt;30,1,0))</formula>
    </cfRule>
    <cfRule type="expression" dxfId="6696" priority="3126">
      <formula>AND(IF($Q7=3,1,IF($Q7=4,1,0)),IF($F7&lt;=85,1,0))</formula>
    </cfRule>
  </conditionalFormatting>
  <conditionalFormatting sqref="X7">
    <cfRule type="expression" dxfId="6695" priority="3119">
      <formula>AND(IF(OR($Q7=1,$Q7=2),1,0),IF($X7&lt;=20,1,0))</formula>
    </cfRule>
    <cfRule type="expression" dxfId="6694" priority="3120">
      <formula>AND(IF($Q7=2,1,0),IF($X7&lt;30,1,0))</formula>
    </cfRule>
    <cfRule type="expression" dxfId="6693" priority="3121">
      <formula>AND(IF($Q7=3,1,0),IF($X7&lt;30,1,0))</formula>
    </cfRule>
    <cfRule type="expression" dxfId="6692" priority="3122">
      <formula>AND(IF($Q7=3,1,IF($Q7=4,1,0)),IF($F7&lt;=85,1,0))</formula>
    </cfRule>
  </conditionalFormatting>
  <conditionalFormatting sqref="AI7">
    <cfRule type="expression" dxfId="6691" priority="3115">
      <formula>AND(IF(OR($Q7=1,$Q7=2),1,0),IF($X7&lt;=20,1,0))</formula>
    </cfRule>
    <cfRule type="expression" dxfId="6690" priority="3116">
      <formula>AND(IF($Q7=2,1,0),IF($X7&lt;30,1,0))</formula>
    </cfRule>
    <cfRule type="expression" dxfId="6689" priority="3117">
      <formula>AND(IF($Q7=3,1,0),IF($X7&lt;30,1,0))</formula>
    </cfRule>
    <cfRule type="expression" dxfId="6688" priority="3118">
      <formula>AND(IF($Q7=3,1,IF($Q7=4,1,0)),IF($F7&lt;=85,1,0))</formula>
    </cfRule>
  </conditionalFormatting>
  <conditionalFormatting sqref="AV8">
    <cfRule type="expression" dxfId="6687" priority="3113">
      <formula>AV8="X"</formula>
    </cfRule>
    <cfRule type="expression" dxfId="6686" priority="3114">
      <formula>AV8="후보"</formula>
    </cfRule>
  </conditionalFormatting>
  <conditionalFormatting sqref="AC8">
    <cfRule type="cellIs" dxfId="6685" priority="3111" operator="greaterThan">
      <formula>0.9</formula>
    </cfRule>
    <cfRule type="cellIs" dxfId="6684" priority="3112" operator="greaterThan">
      <formula>0.85</formula>
    </cfRule>
  </conditionalFormatting>
  <conditionalFormatting sqref="N8">
    <cfRule type="cellIs" dxfId="6683" priority="3109" operator="greaterThan">
      <formula>0.9</formula>
    </cfRule>
    <cfRule type="cellIs" dxfId="6682" priority="3110" operator="greaterThan">
      <formula>0.85</formula>
    </cfRule>
  </conditionalFormatting>
  <conditionalFormatting sqref="E8">
    <cfRule type="expression" dxfId="6681" priority="3105">
      <formula>AND(IF(OR($Q8=1,$Q8=2),1,0),IF($X8&lt;=20,1,0))</formula>
    </cfRule>
    <cfRule type="expression" dxfId="6680" priority="3106">
      <formula>AND(IF($Q8=2,1,0),IF($X8&lt;30,1,0))</formula>
    </cfRule>
    <cfRule type="expression" dxfId="6679" priority="3107">
      <formula>AND(IF($Q8=3,1,0),IF($X8&lt;30,1,0))</formula>
    </cfRule>
    <cfRule type="expression" dxfId="6678" priority="3108">
      <formula>AND(IF($Q8=3,1,IF($Q8=4,1,0)),IF($F8&lt;=85,1,0))</formula>
    </cfRule>
  </conditionalFormatting>
  <conditionalFormatting sqref="X8">
    <cfRule type="expression" dxfId="6677" priority="3101">
      <formula>AND(IF(OR($Q8=1,$Q8=2),1,0),IF($X8&lt;=20,1,0))</formula>
    </cfRule>
    <cfRule type="expression" dxfId="6676" priority="3102">
      <formula>AND(IF($Q8=2,1,0),IF($X8&lt;30,1,0))</formula>
    </cfRule>
    <cfRule type="expression" dxfId="6675" priority="3103">
      <formula>AND(IF($Q8=3,1,0),IF($X8&lt;30,1,0))</formula>
    </cfRule>
    <cfRule type="expression" dxfId="6674" priority="3104">
      <formula>AND(IF($Q8=3,1,IF($Q8=4,1,0)),IF($F8&lt;=85,1,0))</formula>
    </cfRule>
  </conditionalFormatting>
  <conditionalFormatting sqref="AI8">
    <cfRule type="expression" dxfId="6673" priority="3097">
      <formula>AND(IF(OR($Q8=1,$Q8=2),1,0),IF($X8&lt;=20,1,0))</formula>
    </cfRule>
    <cfRule type="expression" dxfId="6672" priority="3098">
      <formula>AND(IF($Q8=2,1,0),IF($X8&lt;30,1,0))</formula>
    </cfRule>
    <cfRule type="expression" dxfId="6671" priority="3099">
      <formula>AND(IF($Q8=3,1,0),IF($X8&lt;30,1,0))</formula>
    </cfRule>
    <cfRule type="expression" dxfId="6670" priority="3100">
      <formula>AND(IF($Q8=3,1,IF($Q8=4,1,0)),IF($F8&lt;=85,1,0))</formula>
    </cfRule>
  </conditionalFormatting>
  <conditionalFormatting sqref="AV9">
    <cfRule type="expression" dxfId="6669" priority="3095">
      <formula>AV9="X"</formula>
    </cfRule>
    <cfRule type="expression" dxfId="6668" priority="3096">
      <formula>AV9="후보"</formula>
    </cfRule>
  </conditionalFormatting>
  <conditionalFormatting sqref="AC9">
    <cfRule type="cellIs" dxfId="6667" priority="3093" operator="greaterThan">
      <formula>0.9</formula>
    </cfRule>
    <cfRule type="cellIs" dxfId="6666" priority="3094" operator="greaterThan">
      <formula>0.85</formula>
    </cfRule>
  </conditionalFormatting>
  <conditionalFormatting sqref="N9">
    <cfRule type="cellIs" dxfId="6665" priority="3091" operator="greaterThan">
      <formula>0.9</formula>
    </cfRule>
    <cfRule type="cellIs" dxfId="6664" priority="3092" operator="greaterThan">
      <formula>0.85</formula>
    </cfRule>
  </conditionalFormatting>
  <conditionalFormatting sqref="E9">
    <cfRule type="expression" dxfId="6663" priority="3087">
      <formula>AND(IF(OR($Q9=1,$Q9=2),1,0),IF($X9&lt;=20,1,0))</formula>
    </cfRule>
    <cfRule type="expression" dxfId="6662" priority="3088">
      <formula>AND(IF($Q9=2,1,0),IF($X9&lt;30,1,0))</formula>
    </cfRule>
    <cfRule type="expression" dxfId="6661" priority="3089">
      <formula>AND(IF($Q9=3,1,0),IF($X9&lt;30,1,0))</formula>
    </cfRule>
    <cfRule type="expression" dxfId="6660" priority="3090">
      <formula>AND(IF($Q9=3,1,IF($Q9=4,1,0)),IF($F9&lt;=85,1,0))</formula>
    </cfRule>
  </conditionalFormatting>
  <conditionalFormatting sqref="X9">
    <cfRule type="expression" dxfId="6659" priority="3083">
      <formula>AND(IF(OR($Q9=1,$Q9=2),1,0),IF($X9&lt;=20,1,0))</formula>
    </cfRule>
    <cfRule type="expression" dxfId="6658" priority="3084">
      <formula>AND(IF($Q9=2,1,0),IF($X9&lt;30,1,0))</formula>
    </cfRule>
    <cfRule type="expression" dxfId="6657" priority="3085">
      <formula>AND(IF($Q9=3,1,0),IF($X9&lt;30,1,0))</formula>
    </cfRule>
    <cfRule type="expression" dxfId="6656" priority="3086">
      <formula>AND(IF($Q9=3,1,IF($Q9=4,1,0)),IF($F9&lt;=85,1,0))</formula>
    </cfRule>
  </conditionalFormatting>
  <conditionalFormatting sqref="AI9">
    <cfRule type="expression" dxfId="6655" priority="3079">
      <formula>AND(IF(OR($Q9=1,$Q9=2),1,0),IF($X9&lt;=20,1,0))</formula>
    </cfRule>
    <cfRule type="expression" dxfId="6654" priority="3080">
      <formula>AND(IF($Q9=2,1,0),IF($X9&lt;30,1,0))</formula>
    </cfRule>
    <cfRule type="expression" dxfId="6653" priority="3081">
      <formula>AND(IF($Q9=3,1,0),IF($X9&lt;30,1,0))</formula>
    </cfRule>
    <cfRule type="expression" dxfId="6652" priority="3082">
      <formula>AND(IF($Q9=3,1,IF($Q9=4,1,0)),IF($F9&lt;=85,1,0))</formula>
    </cfRule>
  </conditionalFormatting>
  <conditionalFormatting sqref="AV10">
    <cfRule type="expression" dxfId="6651" priority="3077">
      <formula>AV10="X"</formula>
    </cfRule>
    <cfRule type="expression" dxfId="6650" priority="3078">
      <formula>AV10="후보"</formula>
    </cfRule>
  </conditionalFormatting>
  <conditionalFormatting sqref="AC10">
    <cfRule type="cellIs" dxfId="6649" priority="3075" operator="greaterThan">
      <formula>0.9</formula>
    </cfRule>
    <cfRule type="cellIs" dxfId="6648" priority="3076" operator="greaterThan">
      <formula>0.85</formula>
    </cfRule>
  </conditionalFormatting>
  <conditionalFormatting sqref="N10">
    <cfRule type="cellIs" dxfId="6647" priority="3073" operator="greaterThan">
      <formula>0.9</formula>
    </cfRule>
    <cfRule type="cellIs" dxfId="6646" priority="3074" operator="greaterThan">
      <formula>0.85</formula>
    </cfRule>
  </conditionalFormatting>
  <conditionalFormatting sqref="E10">
    <cfRule type="expression" dxfId="6645" priority="3069">
      <formula>AND(IF(OR($Q10=1,$Q10=2),1,0),IF($X10&lt;=20,1,0))</formula>
    </cfRule>
    <cfRule type="expression" dxfId="6644" priority="3070">
      <formula>AND(IF($Q10=2,1,0),IF($X10&lt;30,1,0))</formula>
    </cfRule>
    <cfRule type="expression" dxfId="6643" priority="3071">
      <formula>AND(IF($Q10=3,1,0),IF($X10&lt;30,1,0))</formula>
    </cfRule>
    <cfRule type="expression" dxfId="6642" priority="3072">
      <formula>AND(IF($Q10=3,1,IF($Q10=4,1,0)),IF($F10&lt;=85,1,0))</formula>
    </cfRule>
  </conditionalFormatting>
  <conditionalFormatting sqref="X10">
    <cfRule type="expression" dxfId="6641" priority="3065">
      <formula>AND(IF(OR($Q10=1,$Q10=2),1,0),IF($X10&lt;=20,1,0))</formula>
    </cfRule>
    <cfRule type="expression" dxfId="6640" priority="3066">
      <formula>AND(IF($Q10=2,1,0),IF($X10&lt;30,1,0))</formula>
    </cfRule>
    <cfRule type="expression" dxfId="6639" priority="3067">
      <formula>AND(IF($Q10=3,1,0),IF($X10&lt;30,1,0))</formula>
    </cfRule>
    <cfRule type="expression" dxfId="6638" priority="3068">
      <formula>AND(IF($Q10=3,1,IF($Q10=4,1,0)),IF($F10&lt;=85,1,0))</formula>
    </cfRule>
  </conditionalFormatting>
  <conditionalFormatting sqref="AI10">
    <cfRule type="expression" dxfId="6637" priority="3061">
      <formula>AND(IF(OR($Q10=1,$Q10=2),1,0),IF($X10&lt;=20,1,0))</formula>
    </cfRule>
    <cfRule type="expression" dxfId="6636" priority="3062">
      <formula>AND(IF($Q10=2,1,0),IF($X10&lt;30,1,0))</formula>
    </cfRule>
    <cfRule type="expression" dxfId="6635" priority="3063">
      <formula>AND(IF($Q10=3,1,0),IF($X10&lt;30,1,0))</formula>
    </cfRule>
    <cfRule type="expression" dxfId="6634" priority="3064">
      <formula>AND(IF($Q10=3,1,IF($Q10=4,1,0)),IF($F10&lt;=85,1,0))</formula>
    </cfRule>
  </conditionalFormatting>
  <conditionalFormatting sqref="AV11">
    <cfRule type="expression" dxfId="6633" priority="3059">
      <formula>AV11="X"</formula>
    </cfRule>
    <cfRule type="expression" dxfId="6632" priority="3060">
      <formula>AV11="후보"</formula>
    </cfRule>
  </conditionalFormatting>
  <conditionalFormatting sqref="AC11">
    <cfRule type="cellIs" dxfId="6631" priority="3057" operator="greaterThan">
      <formula>0.9</formula>
    </cfRule>
    <cfRule type="cellIs" dxfId="6630" priority="3058" operator="greaterThan">
      <formula>0.85</formula>
    </cfRule>
  </conditionalFormatting>
  <conditionalFormatting sqref="N11">
    <cfRule type="cellIs" dxfId="6629" priority="3055" operator="greaterThan">
      <formula>0.9</formula>
    </cfRule>
    <cfRule type="cellIs" dxfId="6628" priority="3056" operator="greaterThan">
      <formula>0.85</formula>
    </cfRule>
  </conditionalFormatting>
  <conditionalFormatting sqref="E11">
    <cfRule type="expression" dxfId="6627" priority="3051">
      <formula>AND(IF(OR($Q11=1,$Q11=2),1,0),IF($X11&lt;=20,1,0))</formula>
    </cfRule>
    <cfRule type="expression" dxfId="6626" priority="3052">
      <formula>AND(IF($Q11=2,1,0),IF($X11&lt;30,1,0))</formula>
    </cfRule>
    <cfRule type="expression" dxfId="6625" priority="3053">
      <formula>AND(IF($Q11=3,1,0),IF($X11&lt;30,1,0))</formula>
    </cfRule>
    <cfRule type="expression" dxfId="6624" priority="3054">
      <formula>AND(IF($Q11=3,1,IF($Q11=4,1,0)),IF($F11&lt;=85,1,0))</formula>
    </cfRule>
  </conditionalFormatting>
  <conditionalFormatting sqref="X11">
    <cfRule type="expression" dxfId="6623" priority="3047">
      <formula>AND(IF(OR($Q11=1,$Q11=2),1,0),IF($X11&lt;=20,1,0))</formula>
    </cfRule>
    <cfRule type="expression" dxfId="6622" priority="3048">
      <formula>AND(IF($Q11=2,1,0),IF($X11&lt;30,1,0))</formula>
    </cfRule>
    <cfRule type="expression" dxfId="6621" priority="3049">
      <formula>AND(IF($Q11=3,1,0),IF($X11&lt;30,1,0))</formula>
    </cfRule>
    <cfRule type="expression" dxfId="6620" priority="3050">
      <formula>AND(IF($Q11=3,1,IF($Q11=4,1,0)),IF($F11&lt;=85,1,0))</formula>
    </cfRule>
  </conditionalFormatting>
  <conditionalFormatting sqref="AI11">
    <cfRule type="expression" dxfId="6619" priority="3043">
      <formula>AND(IF(OR($Q11=1,$Q11=2),1,0),IF($X11&lt;=20,1,0))</formula>
    </cfRule>
    <cfRule type="expression" dxfId="6618" priority="3044">
      <formula>AND(IF($Q11=2,1,0),IF($X11&lt;30,1,0))</formula>
    </cfRule>
    <cfRule type="expression" dxfId="6617" priority="3045">
      <formula>AND(IF($Q11=3,1,0),IF($X11&lt;30,1,0))</formula>
    </cfRule>
    <cfRule type="expression" dxfId="6616" priority="3046">
      <formula>AND(IF($Q11=3,1,IF($Q11=4,1,0)),IF($F11&lt;=85,1,0))</formula>
    </cfRule>
  </conditionalFormatting>
  <conditionalFormatting sqref="AV12">
    <cfRule type="expression" dxfId="6615" priority="3041">
      <formula>AV12="X"</formula>
    </cfRule>
    <cfRule type="expression" dxfId="6614" priority="3042">
      <formula>AV12="후보"</formula>
    </cfRule>
  </conditionalFormatting>
  <conditionalFormatting sqref="AC12">
    <cfRule type="cellIs" dxfId="6613" priority="3039" operator="greaterThan">
      <formula>0.9</formula>
    </cfRule>
    <cfRule type="cellIs" dxfId="6612" priority="3040" operator="greaterThan">
      <formula>0.85</formula>
    </cfRule>
  </conditionalFormatting>
  <conditionalFormatting sqref="N12">
    <cfRule type="cellIs" dxfId="6611" priority="3037" operator="greaterThan">
      <formula>0.9</formula>
    </cfRule>
    <cfRule type="cellIs" dxfId="6610" priority="3038" operator="greaterThan">
      <formula>0.85</formula>
    </cfRule>
  </conditionalFormatting>
  <conditionalFormatting sqref="E12">
    <cfRule type="expression" dxfId="6609" priority="3033">
      <formula>AND(IF(OR($Q12=1,$Q12=2),1,0),IF($X12&lt;=20,1,0))</formula>
    </cfRule>
    <cfRule type="expression" dxfId="6608" priority="3034">
      <formula>AND(IF($Q12=2,1,0),IF($X12&lt;30,1,0))</formula>
    </cfRule>
    <cfRule type="expression" dxfId="6607" priority="3035">
      <formula>AND(IF($Q12=3,1,0),IF($X12&lt;30,1,0))</formula>
    </cfRule>
    <cfRule type="expression" dxfId="6606" priority="3036">
      <formula>AND(IF($Q12=3,1,IF($Q12=4,1,0)),IF($F12&lt;=85,1,0))</formula>
    </cfRule>
  </conditionalFormatting>
  <conditionalFormatting sqref="X12">
    <cfRule type="expression" dxfId="6605" priority="3029">
      <formula>AND(IF(OR($Q12=1,$Q12=2),1,0),IF($X12&lt;=20,1,0))</formula>
    </cfRule>
    <cfRule type="expression" dxfId="6604" priority="3030">
      <formula>AND(IF($Q12=2,1,0),IF($X12&lt;30,1,0))</formula>
    </cfRule>
    <cfRule type="expression" dxfId="6603" priority="3031">
      <formula>AND(IF($Q12=3,1,0),IF($X12&lt;30,1,0))</formula>
    </cfRule>
    <cfRule type="expression" dxfId="6602" priority="3032">
      <formula>AND(IF($Q12=3,1,IF($Q12=4,1,0)),IF($F12&lt;=85,1,0))</formula>
    </cfRule>
  </conditionalFormatting>
  <conditionalFormatting sqref="AI12">
    <cfRule type="expression" dxfId="6601" priority="3025">
      <formula>AND(IF(OR($Q12=1,$Q12=2),1,0),IF($X12&lt;=20,1,0))</formula>
    </cfRule>
    <cfRule type="expression" dxfId="6600" priority="3026">
      <formula>AND(IF($Q12=2,1,0),IF($X12&lt;30,1,0))</formula>
    </cfRule>
    <cfRule type="expression" dxfId="6599" priority="3027">
      <formula>AND(IF($Q12=3,1,0),IF($X12&lt;30,1,0))</formula>
    </cfRule>
    <cfRule type="expression" dxfId="6598" priority="3028">
      <formula>AND(IF($Q12=3,1,IF($Q12=4,1,0)),IF($F12&lt;=85,1,0))</formula>
    </cfRule>
  </conditionalFormatting>
  <conditionalFormatting sqref="AV13">
    <cfRule type="expression" dxfId="6597" priority="3023">
      <formula>AV13="X"</formula>
    </cfRule>
    <cfRule type="expression" dxfId="6596" priority="3024">
      <formula>AV13="후보"</formula>
    </cfRule>
  </conditionalFormatting>
  <conditionalFormatting sqref="AC13">
    <cfRule type="cellIs" dxfId="6595" priority="3021" operator="greaterThan">
      <formula>0.9</formula>
    </cfRule>
    <cfRule type="cellIs" dxfId="6594" priority="3022" operator="greaterThan">
      <formula>0.85</formula>
    </cfRule>
  </conditionalFormatting>
  <conditionalFormatting sqref="N13">
    <cfRule type="cellIs" dxfId="6593" priority="3019" operator="greaterThan">
      <formula>0.9</formula>
    </cfRule>
    <cfRule type="cellIs" dxfId="6592" priority="3020" operator="greaterThan">
      <formula>0.85</formula>
    </cfRule>
  </conditionalFormatting>
  <conditionalFormatting sqref="E13">
    <cfRule type="expression" dxfId="6591" priority="3015">
      <formula>AND(IF(OR($Q13=1,$Q13=2),1,0),IF($X13&lt;=20,1,0))</formula>
    </cfRule>
    <cfRule type="expression" dxfId="6590" priority="3016">
      <formula>AND(IF($Q13=2,1,0),IF($X13&lt;30,1,0))</formula>
    </cfRule>
    <cfRule type="expression" dxfId="6589" priority="3017">
      <formula>AND(IF($Q13=3,1,0),IF($X13&lt;30,1,0))</formula>
    </cfRule>
    <cfRule type="expression" dxfId="6588" priority="3018">
      <formula>AND(IF($Q13=3,1,IF($Q13=4,1,0)),IF($F13&lt;=85,1,0))</formula>
    </cfRule>
  </conditionalFormatting>
  <conditionalFormatting sqref="X13">
    <cfRule type="expression" dxfId="6587" priority="3011">
      <formula>AND(IF(OR($Q13=1,$Q13=2),1,0),IF($X13&lt;=20,1,0))</formula>
    </cfRule>
    <cfRule type="expression" dxfId="6586" priority="3012">
      <formula>AND(IF($Q13=2,1,0),IF($X13&lt;30,1,0))</formula>
    </cfRule>
    <cfRule type="expression" dxfId="6585" priority="3013">
      <formula>AND(IF($Q13=3,1,0),IF($X13&lt;30,1,0))</formula>
    </cfRule>
    <cfRule type="expression" dxfId="6584" priority="3014">
      <formula>AND(IF($Q13=3,1,IF($Q13=4,1,0)),IF($F13&lt;=85,1,0))</formula>
    </cfRule>
  </conditionalFormatting>
  <conditionalFormatting sqref="AI13">
    <cfRule type="expression" dxfId="6583" priority="3007">
      <formula>AND(IF(OR($Q13=1,$Q13=2),1,0),IF($X13&lt;=20,1,0))</formula>
    </cfRule>
    <cfRule type="expression" dxfId="6582" priority="3008">
      <formula>AND(IF($Q13=2,1,0),IF($X13&lt;30,1,0))</formula>
    </cfRule>
    <cfRule type="expression" dxfId="6581" priority="3009">
      <formula>AND(IF($Q13=3,1,0),IF($X13&lt;30,1,0))</formula>
    </cfRule>
    <cfRule type="expression" dxfId="6580" priority="3010">
      <formula>AND(IF($Q13=3,1,IF($Q13=4,1,0)),IF($F13&lt;=85,1,0))</formula>
    </cfRule>
  </conditionalFormatting>
  <conditionalFormatting sqref="AV14">
    <cfRule type="expression" dxfId="6579" priority="3005">
      <formula>AV14="X"</formula>
    </cfRule>
    <cfRule type="expression" dxfId="6578" priority="3006">
      <formula>AV14="후보"</formula>
    </cfRule>
  </conditionalFormatting>
  <conditionalFormatting sqref="AC14">
    <cfRule type="cellIs" dxfId="6577" priority="3003" operator="greaterThan">
      <formula>0.9</formula>
    </cfRule>
    <cfRule type="cellIs" dxfId="6576" priority="3004" operator="greaterThan">
      <formula>0.85</formula>
    </cfRule>
  </conditionalFormatting>
  <conditionalFormatting sqref="N14">
    <cfRule type="cellIs" dxfId="6575" priority="3001" operator="greaterThan">
      <formula>0.9</formula>
    </cfRule>
    <cfRule type="cellIs" dxfId="6574" priority="3002" operator="greaterThan">
      <formula>0.85</formula>
    </cfRule>
  </conditionalFormatting>
  <conditionalFormatting sqref="E14">
    <cfRule type="expression" dxfId="6573" priority="2997">
      <formula>AND(IF(OR($Q14=1,$Q14=2),1,0),IF($X14&lt;=20,1,0))</formula>
    </cfRule>
    <cfRule type="expression" dxfId="6572" priority="2998">
      <formula>AND(IF($Q14=2,1,0),IF($X14&lt;30,1,0))</formula>
    </cfRule>
    <cfRule type="expression" dxfId="6571" priority="2999">
      <formula>AND(IF($Q14=3,1,0),IF($X14&lt;30,1,0))</formula>
    </cfRule>
    <cfRule type="expression" dxfId="6570" priority="3000">
      <formula>AND(IF($Q14=3,1,IF($Q14=4,1,0)),IF($F14&lt;=85,1,0))</formula>
    </cfRule>
  </conditionalFormatting>
  <conditionalFormatting sqref="X14">
    <cfRule type="expression" dxfId="6569" priority="2993">
      <formula>AND(IF(OR($Q14=1,$Q14=2),1,0),IF($X14&lt;=20,1,0))</formula>
    </cfRule>
    <cfRule type="expression" dxfId="6568" priority="2994">
      <formula>AND(IF($Q14=2,1,0),IF($X14&lt;30,1,0))</formula>
    </cfRule>
    <cfRule type="expression" dxfId="6567" priority="2995">
      <formula>AND(IF($Q14=3,1,0),IF($X14&lt;30,1,0))</formula>
    </cfRule>
    <cfRule type="expression" dxfId="6566" priority="2996">
      <formula>AND(IF($Q14=3,1,IF($Q14=4,1,0)),IF($F14&lt;=85,1,0))</formula>
    </cfRule>
  </conditionalFormatting>
  <conditionalFormatting sqref="AI14">
    <cfRule type="expression" dxfId="6565" priority="2989">
      <formula>AND(IF(OR($Q14=1,$Q14=2),1,0),IF($X14&lt;=20,1,0))</formula>
    </cfRule>
    <cfRule type="expression" dxfId="6564" priority="2990">
      <formula>AND(IF($Q14=2,1,0),IF($X14&lt;30,1,0))</formula>
    </cfRule>
    <cfRule type="expression" dxfId="6563" priority="2991">
      <formula>AND(IF($Q14=3,1,0),IF($X14&lt;30,1,0))</formula>
    </cfRule>
    <cfRule type="expression" dxfId="6562" priority="2992">
      <formula>AND(IF($Q14=3,1,IF($Q14=4,1,0)),IF($F14&lt;=85,1,0))</formula>
    </cfRule>
  </conditionalFormatting>
  <conditionalFormatting sqref="AV15">
    <cfRule type="expression" dxfId="6561" priority="2987">
      <formula>AV15="X"</formula>
    </cfRule>
    <cfRule type="expression" dxfId="6560" priority="2988">
      <formula>AV15="후보"</formula>
    </cfRule>
  </conditionalFormatting>
  <conditionalFormatting sqref="AC15">
    <cfRule type="cellIs" dxfId="6559" priority="2985" operator="greaterThan">
      <formula>0.9</formula>
    </cfRule>
    <cfRule type="cellIs" dxfId="6558" priority="2986" operator="greaterThan">
      <formula>0.85</formula>
    </cfRule>
  </conditionalFormatting>
  <conditionalFormatting sqref="N15">
    <cfRule type="cellIs" dxfId="6557" priority="2983" operator="greaterThan">
      <formula>0.9</formula>
    </cfRule>
    <cfRule type="cellIs" dxfId="6556" priority="2984" operator="greaterThan">
      <formula>0.85</formula>
    </cfRule>
  </conditionalFormatting>
  <conditionalFormatting sqref="E15">
    <cfRule type="expression" dxfId="6555" priority="2979">
      <formula>AND(IF(OR($Q15=1,$Q15=2),1,0),IF($X15&lt;=20,1,0))</formula>
    </cfRule>
    <cfRule type="expression" dxfId="6554" priority="2980">
      <formula>AND(IF($Q15=2,1,0),IF($X15&lt;30,1,0))</formula>
    </cfRule>
    <cfRule type="expression" dxfId="6553" priority="2981">
      <formula>AND(IF($Q15=3,1,0),IF($X15&lt;30,1,0))</formula>
    </cfRule>
    <cfRule type="expression" dxfId="6552" priority="2982">
      <formula>AND(IF($Q15=3,1,IF($Q15=4,1,0)),IF($F15&lt;=85,1,0))</formula>
    </cfRule>
  </conditionalFormatting>
  <conditionalFormatting sqref="X15">
    <cfRule type="expression" dxfId="6551" priority="2975">
      <formula>AND(IF(OR($Q15=1,$Q15=2),1,0),IF($X15&lt;=20,1,0))</formula>
    </cfRule>
    <cfRule type="expression" dxfId="6550" priority="2976">
      <formula>AND(IF($Q15=2,1,0),IF($X15&lt;30,1,0))</formula>
    </cfRule>
    <cfRule type="expression" dxfId="6549" priority="2977">
      <formula>AND(IF($Q15=3,1,0),IF($X15&lt;30,1,0))</formula>
    </cfRule>
    <cfRule type="expression" dxfId="6548" priority="2978">
      <formula>AND(IF($Q15=3,1,IF($Q15=4,1,0)),IF($F15&lt;=85,1,0))</formula>
    </cfRule>
  </conditionalFormatting>
  <conditionalFormatting sqref="AI15">
    <cfRule type="expression" dxfId="6547" priority="2971">
      <formula>AND(IF(OR($Q15=1,$Q15=2),1,0),IF($X15&lt;=20,1,0))</formula>
    </cfRule>
    <cfRule type="expression" dxfId="6546" priority="2972">
      <formula>AND(IF($Q15=2,1,0),IF($X15&lt;30,1,0))</formula>
    </cfRule>
    <cfRule type="expression" dxfId="6545" priority="2973">
      <formula>AND(IF($Q15=3,1,0),IF($X15&lt;30,1,0))</formula>
    </cfRule>
    <cfRule type="expression" dxfId="6544" priority="2974">
      <formula>AND(IF($Q15=3,1,IF($Q15=4,1,0)),IF($F15&lt;=85,1,0))</formula>
    </cfRule>
  </conditionalFormatting>
  <conditionalFormatting sqref="AV16">
    <cfRule type="expression" dxfId="6543" priority="2969">
      <formula>AV16="X"</formula>
    </cfRule>
    <cfRule type="expression" dxfId="6542" priority="2970">
      <formula>AV16="후보"</formula>
    </cfRule>
  </conditionalFormatting>
  <conditionalFormatting sqref="AC16">
    <cfRule type="cellIs" dxfId="6541" priority="2967" operator="greaterThan">
      <formula>0.9</formula>
    </cfRule>
    <cfRule type="cellIs" dxfId="6540" priority="2968" operator="greaterThan">
      <formula>0.85</formula>
    </cfRule>
  </conditionalFormatting>
  <conditionalFormatting sqref="N16">
    <cfRule type="cellIs" dxfId="6539" priority="2965" operator="greaterThan">
      <formula>0.9</formula>
    </cfRule>
    <cfRule type="cellIs" dxfId="6538" priority="2966" operator="greaterThan">
      <formula>0.85</formula>
    </cfRule>
  </conditionalFormatting>
  <conditionalFormatting sqref="E16">
    <cfRule type="expression" dxfId="6537" priority="2961">
      <formula>AND(IF(OR($Q16=1,$Q16=2),1,0),IF($X16&lt;=20,1,0))</formula>
    </cfRule>
    <cfRule type="expression" dxfId="6536" priority="2962">
      <formula>AND(IF($Q16=2,1,0),IF($X16&lt;30,1,0))</formula>
    </cfRule>
    <cfRule type="expression" dxfId="6535" priority="2963">
      <formula>AND(IF($Q16=3,1,0),IF($X16&lt;30,1,0))</formula>
    </cfRule>
    <cfRule type="expression" dxfId="6534" priority="2964">
      <formula>AND(IF($Q16=3,1,IF($Q16=4,1,0)),IF($F16&lt;=85,1,0))</formula>
    </cfRule>
  </conditionalFormatting>
  <conditionalFormatting sqref="X16">
    <cfRule type="expression" dxfId="6533" priority="2957">
      <formula>AND(IF(OR($Q16=1,$Q16=2),1,0),IF($X16&lt;=20,1,0))</formula>
    </cfRule>
    <cfRule type="expression" dxfId="6532" priority="2958">
      <formula>AND(IF($Q16=2,1,0),IF($X16&lt;30,1,0))</formula>
    </cfRule>
    <cfRule type="expression" dxfId="6531" priority="2959">
      <formula>AND(IF($Q16=3,1,0),IF($X16&lt;30,1,0))</formula>
    </cfRule>
    <cfRule type="expression" dxfId="6530" priority="2960">
      <formula>AND(IF($Q16=3,1,IF($Q16=4,1,0)),IF($F16&lt;=85,1,0))</formula>
    </cfRule>
  </conditionalFormatting>
  <conditionalFormatting sqref="AI16">
    <cfRule type="expression" dxfId="6529" priority="2953">
      <formula>AND(IF(OR($Q16=1,$Q16=2),1,0),IF($X16&lt;=20,1,0))</formula>
    </cfRule>
    <cfRule type="expression" dxfId="6528" priority="2954">
      <formula>AND(IF($Q16=2,1,0),IF($X16&lt;30,1,0))</formula>
    </cfRule>
    <cfRule type="expression" dxfId="6527" priority="2955">
      <formula>AND(IF($Q16=3,1,0),IF($X16&lt;30,1,0))</formula>
    </cfRule>
    <cfRule type="expression" dxfId="6526" priority="2956">
      <formula>AND(IF($Q16=3,1,IF($Q16=4,1,0)),IF($F16&lt;=85,1,0))</formula>
    </cfRule>
  </conditionalFormatting>
  <conditionalFormatting sqref="AV17">
    <cfRule type="expression" dxfId="6525" priority="2951">
      <formula>AV17="X"</formula>
    </cfRule>
    <cfRule type="expression" dxfId="6524" priority="2952">
      <formula>AV17="후보"</formula>
    </cfRule>
  </conditionalFormatting>
  <conditionalFormatting sqref="AC17">
    <cfRule type="cellIs" dxfId="6523" priority="2949" operator="greaterThan">
      <formula>0.9</formula>
    </cfRule>
    <cfRule type="cellIs" dxfId="6522" priority="2950" operator="greaterThan">
      <formula>0.85</formula>
    </cfRule>
  </conditionalFormatting>
  <conditionalFormatting sqref="N17">
    <cfRule type="cellIs" dxfId="6521" priority="2947" operator="greaterThan">
      <formula>0.9</formula>
    </cfRule>
    <cfRule type="cellIs" dxfId="6520" priority="2948" operator="greaterThan">
      <formula>0.85</formula>
    </cfRule>
  </conditionalFormatting>
  <conditionalFormatting sqref="E17">
    <cfRule type="expression" dxfId="6519" priority="2943">
      <formula>AND(IF(OR($Q17=1,$Q17=2),1,0),IF($X17&lt;=20,1,0))</formula>
    </cfRule>
    <cfRule type="expression" dxfId="6518" priority="2944">
      <formula>AND(IF($Q17=2,1,0),IF($X17&lt;30,1,0))</formula>
    </cfRule>
    <cfRule type="expression" dxfId="6517" priority="2945">
      <formula>AND(IF($Q17=3,1,0),IF($X17&lt;30,1,0))</formula>
    </cfRule>
    <cfRule type="expression" dxfId="6516" priority="2946">
      <formula>AND(IF($Q17=3,1,IF($Q17=4,1,0)),IF($F17&lt;=85,1,0))</formula>
    </cfRule>
  </conditionalFormatting>
  <conditionalFormatting sqref="X17">
    <cfRule type="expression" dxfId="6515" priority="2939">
      <formula>AND(IF(OR($Q17=1,$Q17=2),1,0),IF($X17&lt;=20,1,0))</formula>
    </cfRule>
    <cfRule type="expression" dxfId="6514" priority="2940">
      <formula>AND(IF($Q17=2,1,0),IF($X17&lt;30,1,0))</formula>
    </cfRule>
    <cfRule type="expression" dxfId="6513" priority="2941">
      <formula>AND(IF($Q17=3,1,0),IF($X17&lt;30,1,0))</formula>
    </cfRule>
    <cfRule type="expression" dxfId="6512" priority="2942">
      <formula>AND(IF($Q17=3,1,IF($Q17=4,1,0)),IF($F17&lt;=85,1,0))</formula>
    </cfRule>
  </conditionalFormatting>
  <conditionalFormatting sqref="AI17">
    <cfRule type="expression" dxfId="6511" priority="2935">
      <formula>AND(IF(OR($Q17=1,$Q17=2),1,0),IF($X17&lt;=20,1,0))</formula>
    </cfRule>
    <cfRule type="expression" dxfId="6510" priority="2936">
      <formula>AND(IF($Q17=2,1,0),IF($X17&lt;30,1,0))</formula>
    </cfRule>
    <cfRule type="expression" dxfId="6509" priority="2937">
      <formula>AND(IF($Q17=3,1,0),IF($X17&lt;30,1,0))</formula>
    </cfRule>
    <cfRule type="expression" dxfId="6508" priority="2938">
      <formula>AND(IF($Q17=3,1,IF($Q17=4,1,0)),IF($F17&lt;=85,1,0))</formula>
    </cfRule>
  </conditionalFormatting>
  <conditionalFormatting sqref="AV18">
    <cfRule type="expression" dxfId="6507" priority="2933">
      <formula>AV18="X"</formula>
    </cfRule>
    <cfRule type="expression" dxfId="6506" priority="2934">
      <formula>AV18="후보"</formula>
    </cfRule>
  </conditionalFormatting>
  <conditionalFormatting sqref="AC18">
    <cfRule type="cellIs" dxfId="6505" priority="2931" operator="greaterThan">
      <formula>0.9</formula>
    </cfRule>
    <cfRule type="cellIs" dxfId="6504" priority="2932" operator="greaterThan">
      <formula>0.85</formula>
    </cfRule>
  </conditionalFormatting>
  <conditionalFormatting sqref="N18">
    <cfRule type="cellIs" dxfId="6503" priority="2929" operator="greaterThan">
      <formula>0.9</formula>
    </cfRule>
    <cfRule type="cellIs" dxfId="6502" priority="2930" operator="greaterThan">
      <formula>0.85</formula>
    </cfRule>
  </conditionalFormatting>
  <conditionalFormatting sqref="E18">
    <cfRule type="expression" dxfId="6501" priority="2925">
      <formula>AND(IF(OR($Q18=1,$Q18=2),1,0),IF($X18&lt;=20,1,0))</formula>
    </cfRule>
    <cfRule type="expression" dxfId="6500" priority="2926">
      <formula>AND(IF($Q18=2,1,0),IF($X18&lt;30,1,0))</formula>
    </cfRule>
    <cfRule type="expression" dxfId="6499" priority="2927">
      <formula>AND(IF($Q18=3,1,0),IF($X18&lt;30,1,0))</formula>
    </cfRule>
    <cfRule type="expression" dxfId="6498" priority="2928">
      <formula>AND(IF($Q18=3,1,IF($Q18=4,1,0)),IF($F18&lt;=85,1,0))</formula>
    </cfRule>
  </conditionalFormatting>
  <conditionalFormatting sqref="X18">
    <cfRule type="expression" dxfId="6497" priority="2921">
      <formula>AND(IF(OR($Q18=1,$Q18=2),1,0),IF($X18&lt;=20,1,0))</formula>
    </cfRule>
    <cfRule type="expression" dxfId="6496" priority="2922">
      <formula>AND(IF($Q18=2,1,0),IF($X18&lt;30,1,0))</formula>
    </cfRule>
    <cfRule type="expression" dxfId="6495" priority="2923">
      <formula>AND(IF($Q18=3,1,0),IF($X18&lt;30,1,0))</formula>
    </cfRule>
    <cfRule type="expression" dxfId="6494" priority="2924">
      <formula>AND(IF($Q18=3,1,IF($Q18=4,1,0)),IF($F18&lt;=85,1,0))</formula>
    </cfRule>
  </conditionalFormatting>
  <conditionalFormatting sqref="AI18">
    <cfRule type="expression" dxfId="6493" priority="2917">
      <formula>AND(IF(OR($Q18=1,$Q18=2),1,0),IF($X18&lt;=20,1,0))</formula>
    </cfRule>
    <cfRule type="expression" dxfId="6492" priority="2918">
      <formula>AND(IF($Q18=2,1,0),IF($X18&lt;30,1,0))</formula>
    </cfRule>
    <cfRule type="expression" dxfId="6491" priority="2919">
      <formula>AND(IF($Q18=3,1,0),IF($X18&lt;30,1,0))</formula>
    </cfRule>
    <cfRule type="expression" dxfId="6490" priority="2920">
      <formula>AND(IF($Q18=3,1,IF($Q18=4,1,0)),IF($F18&lt;=85,1,0))</formula>
    </cfRule>
  </conditionalFormatting>
  <conditionalFormatting sqref="AV19">
    <cfRule type="expression" dxfId="6489" priority="2915">
      <formula>AV19="X"</formula>
    </cfRule>
    <cfRule type="expression" dxfId="6488" priority="2916">
      <formula>AV19="후보"</formula>
    </cfRule>
  </conditionalFormatting>
  <conditionalFormatting sqref="AC19">
    <cfRule type="cellIs" dxfId="6487" priority="2913" operator="greaterThan">
      <formula>0.9</formula>
    </cfRule>
    <cfRule type="cellIs" dxfId="6486" priority="2914" operator="greaterThan">
      <formula>0.85</formula>
    </cfRule>
  </conditionalFormatting>
  <conditionalFormatting sqref="N19">
    <cfRule type="cellIs" dxfId="6485" priority="2911" operator="greaterThan">
      <formula>0.9</formula>
    </cfRule>
    <cfRule type="cellIs" dxfId="6484" priority="2912" operator="greaterThan">
      <formula>0.85</formula>
    </cfRule>
  </conditionalFormatting>
  <conditionalFormatting sqref="E19">
    <cfRule type="expression" dxfId="6483" priority="2907">
      <formula>AND(IF(OR($Q19=1,$Q19=2),1,0),IF($X19&lt;=20,1,0))</formula>
    </cfRule>
    <cfRule type="expression" dxfId="6482" priority="2908">
      <formula>AND(IF($Q19=2,1,0),IF($X19&lt;30,1,0))</formula>
    </cfRule>
    <cfRule type="expression" dxfId="6481" priority="2909">
      <formula>AND(IF($Q19=3,1,0),IF($X19&lt;30,1,0))</formula>
    </cfRule>
    <cfRule type="expression" dxfId="6480" priority="2910">
      <formula>AND(IF($Q19=3,1,IF($Q19=4,1,0)),IF($F19&lt;=85,1,0))</formula>
    </cfRule>
  </conditionalFormatting>
  <conditionalFormatting sqref="X19">
    <cfRule type="expression" dxfId="6479" priority="2903">
      <formula>AND(IF(OR($Q19=1,$Q19=2),1,0),IF($X19&lt;=20,1,0))</formula>
    </cfRule>
    <cfRule type="expression" dxfId="6478" priority="2904">
      <formula>AND(IF($Q19=2,1,0),IF($X19&lt;30,1,0))</formula>
    </cfRule>
    <cfRule type="expression" dxfId="6477" priority="2905">
      <formula>AND(IF($Q19=3,1,0),IF($X19&lt;30,1,0))</formula>
    </cfRule>
    <cfRule type="expression" dxfId="6476" priority="2906">
      <formula>AND(IF($Q19=3,1,IF($Q19=4,1,0)),IF($F19&lt;=85,1,0))</formula>
    </cfRule>
  </conditionalFormatting>
  <conditionalFormatting sqref="AI19">
    <cfRule type="expression" dxfId="6475" priority="2899">
      <formula>AND(IF(OR($Q19=1,$Q19=2),1,0),IF($X19&lt;=20,1,0))</formula>
    </cfRule>
    <cfRule type="expression" dxfId="6474" priority="2900">
      <formula>AND(IF($Q19=2,1,0),IF($X19&lt;30,1,0))</formula>
    </cfRule>
    <cfRule type="expression" dxfId="6473" priority="2901">
      <formula>AND(IF($Q19=3,1,0),IF($X19&lt;30,1,0))</formula>
    </cfRule>
    <cfRule type="expression" dxfId="6472" priority="2902">
      <formula>AND(IF($Q19=3,1,IF($Q19=4,1,0)),IF($F19&lt;=85,1,0))</formula>
    </cfRule>
  </conditionalFormatting>
  <conditionalFormatting sqref="AV20">
    <cfRule type="expression" dxfId="6471" priority="2897">
      <formula>AV20="X"</formula>
    </cfRule>
    <cfRule type="expression" dxfId="6470" priority="2898">
      <formula>AV20="후보"</formula>
    </cfRule>
  </conditionalFormatting>
  <conditionalFormatting sqref="AC20">
    <cfRule type="cellIs" dxfId="6469" priority="2895" operator="greaterThan">
      <formula>0.9</formula>
    </cfRule>
    <cfRule type="cellIs" dxfId="6468" priority="2896" operator="greaterThan">
      <formula>0.85</formula>
    </cfRule>
  </conditionalFormatting>
  <conditionalFormatting sqref="N20">
    <cfRule type="cellIs" dxfId="6467" priority="2893" operator="greaterThan">
      <formula>0.9</formula>
    </cfRule>
    <cfRule type="cellIs" dxfId="6466" priority="2894" operator="greaterThan">
      <formula>0.85</formula>
    </cfRule>
  </conditionalFormatting>
  <conditionalFormatting sqref="E20">
    <cfRule type="expression" dxfId="6465" priority="2889">
      <formula>AND(IF(OR($Q20=1,$Q20=2),1,0),IF($X20&lt;=20,1,0))</formula>
    </cfRule>
    <cfRule type="expression" dxfId="6464" priority="2890">
      <formula>AND(IF($Q20=2,1,0),IF($X20&lt;30,1,0))</formula>
    </cfRule>
    <cfRule type="expression" dxfId="6463" priority="2891">
      <formula>AND(IF($Q20=3,1,0),IF($X20&lt;30,1,0))</formula>
    </cfRule>
    <cfRule type="expression" dxfId="6462" priority="2892">
      <formula>AND(IF($Q20=3,1,IF($Q20=4,1,0)),IF($F20&lt;=85,1,0))</formula>
    </cfRule>
  </conditionalFormatting>
  <conditionalFormatting sqref="X20">
    <cfRule type="expression" dxfId="6461" priority="2885">
      <formula>AND(IF(OR($Q20=1,$Q20=2),1,0),IF($X20&lt;=20,1,0))</formula>
    </cfRule>
    <cfRule type="expression" dxfId="6460" priority="2886">
      <formula>AND(IF($Q20=2,1,0),IF($X20&lt;30,1,0))</formula>
    </cfRule>
    <cfRule type="expression" dxfId="6459" priority="2887">
      <formula>AND(IF($Q20=3,1,0),IF($X20&lt;30,1,0))</formula>
    </cfRule>
    <cfRule type="expression" dxfId="6458" priority="2888">
      <formula>AND(IF($Q20=3,1,IF($Q20=4,1,0)),IF($F20&lt;=85,1,0))</formula>
    </cfRule>
  </conditionalFormatting>
  <conditionalFormatting sqref="AI20">
    <cfRule type="expression" dxfId="6457" priority="2881">
      <formula>AND(IF(OR($Q20=1,$Q20=2),1,0),IF($X20&lt;=20,1,0))</formula>
    </cfRule>
    <cfRule type="expression" dxfId="6456" priority="2882">
      <formula>AND(IF($Q20=2,1,0),IF($X20&lt;30,1,0))</formula>
    </cfRule>
    <cfRule type="expression" dxfId="6455" priority="2883">
      <formula>AND(IF($Q20=3,1,0),IF($X20&lt;30,1,0))</formula>
    </cfRule>
    <cfRule type="expression" dxfId="6454" priority="2884">
      <formula>AND(IF($Q20=3,1,IF($Q20=4,1,0)),IF($F20&lt;=85,1,0))</formula>
    </cfRule>
  </conditionalFormatting>
  <conditionalFormatting sqref="AV21">
    <cfRule type="expression" dxfId="6453" priority="2879">
      <formula>AV21="X"</formula>
    </cfRule>
    <cfRule type="expression" dxfId="6452" priority="2880">
      <formula>AV21="후보"</formula>
    </cfRule>
  </conditionalFormatting>
  <conditionalFormatting sqref="AC21">
    <cfRule type="cellIs" dxfId="6451" priority="2877" operator="greaterThan">
      <formula>0.9</formula>
    </cfRule>
    <cfRule type="cellIs" dxfId="6450" priority="2878" operator="greaterThan">
      <formula>0.85</formula>
    </cfRule>
  </conditionalFormatting>
  <conditionalFormatting sqref="N21">
    <cfRule type="cellIs" dxfId="6449" priority="2875" operator="greaterThan">
      <formula>0.9</formula>
    </cfRule>
    <cfRule type="cellIs" dxfId="6448" priority="2876" operator="greaterThan">
      <formula>0.85</formula>
    </cfRule>
  </conditionalFormatting>
  <conditionalFormatting sqref="E21">
    <cfRule type="expression" dxfId="6447" priority="2871">
      <formula>AND(IF(OR($Q21=1,$Q21=2),1,0),IF($X21&lt;=20,1,0))</formula>
    </cfRule>
    <cfRule type="expression" dxfId="6446" priority="2872">
      <formula>AND(IF($Q21=2,1,0),IF($X21&lt;30,1,0))</formula>
    </cfRule>
    <cfRule type="expression" dxfId="6445" priority="2873">
      <formula>AND(IF($Q21=3,1,0),IF($X21&lt;30,1,0))</formula>
    </cfRule>
    <cfRule type="expression" dxfId="6444" priority="2874">
      <formula>AND(IF($Q21=3,1,IF($Q21=4,1,0)),IF($F21&lt;=85,1,0))</formula>
    </cfRule>
  </conditionalFormatting>
  <conditionalFormatting sqref="X21">
    <cfRule type="expression" dxfId="6443" priority="2867">
      <formula>AND(IF(OR($Q21=1,$Q21=2),1,0),IF($X21&lt;=20,1,0))</formula>
    </cfRule>
    <cfRule type="expression" dxfId="6442" priority="2868">
      <formula>AND(IF($Q21=2,1,0),IF($X21&lt;30,1,0))</formula>
    </cfRule>
    <cfRule type="expression" dxfId="6441" priority="2869">
      <formula>AND(IF($Q21=3,1,0),IF($X21&lt;30,1,0))</formula>
    </cfRule>
    <cfRule type="expression" dxfId="6440" priority="2870">
      <formula>AND(IF($Q21=3,1,IF($Q21=4,1,0)),IF($F21&lt;=85,1,0))</formula>
    </cfRule>
  </conditionalFormatting>
  <conditionalFormatting sqref="AI21">
    <cfRule type="expression" dxfId="6439" priority="2863">
      <formula>AND(IF(OR($Q21=1,$Q21=2),1,0),IF($X21&lt;=20,1,0))</formula>
    </cfRule>
    <cfRule type="expression" dxfId="6438" priority="2864">
      <formula>AND(IF($Q21=2,1,0),IF($X21&lt;30,1,0))</formula>
    </cfRule>
    <cfRule type="expression" dxfId="6437" priority="2865">
      <formula>AND(IF($Q21=3,1,0),IF($X21&lt;30,1,0))</formula>
    </cfRule>
    <cfRule type="expression" dxfId="6436" priority="2866">
      <formula>AND(IF($Q21=3,1,IF($Q21=4,1,0)),IF($F21&lt;=85,1,0))</formula>
    </cfRule>
  </conditionalFormatting>
  <conditionalFormatting sqref="AV22">
    <cfRule type="expression" dxfId="6435" priority="2861">
      <formula>AV22="X"</formula>
    </cfRule>
    <cfRule type="expression" dxfId="6434" priority="2862">
      <formula>AV22="후보"</formula>
    </cfRule>
  </conditionalFormatting>
  <conditionalFormatting sqref="AC22">
    <cfRule type="cellIs" dxfId="6433" priority="2859" operator="greaterThan">
      <formula>0.9</formula>
    </cfRule>
    <cfRule type="cellIs" dxfId="6432" priority="2860" operator="greaterThan">
      <formula>0.85</formula>
    </cfRule>
  </conditionalFormatting>
  <conditionalFormatting sqref="N22">
    <cfRule type="cellIs" dxfId="6431" priority="2857" operator="greaterThan">
      <formula>0.9</formula>
    </cfRule>
    <cfRule type="cellIs" dxfId="6430" priority="2858" operator="greaterThan">
      <formula>0.85</formula>
    </cfRule>
  </conditionalFormatting>
  <conditionalFormatting sqref="E22">
    <cfRule type="expression" dxfId="6429" priority="2853">
      <formula>AND(IF(OR($Q22=1,$Q22=2),1,0),IF($X22&lt;=20,1,0))</formula>
    </cfRule>
    <cfRule type="expression" dxfId="6428" priority="2854">
      <formula>AND(IF($Q22=2,1,0),IF($X22&lt;30,1,0))</formula>
    </cfRule>
    <cfRule type="expression" dxfId="6427" priority="2855">
      <formula>AND(IF($Q22=3,1,0),IF($X22&lt;30,1,0))</formula>
    </cfRule>
    <cfRule type="expression" dxfId="6426" priority="2856">
      <formula>AND(IF($Q22=3,1,IF($Q22=4,1,0)),IF($F22&lt;=85,1,0))</formula>
    </cfRule>
  </conditionalFormatting>
  <conditionalFormatting sqref="X22">
    <cfRule type="expression" dxfId="6425" priority="2849">
      <formula>AND(IF(OR($Q22=1,$Q22=2),1,0),IF($X22&lt;=20,1,0))</formula>
    </cfRule>
    <cfRule type="expression" dxfId="6424" priority="2850">
      <formula>AND(IF($Q22=2,1,0),IF($X22&lt;30,1,0))</formula>
    </cfRule>
    <cfRule type="expression" dxfId="6423" priority="2851">
      <formula>AND(IF($Q22=3,1,0),IF($X22&lt;30,1,0))</formula>
    </cfRule>
    <cfRule type="expression" dxfId="6422" priority="2852">
      <formula>AND(IF($Q22=3,1,IF($Q22=4,1,0)),IF($F22&lt;=85,1,0))</formula>
    </cfRule>
  </conditionalFormatting>
  <conditionalFormatting sqref="AI22">
    <cfRule type="expression" dxfId="6421" priority="2845">
      <formula>AND(IF(OR($Q22=1,$Q22=2),1,0),IF($X22&lt;=20,1,0))</formula>
    </cfRule>
    <cfRule type="expression" dxfId="6420" priority="2846">
      <formula>AND(IF($Q22=2,1,0),IF($X22&lt;30,1,0))</formula>
    </cfRule>
    <cfRule type="expression" dxfId="6419" priority="2847">
      <formula>AND(IF($Q22=3,1,0),IF($X22&lt;30,1,0))</formula>
    </cfRule>
    <cfRule type="expression" dxfId="6418" priority="2848">
      <formula>AND(IF($Q22=3,1,IF($Q22=4,1,0)),IF($F22&lt;=85,1,0))</formula>
    </cfRule>
  </conditionalFormatting>
  <conditionalFormatting sqref="AV23">
    <cfRule type="expression" dxfId="6417" priority="2843">
      <formula>AV23="X"</formula>
    </cfRule>
    <cfRule type="expression" dxfId="6416" priority="2844">
      <formula>AV23="후보"</formula>
    </cfRule>
  </conditionalFormatting>
  <conditionalFormatting sqref="AC23">
    <cfRule type="cellIs" dxfId="6415" priority="2841" operator="greaterThan">
      <formula>0.9</formula>
    </cfRule>
    <cfRule type="cellIs" dxfId="6414" priority="2842" operator="greaterThan">
      <formula>0.85</formula>
    </cfRule>
  </conditionalFormatting>
  <conditionalFormatting sqref="N23">
    <cfRule type="cellIs" dxfId="6413" priority="2839" operator="greaterThan">
      <formula>0.9</formula>
    </cfRule>
    <cfRule type="cellIs" dxfId="6412" priority="2840" operator="greaterThan">
      <formula>0.85</formula>
    </cfRule>
  </conditionalFormatting>
  <conditionalFormatting sqref="E23">
    <cfRule type="expression" dxfId="6411" priority="2835">
      <formula>AND(IF(OR($Q23=1,$Q23=2),1,0),IF($X23&lt;=20,1,0))</formula>
    </cfRule>
    <cfRule type="expression" dxfId="6410" priority="2836">
      <formula>AND(IF($Q23=2,1,0),IF($X23&lt;30,1,0))</formula>
    </cfRule>
    <cfRule type="expression" dxfId="6409" priority="2837">
      <formula>AND(IF($Q23=3,1,0),IF($X23&lt;30,1,0))</formula>
    </cfRule>
    <cfRule type="expression" dxfId="6408" priority="2838">
      <formula>AND(IF($Q23=3,1,IF($Q23=4,1,0)),IF($F23&lt;=85,1,0))</formula>
    </cfRule>
  </conditionalFormatting>
  <conditionalFormatting sqref="X23">
    <cfRule type="expression" dxfId="6407" priority="2831">
      <formula>AND(IF(OR($Q23=1,$Q23=2),1,0),IF($X23&lt;=20,1,0))</formula>
    </cfRule>
    <cfRule type="expression" dxfId="6406" priority="2832">
      <formula>AND(IF($Q23=2,1,0),IF($X23&lt;30,1,0))</formula>
    </cfRule>
    <cfRule type="expression" dxfId="6405" priority="2833">
      <formula>AND(IF($Q23=3,1,0),IF($X23&lt;30,1,0))</formula>
    </cfRule>
    <cfRule type="expression" dxfId="6404" priority="2834">
      <formula>AND(IF($Q23=3,1,IF($Q23=4,1,0)),IF($F23&lt;=85,1,0))</formula>
    </cfRule>
  </conditionalFormatting>
  <conditionalFormatting sqref="AI23">
    <cfRule type="expression" dxfId="6403" priority="2827">
      <formula>AND(IF(OR($Q23=1,$Q23=2),1,0),IF($X23&lt;=20,1,0))</formula>
    </cfRule>
    <cfRule type="expression" dxfId="6402" priority="2828">
      <formula>AND(IF($Q23=2,1,0),IF($X23&lt;30,1,0))</formula>
    </cfRule>
    <cfRule type="expression" dxfId="6401" priority="2829">
      <formula>AND(IF($Q23=3,1,0),IF($X23&lt;30,1,0))</formula>
    </cfRule>
    <cfRule type="expression" dxfId="6400" priority="2830">
      <formula>AND(IF($Q23=3,1,IF($Q23=4,1,0)),IF($F23&lt;=85,1,0))</formula>
    </cfRule>
  </conditionalFormatting>
  <conditionalFormatting sqref="AV24">
    <cfRule type="expression" dxfId="6399" priority="2825">
      <formula>AV24="X"</formula>
    </cfRule>
    <cfRule type="expression" dxfId="6398" priority="2826">
      <formula>AV24="후보"</formula>
    </cfRule>
  </conditionalFormatting>
  <conditionalFormatting sqref="AC24">
    <cfRule type="cellIs" dxfId="6397" priority="2823" operator="greaterThan">
      <formula>0.9</formula>
    </cfRule>
    <cfRule type="cellIs" dxfId="6396" priority="2824" operator="greaterThan">
      <formula>0.85</formula>
    </cfRule>
  </conditionalFormatting>
  <conditionalFormatting sqref="N24">
    <cfRule type="cellIs" dxfId="6395" priority="2821" operator="greaterThan">
      <formula>0.9</formula>
    </cfRule>
    <cfRule type="cellIs" dxfId="6394" priority="2822" operator="greaterThan">
      <formula>0.85</formula>
    </cfRule>
  </conditionalFormatting>
  <conditionalFormatting sqref="E24">
    <cfRule type="expression" dxfId="6393" priority="2817">
      <formula>AND(IF(OR($Q24=1,$Q24=2),1,0),IF($X24&lt;=20,1,0))</formula>
    </cfRule>
    <cfRule type="expression" dxfId="6392" priority="2818">
      <formula>AND(IF($Q24=2,1,0),IF($X24&lt;30,1,0))</formula>
    </cfRule>
    <cfRule type="expression" dxfId="6391" priority="2819">
      <formula>AND(IF($Q24=3,1,0),IF($X24&lt;30,1,0))</formula>
    </cfRule>
    <cfRule type="expression" dxfId="6390" priority="2820">
      <formula>AND(IF($Q24=3,1,IF($Q24=4,1,0)),IF($F24&lt;=85,1,0))</formula>
    </cfRule>
  </conditionalFormatting>
  <conditionalFormatting sqref="X24">
    <cfRule type="expression" dxfId="6389" priority="2813">
      <formula>AND(IF(OR($Q24=1,$Q24=2),1,0),IF($X24&lt;=20,1,0))</formula>
    </cfRule>
    <cfRule type="expression" dxfId="6388" priority="2814">
      <formula>AND(IF($Q24=2,1,0),IF($X24&lt;30,1,0))</formula>
    </cfRule>
    <cfRule type="expression" dxfId="6387" priority="2815">
      <formula>AND(IF($Q24=3,1,0),IF($X24&lt;30,1,0))</formula>
    </cfRule>
    <cfRule type="expression" dxfId="6386" priority="2816">
      <formula>AND(IF($Q24=3,1,IF($Q24=4,1,0)),IF($F24&lt;=85,1,0))</formula>
    </cfRule>
  </conditionalFormatting>
  <conditionalFormatting sqref="AI24">
    <cfRule type="expression" dxfId="6385" priority="2809">
      <formula>AND(IF(OR($Q24=1,$Q24=2),1,0),IF($X24&lt;=20,1,0))</formula>
    </cfRule>
    <cfRule type="expression" dxfId="6384" priority="2810">
      <formula>AND(IF($Q24=2,1,0),IF($X24&lt;30,1,0))</formula>
    </cfRule>
    <cfRule type="expression" dxfId="6383" priority="2811">
      <formula>AND(IF($Q24=3,1,0),IF($X24&lt;30,1,0))</formula>
    </cfRule>
    <cfRule type="expression" dxfId="6382" priority="2812">
      <formula>AND(IF($Q24=3,1,IF($Q24=4,1,0)),IF($F24&lt;=85,1,0))</formula>
    </cfRule>
  </conditionalFormatting>
  <conditionalFormatting sqref="AV25">
    <cfRule type="expression" dxfId="6381" priority="2807">
      <formula>AV25="X"</formula>
    </cfRule>
    <cfRule type="expression" dxfId="6380" priority="2808">
      <formula>AV25="후보"</formula>
    </cfRule>
  </conditionalFormatting>
  <conditionalFormatting sqref="AC25">
    <cfRule type="cellIs" dxfId="6379" priority="2805" operator="greaterThan">
      <formula>0.9</formula>
    </cfRule>
    <cfRule type="cellIs" dxfId="6378" priority="2806" operator="greaterThan">
      <formula>0.85</formula>
    </cfRule>
  </conditionalFormatting>
  <conditionalFormatting sqref="N25">
    <cfRule type="cellIs" dxfId="6377" priority="2803" operator="greaterThan">
      <formula>0.9</formula>
    </cfRule>
    <cfRule type="cellIs" dxfId="6376" priority="2804" operator="greaterThan">
      <formula>0.85</formula>
    </cfRule>
  </conditionalFormatting>
  <conditionalFormatting sqref="E25">
    <cfRule type="expression" dxfId="6375" priority="2799">
      <formula>AND(IF(OR($Q25=1,$Q25=2),1,0),IF($X25&lt;=20,1,0))</formula>
    </cfRule>
    <cfRule type="expression" dxfId="6374" priority="2800">
      <formula>AND(IF($Q25=2,1,0),IF($X25&lt;30,1,0))</formula>
    </cfRule>
    <cfRule type="expression" dxfId="6373" priority="2801">
      <formula>AND(IF($Q25=3,1,0),IF($X25&lt;30,1,0))</formula>
    </cfRule>
    <cfRule type="expression" dxfId="6372" priority="2802">
      <formula>AND(IF($Q25=3,1,IF($Q25=4,1,0)),IF($F25&lt;=85,1,0))</formula>
    </cfRule>
  </conditionalFormatting>
  <conditionalFormatting sqref="X25">
    <cfRule type="expression" dxfId="6371" priority="2795">
      <formula>AND(IF(OR($Q25=1,$Q25=2),1,0),IF($X25&lt;=20,1,0))</formula>
    </cfRule>
    <cfRule type="expression" dxfId="6370" priority="2796">
      <formula>AND(IF($Q25=2,1,0),IF($X25&lt;30,1,0))</formula>
    </cfRule>
    <cfRule type="expression" dxfId="6369" priority="2797">
      <formula>AND(IF($Q25=3,1,0),IF($X25&lt;30,1,0))</formula>
    </cfRule>
    <cfRule type="expression" dxfId="6368" priority="2798">
      <formula>AND(IF($Q25=3,1,IF($Q25=4,1,0)),IF($F25&lt;=85,1,0))</formula>
    </cfRule>
  </conditionalFormatting>
  <conditionalFormatting sqref="AI25">
    <cfRule type="expression" dxfId="6367" priority="2791">
      <formula>AND(IF(OR($Q25=1,$Q25=2),1,0),IF($X25&lt;=20,1,0))</formula>
    </cfRule>
    <cfRule type="expression" dxfId="6366" priority="2792">
      <formula>AND(IF($Q25=2,1,0),IF($X25&lt;30,1,0))</formula>
    </cfRule>
    <cfRule type="expression" dxfId="6365" priority="2793">
      <formula>AND(IF($Q25=3,1,0),IF($X25&lt;30,1,0))</formula>
    </cfRule>
    <cfRule type="expression" dxfId="6364" priority="2794">
      <formula>AND(IF($Q25=3,1,IF($Q25=4,1,0)),IF($F25&lt;=85,1,0))</formula>
    </cfRule>
  </conditionalFormatting>
  <conditionalFormatting sqref="AV26">
    <cfRule type="expression" dxfId="6363" priority="2789">
      <formula>AV26="X"</formula>
    </cfRule>
    <cfRule type="expression" dxfId="6362" priority="2790">
      <formula>AV26="후보"</formula>
    </cfRule>
  </conditionalFormatting>
  <conditionalFormatting sqref="AC26">
    <cfRule type="cellIs" dxfId="6361" priority="2787" operator="greaterThan">
      <formula>0.9</formula>
    </cfRule>
    <cfRule type="cellIs" dxfId="6360" priority="2788" operator="greaterThan">
      <formula>0.85</formula>
    </cfRule>
  </conditionalFormatting>
  <conditionalFormatting sqref="N26">
    <cfRule type="cellIs" dxfId="6359" priority="2785" operator="greaterThan">
      <formula>0.9</formula>
    </cfRule>
    <cfRule type="cellIs" dxfId="6358" priority="2786" operator="greaterThan">
      <formula>0.85</formula>
    </cfRule>
  </conditionalFormatting>
  <conditionalFormatting sqref="E26">
    <cfRule type="expression" dxfId="6357" priority="2781">
      <formula>AND(IF(OR($Q26=1,$Q26=2),1,0),IF($X26&lt;=20,1,0))</formula>
    </cfRule>
    <cfRule type="expression" dxfId="6356" priority="2782">
      <formula>AND(IF($Q26=2,1,0),IF($X26&lt;30,1,0))</formula>
    </cfRule>
    <cfRule type="expression" dxfId="6355" priority="2783">
      <formula>AND(IF($Q26=3,1,0),IF($X26&lt;30,1,0))</formula>
    </cfRule>
    <cfRule type="expression" dxfId="6354" priority="2784">
      <formula>AND(IF($Q26=3,1,IF($Q26=4,1,0)),IF($F26&lt;=85,1,0))</formula>
    </cfRule>
  </conditionalFormatting>
  <conditionalFormatting sqref="X26">
    <cfRule type="expression" dxfId="6353" priority="2777">
      <formula>AND(IF(OR($Q26=1,$Q26=2),1,0),IF($X26&lt;=20,1,0))</formula>
    </cfRule>
    <cfRule type="expression" dxfId="6352" priority="2778">
      <formula>AND(IF($Q26=2,1,0),IF($X26&lt;30,1,0))</formula>
    </cfRule>
    <cfRule type="expression" dxfId="6351" priority="2779">
      <formula>AND(IF($Q26=3,1,0),IF($X26&lt;30,1,0))</formula>
    </cfRule>
    <cfRule type="expression" dxfId="6350" priority="2780">
      <formula>AND(IF($Q26=3,1,IF($Q26=4,1,0)),IF($F26&lt;=85,1,0))</formula>
    </cfRule>
  </conditionalFormatting>
  <conditionalFormatting sqref="AI26">
    <cfRule type="expression" dxfId="6349" priority="2773">
      <formula>AND(IF(OR($Q26=1,$Q26=2),1,0),IF($X26&lt;=20,1,0))</formula>
    </cfRule>
    <cfRule type="expression" dxfId="6348" priority="2774">
      <formula>AND(IF($Q26=2,1,0),IF($X26&lt;30,1,0))</formula>
    </cfRule>
    <cfRule type="expression" dxfId="6347" priority="2775">
      <formula>AND(IF($Q26=3,1,0),IF($X26&lt;30,1,0))</formula>
    </cfRule>
    <cfRule type="expression" dxfId="6346" priority="2776">
      <formula>AND(IF($Q26=3,1,IF($Q26=4,1,0)),IF($F26&lt;=85,1,0))</formula>
    </cfRule>
  </conditionalFormatting>
  <conditionalFormatting sqref="AV27">
    <cfRule type="expression" dxfId="6345" priority="2771">
      <formula>AV27="X"</formula>
    </cfRule>
    <cfRule type="expression" dxfId="6344" priority="2772">
      <formula>AV27="후보"</formula>
    </cfRule>
  </conditionalFormatting>
  <conditionalFormatting sqref="AC27">
    <cfRule type="cellIs" dxfId="6343" priority="2769" operator="greaterThan">
      <formula>0.9</formula>
    </cfRule>
    <cfRule type="cellIs" dxfId="6342" priority="2770" operator="greaterThan">
      <formula>0.85</formula>
    </cfRule>
  </conditionalFormatting>
  <conditionalFormatting sqref="N27">
    <cfRule type="cellIs" dxfId="6341" priority="2767" operator="greaterThan">
      <formula>0.9</formula>
    </cfRule>
    <cfRule type="cellIs" dxfId="6340" priority="2768" operator="greaterThan">
      <formula>0.85</formula>
    </cfRule>
  </conditionalFormatting>
  <conditionalFormatting sqref="E27">
    <cfRule type="expression" dxfId="6339" priority="2763">
      <formula>AND(IF(OR($Q27=1,$Q27=2),1,0),IF($X27&lt;=20,1,0))</formula>
    </cfRule>
    <cfRule type="expression" dxfId="6338" priority="2764">
      <formula>AND(IF($Q27=2,1,0),IF($X27&lt;30,1,0))</formula>
    </cfRule>
    <cfRule type="expression" dxfId="6337" priority="2765">
      <formula>AND(IF($Q27=3,1,0),IF($X27&lt;30,1,0))</formula>
    </cfRule>
    <cfRule type="expression" dxfId="6336" priority="2766">
      <formula>AND(IF($Q27=3,1,IF($Q27=4,1,0)),IF($F27&lt;=85,1,0))</formula>
    </cfRule>
  </conditionalFormatting>
  <conditionalFormatting sqref="X27">
    <cfRule type="expression" dxfId="6335" priority="2759">
      <formula>AND(IF(OR($Q27=1,$Q27=2),1,0),IF($X27&lt;=20,1,0))</formula>
    </cfRule>
    <cfRule type="expression" dxfId="6334" priority="2760">
      <formula>AND(IF($Q27=2,1,0),IF($X27&lt;30,1,0))</formula>
    </cfRule>
    <cfRule type="expression" dxfId="6333" priority="2761">
      <formula>AND(IF($Q27=3,1,0),IF($X27&lt;30,1,0))</formula>
    </cfRule>
    <cfRule type="expression" dxfId="6332" priority="2762">
      <formula>AND(IF($Q27=3,1,IF($Q27=4,1,0)),IF($F27&lt;=85,1,0))</formula>
    </cfRule>
  </conditionalFormatting>
  <conditionalFormatting sqref="AI27">
    <cfRule type="expression" dxfId="6331" priority="2755">
      <formula>AND(IF(OR($Q27=1,$Q27=2),1,0),IF($X27&lt;=20,1,0))</formula>
    </cfRule>
    <cfRule type="expression" dxfId="6330" priority="2756">
      <formula>AND(IF($Q27=2,1,0),IF($X27&lt;30,1,0))</formula>
    </cfRule>
    <cfRule type="expression" dxfId="6329" priority="2757">
      <formula>AND(IF($Q27=3,1,0),IF($X27&lt;30,1,0))</formula>
    </cfRule>
    <cfRule type="expression" dxfId="6328" priority="2758">
      <formula>AND(IF($Q27=3,1,IF($Q27=4,1,0)),IF($F27&lt;=85,1,0))</formula>
    </cfRule>
  </conditionalFormatting>
  <conditionalFormatting sqref="AV28">
    <cfRule type="expression" dxfId="6327" priority="2753">
      <formula>AV28="X"</formula>
    </cfRule>
    <cfRule type="expression" dxfId="6326" priority="2754">
      <formula>AV28="후보"</formula>
    </cfRule>
  </conditionalFormatting>
  <conditionalFormatting sqref="AC28">
    <cfRule type="cellIs" dxfId="6325" priority="2751" operator="greaterThan">
      <formula>0.9</formula>
    </cfRule>
    <cfRule type="cellIs" dxfId="6324" priority="2752" operator="greaterThan">
      <formula>0.85</formula>
    </cfRule>
  </conditionalFormatting>
  <conditionalFormatting sqref="N28">
    <cfRule type="cellIs" dxfId="6323" priority="2749" operator="greaterThan">
      <formula>0.9</formula>
    </cfRule>
    <cfRule type="cellIs" dxfId="6322" priority="2750" operator="greaterThan">
      <formula>0.85</formula>
    </cfRule>
  </conditionalFormatting>
  <conditionalFormatting sqref="E28">
    <cfRule type="expression" dxfId="6321" priority="2745">
      <formula>AND(IF(OR($Q28=1,$Q28=2),1,0),IF($X28&lt;=20,1,0))</formula>
    </cfRule>
    <cfRule type="expression" dxfId="6320" priority="2746">
      <formula>AND(IF($Q28=2,1,0),IF($X28&lt;30,1,0))</formula>
    </cfRule>
    <cfRule type="expression" dxfId="6319" priority="2747">
      <formula>AND(IF($Q28=3,1,0),IF($X28&lt;30,1,0))</formula>
    </cfRule>
    <cfRule type="expression" dxfId="6318" priority="2748">
      <formula>AND(IF($Q28=3,1,IF($Q28=4,1,0)),IF($F28&lt;=85,1,0))</formula>
    </cfRule>
  </conditionalFormatting>
  <conditionalFormatting sqref="X28">
    <cfRule type="expression" dxfId="6317" priority="2741">
      <formula>AND(IF(OR($Q28=1,$Q28=2),1,0),IF($X28&lt;=20,1,0))</formula>
    </cfRule>
    <cfRule type="expression" dxfId="6316" priority="2742">
      <formula>AND(IF($Q28=2,1,0),IF($X28&lt;30,1,0))</formula>
    </cfRule>
    <cfRule type="expression" dxfId="6315" priority="2743">
      <formula>AND(IF($Q28=3,1,0),IF($X28&lt;30,1,0))</formula>
    </cfRule>
    <cfRule type="expression" dxfId="6314" priority="2744">
      <formula>AND(IF($Q28=3,1,IF($Q28=4,1,0)),IF($F28&lt;=85,1,0))</formula>
    </cfRule>
  </conditionalFormatting>
  <conditionalFormatting sqref="AI28">
    <cfRule type="expression" dxfId="6313" priority="2737">
      <formula>AND(IF(OR($Q28=1,$Q28=2),1,0),IF($X28&lt;=20,1,0))</formula>
    </cfRule>
    <cfRule type="expression" dxfId="6312" priority="2738">
      <formula>AND(IF($Q28=2,1,0),IF($X28&lt;30,1,0))</formula>
    </cfRule>
    <cfRule type="expression" dxfId="6311" priority="2739">
      <formula>AND(IF($Q28=3,1,0),IF($X28&lt;30,1,0))</formula>
    </cfRule>
    <cfRule type="expression" dxfId="6310" priority="2740">
      <formula>AND(IF($Q28=3,1,IF($Q28=4,1,0)),IF($F28&lt;=85,1,0))</formula>
    </cfRule>
  </conditionalFormatting>
  <conditionalFormatting sqref="AV29">
    <cfRule type="expression" dxfId="6309" priority="2735">
      <formula>AV29="X"</formula>
    </cfRule>
    <cfRule type="expression" dxfId="6308" priority="2736">
      <formula>AV29="후보"</formula>
    </cfRule>
  </conditionalFormatting>
  <conditionalFormatting sqref="AC29">
    <cfRule type="cellIs" dxfId="6307" priority="2733" operator="greaterThan">
      <formula>0.9</formula>
    </cfRule>
    <cfRule type="cellIs" dxfId="6306" priority="2734" operator="greaterThan">
      <formula>0.85</formula>
    </cfRule>
  </conditionalFormatting>
  <conditionalFormatting sqref="N29">
    <cfRule type="cellIs" dxfId="6305" priority="2731" operator="greaterThan">
      <formula>0.9</formula>
    </cfRule>
    <cfRule type="cellIs" dxfId="6304" priority="2732" operator="greaterThan">
      <formula>0.85</formula>
    </cfRule>
  </conditionalFormatting>
  <conditionalFormatting sqref="E29">
    <cfRule type="expression" dxfId="6303" priority="2727">
      <formula>AND(IF(OR($Q29=1,$Q29=2),1,0),IF($X29&lt;=20,1,0))</formula>
    </cfRule>
    <cfRule type="expression" dxfId="6302" priority="2728">
      <formula>AND(IF($Q29=2,1,0),IF($X29&lt;30,1,0))</formula>
    </cfRule>
    <cfRule type="expression" dxfId="6301" priority="2729">
      <formula>AND(IF($Q29=3,1,0),IF($X29&lt;30,1,0))</formula>
    </cfRule>
    <cfRule type="expression" dxfId="6300" priority="2730">
      <formula>AND(IF($Q29=3,1,IF($Q29=4,1,0)),IF($F29&lt;=85,1,0))</formula>
    </cfRule>
  </conditionalFormatting>
  <conditionalFormatting sqref="X29">
    <cfRule type="expression" dxfId="6299" priority="2723">
      <formula>AND(IF(OR($Q29=1,$Q29=2),1,0),IF($X29&lt;=20,1,0))</formula>
    </cfRule>
    <cfRule type="expression" dxfId="6298" priority="2724">
      <formula>AND(IF($Q29=2,1,0),IF($X29&lt;30,1,0))</formula>
    </cfRule>
    <cfRule type="expression" dxfId="6297" priority="2725">
      <formula>AND(IF($Q29=3,1,0),IF($X29&lt;30,1,0))</formula>
    </cfRule>
    <cfRule type="expression" dxfId="6296" priority="2726">
      <formula>AND(IF($Q29=3,1,IF($Q29=4,1,0)),IF($F29&lt;=85,1,0))</formula>
    </cfRule>
  </conditionalFormatting>
  <conditionalFormatting sqref="AI29">
    <cfRule type="expression" dxfId="6295" priority="2719">
      <formula>AND(IF(OR($Q29=1,$Q29=2),1,0),IF($X29&lt;=20,1,0))</formula>
    </cfRule>
    <cfRule type="expression" dxfId="6294" priority="2720">
      <formula>AND(IF($Q29=2,1,0),IF($X29&lt;30,1,0))</formula>
    </cfRule>
    <cfRule type="expression" dxfId="6293" priority="2721">
      <formula>AND(IF($Q29=3,1,0),IF($X29&lt;30,1,0))</formula>
    </cfRule>
    <cfRule type="expression" dxfId="6292" priority="2722">
      <formula>AND(IF($Q29=3,1,IF($Q29=4,1,0)),IF($F29&lt;=85,1,0))</formula>
    </cfRule>
  </conditionalFormatting>
  <conditionalFormatting sqref="AV30">
    <cfRule type="expression" dxfId="6291" priority="2717">
      <formula>AV30="X"</formula>
    </cfRule>
    <cfRule type="expression" dxfId="6290" priority="2718">
      <formula>AV30="후보"</formula>
    </cfRule>
  </conditionalFormatting>
  <conditionalFormatting sqref="AC30">
    <cfRule type="cellIs" dxfId="6289" priority="2715" operator="greaterThan">
      <formula>0.9</formula>
    </cfRule>
    <cfRule type="cellIs" dxfId="6288" priority="2716" operator="greaterThan">
      <formula>0.85</formula>
    </cfRule>
  </conditionalFormatting>
  <conditionalFormatting sqref="N30">
    <cfRule type="cellIs" dxfId="6287" priority="2713" operator="greaterThan">
      <formula>0.9</formula>
    </cfRule>
    <cfRule type="cellIs" dxfId="6286" priority="2714" operator="greaterThan">
      <formula>0.85</formula>
    </cfRule>
  </conditionalFormatting>
  <conditionalFormatting sqref="E30">
    <cfRule type="expression" dxfId="6285" priority="2709">
      <formula>AND(IF(OR($Q30=1,$Q30=2),1,0),IF($X30&lt;=20,1,0))</formula>
    </cfRule>
    <cfRule type="expression" dxfId="6284" priority="2710">
      <formula>AND(IF($Q30=2,1,0),IF($X30&lt;30,1,0))</formula>
    </cfRule>
    <cfRule type="expression" dxfId="6283" priority="2711">
      <formula>AND(IF($Q30=3,1,0),IF($X30&lt;30,1,0))</formula>
    </cfRule>
    <cfRule type="expression" dxfId="6282" priority="2712">
      <formula>AND(IF($Q30=3,1,IF($Q30=4,1,0)),IF($F30&lt;=85,1,0))</formula>
    </cfRule>
  </conditionalFormatting>
  <conditionalFormatting sqref="X30">
    <cfRule type="expression" dxfId="6281" priority="2705">
      <formula>AND(IF(OR($Q30=1,$Q30=2),1,0),IF($X30&lt;=20,1,0))</formula>
    </cfRule>
    <cfRule type="expression" dxfId="6280" priority="2706">
      <formula>AND(IF($Q30=2,1,0),IF($X30&lt;30,1,0))</formula>
    </cfRule>
    <cfRule type="expression" dxfId="6279" priority="2707">
      <formula>AND(IF($Q30=3,1,0),IF($X30&lt;30,1,0))</formula>
    </cfRule>
    <cfRule type="expression" dxfId="6278" priority="2708">
      <formula>AND(IF($Q30=3,1,IF($Q30=4,1,0)),IF($F30&lt;=85,1,0))</formula>
    </cfRule>
  </conditionalFormatting>
  <conditionalFormatting sqref="AI30">
    <cfRule type="expression" dxfId="6277" priority="2701">
      <formula>AND(IF(OR($Q30=1,$Q30=2),1,0),IF($X30&lt;=20,1,0))</formula>
    </cfRule>
    <cfRule type="expression" dxfId="6276" priority="2702">
      <formula>AND(IF($Q30=2,1,0),IF($X30&lt;30,1,0))</formula>
    </cfRule>
    <cfRule type="expression" dxfId="6275" priority="2703">
      <formula>AND(IF($Q30=3,1,0),IF($X30&lt;30,1,0))</formula>
    </cfRule>
    <cfRule type="expression" dxfId="6274" priority="2704">
      <formula>AND(IF($Q30=3,1,IF($Q30=4,1,0)),IF($F30&lt;=85,1,0))</formula>
    </cfRule>
  </conditionalFormatting>
  <conditionalFormatting sqref="AV31">
    <cfRule type="expression" dxfId="6273" priority="2699">
      <formula>AV31="X"</formula>
    </cfRule>
    <cfRule type="expression" dxfId="6272" priority="2700">
      <formula>AV31="후보"</formula>
    </cfRule>
  </conditionalFormatting>
  <conditionalFormatting sqref="AC31">
    <cfRule type="cellIs" dxfId="6271" priority="2697" operator="greaterThan">
      <formula>0.9</formula>
    </cfRule>
    <cfRule type="cellIs" dxfId="6270" priority="2698" operator="greaterThan">
      <formula>0.85</formula>
    </cfRule>
  </conditionalFormatting>
  <conditionalFormatting sqref="N31">
    <cfRule type="cellIs" dxfId="6269" priority="2695" operator="greaterThan">
      <formula>0.9</formula>
    </cfRule>
    <cfRule type="cellIs" dxfId="6268" priority="2696" operator="greaterThan">
      <formula>0.85</formula>
    </cfRule>
  </conditionalFormatting>
  <conditionalFormatting sqref="E31">
    <cfRule type="expression" dxfId="6267" priority="2691">
      <formula>AND(IF(OR($Q31=1,$Q31=2),1,0),IF($X31&lt;=20,1,0))</formula>
    </cfRule>
    <cfRule type="expression" dxfId="6266" priority="2692">
      <formula>AND(IF($Q31=2,1,0),IF($X31&lt;30,1,0))</formula>
    </cfRule>
    <cfRule type="expression" dxfId="6265" priority="2693">
      <formula>AND(IF($Q31=3,1,0),IF($X31&lt;30,1,0))</formula>
    </cfRule>
    <cfRule type="expression" dxfId="6264" priority="2694">
      <formula>AND(IF($Q31=3,1,IF($Q31=4,1,0)),IF($F31&lt;=85,1,0))</formula>
    </cfRule>
  </conditionalFormatting>
  <conditionalFormatting sqref="X31">
    <cfRule type="expression" dxfId="6263" priority="2687">
      <formula>AND(IF(OR($Q31=1,$Q31=2),1,0),IF($X31&lt;=20,1,0))</formula>
    </cfRule>
    <cfRule type="expression" dxfId="6262" priority="2688">
      <formula>AND(IF($Q31=2,1,0),IF($X31&lt;30,1,0))</formula>
    </cfRule>
    <cfRule type="expression" dxfId="6261" priority="2689">
      <formula>AND(IF($Q31=3,1,0),IF($X31&lt;30,1,0))</formula>
    </cfRule>
    <cfRule type="expression" dxfId="6260" priority="2690">
      <formula>AND(IF($Q31=3,1,IF($Q31=4,1,0)),IF($F31&lt;=85,1,0))</formula>
    </cfRule>
  </conditionalFormatting>
  <conditionalFormatting sqref="AI31">
    <cfRule type="expression" dxfId="6259" priority="2683">
      <formula>AND(IF(OR($Q31=1,$Q31=2),1,0),IF($X31&lt;=20,1,0))</formula>
    </cfRule>
    <cfRule type="expression" dxfId="6258" priority="2684">
      <formula>AND(IF($Q31=2,1,0),IF($X31&lt;30,1,0))</formula>
    </cfRule>
    <cfRule type="expression" dxfId="6257" priority="2685">
      <formula>AND(IF($Q31=3,1,0),IF($X31&lt;30,1,0))</formula>
    </cfRule>
    <cfRule type="expression" dxfId="6256" priority="2686">
      <formula>AND(IF($Q31=3,1,IF($Q31=4,1,0)),IF($F31&lt;=85,1,0))</formula>
    </cfRule>
  </conditionalFormatting>
  <conditionalFormatting sqref="AV32">
    <cfRule type="expression" dxfId="6255" priority="2681">
      <formula>AV32="X"</formula>
    </cfRule>
    <cfRule type="expression" dxfId="6254" priority="2682">
      <formula>AV32="후보"</formula>
    </cfRule>
  </conditionalFormatting>
  <conditionalFormatting sqref="AC32">
    <cfRule type="cellIs" dxfId="6253" priority="2679" operator="greaterThan">
      <formula>0.9</formula>
    </cfRule>
    <cfRule type="cellIs" dxfId="6252" priority="2680" operator="greaterThan">
      <formula>0.85</formula>
    </cfRule>
  </conditionalFormatting>
  <conditionalFormatting sqref="N32">
    <cfRule type="cellIs" dxfId="6251" priority="2677" operator="greaterThan">
      <formula>0.9</formula>
    </cfRule>
    <cfRule type="cellIs" dxfId="6250" priority="2678" operator="greaterThan">
      <formula>0.85</formula>
    </cfRule>
  </conditionalFormatting>
  <conditionalFormatting sqref="E32">
    <cfRule type="expression" dxfId="6249" priority="2673">
      <formula>AND(IF(OR($Q32=1,$Q32=2),1,0),IF($X32&lt;=20,1,0))</formula>
    </cfRule>
    <cfRule type="expression" dxfId="6248" priority="2674">
      <formula>AND(IF($Q32=2,1,0),IF($X32&lt;30,1,0))</formula>
    </cfRule>
    <cfRule type="expression" dxfId="6247" priority="2675">
      <formula>AND(IF($Q32=3,1,0),IF($X32&lt;30,1,0))</formula>
    </cfRule>
    <cfRule type="expression" dxfId="6246" priority="2676">
      <formula>AND(IF($Q32=3,1,IF($Q32=4,1,0)),IF($F32&lt;=85,1,0))</formula>
    </cfRule>
  </conditionalFormatting>
  <conditionalFormatting sqref="X32">
    <cfRule type="expression" dxfId="6245" priority="2669">
      <formula>AND(IF(OR($Q32=1,$Q32=2),1,0),IF($X32&lt;=20,1,0))</formula>
    </cfRule>
    <cfRule type="expression" dxfId="6244" priority="2670">
      <formula>AND(IF($Q32=2,1,0),IF($X32&lt;30,1,0))</formula>
    </cfRule>
    <cfRule type="expression" dxfId="6243" priority="2671">
      <formula>AND(IF($Q32=3,1,0),IF($X32&lt;30,1,0))</formula>
    </cfRule>
    <cfRule type="expression" dxfId="6242" priority="2672">
      <formula>AND(IF($Q32=3,1,IF($Q32=4,1,0)),IF($F32&lt;=85,1,0))</formula>
    </cfRule>
  </conditionalFormatting>
  <conditionalFormatting sqref="AI32">
    <cfRule type="expression" dxfId="6241" priority="2665">
      <formula>AND(IF(OR($Q32=1,$Q32=2),1,0),IF($X32&lt;=20,1,0))</formula>
    </cfRule>
    <cfRule type="expression" dxfId="6240" priority="2666">
      <formula>AND(IF($Q32=2,1,0),IF($X32&lt;30,1,0))</formula>
    </cfRule>
    <cfRule type="expression" dxfId="6239" priority="2667">
      <formula>AND(IF($Q32=3,1,0),IF($X32&lt;30,1,0))</formula>
    </cfRule>
    <cfRule type="expression" dxfId="6238" priority="2668">
      <formula>AND(IF($Q32=3,1,IF($Q32=4,1,0)),IF($F32&lt;=85,1,0))</formula>
    </cfRule>
  </conditionalFormatting>
  <conditionalFormatting sqref="AV33">
    <cfRule type="expression" dxfId="6237" priority="2663">
      <formula>AV33="X"</formula>
    </cfRule>
    <cfRule type="expression" dxfId="6236" priority="2664">
      <formula>AV33="후보"</formula>
    </cfRule>
  </conditionalFormatting>
  <conditionalFormatting sqref="AC33">
    <cfRule type="cellIs" dxfId="6235" priority="2661" operator="greaterThan">
      <formula>0.9</formula>
    </cfRule>
    <cfRule type="cellIs" dxfId="6234" priority="2662" operator="greaterThan">
      <formula>0.85</formula>
    </cfRule>
  </conditionalFormatting>
  <conditionalFormatting sqref="N33">
    <cfRule type="cellIs" dxfId="6233" priority="2659" operator="greaterThan">
      <formula>0.9</formula>
    </cfRule>
    <cfRule type="cellIs" dxfId="6232" priority="2660" operator="greaterThan">
      <formula>0.85</formula>
    </cfRule>
  </conditionalFormatting>
  <conditionalFormatting sqref="E33">
    <cfRule type="expression" dxfId="6231" priority="2655">
      <formula>AND(IF(OR($Q33=1,$Q33=2),1,0),IF($X33&lt;=20,1,0))</formula>
    </cfRule>
    <cfRule type="expression" dxfId="6230" priority="2656">
      <formula>AND(IF($Q33=2,1,0),IF($X33&lt;30,1,0))</formula>
    </cfRule>
    <cfRule type="expression" dxfId="6229" priority="2657">
      <formula>AND(IF($Q33=3,1,0),IF($X33&lt;30,1,0))</formula>
    </cfRule>
    <cfRule type="expression" dxfId="6228" priority="2658">
      <formula>AND(IF($Q33=3,1,IF($Q33=4,1,0)),IF($F33&lt;=85,1,0))</formula>
    </cfRule>
  </conditionalFormatting>
  <conditionalFormatting sqref="X33">
    <cfRule type="expression" dxfId="6227" priority="2651">
      <formula>AND(IF(OR($Q33=1,$Q33=2),1,0),IF($X33&lt;=20,1,0))</formula>
    </cfRule>
    <cfRule type="expression" dxfId="6226" priority="2652">
      <formula>AND(IF($Q33=2,1,0),IF($X33&lt;30,1,0))</formula>
    </cfRule>
    <cfRule type="expression" dxfId="6225" priority="2653">
      <formula>AND(IF($Q33=3,1,0),IF($X33&lt;30,1,0))</formula>
    </cfRule>
    <cfRule type="expression" dxfId="6224" priority="2654">
      <formula>AND(IF($Q33=3,1,IF($Q33=4,1,0)),IF($F33&lt;=85,1,0))</formula>
    </cfRule>
  </conditionalFormatting>
  <conditionalFormatting sqref="AI33">
    <cfRule type="expression" dxfId="6223" priority="2647">
      <formula>AND(IF(OR($Q33=1,$Q33=2),1,0),IF($X33&lt;=20,1,0))</formula>
    </cfRule>
    <cfRule type="expression" dxfId="6222" priority="2648">
      <formula>AND(IF($Q33=2,1,0),IF($X33&lt;30,1,0))</formula>
    </cfRule>
    <cfRule type="expression" dxfId="6221" priority="2649">
      <formula>AND(IF($Q33=3,1,0),IF($X33&lt;30,1,0))</formula>
    </cfRule>
    <cfRule type="expression" dxfId="6220" priority="2650">
      <formula>AND(IF($Q33=3,1,IF($Q33=4,1,0)),IF($F33&lt;=85,1,0))</formula>
    </cfRule>
  </conditionalFormatting>
  <conditionalFormatting sqref="AV34">
    <cfRule type="expression" dxfId="6219" priority="2645">
      <formula>AV34="X"</formula>
    </cfRule>
    <cfRule type="expression" dxfId="6218" priority="2646">
      <formula>AV34="후보"</formula>
    </cfRule>
  </conditionalFormatting>
  <conditionalFormatting sqref="AC34">
    <cfRule type="cellIs" dxfId="6217" priority="2643" operator="greaterThan">
      <formula>0.9</formula>
    </cfRule>
    <cfRule type="cellIs" dxfId="6216" priority="2644" operator="greaterThan">
      <formula>0.85</formula>
    </cfRule>
  </conditionalFormatting>
  <conditionalFormatting sqref="N34">
    <cfRule type="cellIs" dxfId="6215" priority="2641" operator="greaterThan">
      <formula>0.9</formula>
    </cfRule>
    <cfRule type="cellIs" dxfId="6214" priority="2642" operator="greaterThan">
      <formula>0.85</formula>
    </cfRule>
  </conditionalFormatting>
  <conditionalFormatting sqref="E34">
    <cfRule type="expression" dxfId="6213" priority="2637">
      <formula>AND(IF(OR($Q34=1,$Q34=2),1,0),IF($X34&lt;=20,1,0))</formula>
    </cfRule>
    <cfRule type="expression" dxfId="6212" priority="2638">
      <formula>AND(IF($Q34=2,1,0),IF($X34&lt;30,1,0))</formula>
    </cfRule>
    <cfRule type="expression" dxfId="6211" priority="2639">
      <formula>AND(IF($Q34=3,1,0),IF($X34&lt;30,1,0))</formula>
    </cfRule>
    <cfRule type="expression" dxfId="6210" priority="2640">
      <formula>AND(IF($Q34=3,1,IF($Q34=4,1,0)),IF($F34&lt;=85,1,0))</formula>
    </cfRule>
  </conditionalFormatting>
  <conditionalFormatting sqref="X34">
    <cfRule type="expression" dxfId="6209" priority="2633">
      <formula>AND(IF(OR($Q34=1,$Q34=2),1,0),IF($X34&lt;=20,1,0))</formula>
    </cfRule>
    <cfRule type="expression" dxfId="6208" priority="2634">
      <formula>AND(IF($Q34=2,1,0),IF($X34&lt;30,1,0))</formula>
    </cfRule>
    <cfRule type="expression" dxfId="6207" priority="2635">
      <formula>AND(IF($Q34=3,1,0),IF($X34&lt;30,1,0))</formula>
    </cfRule>
    <cfRule type="expression" dxfId="6206" priority="2636">
      <formula>AND(IF($Q34=3,1,IF($Q34=4,1,0)),IF($F34&lt;=85,1,0))</formula>
    </cfRule>
  </conditionalFormatting>
  <conditionalFormatting sqref="AI34">
    <cfRule type="expression" dxfId="6205" priority="2629">
      <formula>AND(IF(OR($Q34=1,$Q34=2),1,0),IF($X34&lt;=20,1,0))</formula>
    </cfRule>
    <cfRule type="expression" dxfId="6204" priority="2630">
      <formula>AND(IF($Q34=2,1,0),IF($X34&lt;30,1,0))</formula>
    </cfRule>
    <cfRule type="expression" dxfId="6203" priority="2631">
      <formula>AND(IF($Q34=3,1,0),IF($X34&lt;30,1,0))</formula>
    </cfRule>
    <cfRule type="expression" dxfId="6202" priority="2632">
      <formula>AND(IF($Q34=3,1,IF($Q34=4,1,0)),IF($F34&lt;=85,1,0))</formula>
    </cfRule>
  </conditionalFormatting>
  <conditionalFormatting sqref="AV35">
    <cfRule type="expression" dxfId="6201" priority="2627">
      <formula>AV35="X"</formula>
    </cfRule>
    <cfRule type="expression" dxfId="6200" priority="2628">
      <formula>AV35="후보"</formula>
    </cfRule>
  </conditionalFormatting>
  <conditionalFormatting sqref="AC35">
    <cfRule type="cellIs" dxfId="6199" priority="2625" operator="greaterThan">
      <formula>0.9</formula>
    </cfRule>
    <cfRule type="cellIs" dxfId="6198" priority="2626" operator="greaterThan">
      <formula>0.85</formula>
    </cfRule>
  </conditionalFormatting>
  <conditionalFormatting sqref="N35">
    <cfRule type="cellIs" dxfId="6197" priority="2623" operator="greaterThan">
      <formula>0.9</formula>
    </cfRule>
    <cfRule type="cellIs" dxfId="6196" priority="2624" operator="greaterThan">
      <formula>0.85</formula>
    </cfRule>
  </conditionalFormatting>
  <conditionalFormatting sqref="E35">
    <cfRule type="expression" dxfId="6195" priority="2619">
      <formula>AND(IF(OR($Q35=1,$Q35=2),1,0),IF($X35&lt;=20,1,0))</formula>
    </cfRule>
    <cfRule type="expression" dxfId="6194" priority="2620">
      <formula>AND(IF($Q35=2,1,0),IF($X35&lt;30,1,0))</formula>
    </cfRule>
    <cfRule type="expression" dxfId="6193" priority="2621">
      <formula>AND(IF($Q35=3,1,0),IF($X35&lt;30,1,0))</formula>
    </cfRule>
    <cfRule type="expression" dxfId="6192" priority="2622">
      <formula>AND(IF($Q35=3,1,IF($Q35=4,1,0)),IF($F35&lt;=85,1,0))</formula>
    </cfRule>
  </conditionalFormatting>
  <conditionalFormatting sqref="X35">
    <cfRule type="expression" dxfId="6191" priority="2615">
      <formula>AND(IF(OR($Q35=1,$Q35=2),1,0),IF($X35&lt;=20,1,0))</formula>
    </cfRule>
    <cfRule type="expression" dxfId="6190" priority="2616">
      <formula>AND(IF($Q35=2,1,0),IF($X35&lt;30,1,0))</formula>
    </cfRule>
    <cfRule type="expression" dxfId="6189" priority="2617">
      <formula>AND(IF($Q35=3,1,0),IF($X35&lt;30,1,0))</formula>
    </cfRule>
    <cfRule type="expression" dxfId="6188" priority="2618">
      <formula>AND(IF($Q35=3,1,IF($Q35=4,1,0)),IF($F35&lt;=85,1,0))</formula>
    </cfRule>
  </conditionalFormatting>
  <conditionalFormatting sqref="AI35">
    <cfRule type="expression" dxfId="6187" priority="2611">
      <formula>AND(IF(OR($Q35=1,$Q35=2),1,0),IF($X35&lt;=20,1,0))</formula>
    </cfRule>
    <cfRule type="expression" dxfId="6186" priority="2612">
      <formula>AND(IF($Q35=2,1,0),IF($X35&lt;30,1,0))</formula>
    </cfRule>
    <cfRule type="expression" dxfId="6185" priority="2613">
      <formula>AND(IF($Q35=3,1,0),IF($X35&lt;30,1,0))</formula>
    </cfRule>
    <cfRule type="expression" dxfId="6184" priority="2614">
      <formula>AND(IF($Q35=3,1,IF($Q35=4,1,0)),IF($F35&lt;=85,1,0))</formula>
    </cfRule>
  </conditionalFormatting>
  <conditionalFormatting sqref="AV36">
    <cfRule type="expression" dxfId="6183" priority="2609">
      <formula>AV36="X"</formula>
    </cfRule>
    <cfRule type="expression" dxfId="6182" priority="2610">
      <formula>AV36="후보"</formula>
    </cfRule>
  </conditionalFormatting>
  <conditionalFormatting sqref="AC36">
    <cfRule type="cellIs" dxfId="6181" priority="2607" operator="greaterThan">
      <formula>0.9</formula>
    </cfRule>
    <cfRule type="cellIs" dxfId="6180" priority="2608" operator="greaterThan">
      <formula>0.85</formula>
    </cfRule>
  </conditionalFormatting>
  <conditionalFormatting sqref="N36">
    <cfRule type="cellIs" dxfId="6179" priority="2605" operator="greaterThan">
      <formula>0.9</formula>
    </cfRule>
    <cfRule type="cellIs" dxfId="6178" priority="2606" operator="greaterThan">
      <formula>0.85</formula>
    </cfRule>
  </conditionalFormatting>
  <conditionalFormatting sqref="E36">
    <cfRule type="expression" dxfId="6177" priority="2601">
      <formula>AND(IF(OR($Q36=1,$Q36=2),1,0),IF($X36&lt;=20,1,0))</formula>
    </cfRule>
    <cfRule type="expression" dxfId="6176" priority="2602">
      <formula>AND(IF($Q36=2,1,0),IF($X36&lt;30,1,0))</formula>
    </cfRule>
    <cfRule type="expression" dxfId="6175" priority="2603">
      <formula>AND(IF($Q36=3,1,0),IF($X36&lt;30,1,0))</formula>
    </cfRule>
    <cfRule type="expression" dxfId="6174" priority="2604">
      <formula>AND(IF($Q36=3,1,IF($Q36=4,1,0)),IF($F36&lt;=85,1,0))</formula>
    </cfRule>
  </conditionalFormatting>
  <conditionalFormatting sqref="X36">
    <cfRule type="expression" dxfId="6173" priority="2597">
      <formula>AND(IF(OR($Q36=1,$Q36=2),1,0),IF($X36&lt;=20,1,0))</formula>
    </cfRule>
    <cfRule type="expression" dxfId="6172" priority="2598">
      <formula>AND(IF($Q36=2,1,0),IF($X36&lt;30,1,0))</formula>
    </cfRule>
    <cfRule type="expression" dxfId="6171" priority="2599">
      <formula>AND(IF($Q36=3,1,0),IF($X36&lt;30,1,0))</formula>
    </cfRule>
    <cfRule type="expression" dxfId="6170" priority="2600">
      <formula>AND(IF($Q36=3,1,IF($Q36=4,1,0)),IF($F36&lt;=85,1,0))</formula>
    </cfRule>
  </conditionalFormatting>
  <conditionalFormatting sqref="AI36">
    <cfRule type="expression" dxfId="6169" priority="2593">
      <formula>AND(IF(OR($Q36=1,$Q36=2),1,0),IF($X36&lt;=20,1,0))</formula>
    </cfRule>
    <cfRule type="expression" dxfId="6168" priority="2594">
      <formula>AND(IF($Q36=2,1,0),IF($X36&lt;30,1,0))</formula>
    </cfRule>
    <cfRule type="expression" dxfId="6167" priority="2595">
      <formula>AND(IF($Q36=3,1,0),IF($X36&lt;30,1,0))</formula>
    </cfRule>
    <cfRule type="expression" dxfId="6166" priority="2596">
      <formula>AND(IF($Q36=3,1,IF($Q36=4,1,0)),IF($F36&lt;=85,1,0))</formula>
    </cfRule>
  </conditionalFormatting>
  <conditionalFormatting sqref="AV37">
    <cfRule type="expression" dxfId="6165" priority="2591">
      <formula>AV37="X"</formula>
    </cfRule>
    <cfRule type="expression" dxfId="6164" priority="2592">
      <formula>AV37="후보"</formula>
    </cfRule>
  </conditionalFormatting>
  <conditionalFormatting sqref="AC37">
    <cfRule type="cellIs" dxfId="6163" priority="2589" operator="greaterThan">
      <formula>0.9</formula>
    </cfRule>
    <cfRule type="cellIs" dxfId="6162" priority="2590" operator="greaterThan">
      <formula>0.85</formula>
    </cfRule>
  </conditionalFormatting>
  <conditionalFormatting sqref="N37">
    <cfRule type="cellIs" dxfId="6161" priority="2587" operator="greaterThan">
      <formula>0.9</formula>
    </cfRule>
    <cfRule type="cellIs" dxfId="6160" priority="2588" operator="greaterThan">
      <formula>0.85</formula>
    </cfRule>
  </conditionalFormatting>
  <conditionalFormatting sqref="E37">
    <cfRule type="expression" dxfId="6159" priority="2583">
      <formula>AND(IF(OR($Q37=1,$Q37=2),1,0),IF($X37&lt;=20,1,0))</formula>
    </cfRule>
    <cfRule type="expression" dxfId="6158" priority="2584">
      <formula>AND(IF($Q37=2,1,0),IF($X37&lt;30,1,0))</formula>
    </cfRule>
    <cfRule type="expression" dxfId="6157" priority="2585">
      <formula>AND(IF($Q37=3,1,0),IF($X37&lt;30,1,0))</formula>
    </cfRule>
    <cfRule type="expression" dxfId="6156" priority="2586">
      <formula>AND(IF($Q37=3,1,IF($Q37=4,1,0)),IF($F37&lt;=85,1,0))</formula>
    </cfRule>
  </conditionalFormatting>
  <conditionalFormatting sqref="X37">
    <cfRule type="expression" dxfId="6155" priority="2579">
      <formula>AND(IF(OR($Q37=1,$Q37=2),1,0),IF($X37&lt;=20,1,0))</formula>
    </cfRule>
    <cfRule type="expression" dxfId="6154" priority="2580">
      <formula>AND(IF($Q37=2,1,0),IF($X37&lt;30,1,0))</formula>
    </cfRule>
    <cfRule type="expression" dxfId="6153" priority="2581">
      <formula>AND(IF($Q37=3,1,0),IF($X37&lt;30,1,0))</formula>
    </cfRule>
    <cfRule type="expression" dxfId="6152" priority="2582">
      <formula>AND(IF($Q37=3,1,IF($Q37=4,1,0)),IF($F37&lt;=85,1,0))</formula>
    </cfRule>
  </conditionalFormatting>
  <conditionalFormatting sqref="AI37">
    <cfRule type="expression" dxfId="6151" priority="2575">
      <formula>AND(IF(OR($Q37=1,$Q37=2),1,0),IF($X37&lt;=20,1,0))</formula>
    </cfRule>
    <cfRule type="expression" dxfId="6150" priority="2576">
      <formula>AND(IF($Q37=2,1,0),IF($X37&lt;30,1,0))</formula>
    </cfRule>
    <cfRule type="expression" dxfId="6149" priority="2577">
      <formula>AND(IF($Q37=3,1,0),IF($X37&lt;30,1,0))</formula>
    </cfRule>
    <cfRule type="expression" dxfId="6148" priority="2578">
      <formula>AND(IF($Q37=3,1,IF($Q37=4,1,0)),IF($F37&lt;=85,1,0))</formula>
    </cfRule>
  </conditionalFormatting>
  <conditionalFormatting sqref="AV38">
    <cfRule type="expression" dxfId="6147" priority="2573">
      <formula>AV38="X"</formula>
    </cfRule>
    <cfRule type="expression" dxfId="6146" priority="2574">
      <formula>AV38="후보"</formula>
    </cfRule>
  </conditionalFormatting>
  <conditionalFormatting sqref="AC38">
    <cfRule type="cellIs" dxfId="6145" priority="2571" operator="greaterThan">
      <formula>0.9</formula>
    </cfRule>
    <cfRule type="cellIs" dxfId="6144" priority="2572" operator="greaterThan">
      <formula>0.85</formula>
    </cfRule>
  </conditionalFormatting>
  <conditionalFormatting sqref="N38">
    <cfRule type="cellIs" dxfId="6143" priority="2569" operator="greaterThan">
      <formula>0.9</formula>
    </cfRule>
    <cfRule type="cellIs" dxfId="6142" priority="2570" operator="greaterThan">
      <formula>0.85</formula>
    </cfRule>
  </conditionalFormatting>
  <conditionalFormatting sqref="E38">
    <cfRule type="expression" dxfId="6141" priority="2565">
      <formula>AND(IF(OR($Q38=1,$Q38=2),1,0),IF($X38&lt;=20,1,0))</formula>
    </cfRule>
    <cfRule type="expression" dxfId="6140" priority="2566">
      <formula>AND(IF($Q38=2,1,0),IF($X38&lt;30,1,0))</formula>
    </cfRule>
    <cfRule type="expression" dxfId="6139" priority="2567">
      <formula>AND(IF($Q38=3,1,0),IF($X38&lt;30,1,0))</formula>
    </cfRule>
    <cfRule type="expression" dxfId="6138" priority="2568">
      <formula>AND(IF($Q38=3,1,IF($Q38=4,1,0)),IF($F38&lt;=85,1,0))</formula>
    </cfRule>
  </conditionalFormatting>
  <conditionalFormatting sqref="X38">
    <cfRule type="expression" dxfId="6137" priority="2561">
      <formula>AND(IF(OR($Q38=1,$Q38=2),1,0),IF($X38&lt;=20,1,0))</formula>
    </cfRule>
    <cfRule type="expression" dxfId="6136" priority="2562">
      <formula>AND(IF($Q38=2,1,0),IF($X38&lt;30,1,0))</formula>
    </cfRule>
    <cfRule type="expression" dxfId="6135" priority="2563">
      <formula>AND(IF($Q38=3,1,0),IF($X38&lt;30,1,0))</formula>
    </cfRule>
    <cfRule type="expression" dxfId="6134" priority="2564">
      <formula>AND(IF($Q38=3,1,IF($Q38=4,1,0)),IF($F38&lt;=85,1,0))</formula>
    </cfRule>
  </conditionalFormatting>
  <conditionalFormatting sqref="AI38">
    <cfRule type="expression" dxfId="6133" priority="2557">
      <formula>AND(IF(OR($Q38=1,$Q38=2),1,0),IF($X38&lt;=20,1,0))</formula>
    </cfRule>
    <cfRule type="expression" dxfId="6132" priority="2558">
      <formula>AND(IF($Q38=2,1,0),IF($X38&lt;30,1,0))</formula>
    </cfRule>
    <cfRule type="expression" dxfId="6131" priority="2559">
      <formula>AND(IF($Q38=3,1,0),IF($X38&lt;30,1,0))</formula>
    </cfRule>
    <cfRule type="expression" dxfId="6130" priority="2560">
      <formula>AND(IF($Q38=3,1,IF($Q38=4,1,0)),IF($F38&lt;=85,1,0))</formula>
    </cfRule>
  </conditionalFormatting>
  <conditionalFormatting sqref="AV39">
    <cfRule type="expression" dxfId="6129" priority="2555">
      <formula>AV39="X"</formula>
    </cfRule>
    <cfRule type="expression" dxfId="6128" priority="2556">
      <formula>AV39="후보"</formula>
    </cfRule>
  </conditionalFormatting>
  <conditionalFormatting sqref="AC39">
    <cfRule type="cellIs" dxfId="6127" priority="2553" operator="greaterThan">
      <formula>0.9</formula>
    </cfRule>
    <cfRule type="cellIs" dxfId="6126" priority="2554" operator="greaterThan">
      <formula>0.85</formula>
    </cfRule>
  </conditionalFormatting>
  <conditionalFormatting sqref="N39">
    <cfRule type="cellIs" dxfId="6125" priority="2551" operator="greaterThan">
      <formula>0.9</formula>
    </cfRule>
    <cfRule type="cellIs" dxfId="6124" priority="2552" operator="greaterThan">
      <formula>0.85</formula>
    </cfRule>
  </conditionalFormatting>
  <conditionalFormatting sqref="E39">
    <cfRule type="expression" dxfId="6123" priority="2547">
      <formula>AND(IF(OR($Q39=1,$Q39=2),1,0),IF($X39&lt;=20,1,0))</formula>
    </cfRule>
    <cfRule type="expression" dxfId="6122" priority="2548">
      <formula>AND(IF($Q39=2,1,0),IF($X39&lt;30,1,0))</formula>
    </cfRule>
    <cfRule type="expression" dxfId="6121" priority="2549">
      <formula>AND(IF($Q39=3,1,0),IF($X39&lt;30,1,0))</formula>
    </cfRule>
    <cfRule type="expression" dxfId="6120" priority="2550">
      <formula>AND(IF($Q39=3,1,IF($Q39=4,1,0)),IF($F39&lt;=85,1,0))</formula>
    </cfRule>
  </conditionalFormatting>
  <conditionalFormatting sqref="X39">
    <cfRule type="expression" dxfId="6119" priority="2543">
      <formula>AND(IF(OR($Q39=1,$Q39=2),1,0),IF($X39&lt;=20,1,0))</formula>
    </cfRule>
    <cfRule type="expression" dxfId="6118" priority="2544">
      <formula>AND(IF($Q39=2,1,0),IF($X39&lt;30,1,0))</formula>
    </cfRule>
    <cfRule type="expression" dxfId="6117" priority="2545">
      <formula>AND(IF($Q39=3,1,0),IF($X39&lt;30,1,0))</formula>
    </cfRule>
    <cfRule type="expression" dxfId="6116" priority="2546">
      <formula>AND(IF($Q39=3,1,IF($Q39=4,1,0)),IF($F39&lt;=85,1,0))</formula>
    </cfRule>
  </conditionalFormatting>
  <conditionalFormatting sqref="AI39">
    <cfRule type="expression" dxfId="6115" priority="2539">
      <formula>AND(IF(OR($Q39=1,$Q39=2),1,0),IF($X39&lt;=20,1,0))</formula>
    </cfRule>
    <cfRule type="expression" dxfId="6114" priority="2540">
      <formula>AND(IF($Q39=2,1,0),IF($X39&lt;30,1,0))</formula>
    </cfRule>
    <cfRule type="expression" dxfId="6113" priority="2541">
      <formula>AND(IF($Q39=3,1,0),IF($X39&lt;30,1,0))</formula>
    </cfRule>
    <cfRule type="expression" dxfId="6112" priority="2542">
      <formula>AND(IF($Q39=3,1,IF($Q39=4,1,0)),IF($F39&lt;=85,1,0))</formula>
    </cfRule>
  </conditionalFormatting>
  <conditionalFormatting sqref="AV40">
    <cfRule type="expression" dxfId="6111" priority="2537">
      <formula>AV40="X"</formula>
    </cfRule>
    <cfRule type="expression" dxfId="6110" priority="2538">
      <formula>AV40="후보"</formula>
    </cfRule>
  </conditionalFormatting>
  <conditionalFormatting sqref="AC40">
    <cfRule type="cellIs" dxfId="6109" priority="2535" operator="greaterThan">
      <formula>0.9</formula>
    </cfRule>
    <cfRule type="cellIs" dxfId="6108" priority="2536" operator="greaterThan">
      <formula>0.85</formula>
    </cfRule>
  </conditionalFormatting>
  <conditionalFormatting sqref="N40">
    <cfRule type="cellIs" dxfId="6107" priority="2533" operator="greaterThan">
      <formula>0.9</formula>
    </cfRule>
    <cfRule type="cellIs" dxfId="6106" priority="2534" operator="greaterThan">
      <formula>0.85</formula>
    </cfRule>
  </conditionalFormatting>
  <conditionalFormatting sqref="E40">
    <cfRule type="expression" dxfId="6105" priority="2529">
      <formula>AND(IF(OR($Q40=1,$Q40=2),1,0),IF($X40&lt;=20,1,0))</formula>
    </cfRule>
    <cfRule type="expression" dxfId="6104" priority="2530">
      <formula>AND(IF($Q40=2,1,0),IF($X40&lt;30,1,0))</formula>
    </cfRule>
    <cfRule type="expression" dxfId="6103" priority="2531">
      <formula>AND(IF($Q40=3,1,0),IF($X40&lt;30,1,0))</formula>
    </cfRule>
    <cfRule type="expression" dxfId="6102" priority="2532">
      <formula>AND(IF($Q40=3,1,IF($Q40=4,1,0)),IF($F40&lt;=85,1,0))</formula>
    </cfRule>
  </conditionalFormatting>
  <conditionalFormatting sqref="X40">
    <cfRule type="expression" dxfId="6101" priority="2525">
      <formula>AND(IF(OR($Q40=1,$Q40=2),1,0),IF($X40&lt;=20,1,0))</formula>
    </cfRule>
    <cfRule type="expression" dxfId="6100" priority="2526">
      <formula>AND(IF($Q40=2,1,0),IF($X40&lt;30,1,0))</formula>
    </cfRule>
    <cfRule type="expression" dxfId="6099" priority="2527">
      <formula>AND(IF($Q40=3,1,0),IF($X40&lt;30,1,0))</formula>
    </cfRule>
    <cfRule type="expression" dxfId="6098" priority="2528">
      <formula>AND(IF($Q40=3,1,IF($Q40=4,1,0)),IF($F40&lt;=85,1,0))</formula>
    </cfRule>
  </conditionalFormatting>
  <conditionalFormatting sqref="AI40">
    <cfRule type="expression" dxfId="6097" priority="2521">
      <formula>AND(IF(OR($Q40=1,$Q40=2),1,0),IF($X40&lt;=20,1,0))</formula>
    </cfRule>
    <cfRule type="expression" dxfId="6096" priority="2522">
      <formula>AND(IF($Q40=2,1,0),IF($X40&lt;30,1,0))</formula>
    </cfRule>
    <cfRule type="expression" dxfId="6095" priority="2523">
      <formula>AND(IF($Q40=3,1,0),IF($X40&lt;30,1,0))</formula>
    </cfRule>
    <cfRule type="expression" dxfId="6094" priority="2524">
      <formula>AND(IF($Q40=3,1,IF($Q40=4,1,0)),IF($F40&lt;=85,1,0))</formula>
    </cfRule>
  </conditionalFormatting>
  <conditionalFormatting sqref="AV41">
    <cfRule type="expression" dxfId="6093" priority="2519">
      <formula>AV41="X"</formula>
    </cfRule>
    <cfRule type="expression" dxfId="6092" priority="2520">
      <formula>AV41="후보"</formula>
    </cfRule>
  </conditionalFormatting>
  <conditionalFormatting sqref="AC41">
    <cfRule type="cellIs" dxfId="6091" priority="2517" operator="greaterThan">
      <formula>0.9</formula>
    </cfRule>
    <cfRule type="cellIs" dxfId="6090" priority="2518" operator="greaterThan">
      <formula>0.85</formula>
    </cfRule>
  </conditionalFormatting>
  <conditionalFormatting sqref="N41">
    <cfRule type="cellIs" dxfId="6089" priority="2515" operator="greaterThan">
      <formula>0.9</formula>
    </cfRule>
    <cfRule type="cellIs" dxfId="6088" priority="2516" operator="greaterThan">
      <formula>0.85</formula>
    </cfRule>
  </conditionalFormatting>
  <conditionalFormatting sqref="E41">
    <cfRule type="expression" dxfId="6087" priority="2511">
      <formula>AND(IF(OR($Q41=1,$Q41=2),1,0),IF($X41&lt;=20,1,0))</formula>
    </cfRule>
    <cfRule type="expression" dxfId="6086" priority="2512">
      <formula>AND(IF($Q41=2,1,0),IF($X41&lt;30,1,0))</formula>
    </cfRule>
    <cfRule type="expression" dxfId="6085" priority="2513">
      <formula>AND(IF($Q41=3,1,0),IF($X41&lt;30,1,0))</formula>
    </cfRule>
    <cfRule type="expression" dxfId="6084" priority="2514">
      <formula>AND(IF($Q41=3,1,IF($Q41=4,1,0)),IF($F41&lt;=85,1,0))</formula>
    </cfRule>
  </conditionalFormatting>
  <conditionalFormatting sqref="X41">
    <cfRule type="expression" dxfId="6083" priority="2507">
      <formula>AND(IF(OR($Q41=1,$Q41=2),1,0),IF($X41&lt;=20,1,0))</formula>
    </cfRule>
    <cfRule type="expression" dxfId="6082" priority="2508">
      <formula>AND(IF($Q41=2,1,0),IF($X41&lt;30,1,0))</formula>
    </cfRule>
    <cfRule type="expression" dxfId="6081" priority="2509">
      <formula>AND(IF($Q41=3,1,0),IF($X41&lt;30,1,0))</formula>
    </cfRule>
    <cfRule type="expression" dxfId="6080" priority="2510">
      <formula>AND(IF($Q41=3,1,IF($Q41=4,1,0)),IF($F41&lt;=85,1,0))</formula>
    </cfRule>
  </conditionalFormatting>
  <conditionalFormatting sqref="AI41">
    <cfRule type="expression" dxfId="6079" priority="2503">
      <formula>AND(IF(OR($Q41=1,$Q41=2),1,0),IF($X41&lt;=20,1,0))</formula>
    </cfRule>
    <cfRule type="expression" dxfId="6078" priority="2504">
      <formula>AND(IF($Q41=2,1,0),IF($X41&lt;30,1,0))</formula>
    </cfRule>
    <cfRule type="expression" dxfId="6077" priority="2505">
      <formula>AND(IF($Q41=3,1,0),IF($X41&lt;30,1,0))</formula>
    </cfRule>
    <cfRule type="expression" dxfId="6076" priority="2506">
      <formula>AND(IF($Q41=3,1,IF($Q41=4,1,0)),IF($F41&lt;=85,1,0))</formula>
    </cfRule>
  </conditionalFormatting>
  <conditionalFormatting sqref="AV42">
    <cfRule type="expression" dxfId="6075" priority="2501">
      <formula>AV42="X"</formula>
    </cfRule>
    <cfRule type="expression" dxfId="6074" priority="2502">
      <formula>AV42="후보"</formula>
    </cfRule>
  </conditionalFormatting>
  <conditionalFormatting sqref="AC42">
    <cfRule type="cellIs" dxfId="6073" priority="2499" operator="greaterThan">
      <formula>0.9</formula>
    </cfRule>
    <cfRule type="cellIs" dxfId="6072" priority="2500" operator="greaterThan">
      <formula>0.85</formula>
    </cfRule>
  </conditionalFormatting>
  <conditionalFormatting sqref="N42">
    <cfRule type="cellIs" dxfId="6071" priority="2497" operator="greaterThan">
      <formula>0.9</formula>
    </cfRule>
    <cfRule type="cellIs" dxfId="6070" priority="2498" operator="greaterThan">
      <formula>0.85</formula>
    </cfRule>
  </conditionalFormatting>
  <conditionalFormatting sqref="E42">
    <cfRule type="expression" dxfId="6069" priority="2493">
      <formula>AND(IF(OR($Q42=1,$Q42=2),1,0),IF($X42&lt;=20,1,0))</formula>
    </cfRule>
    <cfRule type="expression" dxfId="6068" priority="2494">
      <formula>AND(IF($Q42=2,1,0),IF($X42&lt;30,1,0))</formula>
    </cfRule>
    <cfRule type="expression" dxfId="6067" priority="2495">
      <formula>AND(IF($Q42=3,1,0),IF($X42&lt;30,1,0))</formula>
    </cfRule>
    <cfRule type="expression" dxfId="6066" priority="2496">
      <formula>AND(IF($Q42=3,1,IF($Q42=4,1,0)),IF($F42&lt;=85,1,0))</formula>
    </cfRule>
  </conditionalFormatting>
  <conditionalFormatting sqref="X42">
    <cfRule type="expression" dxfId="6065" priority="2489">
      <formula>AND(IF(OR($Q42=1,$Q42=2),1,0),IF($X42&lt;=20,1,0))</formula>
    </cfRule>
    <cfRule type="expression" dxfId="6064" priority="2490">
      <formula>AND(IF($Q42=2,1,0),IF($X42&lt;30,1,0))</formula>
    </cfRule>
    <cfRule type="expression" dxfId="6063" priority="2491">
      <formula>AND(IF($Q42=3,1,0),IF($X42&lt;30,1,0))</formula>
    </cfRule>
    <cfRule type="expression" dxfId="6062" priority="2492">
      <formula>AND(IF($Q42=3,1,IF($Q42=4,1,0)),IF($F42&lt;=85,1,0))</formula>
    </cfRule>
  </conditionalFormatting>
  <conditionalFormatting sqref="AI42">
    <cfRule type="expression" dxfId="6061" priority="2485">
      <formula>AND(IF(OR($Q42=1,$Q42=2),1,0),IF($X42&lt;=20,1,0))</formula>
    </cfRule>
    <cfRule type="expression" dxfId="6060" priority="2486">
      <formula>AND(IF($Q42=2,1,0),IF($X42&lt;30,1,0))</formula>
    </cfRule>
    <cfRule type="expression" dxfId="6059" priority="2487">
      <formula>AND(IF($Q42=3,1,0),IF($X42&lt;30,1,0))</formula>
    </cfRule>
    <cfRule type="expression" dxfId="6058" priority="2488">
      <formula>AND(IF($Q42=3,1,IF($Q42=4,1,0)),IF($F42&lt;=85,1,0))</formula>
    </cfRule>
  </conditionalFormatting>
  <conditionalFormatting sqref="AV43">
    <cfRule type="expression" dxfId="6057" priority="2483">
      <formula>AV43="X"</formula>
    </cfRule>
    <cfRule type="expression" dxfId="6056" priority="2484">
      <formula>AV43="후보"</formula>
    </cfRule>
  </conditionalFormatting>
  <conditionalFormatting sqref="AC43">
    <cfRule type="cellIs" dxfId="6055" priority="2481" operator="greaterThan">
      <formula>0.9</formula>
    </cfRule>
    <cfRule type="cellIs" dxfId="6054" priority="2482" operator="greaterThan">
      <formula>0.85</formula>
    </cfRule>
  </conditionalFormatting>
  <conditionalFormatting sqref="N43">
    <cfRule type="cellIs" dxfId="6053" priority="2479" operator="greaterThan">
      <formula>0.9</formula>
    </cfRule>
    <cfRule type="cellIs" dxfId="6052" priority="2480" operator="greaterThan">
      <formula>0.85</formula>
    </cfRule>
  </conditionalFormatting>
  <conditionalFormatting sqref="E43">
    <cfRule type="expression" dxfId="6051" priority="2475">
      <formula>AND(IF(OR($Q43=1,$Q43=2),1,0),IF($X43&lt;=20,1,0))</formula>
    </cfRule>
    <cfRule type="expression" dxfId="6050" priority="2476">
      <formula>AND(IF($Q43=2,1,0),IF($X43&lt;30,1,0))</formula>
    </cfRule>
    <cfRule type="expression" dxfId="6049" priority="2477">
      <formula>AND(IF($Q43=3,1,0),IF($X43&lt;30,1,0))</formula>
    </cfRule>
    <cfRule type="expression" dxfId="6048" priority="2478">
      <formula>AND(IF($Q43=3,1,IF($Q43=4,1,0)),IF($F43&lt;=85,1,0))</formula>
    </cfRule>
  </conditionalFormatting>
  <conditionalFormatting sqref="X43">
    <cfRule type="expression" dxfId="6047" priority="2471">
      <formula>AND(IF(OR($Q43=1,$Q43=2),1,0),IF($X43&lt;=20,1,0))</formula>
    </cfRule>
    <cfRule type="expression" dxfId="6046" priority="2472">
      <formula>AND(IF($Q43=2,1,0),IF($X43&lt;30,1,0))</formula>
    </cfRule>
    <cfRule type="expression" dxfId="6045" priority="2473">
      <formula>AND(IF($Q43=3,1,0),IF($X43&lt;30,1,0))</formula>
    </cfRule>
    <cfRule type="expression" dxfId="6044" priority="2474">
      <formula>AND(IF($Q43=3,1,IF($Q43=4,1,0)),IF($F43&lt;=85,1,0))</formula>
    </cfRule>
  </conditionalFormatting>
  <conditionalFormatting sqref="AI43">
    <cfRule type="expression" dxfId="6043" priority="2467">
      <formula>AND(IF(OR($Q43=1,$Q43=2),1,0),IF($X43&lt;=20,1,0))</formula>
    </cfRule>
    <cfRule type="expression" dxfId="6042" priority="2468">
      <formula>AND(IF($Q43=2,1,0),IF($X43&lt;30,1,0))</formula>
    </cfRule>
    <cfRule type="expression" dxfId="6041" priority="2469">
      <formula>AND(IF($Q43=3,1,0),IF($X43&lt;30,1,0))</formula>
    </cfRule>
    <cfRule type="expression" dxfId="6040" priority="2470">
      <formula>AND(IF($Q43=3,1,IF($Q43=4,1,0)),IF($F43&lt;=85,1,0))</formula>
    </cfRule>
  </conditionalFormatting>
  <conditionalFormatting sqref="AV44">
    <cfRule type="expression" dxfId="6039" priority="2465">
      <formula>AV44="X"</formula>
    </cfRule>
    <cfRule type="expression" dxfId="6038" priority="2466">
      <formula>AV44="후보"</formula>
    </cfRule>
  </conditionalFormatting>
  <conditionalFormatting sqref="AC44">
    <cfRule type="cellIs" dxfId="6037" priority="2463" operator="greaterThan">
      <formula>0.9</formula>
    </cfRule>
    <cfRule type="cellIs" dxfId="6036" priority="2464" operator="greaterThan">
      <formula>0.85</formula>
    </cfRule>
  </conditionalFormatting>
  <conditionalFormatting sqref="N44">
    <cfRule type="cellIs" dxfId="6035" priority="2461" operator="greaterThan">
      <formula>0.9</formula>
    </cfRule>
    <cfRule type="cellIs" dxfId="6034" priority="2462" operator="greaterThan">
      <formula>0.85</formula>
    </cfRule>
  </conditionalFormatting>
  <conditionalFormatting sqref="E44">
    <cfRule type="expression" dxfId="6033" priority="2457">
      <formula>AND(IF(OR($Q44=1,$Q44=2),1,0),IF($X44&lt;=20,1,0))</formula>
    </cfRule>
    <cfRule type="expression" dxfId="6032" priority="2458">
      <formula>AND(IF($Q44=2,1,0),IF($X44&lt;30,1,0))</formula>
    </cfRule>
    <cfRule type="expression" dxfId="6031" priority="2459">
      <formula>AND(IF($Q44=3,1,0),IF($X44&lt;30,1,0))</formula>
    </cfRule>
    <cfRule type="expression" dxfId="6030" priority="2460">
      <formula>AND(IF($Q44=3,1,IF($Q44=4,1,0)),IF($F44&lt;=85,1,0))</formula>
    </cfRule>
  </conditionalFormatting>
  <conditionalFormatting sqref="X44">
    <cfRule type="expression" dxfId="6029" priority="2453">
      <formula>AND(IF(OR($Q44=1,$Q44=2),1,0),IF($X44&lt;=20,1,0))</formula>
    </cfRule>
    <cfRule type="expression" dxfId="6028" priority="2454">
      <formula>AND(IF($Q44=2,1,0),IF($X44&lt;30,1,0))</formula>
    </cfRule>
    <cfRule type="expression" dxfId="6027" priority="2455">
      <formula>AND(IF($Q44=3,1,0),IF($X44&lt;30,1,0))</formula>
    </cfRule>
    <cfRule type="expression" dxfId="6026" priority="2456">
      <formula>AND(IF($Q44=3,1,IF($Q44=4,1,0)),IF($F44&lt;=85,1,0))</formula>
    </cfRule>
  </conditionalFormatting>
  <conditionalFormatting sqref="AI44">
    <cfRule type="expression" dxfId="6025" priority="2449">
      <formula>AND(IF(OR($Q44=1,$Q44=2),1,0),IF($X44&lt;=20,1,0))</formula>
    </cfRule>
    <cfRule type="expression" dxfId="6024" priority="2450">
      <formula>AND(IF($Q44=2,1,0),IF($X44&lt;30,1,0))</formula>
    </cfRule>
    <cfRule type="expression" dxfId="6023" priority="2451">
      <formula>AND(IF($Q44=3,1,0),IF($X44&lt;30,1,0))</formula>
    </cfRule>
    <cfRule type="expression" dxfId="6022" priority="2452">
      <formula>AND(IF($Q44=3,1,IF($Q44=4,1,0)),IF($F44&lt;=85,1,0))</formula>
    </cfRule>
  </conditionalFormatting>
  <conditionalFormatting sqref="AV45">
    <cfRule type="expression" dxfId="6021" priority="2447">
      <formula>AV45="X"</formula>
    </cfRule>
    <cfRule type="expression" dxfId="6020" priority="2448">
      <formula>AV45="후보"</formula>
    </cfRule>
  </conditionalFormatting>
  <conditionalFormatting sqref="AC45">
    <cfRule type="cellIs" dxfId="6019" priority="2445" operator="greaterThan">
      <formula>0.9</formula>
    </cfRule>
    <cfRule type="cellIs" dxfId="6018" priority="2446" operator="greaterThan">
      <formula>0.85</formula>
    </cfRule>
  </conditionalFormatting>
  <conditionalFormatting sqref="N45">
    <cfRule type="cellIs" dxfId="6017" priority="2443" operator="greaterThan">
      <formula>0.9</formula>
    </cfRule>
    <cfRule type="cellIs" dxfId="6016" priority="2444" operator="greaterThan">
      <formula>0.85</formula>
    </cfRule>
  </conditionalFormatting>
  <conditionalFormatting sqref="E45">
    <cfRule type="expression" dxfId="6015" priority="2439">
      <formula>AND(IF(OR($Q45=1,$Q45=2),1,0),IF($X45&lt;=20,1,0))</formula>
    </cfRule>
    <cfRule type="expression" dxfId="6014" priority="2440">
      <formula>AND(IF($Q45=2,1,0),IF($X45&lt;30,1,0))</formula>
    </cfRule>
    <cfRule type="expression" dxfId="6013" priority="2441">
      <formula>AND(IF($Q45=3,1,0),IF($X45&lt;30,1,0))</formula>
    </cfRule>
    <cfRule type="expression" dxfId="6012" priority="2442">
      <formula>AND(IF($Q45=3,1,IF($Q45=4,1,0)),IF($F45&lt;=85,1,0))</formula>
    </cfRule>
  </conditionalFormatting>
  <conditionalFormatting sqref="X45">
    <cfRule type="expression" dxfId="6011" priority="2435">
      <formula>AND(IF(OR($Q45=1,$Q45=2),1,0),IF($X45&lt;=20,1,0))</formula>
    </cfRule>
    <cfRule type="expression" dxfId="6010" priority="2436">
      <formula>AND(IF($Q45=2,1,0),IF($X45&lt;30,1,0))</formula>
    </cfRule>
    <cfRule type="expression" dxfId="6009" priority="2437">
      <formula>AND(IF($Q45=3,1,0),IF($X45&lt;30,1,0))</formula>
    </cfRule>
    <cfRule type="expression" dxfId="6008" priority="2438">
      <formula>AND(IF($Q45=3,1,IF($Q45=4,1,0)),IF($F45&lt;=85,1,0))</formula>
    </cfRule>
  </conditionalFormatting>
  <conditionalFormatting sqref="AI45">
    <cfRule type="expression" dxfId="6007" priority="2431">
      <formula>AND(IF(OR($Q45=1,$Q45=2),1,0),IF($X45&lt;=20,1,0))</formula>
    </cfRule>
    <cfRule type="expression" dxfId="6006" priority="2432">
      <formula>AND(IF($Q45=2,1,0),IF($X45&lt;30,1,0))</formula>
    </cfRule>
    <cfRule type="expression" dxfId="6005" priority="2433">
      <formula>AND(IF($Q45=3,1,0),IF($X45&lt;30,1,0))</formula>
    </cfRule>
    <cfRule type="expression" dxfId="6004" priority="2434">
      <formula>AND(IF($Q45=3,1,IF($Q45=4,1,0)),IF($F45&lt;=85,1,0))</formula>
    </cfRule>
  </conditionalFormatting>
  <conditionalFormatting sqref="AV46">
    <cfRule type="expression" dxfId="6003" priority="2429">
      <formula>AV46="X"</formula>
    </cfRule>
    <cfRule type="expression" dxfId="6002" priority="2430">
      <formula>AV46="후보"</formula>
    </cfRule>
  </conditionalFormatting>
  <conditionalFormatting sqref="AC46">
    <cfRule type="cellIs" dxfId="6001" priority="2427" operator="greaterThan">
      <formula>0.9</formula>
    </cfRule>
    <cfRule type="cellIs" dxfId="6000" priority="2428" operator="greaterThan">
      <formula>0.85</formula>
    </cfRule>
  </conditionalFormatting>
  <conditionalFormatting sqref="N46">
    <cfRule type="cellIs" dxfId="5999" priority="2425" operator="greaterThan">
      <formula>0.9</formula>
    </cfRule>
    <cfRule type="cellIs" dxfId="5998" priority="2426" operator="greaterThan">
      <formula>0.85</formula>
    </cfRule>
  </conditionalFormatting>
  <conditionalFormatting sqref="E46">
    <cfRule type="expression" dxfId="5997" priority="2421">
      <formula>AND(IF(OR($Q46=1,$Q46=2),1,0),IF($X46&lt;=20,1,0))</formula>
    </cfRule>
    <cfRule type="expression" dxfId="5996" priority="2422">
      <formula>AND(IF($Q46=2,1,0),IF($X46&lt;30,1,0))</formula>
    </cfRule>
    <cfRule type="expression" dxfId="5995" priority="2423">
      <formula>AND(IF($Q46=3,1,0),IF($X46&lt;30,1,0))</formula>
    </cfRule>
    <cfRule type="expression" dxfId="5994" priority="2424">
      <formula>AND(IF($Q46=3,1,IF($Q46=4,1,0)),IF($F46&lt;=85,1,0))</formula>
    </cfRule>
  </conditionalFormatting>
  <conditionalFormatting sqref="X46">
    <cfRule type="expression" dxfId="5993" priority="2417">
      <formula>AND(IF(OR($Q46=1,$Q46=2),1,0),IF($X46&lt;=20,1,0))</formula>
    </cfRule>
    <cfRule type="expression" dxfId="5992" priority="2418">
      <formula>AND(IF($Q46=2,1,0),IF($X46&lt;30,1,0))</formula>
    </cfRule>
    <cfRule type="expression" dxfId="5991" priority="2419">
      <formula>AND(IF($Q46=3,1,0),IF($X46&lt;30,1,0))</formula>
    </cfRule>
    <cfRule type="expression" dxfId="5990" priority="2420">
      <formula>AND(IF($Q46=3,1,IF($Q46=4,1,0)),IF($F46&lt;=85,1,0))</formula>
    </cfRule>
  </conditionalFormatting>
  <conditionalFormatting sqref="AI46">
    <cfRule type="expression" dxfId="5989" priority="2413">
      <formula>AND(IF(OR($Q46=1,$Q46=2),1,0),IF($X46&lt;=20,1,0))</formula>
    </cfRule>
    <cfRule type="expression" dxfId="5988" priority="2414">
      <formula>AND(IF($Q46=2,1,0),IF($X46&lt;30,1,0))</formula>
    </cfRule>
    <cfRule type="expression" dxfId="5987" priority="2415">
      <formula>AND(IF($Q46=3,1,0),IF($X46&lt;30,1,0))</formula>
    </cfRule>
    <cfRule type="expression" dxfId="5986" priority="2416">
      <formula>AND(IF($Q46=3,1,IF($Q46=4,1,0)),IF($F46&lt;=85,1,0))</formula>
    </cfRule>
  </conditionalFormatting>
  <conditionalFormatting sqref="AV47">
    <cfRule type="expression" dxfId="5985" priority="2411">
      <formula>AV47="X"</formula>
    </cfRule>
    <cfRule type="expression" dxfId="5984" priority="2412">
      <formula>AV47="후보"</formula>
    </cfRule>
  </conditionalFormatting>
  <conditionalFormatting sqref="AC47">
    <cfRule type="cellIs" dxfId="5983" priority="2409" operator="greaterThan">
      <formula>0.9</formula>
    </cfRule>
    <cfRule type="cellIs" dxfId="5982" priority="2410" operator="greaterThan">
      <formula>0.85</formula>
    </cfRule>
  </conditionalFormatting>
  <conditionalFormatting sqref="N47">
    <cfRule type="cellIs" dxfId="5981" priority="2407" operator="greaterThan">
      <formula>0.9</formula>
    </cfRule>
    <cfRule type="cellIs" dxfId="5980" priority="2408" operator="greaterThan">
      <formula>0.85</formula>
    </cfRule>
  </conditionalFormatting>
  <conditionalFormatting sqref="E47">
    <cfRule type="expression" dxfId="5979" priority="2403">
      <formula>AND(IF(OR($Q47=1,$Q47=2),1,0),IF($X47&lt;=20,1,0))</formula>
    </cfRule>
    <cfRule type="expression" dxfId="5978" priority="2404">
      <formula>AND(IF($Q47=2,1,0),IF($X47&lt;30,1,0))</formula>
    </cfRule>
    <cfRule type="expression" dxfId="5977" priority="2405">
      <formula>AND(IF($Q47=3,1,0),IF($X47&lt;30,1,0))</formula>
    </cfRule>
    <cfRule type="expression" dxfId="5976" priority="2406">
      <formula>AND(IF($Q47=3,1,IF($Q47=4,1,0)),IF($F47&lt;=85,1,0))</formula>
    </cfRule>
  </conditionalFormatting>
  <conditionalFormatting sqref="X47">
    <cfRule type="expression" dxfId="5975" priority="2399">
      <formula>AND(IF(OR($Q47=1,$Q47=2),1,0),IF($X47&lt;=20,1,0))</formula>
    </cfRule>
    <cfRule type="expression" dxfId="5974" priority="2400">
      <formula>AND(IF($Q47=2,1,0),IF($X47&lt;30,1,0))</formula>
    </cfRule>
    <cfRule type="expression" dxfId="5973" priority="2401">
      <formula>AND(IF($Q47=3,1,0),IF($X47&lt;30,1,0))</formula>
    </cfRule>
    <cfRule type="expression" dxfId="5972" priority="2402">
      <formula>AND(IF($Q47=3,1,IF($Q47=4,1,0)),IF($F47&lt;=85,1,0))</formula>
    </cfRule>
  </conditionalFormatting>
  <conditionalFormatting sqref="AI47">
    <cfRule type="expression" dxfId="5971" priority="2395">
      <formula>AND(IF(OR($Q47=1,$Q47=2),1,0),IF($X47&lt;=20,1,0))</formula>
    </cfRule>
    <cfRule type="expression" dxfId="5970" priority="2396">
      <formula>AND(IF($Q47=2,1,0),IF($X47&lt;30,1,0))</formula>
    </cfRule>
    <cfRule type="expression" dxfId="5969" priority="2397">
      <formula>AND(IF($Q47=3,1,0),IF($X47&lt;30,1,0))</formula>
    </cfRule>
    <cfRule type="expression" dxfId="5968" priority="2398">
      <formula>AND(IF($Q47=3,1,IF($Q47=4,1,0)),IF($F47&lt;=85,1,0))</formula>
    </cfRule>
  </conditionalFormatting>
  <conditionalFormatting sqref="AV48">
    <cfRule type="expression" dxfId="5967" priority="2393">
      <formula>AV48="X"</formula>
    </cfRule>
    <cfRule type="expression" dxfId="5966" priority="2394">
      <formula>AV48="후보"</formula>
    </cfRule>
  </conditionalFormatting>
  <conditionalFormatting sqref="AC48">
    <cfRule type="cellIs" dxfId="5965" priority="2391" operator="greaterThan">
      <formula>0.9</formula>
    </cfRule>
    <cfRule type="cellIs" dxfId="5964" priority="2392" operator="greaterThan">
      <formula>0.85</formula>
    </cfRule>
  </conditionalFormatting>
  <conditionalFormatting sqref="N48">
    <cfRule type="cellIs" dxfId="5963" priority="2389" operator="greaterThan">
      <formula>0.9</formula>
    </cfRule>
    <cfRule type="cellIs" dxfId="5962" priority="2390" operator="greaterThan">
      <formula>0.85</formula>
    </cfRule>
  </conditionalFormatting>
  <conditionalFormatting sqref="E48">
    <cfRule type="expression" dxfId="5961" priority="2385">
      <formula>AND(IF(OR($Q48=1,$Q48=2),1,0),IF($X48&lt;=20,1,0))</formula>
    </cfRule>
    <cfRule type="expression" dxfId="5960" priority="2386">
      <formula>AND(IF($Q48=2,1,0),IF($X48&lt;30,1,0))</formula>
    </cfRule>
    <cfRule type="expression" dxfId="5959" priority="2387">
      <formula>AND(IF($Q48=3,1,0),IF($X48&lt;30,1,0))</formula>
    </cfRule>
    <cfRule type="expression" dxfId="5958" priority="2388">
      <formula>AND(IF($Q48=3,1,IF($Q48=4,1,0)),IF($F48&lt;=85,1,0))</formula>
    </cfRule>
  </conditionalFormatting>
  <conditionalFormatting sqref="X48">
    <cfRule type="expression" dxfId="5957" priority="2381">
      <formula>AND(IF(OR($Q48=1,$Q48=2),1,0),IF($X48&lt;=20,1,0))</formula>
    </cfRule>
    <cfRule type="expression" dxfId="5956" priority="2382">
      <formula>AND(IF($Q48=2,1,0),IF($X48&lt;30,1,0))</formula>
    </cfRule>
    <cfRule type="expression" dxfId="5955" priority="2383">
      <formula>AND(IF($Q48=3,1,0),IF($X48&lt;30,1,0))</formula>
    </cfRule>
    <cfRule type="expression" dxfId="5954" priority="2384">
      <formula>AND(IF($Q48=3,1,IF($Q48=4,1,0)),IF($F48&lt;=85,1,0))</formula>
    </cfRule>
  </conditionalFormatting>
  <conditionalFormatting sqref="AI48">
    <cfRule type="expression" dxfId="5953" priority="2377">
      <formula>AND(IF(OR($Q48=1,$Q48=2),1,0),IF($X48&lt;=20,1,0))</formula>
    </cfRule>
    <cfRule type="expression" dxfId="5952" priority="2378">
      <formula>AND(IF($Q48=2,1,0),IF($X48&lt;30,1,0))</formula>
    </cfRule>
    <cfRule type="expression" dxfId="5951" priority="2379">
      <formula>AND(IF($Q48=3,1,0),IF($X48&lt;30,1,0))</formula>
    </cfRule>
    <cfRule type="expression" dxfId="5950" priority="2380">
      <formula>AND(IF($Q48=3,1,IF($Q48=4,1,0)),IF($F48&lt;=85,1,0))</formula>
    </cfRule>
  </conditionalFormatting>
  <conditionalFormatting sqref="AV49">
    <cfRule type="expression" dxfId="5949" priority="2375">
      <formula>AV49="X"</formula>
    </cfRule>
    <cfRule type="expression" dxfId="5948" priority="2376">
      <formula>AV49="후보"</formula>
    </cfRule>
  </conditionalFormatting>
  <conditionalFormatting sqref="AC49">
    <cfRule type="cellIs" dxfId="5947" priority="2373" operator="greaterThan">
      <formula>0.9</formula>
    </cfRule>
    <cfRule type="cellIs" dxfId="5946" priority="2374" operator="greaterThan">
      <formula>0.85</formula>
    </cfRule>
  </conditionalFormatting>
  <conditionalFormatting sqref="N49">
    <cfRule type="cellIs" dxfId="5945" priority="2371" operator="greaterThan">
      <formula>0.9</formula>
    </cfRule>
    <cfRule type="cellIs" dxfId="5944" priority="2372" operator="greaterThan">
      <formula>0.85</formula>
    </cfRule>
  </conditionalFormatting>
  <conditionalFormatting sqref="E49">
    <cfRule type="expression" dxfId="5943" priority="2367">
      <formula>AND(IF(OR($Q49=1,$Q49=2),1,0),IF($X49&lt;=20,1,0))</formula>
    </cfRule>
    <cfRule type="expression" dxfId="5942" priority="2368">
      <formula>AND(IF($Q49=2,1,0),IF($X49&lt;30,1,0))</formula>
    </cfRule>
    <cfRule type="expression" dxfId="5941" priority="2369">
      <formula>AND(IF($Q49=3,1,0),IF($X49&lt;30,1,0))</formula>
    </cfRule>
    <cfRule type="expression" dxfId="5940" priority="2370">
      <formula>AND(IF($Q49=3,1,IF($Q49=4,1,0)),IF($F49&lt;=85,1,0))</formula>
    </cfRule>
  </conditionalFormatting>
  <conditionalFormatting sqref="X49">
    <cfRule type="expression" dxfId="5939" priority="2363">
      <formula>AND(IF(OR($Q49=1,$Q49=2),1,0),IF($X49&lt;=20,1,0))</formula>
    </cfRule>
    <cfRule type="expression" dxfId="5938" priority="2364">
      <formula>AND(IF($Q49=2,1,0),IF($X49&lt;30,1,0))</formula>
    </cfRule>
    <cfRule type="expression" dxfId="5937" priority="2365">
      <formula>AND(IF($Q49=3,1,0),IF($X49&lt;30,1,0))</formula>
    </cfRule>
    <cfRule type="expression" dxfId="5936" priority="2366">
      <formula>AND(IF($Q49=3,1,IF($Q49=4,1,0)),IF($F49&lt;=85,1,0))</formula>
    </cfRule>
  </conditionalFormatting>
  <conditionalFormatting sqref="AI49">
    <cfRule type="expression" dxfId="5935" priority="2359">
      <formula>AND(IF(OR($Q49=1,$Q49=2),1,0),IF($X49&lt;=20,1,0))</formula>
    </cfRule>
    <cfRule type="expression" dxfId="5934" priority="2360">
      <formula>AND(IF($Q49=2,1,0),IF($X49&lt;30,1,0))</formula>
    </cfRule>
    <cfRule type="expression" dxfId="5933" priority="2361">
      <formula>AND(IF($Q49=3,1,0),IF($X49&lt;30,1,0))</formula>
    </cfRule>
    <cfRule type="expression" dxfId="5932" priority="2362">
      <formula>AND(IF($Q49=3,1,IF($Q49=4,1,0)),IF($F49&lt;=85,1,0))</formula>
    </cfRule>
  </conditionalFormatting>
  <conditionalFormatting sqref="AV50">
    <cfRule type="expression" dxfId="5931" priority="2357">
      <formula>AV50="X"</formula>
    </cfRule>
    <cfRule type="expression" dxfId="5930" priority="2358">
      <formula>AV50="후보"</formula>
    </cfRule>
  </conditionalFormatting>
  <conditionalFormatting sqref="AC50">
    <cfRule type="cellIs" dxfId="5929" priority="2355" operator="greaterThan">
      <formula>0.9</formula>
    </cfRule>
    <cfRule type="cellIs" dxfId="5928" priority="2356" operator="greaterThan">
      <formula>0.85</formula>
    </cfRule>
  </conditionalFormatting>
  <conditionalFormatting sqref="N50">
    <cfRule type="cellIs" dxfId="5927" priority="2353" operator="greaterThan">
      <formula>0.9</formula>
    </cfRule>
    <cfRule type="cellIs" dxfId="5926" priority="2354" operator="greaterThan">
      <formula>0.85</formula>
    </cfRule>
  </conditionalFormatting>
  <conditionalFormatting sqref="E50">
    <cfRule type="expression" dxfId="5925" priority="2349">
      <formula>AND(IF(OR($Q50=1,$Q50=2),1,0),IF($X50&lt;=20,1,0))</formula>
    </cfRule>
    <cfRule type="expression" dxfId="5924" priority="2350">
      <formula>AND(IF($Q50=2,1,0),IF($X50&lt;30,1,0))</formula>
    </cfRule>
    <cfRule type="expression" dxfId="5923" priority="2351">
      <formula>AND(IF($Q50=3,1,0),IF($X50&lt;30,1,0))</formula>
    </cfRule>
    <cfRule type="expression" dxfId="5922" priority="2352">
      <formula>AND(IF($Q50=3,1,IF($Q50=4,1,0)),IF($F50&lt;=85,1,0))</formula>
    </cfRule>
  </conditionalFormatting>
  <conditionalFormatting sqref="X50">
    <cfRule type="expression" dxfId="5921" priority="2345">
      <formula>AND(IF(OR($Q50=1,$Q50=2),1,0),IF($X50&lt;=20,1,0))</formula>
    </cfRule>
    <cfRule type="expression" dxfId="5920" priority="2346">
      <formula>AND(IF($Q50=2,1,0),IF($X50&lt;30,1,0))</formula>
    </cfRule>
    <cfRule type="expression" dxfId="5919" priority="2347">
      <formula>AND(IF($Q50=3,1,0),IF($X50&lt;30,1,0))</formula>
    </cfRule>
    <cfRule type="expression" dxfId="5918" priority="2348">
      <formula>AND(IF($Q50=3,1,IF($Q50=4,1,0)),IF($F50&lt;=85,1,0))</formula>
    </cfRule>
  </conditionalFormatting>
  <conditionalFormatting sqref="AI50">
    <cfRule type="expression" dxfId="5917" priority="2341">
      <formula>AND(IF(OR($Q50=1,$Q50=2),1,0),IF($X50&lt;=20,1,0))</formula>
    </cfRule>
    <cfRule type="expression" dxfId="5916" priority="2342">
      <formula>AND(IF($Q50=2,1,0),IF($X50&lt;30,1,0))</formula>
    </cfRule>
    <cfRule type="expression" dxfId="5915" priority="2343">
      <formula>AND(IF($Q50=3,1,0),IF($X50&lt;30,1,0))</formula>
    </cfRule>
    <cfRule type="expression" dxfId="5914" priority="2344">
      <formula>AND(IF($Q50=3,1,IF($Q50=4,1,0)),IF($F50&lt;=85,1,0))</formula>
    </cfRule>
  </conditionalFormatting>
  <conditionalFormatting sqref="AV51">
    <cfRule type="expression" dxfId="5913" priority="2339">
      <formula>AV51="X"</formula>
    </cfRule>
    <cfRule type="expression" dxfId="5912" priority="2340">
      <formula>AV51="후보"</formula>
    </cfRule>
  </conditionalFormatting>
  <conditionalFormatting sqref="AC51">
    <cfRule type="cellIs" dxfId="5911" priority="2337" operator="greaterThan">
      <formula>0.9</formula>
    </cfRule>
    <cfRule type="cellIs" dxfId="5910" priority="2338" operator="greaterThan">
      <formula>0.85</formula>
    </cfRule>
  </conditionalFormatting>
  <conditionalFormatting sqref="N51">
    <cfRule type="cellIs" dxfId="5909" priority="2335" operator="greaterThan">
      <formula>0.9</formula>
    </cfRule>
    <cfRule type="cellIs" dxfId="5908" priority="2336" operator="greaterThan">
      <formula>0.85</formula>
    </cfRule>
  </conditionalFormatting>
  <conditionalFormatting sqref="E51">
    <cfRule type="expression" dxfId="5907" priority="2331">
      <formula>AND(IF(OR($Q51=1,$Q51=2),1,0),IF($X51&lt;=20,1,0))</formula>
    </cfRule>
    <cfRule type="expression" dxfId="5906" priority="2332">
      <formula>AND(IF($Q51=2,1,0),IF($X51&lt;30,1,0))</formula>
    </cfRule>
    <cfRule type="expression" dxfId="5905" priority="2333">
      <formula>AND(IF($Q51=3,1,0),IF($X51&lt;30,1,0))</formula>
    </cfRule>
    <cfRule type="expression" dxfId="5904" priority="2334">
      <formula>AND(IF($Q51=3,1,IF($Q51=4,1,0)),IF($F51&lt;=85,1,0))</formula>
    </cfRule>
  </conditionalFormatting>
  <conditionalFormatting sqref="X51">
    <cfRule type="expression" dxfId="5903" priority="2327">
      <formula>AND(IF(OR($Q51=1,$Q51=2),1,0),IF($X51&lt;=20,1,0))</formula>
    </cfRule>
    <cfRule type="expression" dxfId="5902" priority="2328">
      <formula>AND(IF($Q51=2,1,0),IF($X51&lt;30,1,0))</formula>
    </cfRule>
    <cfRule type="expression" dxfId="5901" priority="2329">
      <formula>AND(IF($Q51=3,1,0),IF($X51&lt;30,1,0))</formula>
    </cfRule>
    <cfRule type="expression" dxfId="5900" priority="2330">
      <formula>AND(IF($Q51=3,1,IF($Q51=4,1,0)),IF($F51&lt;=85,1,0))</formula>
    </cfRule>
  </conditionalFormatting>
  <conditionalFormatting sqref="AI51">
    <cfRule type="expression" dxfId="5899" priority="2323">
      <formula>AND(IF(OR($Q51=1,$Q51=2),1,0),IF($X51&lt;=20,1,0))</formula>
    </cfRule>
    <cfRule type="expression" dxfId="5898" priority="2324">
      <formula>AND(IF($Q51=2,1,0),IF($X51&lt;30,1,0))</formula>
    </cfRule>
    <cfRule type="expression" dxfId="5897" priority="2325">
      <formula>AND(IF($Q51=3,1,0),IF($X51&lt;30,1,0))</formula>
    </cfRule>
    <cfRule type="expression" dxfId="5896" priority="2326">
      <formula>AND(IF($Q51=3,1,IF($Q51=4,1,0)),IF($F51&lt;=85,1,0))</formula>
    </cfRule>
  </conditionalFormatting>
  <conditionalFormatting sqref="AV52">
    <cfRule type="expression" dxfId="5895" priority="2321">
      <formula>AV52="X"</formula>
    </cfRule>
    <cfRule type="expression" dxfId="5894" priority="2322">
      <formula>AV52="후보"</formula>
    </cfRule>
  </conditionalFormatting>
  <conditionalFormatting sqref="AC52">
    <cfRule type="cellIs" dxfId="5893" priority="2319" operator="greaterThan">
      <formula>0.9</formula>
    </cfRule>
    <cfRule type="cellIs" dxfId="5892" priority="2320" operator="greaterThan">
      <formula>0.85</formula>
    </cfRule>
  </conditionalFormatting>
  <conditionalFormatting sqref="N52">
    <cfRule type="cellIs" dxfId="5891" priority="2317" operator="greaterThan">
      <formula>0.9</formula>
    </cfRule>
    <cfRule type="cellIs" dxfId="5890" priority="2318" operator="greaterThan">
      <formula>0.85</formula>
    </cfRule>
  </conditionalFormatting>
  <conditionalFormatting sqref="E52">
    <cfRule type="expression" dxfId="5889" priority="2313">
      <formula>AND(IF(OR($Q52=1,$Q52=2),1,0),IF($X52&lt;=20,1,0))</formula>
    </cfRule>
    <cfRule type="expression" dxfId="5888" priority="2314">
      <formula>AND(IF($Q52=2,1,0),IF($X52&lt;30,1,0))</formula>
    </cfRule>
    <cfRule type="expression" dxfId="5887" priority="2315">
      <formula>AND(IF($Q52=3,1,0),IF($X52&lt;30,1,0))</formula>
    </cfRule>
    <cfRule type="expression" dxfId="5886" priority="2316">
      <formula>AND(IF($Q52=3,1,IF($Q52=4,1,0)),IF($F52&lt;=85,1,0))</formula>
    </cfRule>
  </conditionalFormatting>
  <conditionalFormatting sqref="X52">
    <cfRule type="expression" dxfId="5885" priority="2309">
      <formula>AND(IF(OR($Q52=1,$Q52=2),1,0),IF($X52&lt;=20,1,0))</formula>
    </cfRule>
    <cfRule type="expression" dxfId="5884" priority="2310">
      <formula>AND(IF($Q52=2,1,0),IF($X52&lt;30,1,0))</formula>
    </cfRule>
    <cfRule type="expression" dxfId="5883" priority="2311">
      <formula>AND(IF($Q52=3,1,0),IF($X52&lt;30,1,0))</formula>
    </cfRule>
    <cfRule type="expression" dxfId="5882" priority="2312">
      <formula>AND(IF($Q52=3,1,IF($Q52=4,1,0)),IF($F52&lt;=85,1,0))</formula>
    </cfRule>
  </conditionalFormatting>
  <conditionalFormatting sqref="AI52">
    <cfRule type="expression" dxfId="5881" priority="2305">
      <formula>AND(IF(OR($Q52=1,$Q52=2),1,0),IF($X52&lt;=20,1,0))</formula>
    </cfRule>
    <cfRule type="expression" dxfId="5880" priority="2306">
      <formula>AND(IF($Q52=2,1,0),IF($X52&lt;30,1,0))</formula>
    </cfRule>
    <cfRule type="expression" dxfId="5879" priority="2307">
      <formula>AND(IF($Q52=3,1,0),IF($X52&lt;30,1,0))</formula>
    </cfRule>
    <cfRule type="expression" dxfId="5878" priority="2308">
      <formula>AND(IF($Q52=3,1,IF($Q52=4,1,0)),IF($F52&lt;=85,1,0))</formula>
    </cfRule>
  </conditionalFormatting>
  <conditionalFormatting sqref="AV53">
    <cfRule type="expression" dxfId="5877" priority="2303">
      <formula>AV53="X"</formula>
    </cfRule>
    <cfRule type="expression" dxfId="5876" priority="2304">
      <formula>AV53="후보"</formula>
    </cfRule>
  </conditionalFormatting>
  <conditionalFormatting sqref="AC53">
    <cfRule type="cellIs" dxfId="5875" priority="2301" operator="greaterThan">
      <formula>0.9</formula>
    </cfRule>
    <cfRule type="cellIs" dxfId="5874" priority="2302" operator="greaterThan">
      <formula>0.85</formula>
    </cfRule>
  </conditionalFormatting>
  <conditionalFormatting sqref="N53">
    <cfRule type="cellIs" dxfId="5873" priority="2299" operator="greaterThan">
      <formula>0.9</formula>
    </cfRule>
    <cfRule type="cellIs" dxfId="5872" priority="2300" operator="greaterThan">
      <formula>0.85</formula>
    </cfRule>
  </conditionalFormatting>
  <conditionalFormatting sqref="E53">
    <cfRule type="expression" dxfId="5871" priority="2295">
      <formula>AND(IF(OR($Q53=1,$Q53=2),1,0),IF($X53&lt;=20,1,0))</formula>
    </cfRule>
    <cfRule type="expression" dxfId="5870" priority="2296">
      <formula>AND(IF($Q53=2,1,0),IF($X53&lt;30,1,0))</formula>
    </cfRule>
    <cfRule type="expression" dxfId="5869" priority="2297">
      <formula>AND(IF($Q53=3,1,0),IF($X53&lt;30,1,0))</formula>
    </cfRule>
    <cfRule type="expression" dxfId="5868" priority="2298">
      <formula>AND(IF($Q53=3,1,IF($Q53=4,1,0)),IF($F53&lt;=85,1,0))</formula>
    </cfRule>
  </conditionalFormatting>
  <conditionalFormatting sqref="X53">
    <cfRule type="expression" dxfId="5867" priority="2291">
      <formula>AND(IF(OR($Q53=1,$Q53=2),1,0),IF($X53&lt;=20,1,0))</formula>
    </cfRule>
    <cfRule type="expression" dxfId="5866" priority="2292">
      <formula>AND(IF($Q53=2,1,0),IF($X53&lt;30,1,0))</formula>
    </cfRule>
    <cfRule type="expression" dxfId="5865" priority="2293">
      <formula>AND(IF($Q53=3,1,0),IF($X53&lt;30,1,0))</formula>
    </cfRule>
    <cfRule type="expression" dxfId="5864" priority="2294">
      <formula>AND(IF($Q53=3,1,IF($Q53=4,1,0)),IF($F53&lt;=85,1,0))</formula>
    </cfRule>
  </conditionalFormatting>
  <conditionalFormatting sqref="AI53">
    <cfRule type="expression" dxfId="5863" priority="2287">
      <formula>AND(IF(OR($Q53=1,$Q53=2),1,0),IF($X53&lt;=20,1,0))</formula>
    </cfRule>
    <cfRule type="expression" dxfId="5862" priority="2288">
      <formula>AND(IF($Q53=2,1,0),IF($X53&lt;30,1,0))</formula>
    </cfRule>
    <cfRule type="expression" dxfId="5861" priority="2289">
      <formula>AND(IF($Q53=3,1,0),IF($X53&lt;30,1,0))</formula>
    </cfRule>
    <cfRule type="expression" dxfId="5860" priority="2290">
      <formula>AND(IF($Q53=3,1,IF($Q53=4,1,0)),IF($F53&lt;=85,1,0))</formula>
    </cfRule>
  </conditionalFormatting>
  <conditionalFormatting sqref="AV54">
    <cfRule type="expression" dxfId="5859" priority="2285">
      <formula>AV54="X"</formula>
    </cfRule>
    <cfRule type="expression" dxfId="5858" priority="2286">
      <formula>AV54="후보"</formula>
    </cfRule>
  </conditionalFormatting>
  <conditionalFormatting sqref="AC54">
    <cfRule type="cellIs" dxfId="5857" priority="2283" operator="greaterThan">
      <formula>0.9</formula>
    </cfRule>
    <cfRule type="cellIs" dxfId="5856" priority="2284" operator="greaterThan">
      <formula>0.85</formula>
    </cfRule>
  </conditionalFormatting>
  <conditionalFormatting sqref="N54">
    <cfRule type="cellIs" dxfId="5855" priority="2281" operator="greaterThan">
      <formula>0.9</formula>
    </cfRule>
    <cfRule type="cellIs" dxfId="5854" priority="2282" operator="greaterThan">
      <formula>0.85</formula>
    </cfRule>
  </conditionalFormatting>
  <conditionalFormatting sqref="E54">
    <cfRule type="expression" dxfId="5853" priority="2277">
      <formula>AND(IF(OR($Q54=1,$Q54=2),1,0),IF($X54&lt;=20,1,0))</formula>
    </cfRule>
    <cfRule type="expression" dxfId="5852" priority="2278">
      <formula>AND(IF($Q54=2,1,0),IF($X54&lt;30,1,0))</formula>
    </cfRule>
    <cfRule type="expression" dxfId="5851" priority="2279">
      <formula>AND(IF($Q54=3,1,0),IF($X54&lt;30,1,0))</formula>
    </cfRule>
    <cfRule type="expression" dxfId="5850" priority="2280">
      <formula>AND(IF($Q54=3,1,IF($Q54=4,1,0)),IF($F54&lt;=85,1,0))</formula>
    </cfRule>
  </conditionalFormatting>
  <conditionalFormatting sqref="X54">
    <cfRule type="expression" dxfId="5849" priority="2273">
      <formula>AND(IF(OR($Q54=1,$Q54=2),1,0),IF($X54&lt;=20,1,0))</formula>
    </cfRule>
    <cfRule type="expression" dxfId="5848" priority="2274">
      <formula>AND(IF($Q54=2,1,0),IF($X54&lt;30,1,0))</formula>
    </cfRule>
    <cfRule type="expression" dxfId="5847" priority="2275">
      <formula>AND(IF($Q54=3,1,0),IF($X54&lt;30,1,0))</formula>
    </cfRule>
    <cfRule type="expression" dxfId="5846" priority="2276">
      <formula>AND(IF($Q54=3,1,IF($Q54=4,1,0)),IF($F54&lt;=85,1,0))</formula>
    </cfRule>
  </conditionalFormatting>
  <conditionalFormatting sqref="AI54">
    <cfRule type="expression" dxfId="5845" priority="2269">
      <formula>AND(IF(OR($Q54=1,$Q54=2),1,0),IF($X54&lt;=20,1,0))</formula>
    </cfRule>
    <cfRule type="expression" dxfId="5844" priority="2270">
      <formula>AND(IF($Q54=2,1,0),IF($X54&lt;30,1,0))</formula>
    </cfRule>
    <cfRule type="expression" dxfId="5843" priority="2271">
      <formula>AND(IF($Q54=3,1,0),IF($X54&lt;30,1,0))</formula>
    </cfRule>
    <cfRule type="expression" dxfId="5842" priority="2272">
      <formula>AND(IF($Q54=3,1,IF($Q54=4,1,0)),IF($F54&lt;=85,1,0))</formula>
    </cfRule>
  </conditionalFormatting>
  <conditionalFormatting sqref="AV55">
    <cfRule type="expression" dxfId="5841" priority="2267">
      <formula>AV55="X"</formula>
    </cfRule>
    <cfRule type="expression" dxfId="5840" priority="2268">
      <formula>AV55="후보"</formula>
    </cfRule>
  </conditionalFormatting>
  <conditionalFormatting sqref="AC55">
    <cfRule type="cellIs" dxfId="5839" priority="2265" operator="greaterThan">
      <formula>0.9</formula>
    </cfRule>
    <cfRule type="cellIs" dxfId="5838" priority="2266" operator="greaterThan">
      <formula>0.85</formula>
    </cfRule>
  </conditionalFormatting>
  <conditionalFormatting sqref="N55">
    <cfRule type="cellIs" dxfId="5837" priority="2263" operator="greaterThan">
      <formula>0.9</formula>
    </cfRule>
    <cfRule type="cellIs" dxfId="5836" priority="2264" operator="greaterThan">
      <formula>0.85</formula>
    </cfRule>
  </conditionalFormatting>
  <conditionalFormatting sqref="E55">
    <cfRule type="expression" dxfId="5835" priority="2259">
      <formula>AND(IF(OR($Q55=1,$Q55=2),1,0),IF($X55&lt;=20,1,0))</formula>
    </cfRule>
    <cfRule type="expression" dxfId="5834" priority="2260">
      <formula>AND(IF($Q55=2,1,0),IF($X55&lt;30,1,0))</formula>
    </cfRule>
    <cfRule type="expression" dxfId="5833" priority="2261">
      <formula>AND(IF($Q55=3,1,0),IF($X55&lt;30,1,0))</formula>
    </cfRule>
    <cfRule type="expression" dxfId="5832" priority="2262">
      <formula>AND(IF($Q55=3,1,IF($Q55=4,1,0)),IF($F55&lt;=85,1,0))</formula>
    </cfRule>
  </conditionalFormatting>
  <conditionalFormatting sqref="X55">
    <cfRule type="expression" dxfId="5831" priority="2255">
      <formula>AND(IF(OR($Q55=1,$Q55=2),1,0),IF($X55&lt;=20,1,0))</formula>
    </cfRule>
    <cfRule type="expression" dxfId="5830" priority="2256">
      <formula>AND(IF($Q55=2,1,0),IF($X55&lt;30,1,0))</formula>
    </cfRule>
    <cfRule type="expression" dxfId="5829" priority="2257">
      <formula>AND(IF($Q55=3,1,0),IF($X55&lt;30,1,0))</formula>
    </cfRule>
    <cfRule type="expression" dxfId="5828" priority="2258">
      <formula>AND(IF($Q55=3,1,IF($Q55=4,1,0)),IF($F55&lt;=85,1,0))</formula>
    </cfRule>
  </conditionalFormatting>
  <conditionalFormatting sqref="AI55">
    <cfRule type="expression" dxfId="5827" priority="2251">
      <formula>AND(IF(OR($Q55=1,$Q55=2),1,0),IF($X55&lt;=20,1,0))</formula>
    </cfRule>
    <cfRule type="expression" dxfId="5826" priority="2252">
      <formula>AND(IF($Q55=2,1,0),IF($X55&lt;30,1,0))</formula>
    </cfRule>
    <cfRule type="expression" dxfId="5825" priority="2253">
      <formula>AND(IF($Q55=3,1,0),IF($X55&lt;30,1,0))</formula>
    </cfRule>
    <cfRule type="expression" dxfId="5824" priority="2254">
      <formula>AND(IF($Q55=3,1,IF($Q55=4,1,0)),IF($F55&lt;=85,1,0))</formula>
    </cfRule>
  </conditionalFormatting>
  <conditionalFormatting sqref="AV56">
    <cfRule type="expression" dxfId="5823" priority="2249">
      <formula>AV56="X"</formula>
    </cfRule>
    <cfRule type="expression" dxfId="5822" priority="2250">
      <formula>AV56="후보"</formula>
    </cfRule>
  </conditionalFormatting>
  <conditionalFormatting sqref="AC56">
    <cfRule type="cellIs" dxfId="5821" priority="2247" operator="greaterThan">
      <formula>0.9</formula>
    </cfRule>
    <cfRule type="cellIs" dxfId="5820" priority="2248" operator="greaterThan">
      <formula>0.85</formula>
    </cfRule>
  </conditionalFormatting>
  <conditionalFormatting sqref="N56">
    <cfRule type="cellIs" dxfId="5819" priority="2245" operator="greaterThan">
      <formula>0.9</formula>
    </cfRule>
    <cfRule type="cellIs" dxfId="5818" priority="2246" operator="greaterThan">
      <formula>0.85</formula>
    </cfRule>
  </conditionalFormatting>
  <conditionalFormatting sqref="E56">
    <cfRule type="expression" dxfId="5817" priority="2241">
      <formula>AND(IF(OR($Q56=1,$Q56=2),1,0),IF($X56&lt;=20,1,0))</formula>
    </cfRule>
    <cfRule type="expression" dxfId="5816" priority="2242">
      <formula>AND(IF($Q56=2,1,0),IF($X56&lt;30,1,0))</formula>
    </cfRule>
    <cfRule type="expression" dxfId="5815" priority="2243">
      <formula>AND(IF($Q56=3,1,0),IF($X56&lt;30,1,0))</formula>
    </cfRule>
    <cfRule type="expression" dxfId="5814" priority="2244">
      <formula>AND(IF($Q56=3,1,IF($Q56=4,1,0)),IF($F56&lt;=85,1,0))</formula>
    </cfRule>
  </conditionalFormatting>
  <conditionalFormatting sqref="X56">
    <cfRule type="expression" dxfId="5813" priority="2237">
      <formula>AND(IF(OR($Q56=1,$Q56=2),1,0),IF($X56&lt;=20,1,0))</formula>
    </cfRule>
    <cfRule type="expression" dxfId="5812" priority="2238">
      <formula>AND(IF($Q56=2,1,0),IF($X56&lt;30,1,0))</formula>
    </cfRule>
    <cfRule type="expression" dxfId="5811" priority="2239">
      <formula>AND(IF($Q56=3,1,0),IF($X56&lt;30,1,0))</formula>
    </cfRule>
    <cfRule type="expression" dxfId="5810" priority="2240">
      <formula>AND(IF($Q56=3,1,IF($Q56=4,1,0)),IF($F56&lt;=85,1,0))</formula>
    </cfRule>
  </conditionalFormatting>
  <conditionalFormatting sqref="AI56">
    <cfRule type="expression" dxfId="5809" priority="2233">
      <formula>AND(IF(OR($Q56=1,$Q56=2),1,0),IF($X56&lt;=20,1,0))</formula>
    </cfRule>
    <cfRule type="expression" dxfId="5808" priority="2234">
      <formula>AND(IF($Q56=2,1,0),IF($X56&lt;30,1,0))</formula>
    </cfRule>
    <cfRule type="expression" dxfId="5807" priority="2235">
      <formula>AND(IF($Q56=3,1,0),IF($X56&lt;30,1,0))</formula>
    </cfRule>
    <cfRule type="expression" dxfId="5806" priority="2236">
      <formula>AND(IF($Q56=3,1,IF($Q56=4,1,0)),IF($F56&lt;=85,1,0))</formula>
    </cfRule>
  </conditionalFormatting>
  <conditionalFormatting sqref="AV57">
    <cfRule type="expression" dxfId="5805" priority="2231">
      <formula>AV57="X"</formula>
    </cfRule>
    <cfRule type="expression" dxfId="5804" priority="2232">
      <formula>AV57="후보"</formula>
    </cfRule>
  </conditionalFormatting>
  <conditionalFormatting sqref="AC57">
    <cfRule type="cellIs" dxfId="5803" priority="2229" operator="greaterThan">
      <formula>0.9</formula>
    </cfRule>
    <cfRule type="cellIs" dxfId="5802" priority="2230" operator="greaterThan">
      <formula>0.85</formula>
    </cfRule>
  </conditionalFormatting>
  <conditionalFormatting sqref="N57">
    <cfRule type="cellIs" dxfId="5801" priority="2227" operator="greaterThan">
      <formula>0.9</formula>
    </cfRule>
    <cfRule type="cellIs" dxfId="5800" priority="2228" operator="greaterThan">
      <formula>0.85</formula>
    </cfRule>
  </conditionalFormatting>
  <conditionalFormatting sqref="E57">
    <cfRule type="expression" dxfId="5799" priority="2223">
      <formula>AND(IF(OR($Q57=1,$Q57=2),1,0),IF($X57&lt;=20,1,0))</formula>
    </cfRule>
    <cfRule type="expression" dxfId="5798" priority="2224">
      <formula>AND(IF($Q57=2,1,0),IF($X57&lt;30,1,0))</formula>
    </cfRule>
    <cfRule type="expression" dxfId="5797" priority="2225">
      <formula>AND(IF($Q57=3,1,0),IF($X57&lt;30,1,0))</formula>
    </cfRule>
    <cfRule type="expression" dxfId="5796" priority="2226">
      <formula>AND(IF($Q57=3,1,IF($Q57=4,1,0)),IF($F57&lt;=85,1,0))</formula>
    </cfRule>
  </conditionalFormatting>
  <conditionalFormatting sqref="X57">
    <cfRule type="expression" dxfId="5795" priority="2219">
      <formula>AND(IF(OR($Q57=1,$Q57=2),1,0),IF($X57&lt;=20,1,0))</formula>
    </cfRule>
    <cfRule type="expression" dxfId="5794" priority="2220">
      <formula>AND(IF($Q57=2,1,0),IF($X57&lt;30,1,0))</formula>
    </cfRule>
    <cfRule type="expression" dxfId="5793" priority="2221">
      <formula>AND(IF($Q57=3,1,0),IF($X57&lt;30,1,0))</formula>
    </cfRule>
    <cfRule type="expression" dxfId="5792" priority="2222">
      <formula>AND(IF($Q57=3,1,IF($Q57=4,1,0)),IF($F57&lt;=85,1,0))</formula>
    </cfRule>
  </conditionalFormatting>
  <conditionalFormatting sqref="AI57">
    <cfRule type="expression" dxfId="5791" priority="2215">
      <formula>AND(IF(OR($Q57=1,$Q57=2),1,0),IF($X57&lt;=20,1,0))</formula>
    </cfRule>
    <cfRule type="expression" dxfId="5790" priority="2216">
      <formula>AND(IF($Q57=2,1,0),IF($X57&lt;30,1,0))</formula>
    </cfRule>
    <cfRule type="expression" dxfId="5789" priority="2217">
      <formula>AND(IF($Q57=3,1,0),IF($X57&lt;30,1,0))</formula>
    </cfRule>
    <cfRule type="expression" dxfId="5788" priority="2218">
      <formula>AND(IF($Q57=3,1,IF($Q57=4,1,0)),IF($F57&lt;=85,1,0))</formula>
    </cfRule>
  </conditionalFormatting>
  <conditionalFormatting sqref="AV58">
    <cfRule type="expression" dxfId="5787" priority="2213">
      <formula>AV58="X"</formula>
    </cfRule>
    <cfRule type="expression" dxfId="5786" priority="2214">
      <formula>AV58="후보"</formula>
    </cfRule>
  </conditionalFormatting>
  <conditionalFormatting sqref="AC58">
    <cfRule type="cellIs" dxfId="5785" priority="2211" operator="greaterThan">
      <formula>0.9</formula>
    </cfRule>
    <cfRule type="cellIs" dxfId="5784" priority="2212" operator="greaterThan">
      <formula>0.85</formula>
    </cfRule>
  </conditionalFormatting>
  <conditionalFormatting sqref="N58">
    <cfRule type="cellIs" dxfId="5783" priority="2209" operator="greaterThan">
      <formula>0.9</formula>
    </cfRule>
    <cfRule type="cellIs" dxfId="5782" priority="2210" operator="greaterThan">
      <formula>0.85</formula>
    </cfRule>
  </conditionalFormatting>
  <conditionalFormatting sqref="E58">
    <cfRule type="expression" dxfId="5781" priority="2205">
      <formula>AND(IF(OR($Q58=1,$Q58=2),1,0),IF($X58&lt;=20,1,0))</formula>
    </cfRule>
    <cfRule type="expression" dxfId="5780" priority="2206">
      <formula>AND(IF($Q58=2,1,0),IF($X58&lt;30,1,0))</formula>
    </cfRule>
    <cfRule type="expression" dxfId="5779" priority="2207">
      <formula>AND(IF($Q58=3,1,0),IF($X58&lt;30,1,0))</formula>
    </cfRule>
    <cfRule type="expression" dxfId="5778" priority="2208">
      <formula>AND(IF($Q58=3,1,IF($Q58=4,1,0)),IF($F58&lt;=85,1,0))</formula>
    </cfRule>
  </conditionalFormatting>
  <conditionalFormatting sqref="X58">
    <cfRule type="expression" dxfId="5777" priority="2201">
      <formula>AND(IF(OR($Q58=1,$Q58=2),1,0),IF($X58&lt;=20,1,0))</formula>
    </cfRule>
    <cfRule type="expression" dxfId="5776" priority="2202">
      <formula>AND(IF($Q58=2,1,0),IF($X58&lt;30,1,0))</formula>
    </cfRule>
    <cfRule type="expression" dxfId="5775" priority="2203">
      <formula>AND(IF($Q58=3,1,0),IF($X58&lt;30,1,0))</formula>
    </cfRule>
    <cfRule type="expression" dxfId="5774" priority="2204">
      <formula>AND(IF($Q58=3,1,IF($Q58=4,1,0)),IF($F58&lt;=85,1,0))</formula>
    </cfRule>
  </conditionalFormatting>
  <conditionalFormatting sqref="AI58">
    <cfRule type="expression" dxfId="5773" priority="2197">
      <formula>AND(IF(OR($Q58=1,$Q58=2),1,0),IF($X58&lt;=20,1,0))</formula>
    </cfRule>
    <cfRule type="expression" dxfId="5772" priority="2198">
      <formula>AND(IF($Q58=2,1,0),IF($X58&lt;30,1,0))</formula>
    </cfRule>
    <cfRule type="expression" dxfId="5771" priority="2199">
      <formula>AND(IF($Q58=3,1,0),IF($X58&lt;30,1,0))</formula>
    </cfRule>
    <cfRule type="expression" dxfId="5770" priority="2200">
      <formula>AND(IF($Q58=3,1,IF($Q58=4,1,0)),IF($F58&lt;=85,1,0))</formula>
    </cfRule>
  </conditionalFormatting>
  <conditionalFormatting sqref="AV59">
    <cfRule type="expression" dxfId="5769" priority="2195">
      <formula>AV59="X"</formula>
    </cfRule>
    <cfRule type="expression" dxfId="5768" priority="2196">
      <formula>AV59="후보"</formula>
    </cfRule>
  </conditionalFormatting>
  <conditionalFormatting sqref="AC59">
    <cfRule type="cellIs" dxfId="5767" priority="2193" operator="greaterThan">
      <formula>0.9</formula>
    </cfRule>
    <cfRule type="cellIs" dxfId="5766" priority="2194" operator="greaterThan">
      <formula>0.85</formula>
    </cfRule>
  </conditionalFormatting>
  <conditionalFormatting sqref="N59">
    <cfRule type="cellIs" dxfId="5765" priority="2191" operator="greaterThan">
      <formula>0.9</formula>
    </cfRule>
    <cfRule type="cellIs" dxfId="5764" priority="2192" operator="greaterThan">
      <formula>0.85</formula>
    </cfRule>
  </conditionalFormatting>
  <conditionalFormatting sqref="E59">
    <cfRule type="expression" dxfId="5763" priority="2187">
      <formula>AND(IF(OR($Q59=1,$Q59=2),1,0),IF($X59&lt;=20,1,0))</formula>
    </cfRule>
    <cfRule type="expression" dxfId="5762" priority="2188">
      <formula>AND(IF($Q59=2,1,0),IF($X59&lt;30,1,0))</formula>
    </cfRule>
    <cfRule type="expression" dxfId="5761" priority="2189">
      <formula>AND(IF($Q59=3,1,0),IF($X59&lt;30,1,0))</formula>
    </cfRule>
    <cfRule type="expression" dxfId="5760" priority="2190">
      <formula>AND(IF($Q59=3,1,IF($Q59=4,1,0)),IF($F59&lt;=85,1,0))</formula>
    </cfRule>
  </conditionalFormatting>
  <conditionalFormatting sqref="X59">
    <cfRule type="expression" dxfId="5759" priority="2183">
      <formula>AND(IF(OR($Q59=1,$Q59=2),1,0),IF($X59&lt;=20,1,0))</formula>
    </cfRule>
    <cfRule type="expression" dxfId="5758" priority="2184">
      <formula>AND(IF($Q59=2,1,0),IF($X59&lt;30,1,0))</formula>
    </cfRule>
    <cfRule type="expression" dxfId="5757" priority="2185">
      <formula>AND(IF($Q59=3,1,0),IF($X59&lt;30,1,0))</formula>
    </cfRule>
    <cfRule type="expression" dxfId="5756" priority="2186">
      <formula>AND(IF($Q59=3,1,IF($Q59=4,1,0)),IF($F59&lt;=85,1,0))</formula>
    </cfRule>
  </conditionalFormatting>
  <conditionalFormatting sqref="AI59">
    <cfRule type="expression" dxfId="5755" priority="2179">
      <formula>AND(IF(OR($Q59=1,$Q59=2),1,0),IF($X59&lt;=20,1,0))</formula>
    </cfRule>
    <cfRule type="expression" dxfId="5754" priority="2180">
      <formula>AND(IF($Q59=2,1,0),IF($X59&lt;30,1,0))</formula>
    </cfRule>
    <cfRule type="expression" dxfId="5753" priority="2181">
      <formula>AND(IF($Q59=3,1,0),IF($X59&lt;30,1,0))</formula>
    </cfRule>
    <cfRule type="expression" dxfId="5752" priority="2182">
      <formula>AND(IF($Q59=3,1,IF($Q59=4,1,0)),IF($F59&lt;=85,1,0))</formula>
    </cfRule>
  </conditionalFormatting>
  <conditionalFormatting sqref="AV60">
    <cfRule type="expression" dxfId="5751" priority="2177">
      <formula>AV60="X"</formula>
    </cfRule>
    <cfRule type="expression" dxfId="5750" priority="2178">
      <formula>AV60="후보"</formula>
    </cfRule>
  </conditionalFormatting>
  <conditionalFormatting sqref="AC60">
    <cfRule type="cellIs" dxfId="5749" priority="2175" operator="greaterThan">
      <formula>0.9</formula>
    </cfRule>
    <cfRule type="cellIs" dxfId="5748" priority="2176" operator="greaterThan">
      <formula>0.85</formula>
    </cfRule>
  </conditionalFormatting>
  <conditionalFormatting sqref="N60">
    <cfRule type="cellIs" dxfId="5747" priority="2173" operator="greaterThan">
      <formula>0.9</formula>
    </cfRule>
    <cfRule type="cellIs" dxfId="5746" priority="2174" operator="greaterThan">
      <formula>0.85</formula>
    </cfRule>
  </conditionalFormatting>
  <conditionalFormatting sqref="E60">
    <cfRule type="expression" dxfId="5745" priority="2169">
      <formula>AND(IF(OR($Q60=1,$Q60=2),1,0),IF($X60&lt;=20,1,0))</formula>
    </cfRule>
    <cfRule type="expression" dxfId="5744" priority="2170">
      <formula>AND(IF($Q60=2,1,0),IF($X60&lt;30,1,0))</formula>
    </cfRule>
    <cfRule type="expression" dxfId="5743" priority="2171">
      <formula>AND(IF($Q60=3,1,0),IF($X60&lt;30,1,0))</formula>
    </cfRule>
    <cfRule type="expression" dxfId="5742" priority="2172">
      <formula>AND(IF($Q60=3,1,IF($Q60=4,1,0)),IF($F60&lt;=85,1,0))</formula>
    </cfRule>
  </conditionalFormatting>
  <conditionalFormatting sqref="X60">
    <cfRule type="expression" dxfId="5741" priority="2165">
      <formula>AND(IF(OR($Q60=1,$Q60=2),1,0),IF($X60&lt;=20,1,0))</formula>
    </cfRule>
    <cfRule type="expression" dxfId="5740" priority="2166">
      <formula>AND(IF($Q60=2,1,0),IF($X60&lt;30,1,0))</formula>
    </cfRule>
    <cfRule type="expression" dxfId="5739" priority="2167">
      <formula>AND(IF($Q60=3,1,0),IF($X60&lt;30,1,0))</formula>
    </cfRule>
    <cfRule type="expression" dxfId="5738" priority="2168">
      <formula>AND(IF($Q60=3,1,IF($Q60=4,1,0)),IF($F60&lt;=85,1,0))</formula>
    </cfRule>
  </conditionalFormatting>
  <conditionalFormatting sqref="AI60">
    <cfRule type="expression" dxfId="5737" priority="2161">
      <formula>AND(IF(OR($Q60=1,$Q60=2),1,0),IF($X60&lt;=20,1,0))</formula>
    </cfRule>
    <cfRule type="expression" dxfId="5736" priority="2162">
      <formula>AND(IF($Q60=2,1,0),IF($X60&lt;30,1,0))</formula>
    </cfRule>
    <cfRule type="expression" dxfId="5735" priority="2163">
      <formula>AND(IF($Q60=3,1,0),IF($X60&lt;30,1,0))</formula>
    </cfRule>
    <cfRule type="expression" dxfId="5734" priority="2164">
      <formula>AND(IF($Q60=3,1,IF($Q60=4,1,0)),IF($F60&lt;=85,1,0))</formula>
    </cfRule>
  </conditionalFormatting>
  <conditionalFormatting sqref="AV61">
    <cfRule type="expression" dxfId="5733" priority="2159">
      <formula>AV61="X"</formula>
    </cfRule>
    <cfRule type="expression" dxfId="5732" priority="2160">
      <formula>AV61="후보"</formula>
    </cfRule>
  </conditionalFormatting>
  <conditionalFormatting sqref="AC61">
    <cfRule type="cellIs" dxfId="5731" priority="2157" operator="greaterThan">
      <formula>0.9</formula>
    </cfRule>
    <cfRule type="cellIs" dxfId="5730" priority="2158" operator="greaterThan">
      <formula>0.85</formula>
    </cfRule>
  </conditionalFormatting>
  <conditionalFormatting sqref="N61">
    <cfRule type="cellIs" dxfId="5729" priority="2155" operator="greaterThan">
      <formula>0.9</formula>
    </cfRule>
    <cfRule type="cellIs" dxfId="5728" priority="2156" operator="greaterThan">
      <formula>0.85</formula>
    </cfRule>
  </conditionalFormatting>
  <conditionalFormatting sqref="E61">
    <cfRule type="expression" dxfId="5727" priority="2151">
      <formula>AND(IF(OR($Q61=1,$Q61=2),1,0),IF($X61&lt;=20,1,0))</formula>
    </cfRule>
    <cfRule type="expression" dxfId="5726" priority="2152">
      <formula>AND(IF($Q61=2,1,0),IF($X61&lt;30,1,0))</formula>
    </cfRule>
    <cfRule type="expression" dxfId="5725" priority="2153">
      <formula>AND(IF($Q61=3,1,0),IF($X61&lt;30,1,0))</formula>
    </cfRule>
    <cfRule type="expression" dxfId="5724" priority="2154">
      <formula>AND(IF($Q61=3,1,IF($Q61=4,1,0)),IF($F61&lt;=85,1,0))</formula>
    </cfRule>
  </conditionalFormatting>
  <conditionalFormatting sqref="X61">
    <cfRule type="expression" dxfId="5723" priority="2147">
      <formula>AND(IF(OR($Q61=1,$Q61=2),1,0),IF($X61&lt;=20,1,0))</formula>
    </cfRule>
    <cfRule type="expression" dxfId="5722" priority="2148">
      <formula>AND(IF($Q61=2,1,0),IF($X61&lt;30,1,0))</formula>
    </cfRule>
    <cfRule type="expression" dxfId="5721" priority="2149">
      <formula>AND(IF($Q61=3,1,0),IF($X61&lt;30,1,0))</formula>
    </cfRule>
    <cfRule type="expression" dxfId="5720" priority="2150">
      <formula>AND(IF($Q61=3,1,IF($Q61=4,1,0)),IF($F61&lt;=85,1,0))</formula>
    </cfRule>
  </conditionalFormatting>
  <conditionalFormatting sqref="AI61">
    <cfRule type="expression" dxfId="5719" priority="2143">
      <formula>AND(IF(OR($Q61=1,$Q61=2),1,0),IF($X61&lt;=20,1,0))</formula>
    </cfRule>
    <cfRule type="expression" dxfId="5718" priority="2144">
      <formula>AND(IF($Q61=2,1,0),IF($X61&lt;30,1,0))</formula>
    </cfRule>
    <cfRule type="expression" dxfId="5717" priority="2145">
      <formula>AND(IF($Q61=3,1,0),IF($X61&lt;30,1,0))</formula>
    </cfRule>
    <cfRule type="expression" dxfId="5716" priority="2146">
      <formula>AND(IF($Q61=3,1,IF($Q61=4,1,0)),IF($F61&lt;=85,1,0))</formula>
    </cfRule>
  </conditionalFormatting>
  <conditionalFormatting sqref="AV62">
    <cfRule type="expression" dxfId="5715" priority="2141">
      <formula>AV62="X"</formula>
    </cfRule>
    <cfRule type="expression" dxfId="5714" priority="2142">
      <formula>AV62="후보"</formula>
    </cfRule>
  </conditionalFormatting>
  <conditionalFormatting sqref="AC62">
    <cfRule type="cellIs" dxfId="5713" priority="2139" operator="greaterThan">
      <formula>0.9</formula>
    </cfRule>
    <cfRule type="cellIs" dxfId="5712" priority="2140" operator="greaterThan">
      <formula>0.85</formula>
    </cfRule>
  </conditionalFormatting>
  <conditionalFormatting sqref="N62">
    <cfRule type="cellIs" dxfId="5711" priority="2137" operator="greaterThan">
      <formula>0.9</formula>
    </cfRule>
    <cfRule type="cellIs" dxfId="5710" priority="2138" operator="greaterThan">
      <formula>0.85</formula>
    </cfRule>
  </conditionalFormatting>
  <conditionalFormatting sqref="E62">
    <cfRule type="expression" dxfId="5709" priority="2133">
      <formula>AND(IF(OR($Q62=1,$Q62=2),1,0),IF($X62&lt;=20,1,0))</formula>
    </cfRule>
    <cfRule type="expression" dxfId="5708" priority="2134">
      <formula>AND(IF($Q62=2,1,0),IF($X62&lt;30,1,0))</formula>
    </cfRule>
    <cfRule type="expression" dxfId="5707" priority="2135">
      <formula>AND(IF($Q62=3,1,0),IF($X62&lt;30,1,0))</formula>
    </cfRule>
    <cfRule type="expression" dxfId="5706" priority="2136">
      <formula>AND(IF($Q62=3,1,IF($Q62=4,1,0)),IF($F62&lt;=85,1,0))</formula>
    </cfRule>
  </conditionalFormatting>
  <conditionalFormatting sqref="X62">
    <cfRule type="expression" dxfId="5705" priority="2129">
      <formula>AND(IF(OR($Q62=1,$Q62=2),1,0),IF($X62&lt;=20,1,0))</formula>
    </cfRule>
    <cfRule type="expression" dxfId="5704" priority="2130">
      <formula>AND(IF($Q62=2,1,0),IF($X62&lt;30,1,0))</formula>
    </cfRule>
    <cfRule type="expression" dxfId="5703" priority="2131">
      <formula>AND(IF($Q62=3,1,0),IF($X62&lt;30,1,0))</formula>
    </cfRule>
    <cfRule type="expression" dxfId="5702" priority="2132">
      <formula>AND(IF($Q62=3,1,IF($Q62=4,1,0)),IF($F62&lt;=85,1,0))</formula>
    </cfRule>
  </conditionalFormatting>
  <conditionalFormatting sqref="AI62">
    <cfRule type="expression" dxfId="5701" priority="2125">
      <formula>AND(IF(OR($Q62=1,$Q62=2),1,0),IF($X62&lt;=20,1,0))</formula>
    </cfRule>
    <cfRule type="expression" dxfId="5700" priority="2126">
      <formula>AND(IF($Q62=2,1,0),IF($X62&lt;30,1,0))</formula>
    </cfRule>
    <cfRule type="expression" dxfId="5699" priority="2127">
      <formula>AND(IF($Q62=3,1,0),IF($X62&lt;30,1,0))</formula>
    </cfRule>
    <cfRule type="expression" dxfId="5698" priority="2128">
      <formula>AND(IF($Q62=3,1,IF($Q62=4,1,0)),IF($F62&lt;=85,1,0))</formula>
    </cfRule>
  </conditionalFormatting>
  <conditionalFormatting sqref="AV63">
    <cfRule type="expression" dxfId="5697" priority="2123">
      <formula>AV63="X"</formula>
    </cfRule>
    <cfRule type="expression" dxfId="5696" priority="2124">
      <formula>AV63="후보"</formula>
    </cfRule>
  </conditionalFormatting>
  <conditionalFormatting sqref="AC63">
    <cfRule type="cellIs" dxfId="5695" priority="2121" operator="greaterThan">
      <formula>0.9</formula>
    </cfRule>
    <cfRule type="cellIs" dxfId="5694" priority="2122" operator="greaterThan">
      <formula>0.85</formula>
    </cfRule>
  </conditionalFormatting>
  <conditionalFormatting sqref="N63">
    <cfRule type="cellIs" dxfId="5693" priority="2119" operator="greaterThan">
      <formula>0.9</formula>
    </cfRule>
    <cfRule type="cellIs" dxfId="5692" priority="2120" operator="greaterThan">
      <formula>0.85</formula>
    </cfRule>
  </conditionalFormatting>
  <conditionalFormatting sqref="E63">
    <cfRule type="expression" dxfId="5691" priority="2115">
      <formula>AND(IF(OR($Q63=1,$Q63=2),1,0),IF($X63&lt;=20,1,0))</formula>
    </cfRule>
    <cfRule type="expression" dxfId="5690" priority="2116">
      <formula>AND(IF($Q63=2,1,0),IF($X63&lt;30,1,0))</formula>
    </cfRule>
    <cfRule type="expression" dxfId="5689" priority="2117">
      <formula>AND(IF($Q63=3,1,0),IF($X63&lt;30,1,0))</formula>
    </cfRule>
    <cfRule type="expression" dxfId="5688" priority="2118">
      <formula>AND(IF($Q63=3,1,IF($Q63=4,1,0)),IF($F63&lt;=85,1,0))</formula>
    </cfRule>
  </conditionalFormatting>
  <conditionalFormatting sqref="X63">
    <cfRule type="expression" dxfId="5687" priority="2111">
      <formula>AND(IF(OR($Q63=1,$Q63=2),1,0),IF($X63&lt;=20,1,0))</formula>
    </cfRule>
    <cfRule type="expression" dxfId="5686" priority="2112">
      <formula>AND(IF($Q63=2,1,0),IF($X63&lt;30,1,0))</formula>
    </cfRule>
    <cfRule type="expression" dxfId="5685" priority="2113">
      <formula>AND(IF($Q63=3,1,0),IF($X63&lt;30,1,0))</formula>
    </cfRule>
    <cfRule type="expression" dxfId="5684" priority="2114">
      <formula>AND(IF($Q63=3,1,IF($Q63=4,1,0)),IF($F63&lt;=85,1,0))</formula>
    </cfRule>
  </conditionalFormatting>
  <conditionalFormatting sqref="AI63">
    <cfRule type="expression" dxfId="5683" priority="2107">
      <formula>AND(IF(OR($Q63=1,$Q63=2),1,0),IF($X63&lt;=20,1,0))</formula>
    </cfRule>
    <cfRule type="expression" dxfId="5682" priority="2108">
      <formula>AND(IF($Q63=2,1,0),IF($X63&lt;30,1,0))</formula>
    </cfRule>
    <cfRule type="expression" dxfId="5681" priority="2109">
      <formula>AND(IF($Q63=3,1,0),IF($X63&lt;30,1,0))</formula>
    </cfRule>
    <cfRule type="expression" dxfId="5680" priority="2110">
      <formula>AND(IF($Q63=3,1,IF($Q63=4,1,0)),IF($F63&lt;=85,1,0))</formula>
    </cfRule>
  </conditionalFormatting>
  <conditionalFormatting sqref="AV64">
    <cfRule type="expression" dxfId="5679" priority="2105">
      <formula>AV64="X"</formula>
    </cfRule>
    <cfRule type="expression" dxfId="5678" priority="2106">
      <formula>AV64="후보"</formula>
    </cfRule>
  </conditionalFormatting>
  <conditionalFormatting sqref="AC64">
    <cfRule type="cellIs" dxfId="5677" priority="2103" operator="greaterThan">
      <formula>0.9</formula>
    </cfRule>
    <cfRule type="cellIs" dxfId="5676" priority="2104" operator="greaterThan">
      <formula>0.85</formula>
    </cfRule>
  </conditionalFormatting>
  <conditionalFormatting sqref="N64">
    <cfRule type="cellIs" dxfId="5675" priority="2101" operator="greaterThan">
      <formula>0.9</formula>
    </cfRule>
    <cfRule type="cellIs" dxfId="5674" priority="2102" operator="greaterThan">
      <formula>0.85</formula>
    </cfRule>
  </conditionalFormatting>
  <conditionalFormatting sqref="E64">
    <cfRule type="expression" dxfId="5673" priority="2097">
      <formula>AND(IF(OR($Q64=1,$Q64=2),1,0),IF($X64&lt;=20,1,0))</formula>
    </cfRule>
    <cfRule type="expression" dxfId="5672" priority="2098">
      <formula>AND(IF($Q64=2,1,0),IF($X64&lt;30,1,0))</formula>
    </cfRule>
    <cfRule type="expression" dxfId="5671" priority="2099">
      <formula>AND(IF($Q64=3,1,0),IF($X64&lt;30,1,0))</formula>
    </cfRule>
    <cfRule type="expression" dxfId="5670" priority="2100">
      <formula>AND(IF($Q64=3,1,IF($Q64=4,1,0)),IF($F64&lt;=85,1,0))</formula>
    </cfRule>
  </conditionalFormatting>
  <conditionalFormatting sqref="X64">
    <cfRule type="expression" dxfId="5669" priority="2093">
      <formula>AND(IF(OR($Q64=1,$Q64=2),1,0),IF($X64&lt;=20,1,0))</formula>
    </cfRule>
    <cfRule type="expression" dxfId="5668" priority="2094">
      <formula>AND(IF($Q64=2,1,0),IF($X64&lt;30,1,0))</formula>
    </cfRule>
    <cfRule type="expression" dxfId="5667" priority="2095">
      <formula>AND(IF($Q64=3,1,0),IF($X64&lt;30,1,0))</formula>
    </cfRule>
    <cfRule type="expression" dxfId="5666" priority="2096">
      <formula>AND(IF($Q64=3,1,IF($Q64=4,1,0)),IF($F64&lt;=85,1,0))</formula>
    </cfRule>
  </conditionalFormatting>
  <conditionalFormatting sqref="AI64">
    <cfRule type="expression" dxfId="5665" priority="2089">
      <formula>AND(IF(OR($Q64=1,$Q64=2),1,0),IF($X64&lt;=20,1,0))</formula>
    </cfRule>
    <cfRule type="expression" dxfId="5664" priority="2090">
      <formula>AND(IF($Q64=2,1,0),IF($X64&lt;30,1,0))</formula>
    </cfRule>
    <cfRule type="expression" dxfId="5663" priority="2091">
      <formula>AND(IF($Q64=3,1,0),IF($X64&lt;30,1,0))</formula>
    </cfRule>
    <cfRule type="expression" dxfId="5662" priority="2092">
      <formula>AND(IF($Q64=3,1,IF($Q64=4,1,0)),IF($F64&lt;=85,1,0))</formula>
    </cfRule>
  </conditionalFormatting>
  <conditionalFormatting sqref="AV65">
    <cfRule type="expression" dxfId="5661" priority="2087">
      <formula>AV65="X"</formula>
    </cfRule>
    <cfRule type="expression" dxfId="5660" priority="2088">
      <formula>AV65="후보"</formula>
    </cfRule>
  </conditionalFormatting>
  <conditionalFormatting sqref="AC65">
    <cfRule type="cellIs" dxfId="5659" priority="2085" operator="greaterThan">
      <formula>0.9</formula>
    </cfRule>
    <cfRule type="cellIs" dxfId="5658" priority="2086" operator="greaterThan">
      <formula>0.85</formula>
    </cfRule>
  </conditionalFormatting>
  <conditionalFormatting sqref="N65">
    <cfRule type="cellIs" dxfId="5657" priority="2083" operator="greaterThan">
      <formula>0.9</formula>
    </cfRule>
    <cfRule type="cellIs" dxfId="5656" priority="2084" operator="greaterThan">
      <formula>0.85</formula>
    </cfRule>
  </conditionalFormatting>
  <conditionalFormatting sqref="E65">
    <cfRule type="expression" dxfId="5655" priority="2079">
      <formula>AND(IF(OR($Q65=1,$Q65=2),1,0),IF($X65&lt;=20,1,0))</formula>
    </cfRule>
    <cfRule type="expression" dxfId="5654" priority="2080">
      <formula>AND(IF($Q65=2,1,0),IF($X65&lt;30,1,0))</formula>
    </cfRule>
    <cfRule type="expression" dxfId="5653" priority="2081">
      <formula>AND(IF($Q65=3,1,0),IF($X65&lt;30,1,0))</formula>
    </cfRule>
    <cfRule type="expression" dxfId="5652" priority="2082">
      <formula>AND(IF($Q65=3,1,IF($Q65=4,1,0)),IF($F65&lt;=85,1,0))</formula>
    </cfRule>
  </conditionalFormatting>
  <conditionalFormatting sqref="X65">
    <cfRule type="expression" dxfId="5651" priority="2075">
      <formula>AND(IF(OR($Q65=1,$Q65=2),1,0),IF($X65&lt;=20,1,0))</formula>
    </cfRule>
    <cfRule type="expression" dxfId="5650" priority="2076">
      <formula>AND(IF($Q65=2,1,0),IF($X65&lt;30,1,0))</formula>
    </cfRule>
    <cfRule type="expression" dxfId="5649" priority="2077">
      <formula>AND(IF($Q65=3,1,0),IF($X65&lt;30,1,0))</formula>
    </cfRule>
    <cfRule type="expression" dxfId="5648" priority="2078">
      <formula>AND(IF($Q65=3,1,IF($Q65=4,1,0)),IF($F65&lt;=85,1,0))</formula>
    </cfRule>
  </conditionalFormatting>
  <conditionalFormatting sqref="AI65">
    <cfRule type="expression" dxfId="5647" priority="2071">
      <formula>AND(IF(OR($Q65=1,$Q65=2),1,0),IF($X65&lt;=20,1,0))</formula>
    </cfRule>
    <cfRule type="expression" dxfId="5646" priority="2072">
      <formula>AND(IF($Q65=2,1,0),IF($X65&lt;30,1,0))</formula>
    </cfRule>
    <cfRule type="expression" dxfId="5645" priority="2073">
      <formula>AND(IF($Q65=3,1,0),IF($X65&lt;30,1,0))</formula>
    </cfRule>
    <cfRule type="expression" dxfId="5644" priority="2074">
      <formula>AND(IF($Q65=3,1,IF($Q65=4,1,0)),IF($F65&lt;=85,1,0))</formula>
    </cfRule>
  </conditionalFormatting>
  <conditionalFormatting sqref="AV66">
    <cfRule type="expression" dxfId="5643" priority="2069">
      <formula>AV66="X"</formula>
    </cfRule>
    <cfRule type="expression" dxfId="5642" priority="2070">
      <formula>AV66="후보"</formula>
    </cfRule>
  </conditionalFormatting>
  <conditionalFormatting sqref="AC66">
    <cfRule type="cellIs" dxfId="5641" priority="2067" operator="greaterThan">
      <formula>0.9</formula>
    </cfRule>
    <cfRule type="cellIs" dxfId="5640" priority="2068" operator="greaterThan">
      <formula>0.85</formula>
    </cfRule>
  </conditionalFormatting>
  <conditionalFormatting sqref="N66">
    <cfRule type="cellIs" dxfId="5639" priority="2065" operator="greaterThan">
      <formula>0.9</formula>
    </cfRule>
    <cfRule type="cellIs" dxfId="5638" priority="2066" operator="greaterThan">
      <formula>0.85</formula>
    </cfRule>
  </conditionalFormatting>
  <conditionalFormatting sqref="E66">
    <cfRule type="expression" dxfId="5637" priority="2061">
      <formula>AND(IF(OR($Q66=1,$Q66=2),1,0),IF($X66&lt;=20,1,0))</formula>
    </cfRule>
    <cfRule type="expression" dxfId="5636" priority="2062">
      <formula>AND(IF($Q66=2,1,0),IF($X66&lt;30,1,0))</formula>
    </cfRule>
    <cfRule type="expression" dxfId="5635" priority="2063">
      <formula>AND(IF($Q66=3,1,0),IF($X66&lt;30,1,0))</formula>
    </cfRule>
    <cfRule type="expression" dxfId="5634" priority="2064">
      <formula>AND(IF($Q66=3,1,IF($Q66=4,1,0)),IF($F66&lt;=85,1,0))</formula>
    </cfRule>
  </conditionalFormatting>
  <conditionalFormatting sqref="X66">
    <cfRule type="expression" dxfId="5633" priority="2057">
      <formula>AND(IF(OR($Q66=1,$Q66=2),1,0),IF($X66&lt;=20,1,0))</formula>
    </cfRule>
    <cfRule type="expression" dxfId="5632" priority="2058">
      <formula>AND(IF($Q66=2,1,0),IF($X66&lt;30,1,0))</formula>
    </cfRule>
    <cfRule type="expression" dxfId="5631" priority="2059">
      <formula>AND(IF($Q66=3,1,0),IF($X66&lt;30,1,0))</formula>
    </cfRule>
    <cfRule type="expression" dxfId="5630" priority="2060">
      <formula>AND(IF($Q66=3,1,IF($Q66=4,1,0)),IF($F66&lt;=85,1,0))</formula>
    </cfRule>
  </conditionalFormatting>
  <conditionalFormatting sqref="AI66">
    <cfRule type="expression" dxfId="5629" priority="2053">
      <formula>AND(IF(OR($Q66=1,$Q66=2),1,0),IF($X66&lt;=20,1,0))</formula>
    </cfRule>
    <cfRule type="expression" dxfId="5628" priority="2054">
      <formula>AND(IF($Q66=2,1,0),IF($X66&lt;30,1,0))</formula>
    </cfRule>
    <cfRule type="expression" dxfId="5627" priority="2055">
      <formula>AND(IF($Q66=3,1,0),IF($X66&lt;30,1,0))</formula>
    </cfRule>
    <cfRule type="expression" dxfId="5626" priority="2056">
      <formula>AND(IF($Q66=3,1,IF($Q66=4,1,0)),IF($F66&lt;=85,1,0))</formula>
    </cfRule>
  </conditionalFormatting>
  <conditionalFormatting sqref="AV67">
    <cfRule type="expression" dxfId="5625" priority="2051">
      <formula>AV67="X"</formula>
    </cfRule>
    <cfRule type="expression" dxfId="5624" priority="2052">
      <formula>AV67="후보"</formula>
    </cfRule>
  </conditionalFormatting>
  <conditionalFormatting sqref="AC67">
    <cfRule type="cellIs" dxfId="5623" priority="2049" operator="greaterThan">
      <formula>0.9</formula>
    </cfRule>
    <cfRule type="cellIs" dxfId="5622" priority="2050" operator="greaterThan">
      <formula>0.85</formula>
    </cfRule>
  </conditionalFormatting>
  <conditionalFormatting sqref="N67">
    <cfRule type="cellIs" dxfId="5621" priority="2047" operator="greaterThan">
      <formula>0.9</formula>
    </cfRule>
    <cfRule type="cellIs" dxfId="5620" priority="2048" operator="greaterThan">
      <formula>0.85</formula>
    </cfRule>
  </conditionalFormatting>
  <conditionalFormatting sqref="E67">
    <cfRule type="expression" dxfId="5619" priority="2043">
      <formula>AND(IF(OR($Q67=1,$Q67=2),1,0),IF($X67&lt;=20,1,0))</formula>
    </cfRule>
    <cfRule type="expression" dxfId="5618" priority="2044">
      <formula>AND(IF($Q67=2,1,0),IF($X67&lt;30,1,0))</formula>
    </cfRule>
    <cfRule type="expression" dxfId="5617" priority="2045">
      <formula>AND(IF($Q67=3,1,0),IF($X67&lt;30,1,0))</formula>
    </cfRule>
    <cfRule type="expression" dxfId="5616" priority="2046">
      <formula>AND(IF($Q67=3,1,IF($Q67=4,1,0)),IF($F67&lt;=85,1,0))</formula>
    </cfRule>
  </conditionalFormatting>
  <conditionalFormatting sqref="X67">
    <cfRule type="expression" dxfId="5615" priority="2039">
      <formula>AND(IF(OR($Q67=1,$Q67=2),1,0),IF($X67&lt;=20,1,0))</formula>
    </cfRule>
    <cfRule type="expression" dxfId="5614" priority="2040">
      <formula>AND(IF($Q67=2,1,0),IF($X67&lt;30,1,0))</formula>
    </cfRule>
    <cfRule type="expression" dxfId="5613" priority="2041">
      <formula>AND(IF($Q67=3,1,0),IF($X67&lt;30,1,0))</formula>
    </cfRule>
    <cfRule type="expression" dxfId="5612" priority="2042">
      <formula>AND(IF($Q67=3,1,IF($Q67=4,1,0)),IF($F67&lt;=85,1,0))</formula>
    </cfRule>
  </conditionalFormatting>
  <conditionalFormatting sqref="AI67">
    <cfRule type="expression" dxfId="5611" priority="2035">
      <formula>AND(IF(OR($Q67=1,$Q67=2),1,0),IF($X67&lt;=20,1,0))</formula>
    </cfRule>
    <cfRule type="expression" dxfId="5610" priority="2036">
      <formula>AND(IF($Q67=2,1,0),IF($X67&lt;30,1,0))</formula>
    </cfRule>
    <cfRule type="expression" dxfId="5609" priority="2037">
      <formula>AND(IF($Q67=3,1,0),IF($X67&lt;30,1,0))</formula>
    </cfRule>
    <cfRule type="expression" dxfId="5608" priority="2038">
      <formula>AND(IF($Q67=3,1,IF($Q67=4,1,0)),IF($F67&lt;=85,1,0))</formula>
    </cfRule>
  </conditionalFormatting>
  <conditionalFormatting sqref="AV68">
    <cfRule type="expression" dxfId="5607" priority="2033">
      <formula>AV68="X"</formula>
    </cfRule>
    <cfRule type="expression" dxfId="5606" priority="2034">
      <formula>AV68="후보"</formula>
    </cfRule>
  </conditionalFormatting>
  <conditionalFormatting sqref="AC68">
    <cfRule type="cellIs" dxfId="5605" priority="2031" operator="greaterThan">
      <formula>0.9</formula>
    </cfRule>
    <cfRule type="cellIs" dxfId="5604" priority="2032" operator="greaterThan">
      <formula>0.85</formula>
    </cfRule>
  </conditionalFormatting>
  <conditionalFormatting sqref="N68">
    <cfRule type="cellIs" dxfId="5603" priority="2029" operator="greaterThan">
      <formula>0.9</formula>
    </cfRule>
    <cfRule type="cellIs" dxfId="5602" priority="2030" operator="greaterThan">
      <formula>0.85</formula>
    </cfRule>
  </conditionalFormatting>
  <conditionalFormatting sqref="E68">
    <cfRule type="expression" dxfId="5601" priority="2025">
      <formula>AND(IF(OR($Q68=1,$Q68=2),1,0),IF($X68&lt;=20,1,0))</formula>
    </cfRule>
    <cfRule type="expression" dxfId="5600" priority="2026">
      <formula>AND(IF($Q68=2,1,0),IF($X68&lt;30,1,0))</formula>
    </cfRule>
    <cfRule type="expression" dxfId="5599" priority="2027">
      <formula>AND(IF($Q68=3,1,0),IF($X68&lt;30,1,0))</formula>
    </cfRule>
    <cfRule type="expression" dxfId="5598" priority="2028">
      <formula>AND(IF($Q68=3,1,IF($Q68=4,1,0)),IF($F68&lt;=85,1,0))</formula>
    </cfRule>
  </conditionalFormatting>
  <conditionalFormatting sqref="X68">
    <cfRule type="expression" dxfId="5597" priority="2021">
      <formula>AND(IF(OR($Q68=1,$Q68=2),1,0),IF($X68&lt;=20,1,0))</formula>
    </cfRule>
    <cfRule type="expression" dxfId="5596" priority="2022">
      <formula>AND(IF($Q68=2,1,0),IF($X68&lt;30,1,0))</formula>
    </cfRule>
    <cfRule type="expression" dxfId="5595" priority="2023">
      <formula>AND(IF($Q68=3,1,0),IF($X68&lt;30,1,0))</formula>
    </cfRule>
    <cfRule type="expression" dxfId="5594" priority="2024">
      <formula>AND(IF($Q68=3,1,IF($Q68=4,1,0)),IF($F68&lt;=85,1,0))</formula>
    </cfRule>
  </conditionalFormatting>
  <conditionalFormatting sqref="AI68">
    <cfRule type="expression" dxfId="5593" priority="2017">
      <formula>AND(IF(OR($Q68=1,$Q68=2),1,0),IF($X68&lt;=20,1,0))</formula>
    </cfRule>
    <cfRule type="expression" dxfId="5592" priority="2018">
      <formula>AND(IF($Q68=2,1,0),IF($X68&lt;30,1,0))</formula>
    </cfRule>
    <cfRule type="expression" dxfId="5591" priority="2019">
      <formula>AND(IF($Q68=3,1,0),IF($X68&lt;30,1,0))</formula>
    </cfRule>
    <cfRule type="expression" dxfId="5590" priority="2020">
      <formula>AND(IF($Q68=3,1,IF($Q68=4,1,0)),IF($F68&lt;=85,1,0))</formula>
    </cfRule>
  </conditionalFormatting>
  <conditionalFormatting sqref="AV69">
    <cfRule type="expression" dxfId="5589" priority="2015">
      <formula>AV69="X"</formula>
    </cfRule>
    <cfRule type="expression" dxfId="5588" priority="2016">
      <formula>AV69="후보"</formula>
    </cfRule>
  </conditionalFormatting>
  <conditionalFormatting sqref="AC69">
    <cfRule type="cellIs" dxfId="5587" priority="2013" operator="greaterThan">
      <formula>0.9</formula>
    </cfRule>
    <cfRule type="cellIs" dxfId="5586" priority="2014" operator="greaterThan">
      <formula>0.85</formula>
    </cfRule>
  </conditionalFormatting>
  <conditionalFormatting sqref="N69">
    <cfRule type="cellIs" dxfId="5585" priority="2011" operator="greaterThan">
      <formula>0.9</formula>
    </cfRule>
    <cfRule type="cellIs" dxfId="5584" priority="2012" operator="greaterThan">
      <formula>0.85</formula>
    </cfRule>
  </conditionalFormatting>
  <conditionalFormatting sqref="E69">
    <cfRule type="expression" dxfId="5583" priority="2007">
      <formula>AND(IF(OR($Q69=1,$Q69=2),1,0),IF($X69&lt;=20,1,0))</formula>
    </cfRule>
    <cfRule type="expression" dxfId="5582" priority="2008">
      <formula>AND(IF($Q69=2,1,0),IF($X69&lt;30,1,0))</formula>
    </cfRule>
    <cfRule type="expression" dxfId="5581" priority="2009">
      <formula>AND(IF($Q69=3,1,0),IF($X69&lt;30,1,0))</formula>
    </cfRule>
    <cfRule type="expression" dxfId="5580" priority="2010">
      <formula>AND(IF($Q69=3,1,IF($Q69=4,1,0)),IF($F69&lt;=85,1,0))</formula>
    </cfRule>
  </conditionalFormatting>
  <conditionalFormatting sqref="X69">
    <cfRule type="expression" dxfId="5579" priority="2003">
      <formula>AND(IF(OR($Q69=1,$Q69=2),1,0),IF($X69&lt;=20,1,0))</formula>
    </cfRule>
    <cfRule type="expression" dxfId="5578" priority="2004">
      <formula>AND(IF($Q69=2,1,0),IF($X69&lt;30,1,0))</formula>
    </cfRule>
    <cfRule type="expression" dxfId="5577" priority="2005">
      <formula>AND(IF($Q69=3,1,0),IF($X69&lt;30,1,0))</formula>
    </cfRule>
    <cfRule type="expression" dxfId="5576" priority="2006">
      <formula>AND(IF($Q69=3,1,IF($Q69=4,1,0)),IF($F69&lt;=85,1,0))</formula>
    </cfRule>
  </conditionalFormatting>
  <conditionalFormatting sqref="AI69">
    <cfRule type="expression" dxfId="5575" priority="1999">
      <formula>AND(IF(OR($Q69=1,$Q69=2),1,0),IF($X69&lt;=20,1,0))</formula>
    </cfRule>
    <cfRule type="expression" dxfId="5574" priority="2000">
      <formula>AND(IF($Q69=2,1,0),IF($X69&lt;30,1,0))</formula>
    </cfRule>
    <cfRule type="expression" dxfId="5573" priority="2001">
      <formula>AND(IF($Q69=3,1,0),IF($X69&lt;30,1,0))</formula>
    </cfRule>
    <cfRule type="expression" dxfId="5572" priority="2002">
      <formula>AND(IF($Q69=3,1,IF($Q69=4,1,0)),IF($F69&lt;=85,1,0))</formula>
    </cfRule>
  </conditionalFormatting>
  <conditionalFormatting sqref="AV70">
    <cfRule type="expression" dxfId="5571" priority="1997">
      <formula>AV70="X"</formula>
    </cfRule>
    <cfRule type="expression" dxfId="5570" priority="1998">
      <formula>AV70="후보"</formula>
    </cfRule>
  </conditionalFormatting>
  <conditionalFormatting sqref="AC70">
    <cfRule type="cellIs" dxfId="5569" priority="1995" operator="greaterThan">
      <formula>0.9</formula>
    </cfRule>
    <cfRule type="cellIs" dxfId="5568" priority="1996" operator="greaterThan">
      <formula>0.85</formula>
    </cfRule>
  </conditionalFormatting>
  <conditionalFormatting sqref="N70">
    <cfRule type="cellIs" dxfId="5567" priority="1993" operator="greaterThan">
      <formula>0.9</formula>
    </cfRule>
    <cfRule type="cellIs" dxfId="5566" priority="1994" operator="greaterThan">
      <formula>0.85</formula>
    </cfRule>
  </conditionalFormatting>
  <conditionalFormatting sqref="E70">
    <cfRule type="expression" dxfId="5565" priority="1989">
      <formula>AND(IF(OR($Q70=1,$Q70=2),1,0),IF($X70&lt;=20,1,0))</formula>
    </cfRule>
    <cfRule type="expression" dxfId="5564" priority="1990">
      <formula>AND(IF($Q70=2,1,0),IF($X70&lt;30,1,0))</formula>
    </cfRule>
    <cfRule type="expression" dxfId="5563" priority="1991">
      <formula>AND(IF($Q70=3,1,0),IF($X70&lt;30,1,0))</formula>
    </cfRule>
    <cfRule type="expression" dxfId="5562" priority="1992">
      <formula>AND(IF($Q70=3,1,IF($Q70=4,1,0)),IF($F70&lt;=85,1,0))</formula>
    </cfRule>
  </conditionalFormatting>
  <conditionalFormatting sqref="X70">
    <cfRule type="expression" dxfId="5561" priority="1985">
      <formula>AND(IF(OR($Q70=1,$Q70=2),1,0),IF($X70&lt;=20,1,0))</formula>
    </cfRule>
    <cfRule type="expression" dxfId="5560" priority="1986">
      <formula>AND(IF($Q70=2,1,0),IF($X70&lt;30,1,0))</formula>
    </cfRule>
    <cfRule type="expression" dxfId="5559" priority="1987">
      <formula>AND(IF($Q70=3,1,0),IF($X70&lt;30,1,0))</formula>
    </cfRule>
    <cfRule type="expression" dxfId="5558" priority="1988">
      <formula>AND(IF($Q70=3,1,IF($Q70=4,1,0)),IF($F70&lt;=85,1,0))</formula>
    </cfRule>
  </conditionalFormatting>
  <conditionalFormatting sqref="AI70">
    <cfRule type="expression" dxfId="5557" priority="1981">
      <formula>AND(IF(OR($Q70=1,$Q70=2),1,0),IF($X70&lt;=20,1,0))</formula>
    </cfRule>
    <cfRule type="expression" dxfId="5556" priority="1982">
      <formula>AND(IF($Q70=2,1,0),IF($X70&lt;30,1,0))</formula>
    </cfRule>
    <cfRule type="expression" dxfId="5555" priority="1983">
      <formula>AND(IF($Q70=3,1,0),IF($X70&lt;30,1,0))</formula>
    </cfRule>
    <cfRule type="expression" dxfId="5554" priority="1984">
      <formula>AND(IF($Q70=3,1,IF($Q70=4,1,0)),IF($F70&lt;=85,1,0))</formula>
    </cfRule>
  </conditionalFormatting>
  <conditionalFormatting sqref="AV71">
    <cfRule type="expression" dxfId="5553" priority="1979">
      <formula>AV71="X"</formula>
    </cfRule>
    <cfRule type="expression" dxfId="5552" priority="1980">
      <formula>AV71="후보"</formula>
    </cfRule>
  </conditionalFormatting>
  <conditionalFormatting sqref="AC71">
    <cfRule type="cellIs" dxfId="5551" priority="1977" operator="greaterThan">
      <formula>0.9</formula>
    </cfRule>
    <cfRule type="cellIs" dxfId="5550" priority="1978" operator="greaterThan">
      <formula>0.85</formula>
    </cfRule>
  </conditionalFormatting>
  <conditionalFormatting sqref="N71">
    <cfRule type="cellIs" dxfId="5549" priority="1975" operator="greaterThan">
      <formula>0.9</formula>
    </cfRule>
    <cfRule type="cellIs" dxfId="5548" priority="1976" operator="greaterThan">
      <formula>0.85</formula>
    </cfRule>
  </conditionalFormatting>
  <conditionalFormatting sqref="E71">
    <cfRule type="expression" dxfId="5547" priority="1971">
      <formula>AND(IF(OR($Q71=1,$Q71=2),1,0),IF($X71&lt;=20,1,0))</formula>
    </cfRule>
    <cfRule type="expression" dxfId="5546" priority="1972">
      <formula>AND(IF($Q71=2,1,0),IF($X71&lt;30,1,0))</formula>
    </cfRule>
    <cfRule type="expression" dxfId="5545" priority="1973">
      <formula>AND(IF($Q71=3,1,0),IF($X71&lt;30,1,0))</formula>
    </cfRule>
    <cfRule type="expression" dxfId="5544" priority="1974">
      <formula>AND(IF($Q71=3,1,IF($Q71=4,1,0)),IF($F71&lt;=85,1,0))</formula>
    </cfRule>
  </conditionalFormatting>
  <conditionalFormatting sqref="X71">
    <cfRule type="expression" dxfId="5543" priority="1967">
      <formula>AND(IF(OR($Q71=1,$Q71=2),1,0),IF($X71&lt;=20,1,0))</formula>
    </cfRule>
    <cfRule type="expression" dxfId="5542" priority="1968">
      <formula>AND(IF($Q71=2,1,0),IF($X71&lt;30,1,0))</formula>
    </cfRule>
    <cfRule type="expression" dxfId="5541" priority="1969">
      <formula>AND(IF($Q71=3,1,0),IF($X71&lt;30,1,0))</formula>
    </cfRule>
    <cfRule type="expression" dxfId="5540" priority="1970">
      <formula>AND(IF($Q71=3,1,IF($Q71=4,1,0)),IF($F71&lt;=85,1,0))</formula>
    </cfRule>
  </conditionalFormatting>
  <conditionalFormatting sqref="AI71">
    <cfRule type="expression" dxfId="5539" priority="1963">
      <formula>AND(IF(OR($Q71=1,$Q71=2),1,0),IF($X71&lt;=20,1,0))</formula>
    </cfRule>
    <cfRule type="expression" dxfId="5538" priority="1964">
      <formula>AND(IF($Q71=2,1,0),IF($X71&lt;30,1,0))</formula>
    </cfRule>
    <cfRule type="expression" dxfId="5537" priority="1965">
      <formula>AND(IF($Q71=3,1,0),IF($X71&lt;30,1,0))</formula>
    </cfRule>
    <cfRule type="expression" dxfId="5536" priority="1966">
      <formula>AND(IF($Q71=3,1,IF($Q71=4,1,0)),IF($F71&lt;=85,1,0))</formula>
    </cfRule>
  </conditionalFormatting>
  <conditionalFormatting sqref="AV72">
    <cfRule type="expression" dxfId="5535" priority="1961">
      <formula>AV72="X"</formula>
    </cfRule>
    <cfRule type="expression" dxfId="5534" priority="1962">
      <formula>AV72="후보"</formula>
    </cfRule>
  </conditionalFormatting>
  <conditionalFormatting sqref="AC72">
    <cfRule type="cellIs" dxfId="5533" priority="1959" operator="greaterThan">
      <formula>0.9</formula>
    </cfRule>
    <cfRule type="cellIs" dxfId="5532" priority="1960" operator="greaterThan">
      <formula>0.85</formula>
    </cfRule>
  </conditionalFormatting>
  <conditionalFormatting sqref="N72">
    <cfRule type="cellIs" dxfId="5531" priority="1957" operator="greaterThan">
      <formula>0.9</formula>
    </cfRule>
    <cfRule type="cellIs" dxfId="5530" priority="1958" operator="greaterThan">
      <formula>0.85</formula>
    </cfRule>
  </conditionalFormatting>
  <conditionalFormatting sqref="E72">
    <cfRule type="expression" dxfId="5529" priority="1953">
      <formula>AND(IF(OR($Q72=1,$Q72=2),1,0),IF($X72&lt;=20,1,0))</formula>
    </cfRule>
    <cfRule type="expression" dxfId="5528" priority="1954">
      <formula>AND(IF($Q72=2,1,0),IF($X72&lt;30,1,0))</formula>
    </cfRule>
    <cfRule type="expression" dxfId="5527" priority="1955">
      <formula>AND(IF($Q72=3,1,0),IF($X72&lt;30,1,0))</formula>
    </cfRule>
    <cfRule type="expression" dxfId="5526" priority="1956">
      <formula>AND(IF($Q72=3,1,IF($Q72=4,1,0)),IF($F72&lt;=85,1,0))</formula>
    </cfRule>
  </conditionalFormatting>
  <conditionalFormatting sqref="X72">
    <cfRule type="expression" dxfId="5525" priority="1949">
      <formula>AND(IF(OR($Q72=1,$Q72=2),1,0),IF($X72&lt;=20,1,0))</formula>
    </cfRule>
    <cfRule type="expression" dxfId="5524" priority="1950">
      <formula>AND(IF($Q72=2,1,0),IF($X72&lt;30,1,0))</formula>
    </cfRule>
    <cfRule type="expression" dxfId="5523" priority="1951">
      <formula>AND(IF($Q72=3,1,0),IF($X72&lt;30,1,0))</formula>
    </cfRule>
    <cfRule type="expression" dxfId="5522" priority="1952">
      <formula>AND(IF($Q72=3,1,IF($Q72=4,1,0)),IF($F72&lt;=85,1,0))</formula>
    </cfRule>
  </conditionalFormatting>
  <conditionalFormatting sqref="AI72">
    <cfRule type="expression" dxfId="5521" priority="1945">
      <formula>AND(IF(OR($Q72=1,$Q72=2),1,0),IF($X72&lt;=20,1,0))</formula>
    </cfRule>
    <cfRule type="expression" dxfId="5520" priority="1946">
      <formula>AND(IF($Q72=2,1,0),IF($X72&lt;30,1,0))</formula>
    </cfRule>
    <cfRule type="expression" dxfId="5519" priority="1947">
      <formula>AND(IF($Q72=3,1,0),IF($X72&lt;30,1,0))</formula>
    </cfRule>
    <cfRule type="expression" dxfId="5518" priority="1948">
      <formula>AND(IF($Q72=3,1,IF($Q72=4,1,0)),IF($F72&lt;=85,1,0))</formula>
    </cfRule>
  </conditionalFormatting>
  <conditionalFormatting sqref="AV73">
    <cfRule type="expression" dxfId="5517" priority="1943">
      <formula>AV73="X"</formula>
    </cfRule>
    <cfRule type="expression" dxfId="5516" priority="1944">
      <formula>AV73="후보"</formula>
    </cfRule>
  </conditionalFormatting>
  <conditionalFormatting sqref="AC73">
    <cfRule type="cellIs" dxfId="5515" priority="1941" operator="greaterThan">
      <formula>0.9</formula>
    </cfRule>
    <cfRule type="cellIs" dxfId="5514" priority="1942" operator="greaterThan">
      <formula>0.85</formula>
    </cfRule>
  </conditionalFormatting>
  <conditionalFormatting sqref="N73">
    <cfRule type="cellIs" dxfId="5513" priority="1939" operator="greaterThan">
      <formula>0.9</formula>
    </cfRule>
    <cfRule type="cellIs" dxfId="5512" priority="1940" operator="greaterThan">
      <formula>0.85</formula>
    </cfRule>
  </conditionalFormatting>
  <conditionalFormatting sqref="E73">
    <cfRule type="expression" dxfId="5511" priority="1935">
      <formula>AND(IF(OR($Q73=1,$Q73=2),1,0),IF($X73&lt;=20,1,0))</formula>
    </cfRule>
    <cfRule type="expression" dxfId="5510" priority="1936">
      <formula>AND(IF($Q73=2,1,0),IF($X73&lt;30,1,0))</formula>
    </cfRule>
    <cfRule type="expression" dxfId="5509" priority="1937">
      <formula>AND(IF($Q73=3,1,0),IF($X73&lt;30,1,0))</formula>
    </cfRule>
    <cfRule type="expression" dxfId="5508" priority="1938">
      <formula>AND(IF($Q73=3,1,IF($Q73=4,1,0)),IF($F73&lt;=85,1,0))</formula>
    </cfRule>
  </conditionalFormatting>
  <conditionalFormatting sqref="X73">
    <cfRule type="expression" dxfId="5507" priority="1931">
      <formula>AND(IF(OR($Q73=1,$Q73=2),1,0),IF($X73&lt;=20,1,0))</formula>
    </cfRule>
    <cfRule type="expression" dxfId="5506" priority="1932">
      <formula>AND(IF($Q73=2,1,0),IF($X73&lt;30,1,0))</formula>
    </cfRule>
    <cfRule type="expression" dxfId="5505" priority="1933">
      <formula>AND(IF($Q73=3,1,0),IF($X73&lt;30,1,0))</formula>
    </cfRule>
    <cfRule type="expression" dxfId="5504" priority="1934">
      <formula>AND(IF($Q73=3,1,IF($Q73=4,1,0)),IF($F73&lt;=85,1,0))</formula>
    </cfRule>
  </conditionalFormatting>
  <conditionalFormatting sqref="AI73">
    <cfRule type="expression" dxfId="5503" priority="1927">
      <formula>AND(IF(OR($Q73=1,$Q73=2),1,0),IF($X73&lt;=20,1,0))</formula>
    </cfRule>
    <cfRule type="expression" dxfId="5502" priority="1928">
      <formula>AND(IF($Q73=2,1,0),IF($X73&lt;30,1,0))</formula>
    </cfRule>
    <cfRule type="expression" dxfId="5501" priority="1929">
      <formula>AND(IF($Q73=3,1,0),IF($X73&lt;30,1,0))</formula>
    </cfRule>
    <cfRule type="expression" dxfId="5500" priority="1930">
      <formula>AND(IF($Q73=3,1,IF($Q73=4,1,0)),IF($F73&lt;=85,1,0))</formula>
    </cfRule>
  </conditionalFormatting>
  <conditionalFormatting sqref="AV74">
    <cfRule type="expression" dxfId="5499" priority="1925">
      <formula>AV74="X"</formula>
    </cfRule>
    <cfRule type="expression" dxfId="5498" priority="1926">
      <formula>AV74="후보"</formula>
    </cfRule>
  </conditionalFormatting>
  <conditionalFormatting sqref="AC74">
    <cfRule type="cellIs" dxfId="5497" priority="1923" operator="greaterThan">
      <formula>0.9</formula>
    </cfRule>
    <cfRule type="cellIs" dxfId="5496" priority="1924" operator="greaterThan">
      <formula>0.85</formula>
    </cfRule>
  </conditionalFormatting>
  <conditionalFormatting sqref="N74">
    <cfRule type="cellIs" dxfId="5495" priority="1921" operator="greaterThan">
      <formula>0.9</formula>
    </cfRule>
    <cfRule type="cellIs" dxfId="5494" priority="1922" operator="greaterThan">
      <formula>0.85</formula>
    </cfRule>
  </conditionalFormatting>
  <conditionalFormatting sqref="E74">
    <cfRule type="expression" dxfId="5493" priority="1917">
      <formula>AND(IF(OR($Q74=1,$Q74=2),1,0),IF($X74&lt;=20,1,0))</formula>
    </cfRule>
    <cfRule type="expression" dxfId="5492" priority="1918">
      <formula>AND(IF($Q74=2,1,0),IF($X74&lt;30,1,0))</formula>
    </cfRule>
    <cfRule type="expression" dxfId="5491" priority="1919">
      <formula>AND(IF($Q74=3,1,0),IF($X74&lt;30,1,0))</formula>
    </cfRule>
    <cfRule type="expression" dxfId="5490" priority="1920">
      <formula>AND(IF($Q74=3,1,IF($Q74=4,1,0)),IF($F74&lt;=85,1,0))</formula>
    </cfRule>
  </conditionalFormatting>
  <conditionalFormatting sqref="X74">
    <cfRule type="expression" dxfId="5489" priority="1913">
      <formula>AND(IF(OR($Q74=1,$Q74=2),1,0),IF($X74&lt;=20,1,0))</formula>
    </cfRule>
    <cfRule type="expression" dxfId="5488" priority="1914">
      <formula>AND(IF($Q74=2,1,0),IF($X74&lt;30,1,0))</formula>
    </cfRule>
    <cfRule type="expression" dxfId="5487" priority="1915">
      <formula>AND(IF($Q74=3,1,0),IF($X74&lt;30,1,0))</formula>
    </cfRule>
    <cfRule type="expression" dxfId="5486" priority="1916">
      <formula>AND(IF($Q74=3,1,IF($Q74=4,1,0)),IF($F74&lt;=85,1,0))</formula>
    </cfRule>
  </conditionalFormatting>
  <conditionalFormatting sqref="AI74">
    <cfRule type="expression" dxfId="5485" priority="1909">
      <formula>AND(IF(OR($Q74=1,$Q74=2),1,0),IF($X74&lt;=20,1,0))</formula>
    </cfRule>
    <cfRule type="expression" dxfId="5484" priority="1910">
      <formula>AND(IF($Q74=2,1,0),IF($X74&lt;30,1,0))</formula>
    </cfRule>
    <cfRule type="expression" dxfId="5483" priority="1911">
      <formula>AND(IF($Q74=3,1,0),IF($X74&lt;30,1,0))</formula>
    </cfRule>
    <cfRule type="expression" dxfId="5482" priority="1912">
      <formula>AND(IF($Q74=3,1,IF($Q74=4,1,0)),IF($F74&lt;=85,1,0))</formula>
    </cfRule>
  </conditionalFormatting>
  <conditionalFormatting sqref="AV75">
    <cfRule type="expression" dxfId="5481" priority="1907">
      <formula>AV75="X"</formula>
    </cfRule>
    <cfRule type="expression" dxfId="5480" priority="1908">
      <formula>AV75="후보"</formula>
    </cfRule>
  </conditionalFormatting>
  <conditionalFormatting sqref="AC75">
    <cfRule type="cellIs" dxfId="5479" priority="1905" operator="greaterThan">
      <formula>0.9</formula>
    </cfRule>
    <cfRule type="cellIs" dxfId="5478" priority="1906" operator="greaterThan">
      <formula>0.85</formula>
    </cfRule>
  </conditionalFormatting>
  <conditionalFormatting sqref="N75">
    <cfRule type="cellIs" dxfId="5477" priority="1903" operator="greaterThan">
      <formula>0.9</formula>
    </cfRule>
    <cfRule type="cellIs" dxfId="5476" priority="1904" operator="greaterThan">
      <formula>0.85</formula>
    </cfRule>
  </conditionalFormatting>
  <conditionalFormatting sqref="E75">
    <cfRule type="expression" dxfId="5475" priority="1899">
      <formula>AND(IF(OR($Q75=1,$Q75=2),1,0),IF($X75&lt;=20,1,0))</formula>
    </cfRule>
    <cfRule type="expression" dxfId="5474" priority="1900">
      <formula>AND(IF($Q75=2,1,0),IF($X75&lt;30,1,0))</formula>
    </cfRule>
    <cfRule type="expression" dxfId="5473" priority="1901">
      <formula>AND(IF($Q75=3,1,0),IF($X75&lt;30,1,0))</formula>
    </cfRule>
    <cfRule type="expression" dxfId="5472" priority="1902">
      <formula>AND(IF($Q75=3,1,IF($Q75=4,1,0)),IF($F75&lt;=85,1,0))</formula>
    </cfRule>
  </conditionalFormatting>
  <conditionalFormatting sqref="X75">
    <cfRule type="expression" dxfId="5471" priority="1895">
      <formula>AND(IF(OR($Q75=1,$Q75=2),1,0),IF($X75&lt;=20,1,0))</formula>
    </cfRule>
    <cfRule type="expression" dxfId="5470" priority="1896">
      <formula>AND(IF($Q75=2,1,0),IF($X75&lt;30,1,0))</formula>
    </cfRule>
    <cfRule type="expression" dxfId="5469" priority="1897">
      <formula>AND(IF($Q75=3,1,0),IF($X75&lt;30,1,0))</formula>
    </cfRule>
    <cfRule type="expression" dxfId="5468" priority="1898">
      <formula>AND(IF($Q75=3,1,IF($Q75=4,1,0)),IF($F75&lt;=85,1,0))</formula>
    </cfRule>
  </conditionalFormatting>
  <conditionalFormatting sqref="AI75">
    <cfRule type="expression" dxfId="5467" priority="1891">
      <formula>AND(IF(OR($Q75=1,$Q75=2),1,0),IF($X75&lt;=20,1,0))</formula>
    </cfRule>
    <cfRule type="expression" dxfId="5466" priority="1892">
      <formula>AND(IF($Q75=2,1,0),IF($X75&lt;30,1,0))</formula>
    </cfRule>
    <cfRule type="expression" dxfId="5465" priority="1893">
      <formula>AND(IF($Q75=3,1,0),IF($X75&lt;30,1,0))</formula>
    </cfRule>
    <cfRule type="expression" dxfId="5464" priority="1894">
      <formula>AND(IF($Q75=3,1,IF($Q75=4,1,0)),IF($F75&lt;=85,1,0))</formula>
    </cfRule>
  </conditionalFormatting>
  <conditionalFormatting sqref="AV76">
    <cfRule type="expression" dxfId="5463" priority="1889">
      <formula>AV76="X"</formula>
    </cfRule>
    <cfRule type="expression" dxfId="5462" priority="1890">
      <formula>AV76="후보"</formula>
    </cfRule>
  </conditionalFormatting>
  <conditionalFormatting sqref="AC76">
    <cfRule type="cellIs" dxfId="5461" priority="1887" operator="greaterThan">
      <formula>0.9</formula>
    </cfRule>
    <cfRule type="cellIs" dxfId="5460" priority="1888" operator="greaterThan">
      <formula>0.85</formula>
    </cfRule>
  </conditionalFormatting>
  <conditionalFormatting sqref="N76">
    <cfRule type="cellIs" dxfId="5459" priority="1885" operator="greaterThan">
      <formula>0.9</formula>
    </cfRule>
    <cfRule type="cellIs" dxfId="5458" priority="1886" operator="greaterThan">
      <formula>0.85</formula>
    </cfRule>
  </conditionalFormatting>
  <conditionalFormatting sqref="E76">
    <cfRule type="expression" dxfId="5457" priority="1881">
      <formula>AND(IF(OR($Q76=1,$Q76=2),1,0),IF($X76&lt;=20,1,0))</formula>
    </cfRule>
    <cfRule type="expression" dxfId="5456" priority="1882">
      <formula>AND(IF($Q76=2,1,0),IF($X76&lt;30,1,0))</formula>
    </cfRule>
    <cfRule type="expression" dxfId="5455" priority="1883">
      <formula>AND(IF($Q76=3,1,0),IF($X76&lt;30,1,0))</formula>
    </cfRule>
    <cfRule type="expression" dxfId="5454" priority="1884">
      <formula>AND(IF($Q76=3,1,IF($Q76=4,1,0)),IF($F76&lt;=85,1,0))</formula>
    </cfRule>
  </conditionalFormatting>
  <conditionalFormatting sqref="X76">
    <cfRule type="expression" dxfId="5453" priority="1877">
      <formula>AND(IF(OR($Q76=1,$Q76=2),1,0),IF($X76&lt;=20,1,0))</formula>
    </cfRule>
    <cfRule type="expression" dxfId="5452" priority="1878">
      <formula>AND(IF($Q76=2,1,0),IF($X76&lt;30,1,0))</formula>
    </cfRule>
    <cfRule type="expression" dxfId="5451" priority="1879">
      <formula>AND(IF($Q76=3,1,0),IF($X76&lt;30,1,0))</formula>
    </cfRule>
    <cfRule type="expression" dxfId="5450" priority="1880">
      <formula>AND(IF($Q76=3,1,IF($Q76=4,1,0)),IF($F76&lt;=85,1,0))</formula>
    </cfRule>
  </conditionalFormatting>
  <conditionalFormatting sqref="AI76">
    <cfRule type="expression" dxfId="5449" priority="1873">
      <formula>AND(IF(OR($Q76=1,$Q76=2),1,0),IF($X76&lt;=20,1,0))</formula>
    </cfRule>
    <cfRule type="expression" dxfId="5448" priority="1874">
      <formula>AND(IF($Q76=2,1,0),IF($X76&lt;30,1,0))</formula>
    </cfRule>
    <cfRule type="expression" dxfId="5447" priority="1875">
      <formula>AND(IF($Q76=3,1,0),IF($X76&lt;30,1,0))</formula>
    </cfRule>
    <cfRule type="expression" dxfId="5446" priority="1876">
      <formula>AND(IF($Q76=3,1,IF($Q76=4,1,0)),IF($F76&lt;=85,1,0))</formula>
    </cfRule>
  </conditionalFormatting>
  <conditionalFormatting sqref="AV77">
    <cfRule type="expression" dxfId="5445" priority="1871">
      <formula>AV77="X"</formula>
    </cfRule>
    <cfRule type="expression" dxfId="5444" priority="1872">
      <formula>AV77="후보"</formula>
    </cfRule>
  </conditionalFormatting>
  <conditionalFormatting sqref="AC77">
    <cfRule type="cellIs" dxfId="5443" priority="1869" operator="greaterThan">
      <formula>0.9</formula>
    </cfRule>
    <cfRule type="cellIs" dxfId="5442" priority="1870" operator="greaterThan">
      <formula>0.85</formula>
    </cfRule>
  </conditionalFormatting>
  <conditionalFormatting sqref="N77">
    <cfRule type="cellIs" dxfId="5441" priority="1867" operator="greaterThan">
      <formula>0.9</formula>
    </cfRule>
    <cfRule type="cellIs" dxfId="5440" priority="1868" operator="greaterThan">
      <formula>0.85</formula>
    </cfRule>
  </conditionalFormatting>
  <conditionalFormatting sqref="E77">
    <cfRule type="expression" dxfId="5439" priority="1863">
      <formula>AND(IF(OR($Q77=1,$Q77=2),1,0),IF($X77&lt;=20,1,0))</formula>
    </cfRule>
    <cfRule type="expression" dxfId="5438" priority="1864">
      <formula>AND(IF($Q77=2,1,0),IF($X77&lt;30,1,0))</formula>
    </cfRule>
    <cfRule type="expression" dxfId="5437" priority="1865">
      <formula>AND(IF($Q77=3,1,0),IF($X77&lt;30,1,0))</formula>
    </cfRule>
    <cfRule type="expression" dxfId="5436" priority="1866">
      <formula>AND(IF($Q77=3,1,IF($Q77=4,1,0)),IF($F77&lt;=85,1,0))</formula>
    </cfRule>
  </conditionalFormatting>
  <conditionalFormatting sqref="X77">
    <cfRule type="expression" dxfId="5435" priority="1859">
      <formula>AND(IF(OR($Q77=1,$Q77=2),1,0),IF($X77&lt;=20,1,0))</formula>
    </cfRule>
    <cfRule type="expression" dxfId="5434" priority="1860">
      <formula>AND(IF($Q77=2,1,0),IF($X77&lt;30,1,0))</formula>
    </cfRule>
    <cfRule type="expression" dxfId="5433" priority="1861">
      <formula>AND(IF($Q77=3,1,0),IF($X77&lt;30,1,0))</formula>
    </cfRule>
    <cfRule type="expression" dxfId="5432" priority="1862">
      <formula>AND(IF($Q77=3,1,IF($Q77=4,1,0)),IF($F77&lt;=85,1,0))</formula>
    </cfRule>
  </conditionalFormatting>
  <conditionalFormatting sqref="AI77">
    <cfRule type="expression" dxfId="5431" priority="1855">
      <formula>AND(IF(OR($Q77=1,$Q77=2),1,0),IF($X77&lt;=20,1,0))</formula>
    </cfRule>
    <cfRule type="expression" dxfId="5430" priority="1856">
      <formula>AND(IF($Q77=2,1,0),IF($X77&lt;30,1,0))</formula>
    </cfRule>
    <cfRule type="expression" dxfId="5429" priority="1857">
      <formula>AND(IF($Q77=3,1,0),IF($X77&lt;30,1,0))</formula>
    </cfRule>
    <cfRule type="expression" dxfId="5428" priority="1858">
      <formula>AND(IF($Q77=3,1,IF($Q77=4,1,0)),IF($F77&lt;=85,1,0))</formula>
    </cfRule>
  </conditionalFormatting>
  <conditionalFormatting sqref="AV78">
    <cfRule type="expression" dxfId="5427" priority="1853">
      <formula>AV78="X"</formula>
    </cfRule>
    <cfRule type="expression" dxfId="5426" priority="1854">
      <formula>AV78="후보"</formula>
    </cfRule>
  </conditionalFormatting>
  <conditionalFormatting sqref="AC78">
    <cfRule type="cellIs" dxfId="5425" priority="1851" operator="greaterThan">
      <formula>0.9</formula>
    </cfRule>
    <cfRule type="cellIs" dxfId="5424" priority="1852" operator="greaterThan">
      <formula>0.85</formula>
    </cfRule>
  </conditionalFormatting>
  <conditionalFormatting sqref="N78">
    <cfRule type="cellIs" dxfId="5423" priority="1849" operator="greaterThan">
      <formula>0.9</formula>
    </cfRule>
    <cfRule type="cellIs" dxfId="5422" priority="1850" operator="greaterThan">
      <formula>0.85</formula>
    </cfRule>
  </conditionalFormatting>
  <conditionalFormatting sqref="E78">
    <cfRule type="expression" dxfId="5421" priority="1845">
      <formula>AND(IF(OR($Q78=1,$Q78=2),1,0),IF($X78&lt;=20,1,0))</formula>
    </cfRule>
    <cfRule type="expression" dxfId="5420" priority="1846">
      <formula>AND(IF($Q78=2,1,0),IF($X78&lt;30,1,0))</formula>
    </cfRule>
    <cfRule type="expression" dxfId="5419" priority="1847">
      <formula>AND(IF($Q78=3,1,0),IF($X78&lt;30,1,0))</formula>
    </cfRule>
    <cfRule type="expression" dxfId="5418" priority="1848">
      <formula>AND(IF($Q78=3,1,IF($Q78=4,1,0)),IF($F78&lt;=85,1,0))</formula>
    </cfRule>
  </conditionalFormatting>
  <conditionalFormatting sqref="X78">
    <cfRule type="expression" dxfId="5417" priority="1841">
      <formula>AND(IF(OR($Q78=1,$Q78=2),1,0),IF($X78&lt;=20,1,0))</formula>
    </cfRule>
    <cfRule type="expression" dxfId="5416" priority="1842">
      <formula>AND(IF($Q78=2,1,0),IF($X78&lt;30,1,0))</formula>
    </cfRule>
    <cfRule type="expression" dxfId="5415" priority="1843">
      <formula>AND(IF($Q78=3,1,0),IF($X78&lt;30,1,0))</formula>
    </cfRule>
    <cfRule type="expression" dxfId="5414" priority="1844">
      <formula>AND(IF($Q78=3,1,IF($Q78=4,1,0)),IF($F78&lt;=85,1,0))</formula>
    </cfRule>
  </conditionalFormatting>
  <conditionalFormatting sqref="AI78">
    <cfRule type="expression" dxfId="5413" priority="1837">
      <formula>AND(IF(OR($Q78=1,$Q78=2),1,0),IF($X78&lt;=20,1,0))</formula>
    </cfRule>
    <cfRule type="expression" dxfId="5412" priority="1838">
      <formula>AND(IF($Q78=2,1,0),IF($X78&lt;30,1,0))</formula>
    </cfRule>
    <cfRule type="expression" dxfId="5411" priority="1839">
      <formula>AND(IF($Q78=3,1,0),IF($X78&lt;30,1,0))</formula>
    </cfRule>
    <cfRule type="expression" dxfId="5410" priority="1840">
      <formula>AND(IF($Q78=3,1,IF($Q78=4,1,0)),IF($F78&lt;=85,1,0))</formula>
    </cfRule>
  </conditionalFormatting>
  <conditionalFormatting sqref="AV79">
    <cfRule type="expression" dxfId="5409" priority="1835">
      <formula>AV79="X"</formula>
    </cfRule>
    <cfRule type="expression" dxfId="5408" priority="1836">
      <formula>AV79="후보"</formula>
    </cfRule>
  </conditionalFormatting>
  <conditionalFormatting sqref="AC79">
    <cfRule type="cellIs" dxfId="5407" priority="1833" operator="greaterThan">
      <formula>0.9</formula>
    </cfRule>
    <cfRule type="cellIs" dxfId="5406" priority="1834" operator="greaterThan">
      <formula>0.85</formula>
    </cfRule>
  </conditionalFormatting>
  <conditionalFormatting sqref="N79">
    <cfRule type="cellIs" dxfId="5405" priority="1831" operator="greaterThan">
      <formula>0.9</formula>
    </cfRule>
    <cfRule type="cellIs" dxfId="5404" priority="1832" operator="greaterThan">
      <formula>0.85</formula>
    </cfRule>
  </conditionalFormatting>
  <conditionalFormatting sqref="E79">
    <cfRule type="expression" dxfId="5403" priority="1827">
      <formula>AND(IF(OR($Q79=1,$Q79=2),1,0),IF($X79&lt;=20,1,0))</formula>
    </cfRule>
    <cfRule type="expression" dxfId="5402" priority="1828">
      <formula>AND(IF($Q79=2,1,0),IF($X79&lt;30,1,0))</formula>
    </cfRule>
    <cfRule type="expression" dxfId="5401" priority="1829">
      <formula>AND(IF($Q79=3,1,0),IF($X79&lt;30,1,0))</formula>
    </cfRule>
    <cfRule type="expression" dxfId="5400" priority="1830">
      <formula>AND(IF($Q79=3,1,IF($Q79=4,1,0)),IF($F79&lt;=85,1,0))</formula>
    </cfRule>
  </conditionalFormatting>
  <conditionalFormatting sqref="X79">
    <cfRule type="expression" dxfId="5399" priority="1823">
      <formula>AND(IF(OR($Q79=1,$Q79=2),1,0),IF($X79&lt;=20,1,0))</formula>
    </cfRule>
    <cfRule type="expression" dxfId="5398" priority="1824">
      <formula>AND(IF($Q79=2,1,0),IF($X79&lt;30,1,0))</formula>
    </cfRule>
    <cfRule type="expression" dxfId="5397" priority="1825">
      <formula>AND(IF($Q79=3,1,0),IF($X79&lt;30,1,0))</formula>
    </cfRule>
    <cfRule type="expression" dxfId="5396" priority="1826">
      <formula>AND(IF($Q79=3,1,IF($Q79=4,1,0)),IF($F79&lt;=85,1,0))</formula>
    </cfRule>
  </conditionalFormatting>
  <conditionalFormatting sqref="AI79">
    <cfRule type="expression" dxfId="5395" priority="1819">
      <formula>AND(IF(OR($Q79=1,$Q79=2),1,0),IF($X79&lt;=20,1,0))</formula>
    </cfRule>
    <cfRule type="expression" dxfId="5394" priority="1820">
      <formula>AND(IF($Q79=2,1,0),IF($X79&lt;30,1,0))</formula>
    </cfRule>
    <cfRule type="expression" dxfId="5393" priority="1821">
      <formula>AND(IF($Q79=3,1,0),IF($X79&lt;30,1,0))</formula>
    </cfRule>
    <cfRule type="expression" dxfId="5392" priority="1822">
      <formula>AND(IF($Q79=3,1,IF($Q79=4,1,0)),IF($F79&lt;=85,1,0))</formula>
    </cfRule>
  </conditionalFormatting>
  <conditionalFormatting sqref="AV80">
    <cfRule type="expression" dxfId="5391" priority="1817">
      <formula>AV80="X"</formula>
    </cfRule>
    <cfRule type="expression" dxfId="5390" priority="1818">
      <formula>AV80="후보"</formula>
    </cfRule>
  </conditionalFormatting>
  <conditionalFormatting sqref="AC80">
    <cfRule type="cellIs" dxfId="5389" priority="1815" operator="greaterThan">
      <formula>0.9</formula>
    </cfRule>
    <cfRule type="cellIs" dxfId="5388" priority="1816" operator="greaterThan">
      <formula>0.85</formula>
    </cfRule>
  </conditionalFormatting>
  <conditionalFormatting sqref="N80">
    <cfRule type="cellIs" dxfId="5387" priority="1813" operator="greaterThan">
      <formula>0.9</formula>
    </cfRule>
    <cfRule type="cellIs" dxfId="5386" priority="1814" operator="greaterThan">
      <formula>0.85</formula>
    </cfRule>
  </conditionalFormatting>
  <conditionalFormatting sqref="E80">
    <cfRule type="expression" dxfId="5385" priority="1809">
      <formula>AND(IF(OR($Q80=1,$Q80=2),1,0),IF($X80&lt;=20,1,0))</formula>
    </cfRule>
    <cfRule type="expression" dxfId="5384" priority="1810">
      <formula>AND(IF($Q80=2,1,0),IF($X80&lt;30,1,0))</formula>
    </cfRule>
    <cfRule type="expression" dxfId="5383" priority="1811">
      <formula>AND(IF($Q80=3,1,0),IF($X80&lt;30,1,0))</formula>
    </cfRule>
    <cfRule type="expression" dxfId="5382" priority="1812">
      <formula>AND(IF($Q80=3,1,IF($Q80=4,1,0)),IF($F80&lt;=85,1,0))</formula>
    </cfRule>
  </conditionalFormatting>
  <conditionalFormatting sqref="X80">
    <cfRule type="expression" dxfId="5381" priority="1805">
      <formula>AND(IF(OR($Q80=1,$Q80=2),1,0),IF($X80&lt;=20,1,0))</formula>
    </cfRule>
    <cfRule type="expression" dxfId="5380" priority="1806">
      <formula>AND(IF($Q80=2,1,0),IF($X80&lt;30,1,0))</formula>
    </cfRule>
    <cfRule type="expression" dxfId="5379" priority="1807">
      <formula>AND(IF($Q80=3,1,0),IF($X80&lt;30,1,0))</formula>
    </cfRule>
    <cfRule type="expression" dxfId="5378" priority="1808">
      <formula>AND(IF($Q80=3,1,IF($Q80=4,1,0)),IF($F80&lt;=85,1,0))</formula>
    </cfRule>
  </conditionalFormatting>
  <conditionalFormatting sqref="AI80">
    <cfRule type="expression" dxfId="5377" priority="1801">
      <formula>AND(IF(OR($Q80=1,$Q80=2),1,0),IF($X80&lt;=20,1,0))</formula>
    </cfRule>
    <cfRule type="expression" dxfId="5376" priority="1802">
      <formula>AND(IF($Q80=2,1,0),IF($X80&lt;30,1,0))</formula>
    </cfRule>
    <cfRule type="expression" dxfId="5375" priority="1803">
      <formula>AND(IF($Q80=3,1,0),IF($X80&lt;30,1,0))</formula>
    </cfRule>
    <cfRule type="expression" dxfId="5374" priority="1804">
      <formula>AND(IF($Q80=3,1,IF($Q80=4,1,0)),IF($F80&lt;=85,1,0))</formula>
    </cfRule>
  </conditionalFormatting>
  <conditionalFormatting sqref="AV81">
    <cfRule type="expression" dxfId="5373" priority="1799">
      <formula>AV81="X"</formula>
    </cfRule>
    <cfRule type="expression" dxfId="5372" priority="1800">
      <formula>AV81="후보"</formula>
    </cfRule>
  </conditionalFormatting>
  <conditionalFormatting sqref="AC81">
    <cfRule type="cellIs" dxfId="5371" priority="1797" operator="greaterThan">
      <formula>0.9</formula>
    </cfRule>
    <cfRule type="cellIs" dxfId="5370" priority="1798" operator="greaterThan">
      <formula>0.85</formula>
    </cfRule>
  </conditionalFormatting>
  <conditionalFormatting sqref="N81">
    <cfRule type="cellIs" dxfId="5369" priority="1795" operator="greaterThan">
      <formula>0.9</formula>
    </cfRule>
    <cfRule type="cellIs" dxfId="5368" priority="1796" operator="greaterThan">
      <formula>0.85</formula>
    </cfRule>
  </conditionalFormatting>
  <conditionalFormatting sqref="E81">
    <cfRule type="expression" dxfId="5367" priority="1791">
      <formula>AND(IF(OR($Q81=1,$Q81=2),1,0),IF($X81&lt;=20,1,0))</formula>
    </cfRule>
    <cfRule type="expression" dxfId="5366" priority="1792">
      <formula>AND(IF($Q81=2,1,0),IF($X81&lt;30,1,0))</formula>
    </cfRule>
    <cfRule type="expression" dxfId="5365" priority="1793">
      <formula>AND(IF($Q81=3,1,0),IF($X81&lt;30,1,0))</formula>
    </cfRule>
    <cfRule type="expression" dxfId="5364" priority="1794">
      <formula>AND(IF($Q81=3,1,IF($Q81=4,1,0)),IF($F81&lt;=85,1,0))</formula>
    </cfRule>
  </conditionalFormatting>
  <conditionalFormatting sqref="X81">
    <cfRule type="expression" dxfId="5363" priority="1787">
      <formula>AND(IF(OR($Q81=1,$Q81=2),1,0),IF($X81&lt;=20,1,0))</formula>
    </cfRule>
    <cfRule type="expression" dxfId="5362" priority="1788">
      <formula>AND(IF($Q81=2,1,0),IF($X81&lt;30,1,0))</formula>
    </cfRule>
    <cfRule type="expression" dxfId="5361" priority="1789">
      <formula>AND(IF($Q81=3,1,0),IF($X81&lt;30,1,0))</formula>
    </cfRule>
    <cfRule type="expression" dxfId="5360" priority="1790">
      <formula>AND(IF($Q81=3,1,IF($Q81=4,1,0)),IF($F81&lt;=85,1,0))</formula>
    </cfRule>
  </conditionalFormatting>
  <conditionalFormatting sqref="AI81">
    <cfRule type="expression" dxfId="5359" priority="1783">
      <formula>AND(IF(OR($Q81=1,$Q81=2),1,0),IF($X81&lt;=20,1,0))</formula>
    </cfRule>
    <cfRule type="expression" dxfId="5358" priority="1784">
      <formula>AND(IF($Q81=2,1,0),IF($X81&lt;30,1,0))</formula>
    </cfRule>
    <cfRule type="expression" dxfId="5357" priority="1785">
      <formula>AND(IF($Q81=3,1,0),IF($X81&lt;30,1,0))</formula>
    </cfRule>
    <cfRule type="expression" dxfId="5356" priority="1786">
      <formula>AND(IF($Q81=3,1,IF($Q81=4,1,0)),IF($F81&lt;=85,1,0))</formula>
    </cfRule>
  </conditionalFormatting>
  <conditionalFormatting sqref="AV82">
    <cfRule type="expression" dxfId="5355" priority="1781">
      <formula>AV82="X"</formula>
    </cfRule>
    <cfRule type="expression" dxfId="5354" priority="1782">
      <formula>AV82="후보"</formula>
    </cfRule>
  </conditionalFormatting>
  <conditionalFormatting sqref="AC82">
    <cfRule type="cellIs" dxfId="5353" priority="1779" operator="greaterThan">
      <formula>0.9</formula>
    </cfRule>
    <cfRule type="cellIs" dxfId="5352" priority="1780" operator="greaterThan">
      <formula>0.85</formula>
    </cfRule>
  </conditionalFormatting>
  <conditionalFormatting sqref="N82">
    <cfRule type="cellIs" dxfId="5351" priority="1777" operator="greaterThan">
      <formula>0.9</formula>
    </cfRule>
    <cfRule type="cellIs" dxfId="5350" priority="1778" operator="greaterThan">
      <formula>0.85</formula>
    </cfRule>
  </conditionalFormatting>
  <conditionalFormatting sqref="E82">
    <cfRule type="expression" dxfId="5349" priority="1773">
      <formula>AND(IF(OR($Q82=1,$Q82=2),1,0),IF($X82&lt;=20,1,0))</formula>
    </cfRule>
    <cfRule type="expression" dxfId="5348" priority="1774">
      <formula>AND(IF($Q82=2,1,0),IF($X82&lt;30,1,0))</formula>
    </cfRule>
    <cfRule type="expression" dxfId="5347" priority="1775">
      <formula>AND(IF($Q82=3,1,0),IF($X82&lt;30,1,0))</formula>
    </cfRule>
    <cfRule type="expression" dxfId="5346" priority="1776">
      <formula>AND(IF($Q82=3,1,IF($Q82=4,1,0)),IF($F82&lt;=85,1,0))</formula>
    </cfRule>
  </conditionalFormatting>
  <conditionalFormatting sqref="X82">
    <cfRule type="expression" dxfId="5345" priority="1769">
      <formula>AND(IF(OR($Q82=1,$Q82=2),1,0),IF($X82&lt;=20,1,0))</formula>
    </cfRule>
    <cfRule type="expression" dxfId="5344" priority="1770">
      <formula>AND(IF($Q82=2,1,0),IF($X82&lt;30,1,0))</formula>
    </cfRule>
    <cfRule type="expression" dxfId="5343" priority="1771">
      <formula>AND(IF($Q82=3,1,0),IF($X82&lt;30,1,0))</formula>
    </cfRule>
    <cfRule type="expression" dxfId="5342" priority="1772">
      <formula>AND(IF($Q82=3,1,IF($Q82=4,1,0)),IF($F82&lt;=85,1,0))</formula>
    </cfRule>
  </conditionalFormatting>
  <conditionalFormatting sqref="AI82">
    <cfRule type="expression" dxfId="5341" priority="1765">
      <formula>AND(IF(OR($Q82=1,$Q82=2),1,0),IF($X82&lt;=20,1,0))</formula>
    </cfRule>
    <cfRule type="expression" dxfId="5340" priority="1766">
      <formula>AND(IF($Q82=2,1,0),IF($X82&lt;30,1,0))</formula>
    </cfRule>
    <cfRule type="expression" dxfId="5339" priority="1767">
      <formula>AND(IF($Q82=3,1,0),IF($X82&lt;30,1,0))</formula>
    </cfRule>
    <cfRule type="expression" dxfId="5338" priority="1768">
      <formula>AND(IF($Q82=3,1,IF($Q82=4,1,0)),IF($F82&lt;=85,1,0))</formula>
    </cfRule>
  </conditionalFormatting>
  <conditionalFormatting sqref="AV83">
    <cfRule type="expression" dxfId="5337" priority="1763">
      <formula>AV83="X"</formula>
    </cfRule>
    <cfRule type="expression" dxfId="5336" priority="1764">
      <formula>AV83="후보"</formula>
    </cfRule>
  </conditionalFormatting>
  <conditionalFormatting sqref="AC83">
    <cfRule type="cellIs" dxfId="5335" priority="1761" operator="greaterThan">
      <formula>0.9</formula>
    </cfRule>
    <cfRule type="cellIs" dxfId="5334" priority="1762" operator="greaterThan">
      <formula>0.85</formula>
    </cfRule>
  </conditionalFormatting>
  <conditionalFormatting sqref="N83">
    <cfRule type="cellIs" dxfId="5333" priority="1759" operator="greaterThan">
      <formula>0.9</formula>
    </cfRule>
    <cfRule type="cellIs" dxfId="5332" priority="1760" operator="greaterThan">
      <formula>0.85</formula>
    </cfRule>
  </conditionalFormatting>
  <conditionalFormatting sqref="E83">
    <cfRule type="expression" dxfId="5331" priority="1755">
      <formula>AND(IF(OR($Q83=1,$Q83=2),1,0),IF($X83&lt;=20,1,0))</formula>
    </cfRule>
    <cfRule type="expression" dxfId="5330" priority="1756">
      <formula>AND(IF($Q83=2,1,0),IF($X83&lt;30,1,0))</formula>
    </cfRule>
    <cfRule type="expression" dxfId="5329" priority="1757">
      <formula>AND(IF($Q83=3,1,0),IF($X83&lt;30,1,0))</formula>
    </cfRule>
    <cfRule type="expression" dxfId="5328" priority="1758">
      <formula>AND(IF($Q83=3,1,IF($Q83=4,1,0)),IF($F83&lt;=85,1,0))</formula>
    </cfRule>
  </conditionalFormatting>
  <conditionalFormatting sqref="X83">
    <cfRule type="expression" dxfId="5327" priority="1751">
      <formula>AND(IF(OR($Q83=1,$Q83=2),1,0),IF($X83&lt;=20,1,0))</formula>
    </cfRule>
    <cfRule type="expression" dxfId="5326" priority="1752">
      <formula>AND(IF($Q83=2,1,0),IF($X83&lt;30,1,0))</formula>
    </cfRule>
    <cfRule type="expression" dxfId="5325" priority="1753">
      <formula>AND(IF($Q83=3,1,0),IF($X83&lt;30,1,0))</formula>
    </cfRule>
    <cfRule type="expression" dxfId="5324" priority="1754">
      <formula>AND(IF($Q83=3,1,IF($Q83=4,1,0)),IF($F83&lt;=85,1,0))</formula>
    </cfRule>
  </conditionalFormatting>
  <conditionalFormatting sqref="AI83">
    <cfRule type="expression" dxfId="5323" priority="1747">
      <formula>AND(IF(OR($Q83=1,$Q83=2),1,0),IF($X83&lt;=20,1,0))</formula>
    </cfRule>
    <cfRule type="expression" dxfId="5322" priority="1748">
      <formula>AND(IF($Q83=2,1,0),IF($X83&lt;30,1,0))</formula>
    </cfRule>
    <cfRule type="expression" dxfId="5321" priority="1749">
      <formula>AND(IF($Q83=3,1,0),IF($X83&lt;30,1,0))</formula>
    </cfRule>
    <cfRule type="expression" dxfId="5320" priority="1750">
      <formula>AND(IF($Q83=3,1,IF($Q83=4,1,0)),IF($F83&lt;=85,1,0))</formula>
    </cfRule>
  </conditionalFormatting>
  <conditionalFormatting sqref="AV84">
    <cfRule type="expression" dxfId="5319" priority="1745">
      <formula>AV84="X"</formula>
    </cfRule>
    <cfRule type="expression" dxfId="5318" priority="1746">
      <formula>AV84="후보"</formula>
    </cfRule>
  </conditionalFormatting>
  <conditionalFormatting sqref="AC84">
    <cfRule type="cellIs" dxfId="5317" priority="1743" operator="greaterThan">
      <formula>0.9</formula>
    </cfRule>
    <cfRule type="cellIs" dxfId="5316" priority="1744" operator="greaterThan">
      <formula>0.85</formula>
    </cfRule>
  </conditionalFormatting>
  <conditionalFormatting sqref="N84">
    <cfRule type="cellIs" dxfId="5315" priority="1741" operator="greaterThan">
      <formula>0.9</formula>
    </cfRule>
    <cfRule type="cellIs" dxfId="5314" priority="1742" operator="greaterThan">
      <formula>0.85</formula>
    </cfRule>
  </conditionalFormatting>
  <conditionalFormatting sqref="E84">
    <cfRule type="expression" dxfId="5313" priority="1737">
      <formula>AND(IF(OR($Q84=1,$Q84=2),1,0),IF($X84&lt;=20,1,0))</formula>
    </cfRule>
    <cfRule type="expression" dxfId="5312" priority="1738">
      <formula>AND(IF($Q84=2,1,0),IF($X84&lt;30,1,0))</formula>
    </cfRule>
    <cfRule type="expression" dxfId="5311" priority="1739">
      <formula>AND(IF($Q84=3,1,0),IF($X84&lt;30,1,0))</formula>
    </cfRule>
    <cfRule type="expression" dxfId="5310" priority="1740">
      <formula>AND(IF($Q84=3,1,IF($Q84=4,1,0)),IF($F84&lt;=85,1,0))</formula>
    </cfRule>
  </conditionalFormatting>
  <conditionalFormatting sqref="X84">
    <cfRule type="expression" dxfId="5309" priority="1733">
      <formula>AND(IF(OR($Q84=1,$Q84=2),1,0),IF($X84&lt;=20,1,0))</formula>
    </cfRule>
    <cfRule type="expression" dxfId="5308" priority="1734">
      <formula>AND(IF($Q84=2,1,0),IF($X84&lt;30,1,0))</formula>
    </cfRule>
    <cfRule type="expression" dxfId="5307" priority="1735">
      <formula>AND(IF($Q84=3,1,0),IF($X84&lt;30,1,0))</formula>
    </cfRule>
    <cfRule type="expression" dxfId="5306" priority="1736">
      <formula>AND(IF($Q84=3,1,IF($Q84=4,1,0)),IF($F84&lt;=85,1,0))</formula>
    </cfRule>
  </conditionalFormatting>
  <conditionalFormatting sqref="AI84">
    <cfRule type="expression" dxfId="5305" priority="1729">
      <formula>AND(IF(OR($Q84=1,$Q84=2),1,0),IF($X84&lt;=20,1,0))</formula>
    </cfRule>
    <cfRule type="expression" dxfId="5304" priority="1730">
      <formula>AND(IF($Q84=2,1,0),IF($X84&lt;30,1,0))</formula>
    </cfRule>
    <cfRule type="expression" dxfId="5303" priority="1731">
      <formula>AND(IF($Q84=3,1,0),IF($X84&lt;30,1,0))</formula>
    </cfRule>
    <cfRule type="expression" dxfId="5302" priority="1732">
      <formula>AND(IF($Q84=3,1,IF($Q84=4,1,0)),IF($F84&lt;=85,1,0))</formula>
    </cfRule>
  </conditionalFormatting>
  <conditionalFormatting sqref="AV85">
    <cfRule type="expression" dxfId="5301" priority="1727">
      <formula>AV85="X"</formula>
    </cfRule>
    <cfRule type="expression" dxfId="5300" priority="1728">
      <formula>AV85="후보"</formula>
    </cfRule>
  </conditionalFormatting>
  <conditionalFormatting sqref="AC85">
    <cfRule type="cellIs" dxfId="5299" priority="1725" operator="greaterThan">
      <formula>0.9</formula>
    </cfRule>
    <cfRule type="cellIs" dxfId="5298" priority="1726" operator="greaterThan">
      <formula>0.85</formula>
    </cfRule>
  </conditionalFormatting>
  <conditionalFormatting sqref="N85">
    <cfRule type="cellIs" dxfId="5297" priority="1723" operator="greaterThan">
      <formula>0.9</formula>
    </cfRule>
    <cfRule type="cellIs" dxfId="5296" priority="1724" operator="greaterThan">
      <formula>0.85</formula>
    </cfRule>
  </conditionalFormatting>
  <conditionalFormatting sqref="E85">
    <cfRule type="expression" dxfId="5295" priority="1719">
      <formula>AND(IF(OR($Q85=1,$Q85=2),1,0),IF($X85&lt;=20,1,0))</formula>
    </cfRule>
    <cfRule type="expression" dxfId="5294" priority="1720">
      <formula>AND(IF($Q85=2,1,0),IF($X85&lt;30,1,0))</formula>
    </cfRule>
    <cfRule type="expression" dxfId="5293" priority="1721">
      <formula>AND(IF($Q85=3,1,0),IF($X85&lt;30,1,0))</formula>
    </cfRule>
    <cfRule type="expression" dxfId="5292" priority="1722">
      <formula>AND(IF($Q85=3,1,IF($Q85=4,1,0)),IF($F85&lt;=85,1,0))</formula>
    </cfRule>
  </conditionalFormatting>
  <conditionalFormatting sqref="X85">
    <cfRule type="expression" dxfId="5291" priority="1715">
      <formula>AND(IF(OR($Q85=1,$Q85=2),1,0),IF($X85&lt;=20,1,0))</formula>
    </cfRule>
    <cfRule type="expression" dxfId="5290" priority="1716">
      <formula>AND(IF($Q85=2,1,0),IF($X85&lt;30,1,0))</formula>
    </cfRule>
    <cfRule type="expression" dxfId="5289" priority="1717">
      <formula>AND(IF($Q85=3,1,0),IF($X85&lt;30,1,0))</formula>
    </cfRule>
    <cfRule type="expression" dxfId="5288" priority="1718">
      <formula>AND(IF($Q85=3,1,IF($Q85=4,1,0)),IF($F85&lt;=85,1,0))</formula>
    </cfRule>
  </conditionalFormatting>
  <conditionalFormatting sqref="AI85">
    <cfRule type="expression" dxfId="5287" priority="1711">
      <formula>AND(IF(OR($Q85=1,$Q85=2),1,0),IF($X85&lt;=20,1,0))</formula>
    </cfRule>
    <cfRule type="expression" dxfId="5286" priority="1712">
      <formula>AND(IF($Q85=2,1,0),IF($X85&lt;30,1,0))</formula>
    </cfRule>
    <cfRule type="expression" dxfId="5285" priority="1713">
      <formula>AND(IF($Q85=3,1,0),IF($X85&lt;30,1,0))</formula>
    </cfRule>
    <cfRule type="expression" dxfId="5284" priority="1714">
      <formula>AND(IF($Q85=3,1,IF($Q85=4,1,0)),IF($F85&lt;=85,1,0))</formula>
    </cfRule>
  </conditionalFormatting>
  <conditionalFormatting sqref="AV86">
    <cfRule type="expression" dxfId="5283" priority="1709">
      <formula>AV86="X"</formula>
    </cfRule>
    <cfRule type="expression" dxfId="5282" priority="1710">
      <formula>AV86="후보"</formula>
    </cfRule>
  </conditionalFormatting>
  <conditionalFormatting sqref="AC86">
    <cfRule type="cellIs" dxfId="5281" priority="1707" operator="greaterThan">
      <formula>0.9</formula>
    </cfRule>
    <cfRule type="cellIs" dxfId="5280" priority="1708" operator="greaterThan">
      <formula>0.85</formula>
    </cfRule>
  </conditionalFormatting>
  <conditionalFormatting sqref="N86">
    <cfRule type="cellIs" dxfId="5279" priority="1705" operator="greaterThan">
      <formula>0.9</formula>
    </cfRule>
    <cfRule type="cellIs" dxfId="5278" priority="1706" operator="greaterThan">
      <formula>0.85</formula>
    </cfRule>
  </conditionalFormatting>
  <conditionalFormatting sqref="E86">
    <cfRule type="expression" dxfId="5277" priority="1701">
      <formula>AND(IF(OR($Q86=1,$Q86=2),1,0),IF($X86&lt;=20,1,0))</formula>
    </cfRule>
    <cfRule type="expression" dxfId="5276" priority="1702">
      <formula>AND(IF($Q86=2,1,0),IF($X86&lt;30,1,0))</formula>
    </cfRule>
    <cfRule type="expression" dxfId="5275" priority="1703">
      <formula>AND(IF($Q86=3,1,0),IF($X86&lt;30,1,0))</formula>
    </cfRule>
    <cfRule type="expression" dxfId="5274" priority="1704">
      <formula>AND(IF($Q86=3,1,IF($Q86=4,1,0)),IF($F86&lt;=85,1,0))</formula>
    </cfRule>
  </conditionalFormatting>
  <conditionalFormatting sqref="X86">
    <cfRule type="expression" dxfId="5273" priority="1697">
      <formula>AND(IF(OR($Q86=1,$Q86=2),1,0),IF($X86&lt;=20,1,0))</formula>
    </cfRule>
    <cfRule type="expression" dxfId="5272" priority="1698">
      <formula>AND(IF($Q86=2,1,0),IF($X86&lt;30,1,0))</formula>
    </cfRule>
    <cfRule type="expression" dxfId="5271" priority="1699">
      <formula>AND(IF($Q86=3,1,0),IF($X86&lt;30,1,0))</formula>
    </cfRule>
    <cfRule type="expression" dxfId="5270" priority="1700">
      <formula>AND(IF($Q86=3,1,IF($Q86=4,1,0)),IF($F86&lt;=85,1,0))</formula>
    </cfRule>
  </conditionalFormatting>
  <conditionalFormatting sqref="AI86">
    <cfRule type="expression" dxfId="5269" priority="1693">
      <formula>AND(IF(OR($Q86=1,$Q86=2),1,0),IF($X86&lt;=20,1,0))</formula>
    </cfRule>
    <cfRule type="expression" dxfId="5268" priority="1694">
      <formula>AND(IF($Q86=2,1,0),IF($X86&lt;30,1,0))</formula>
    </cfRule>
    <cfRule type="expression" dxfId="5267" priority="1695">
      <formula>AND(IF($Q86=3,1,0),IF($X86&lt;30,1,0))</formula>
    </cfRule>
    <cfRule type="expression" dxfId="5266" priority="1696">
      <formula>AND(IF($Q86=3,1,IF($Q86=4,1,0)),IF($F86&lt;=85,1,0))</formula>
    </cfRule>
  </conditionalFormatting>
  <conditionalFormatting sqref="AV87">
    <cfRule type="expression" dxfId="5265" priority="1691">
      <formula>AV87="X"</formula>
    </cfRule>
    <cfRule type="expression" dxfId="5264" priority="1692">
      <formula>AV87="후보"</formula>
    </cfRule>
  </conditionalFormatting>
  <conditionalFormatting sqref="AC87">
    <cfRule type="cellIs" dxfId="5263" priority="1689" operator="greaterThan">
      <formula>0.9</formula>
    </cfRule>
    <cfRule type="cellIs" dxfId="5262" priority="1690" operator="greaterThan">
      <formula>0.85</formula>
    </cfRule>
  </conditionalFormatting>
  <conditionalFormatting sqref="N87">
    <cfRule type="cellIs" dxfId="5261" priority="1687" operator="greaterThan">
      <formula>0.9</formula>
    </cfRule>
    <cfRule type="cellIs" dxfId="5260" priority="1688" operator="greaterThan">
      <formula>0.85</formula>
    </cfRule>
  </conditionalFormatting>
  <conditionalFormatting sqref="E87">
    <cfRule type="expression" dxfId="5259" priority="1683">
      <formula>AND(IF(OR($Q87=1,$Q87=2),1,0),IF($X87&lt;=20,1,0))</formula>
    </cfRule>
    <cfRule type="expression" dxfId="5258" priority="1684">
      <formula>AND(IF($Q87=2,1,0),IF($X87&lt;30,1,0))</formula>
    </cfRule>
    <cfRule type="expression" dxfId="5257" priority="1685">
      <formula>AND(IF($Q87=3,1,0),IF($X87&lt;30,1,0))</formula>
    </cfRule>
    <cfRule type="expression" dxfId="5256" priority="1686">
      <formula>AND(IF($Q87=3,1,IF($Q87=4,1,0)),IF($F87&lt;=85,1,0))</formula>
    </cfRule>
  </conditionalFormatting>
  <conditionalFormatting sqref="X87">
    <cfRule type="expression" dxfId="5255" priority="1679">
      <formula>AND(IF(OR($Q87=1,$Q87=2),1,0),IF($X87&lt;=20,1,0))</formula>
    </cfRule>
    <cfRule type="expression" dxfId="5254" priority="1680">
      <formula>AND(IF($Q87=2,1,0),IF($X87&lt;30,1,0))</formula>
    </cfRule>
    <cfRule type="expression" dxfId="5253" priority="1681">
      <formula>AND(IF($Q87=3,1,0),IF($X87&lt;30,1,0))</formula>
    </cfRule>
    <cfRule type="expression" dxfId="5252" priority="1682">
      <formula>AND(IF($Q87=3,1,IF($Q87=4,1,0)),IF($F87&lt;=85,1,0))</formula>
    </cfRule>
  </conditionalFormatting>
  <conditionalFormatting sqref="AI87">
    <cfRule type="expression" dxfId="5251" priority="1675">
      <formula>AND(IF(OR($Q87=1,$Q87=2),1,0),IF($X87&lt;=20,1,0))</formula>
    </cfRule>
    <cfRule type="expression" dxfId="5250" priority="1676">
      <formula>AND(IF($Q87=2,1,0),IF($X87&lt;30,1,0))</formula>
    </cfRule>
    <cfRule type="expression" dxfId="5249" priority="1677">
      <formula>AND(IF($Q87=3,1,0),IF($X87&lt;30,1,0))</formula>
    </cfRule>
    <cfRule type="expression" dxfId="5248" priority="1678">
      <formula>AND(IF($Q87=3,1,IF($Q87=4,1,0)),IF($F87&lt;=85,1,0))</formula>
    </cfRule>
  </conditionalFormatting>
  <conditionalFormatting sqref="AV88">
    <cfRule type="expression" dxfId="5247" priority="1673">
      <formula>AV88="X"</formula>
    </cfRule>
    <cfRule type="expression" dxfId="5246" priority="1674">
      <formula>AV88="후보"</formula>
    </cfRule>
  </conditionalFormatting>
  <conditionalFormatting sqref="AC88">
    <cfRule type="cellIs" dxfId="5245" priority="1671" operator="greaterThan">
      <formula>0.9</formula>
    </cfRule>
    <cfRule type="cellIs" dxfId="5244" priority="1672" operator="greaterThan">
      <formula>0.85</formula>
    </cfRule>
  </conditionalFormatting>
  <conditionalFormatting sqref="N88">
    <cfRule type="cellIs" dxfId="5243" priority="1669" operator="greaterThan">
      <formula>0.9</formula>
    </cfRule>
    <cfRule type="cellIs" dxfId="5242" priority="1670" operator="greaterThan">
      <formula>0.85</formula>
    </cfRule>
  </conditionalFormatting>
  <conditionalFormatting sqref="E88">
    <cfRule type="expression" dxfId="5241" priority="1665">
      <formula>AND(IF(OR($Q88=1,$Q88=2),1,0),IF($X88&lt;=20,1,0))</formula>
    </cfRule>
    <cfRule type="expression" dxfId="5240" priority="1666">
      <formula>AND(IF($Q88=2,1,0),IF($X88&lt;30,1,0))</formula>
    </cfRule>
    <cfRule type="expression" dxfId="5239" priority="1667">
      <formula>AND(IF($Q88=3,1,0),IF($X88&lt;30,1,0))</formula>
    </cfRule>
    <cfRule type="expression" dxfId="5238" priority="1668">
      <formula>AND(IF($Q88=3,1,IF($Q88=4,1,0)),IF($F88&lt;=85,1,0))</formula>
    </cfRule>
  </conditionalFormatting>
  <conditionalFormatting sqref="X88">
    <cfRule type="expression" dxfId="5237" priority="1661">
      <formula>AND(IF(OR($Q88=1,$Q88=2),1,0),IF($X88&lt;=20,1,0))</formula>
    </cfRule>
    <cfRule type="expression" dxfId="5236" priority="1662">
      <formula>AND(IF($Q88=2,1,0),IF($X88&lt;30,1,0))</formula>
    </cfRule>
    <cfRule type="expression" dxfId="5235" priority="1663">
      <formula>AND(IF($Q88=3,1,0),IF($X88&lt;30,1,0))</formula>
    </cfRule>
    <cfRule type="expression" dxfId="5234" priority="1664">
      <formula>AND(IF($Q88=3,1,IF($Q88=4,1,0)),IF($F88&lt;=85,1,0))</formula>
    </cfRule>
  </conditionalFormatting>
  <conditionalFormatting sqref="AI88">
    <cfRule type="expression" dxfId="5233" priority="1657">
      <formula>AND(IF(OR($Q88=1,$Q88=2),1,0),IF($X88&lt;=20,1,0))</formula>
    </cfRule>
    <cfRule type="expression" dxfId="5232" priority="1658">
      <formula>AND(IF($Q88=2,1,0),IF($X88&lt;30,1,0))</formula>
    </cfRule>
    <cfRule type="expression" dxfId="5231" priority="1659">
      <formula>AND(IF($Q88=3,1,0),IF($X88&lt;30,1,0))</formula>
    </cfRule>
    <cfRule type="expression" dxfId="5230" priority="1660">
      <formula>AND(IF($Q88=3,1,IF($Q88=4,1,0)),IF($F88&lt;=85,1,0))</formula>
    </cfRule>
  </conditionalFormatting>
  <conditionalFormatting sqref="AV89">
    <cfRule type="expression" dxfId="5229" priority="1655">
      <formula>AV89="X"</formula>
    </cfRule>
    <cfRule type="expression" dxfId="5228" priority="1656">
      <formula>AV89="후보"</formula>
    </cfRule>
  </conditionalFormatting>
  <conditionalFormatting sqref="AC89">
    <cfRule type="cellIs" dxfId="5227" priority="1653" operator="greaterThan">
      <formula>0.9</formula>
    </cfRule>
    <cfRule type="cellIs" dxfId="5226" priority="1654" operator="greaterThan">
      <formula>0.85</formula>
    </cfRule>
  </conditionalFormatting>
  <conditionalFormatting sqref="N89">
    <cfRule type="cellIs" dxfId="5225" priority="1651" operator="greaterThan">
      <formula>0.9</formula>
    </cfRule>
    <cfRule type="cellIs" dxfId="5224" priority="1652" operator="greaterThan">
      <formula>0.85</formula>
    </cfRule>
  </conditionalFormatting>
  <conditionalFormatting sqref="E89">
    <cfRule type="expression" dxfId="5223" priority="1647">
      <formula>AND(IF(OR($Q89=1,$Q89=2),1,0),IF($X89&lt;=20,1,0))</formula>
    </cfRule>
    <cfRule type="expression" dxfId="5222" priority="1648">
      <formula>AND(IF($Q89=2,1,0),IF($X89&lt;30,1,0))</formula>
    </cfRule>
    <cfRule type="expression" dxfId="5221" priority="1649">
      <formula>AND(IF($Q89=3,1,0),IF($X89&lt;30,1,0))</formula>
    </cfRule>
    <cfRule type="expression" dxfId="5220" priority="1650">
      <formula>AND(IF($Q89=3,1,IF($Q89=4,1,0)),IF($F89&lt;=85,1,0))</formula>
    </cfRule>
  </conditionalFormatting>
  <conditionalFormatting sqref="X89">
    <cfRule type="expression" dxfId="5219" priority="1643">
      <formula>AND(IF(OR($Q89=1,$Q89=2),1,0),IF($X89&lt;=20,1,0))</formula>
    </cfRule>
    <cfRule type="expression" dxfId="5218" priority="1644">
      <formula>AND(IF($Q89=2,1,0),IF($X89&lt;30,1,0))</formula>
    </cfRule>
    <cfRule type="expression" dxfId="5217" priority="1645">
      <formula>AND(IF($Q89=3,1,0),IF($X89&lt;30,1,0))</formula>
    </cfRule>
    <cfRule type="expression" dxfId="5216" priority="1646">
      <formula>AND(IF($Q89=3,1,IF($Q89=4,1,0)),IF($F89&lt;=85,1,0))</formula>
    </cfRule>
  </conditionalFormatting>
  <conditionalFormatting sqref="AI89">
    <cfRule type="expression" dxfId="5215" priority="1639">
      <formula>AND(IF(OR($Q89=1,$Q89=2),1,0),IF($X89&lt;=20,1,0))</formula>
    </cfRule>
    <cfRule type="expression" dxfId="5214" priority="1640">
      <formula>AND(IF($Q89=2,1,0),IF($X89&lt;30,1,0))</formula>
    </cfRule>
    <cfRule type="expression" dxfId="5213" priority="1641">
      <formula>AND(IF($Q89=3,1,0),IF($X89&lt;30,1,0))</formula>
    </cfRule>
    <cfRule type="expression" dxfId="5212" priority="1642">
      <formula>AND(IF($Q89=3,1,IF($Q89=4,1,0)),IF($F89&lt;=85,1,0))</formula>
    </cfRule>
  </conditionalFormatting>
  <conditionalFormatting sqref="AV90">
    <cfRule type="expression" dxfId="5211" priority="1637">
      <formula>AV90="X"</formula>
    </cfRule>
    <cfRule type="expression" dxfId="5210" priority="1638">
      <formula>AV90="후보"</formula>
    </cfRule>
  </conditionalFormatting>
  <conditionalFormatting sqref="AC90">
    <cfRule type="cellIs" dxfId="5209" priority="1635" operator="greaterThan">
      <formula>0.9</formula>
    </cfRule>
    <cfRule type="cellIs" dxfId="5208" priority="1636" operator="greaterThan">
      <formula>0.85</formula>
    </cfRule>
  </conditionalFormatting>
  <conditionalFormatting sqref="N90">
    <cfRule type="cellIs" dxfId="5207" priority="1633" operator="greaterThan">
      <formula>0.9</formula>
    </cfRule>
    <cfRule type="cellIs" dxfId="5206" priority="1634" operator="greaterThan">
      <formula>0.85</formula>
    </cfRule>
  </conditionalFormatting>
  <conditionalFormatting sqref="E90">
    <cfRule type="expression" dxfId="5205" priority="1629">
      <formula>AND(IF(OR($Q90=1,$Q90=2),1,0),IF($X90&lt;=20,1,0))</formula>
    </cfRule>
    <cfRule type="expression" dxfId="5204" priority="1630">
      <formula>AND(IF($Q90=2,1,0),IF($X90&lt;30,1,0))</formula>
    </cfRule>
    <cfRule type="expression" dxfId="5203" priority="1631">
      <formula>AND(IF($Q90=3,1,0),IF($X90&lt;30,1,0))</formula>
    </cfRule>
    <cfRule type="expression" dxfId="5202" priority="1632">
      <formula>AND(IF($Q90=3,1,IF($Q90=4,1,0)),IF($F90&lt;=85,1,0))</formula>
    </cfRule>
  </conditionalFormatting>
  <conditionalFormatting sqref="X90">
    <cfRule type="expression" dxfId="5201" priority="1625">
      <formula>AND(IF(OR($Q90=1,$Q90=2),1,0),IF($X90&lt;=20,1,0))</formula>
    </cfRule>
    <cfRule type="expression" dxfId="5200" priority="1626">
      <formula>AND(IF($Q90=2,1,0),IF($X90&lt;30,1,0))</formula>
    </cfRule>
    <cfRule type="expression" dxfId="5199" priority="1627">
      <formula>AND(IF($Q90=3,1,0),IF($X90&lt;30,1,0))</formula>
    </cfRule>
    <cfRule type="expression" dxfId="5198" priority="1628">
      <formula>AND(IF($Q90=3,1,IF($Q90=4,1,0)),IF($F90&lt;=85,1,0))</formula>
    </cfRule>
  </conditionalFormatting>
  <conditionalFormatting sqref="AI90">
    <cfRule type="expression" dxfId="5197" priority="1621">
      <formula>AND(IF(OR($Q90=1,$Q90=2),1,0),IF($X90&lt;=20,1,0))</formula>
    </cfRule>
    <cfRule type="expression" dxfId="5196" priority="1622">
      <formula>AND(IF($Q90=2,1,0),IF($X90&lt;30,1,0))</formula>
    </cfRule>
    <cfRule type="expression" dxfId="5195" priority="1623">
      <formula>AND(IF($Q90=3,1,0),IF($X90&lt;30,1,0))</formula>
    </cfRule>
    <cfRule type="expression" dxfId="5194" priority="1624">
      <formula>AND(IF($Q90=3,1,IF($Q90=4,1,0)),IF($F90&lt;=85,1,0))</formula>
    </cfRule>
  </conditionalFormatting>
  <conditionalFormatting sqref="AV91">
    <cfRule type="expression" dxfId="5193" priority="1619">
      <formula>AV91="X"</formula>
    </cfRule>
    <cfRule type="expression" dxfId="5192" priority="1620">
      <formula>AV91="후보"</formula>
    </cfRule>
  </conditionalFormatting>
  <conditionalFormatting sqref="AC91">
    <cfRule type="cellIs" dxfId="5191" priority="1617" operator="greaterThan">
      <formula>0.9</formula>
    </cfRule>
    <cfRule type="cellIs" dxfId="5190" priority="1618" operator="greaterThan">
      <formula>0.85</formula>
    </cfRule>
  </conditionalFormatting>
  <conditionalFormatting sqref="N91">
    <cfRule type="cellIs" dxfId="5189" priority="1615" operator="greaterThan">
      <formula>0.9</formula>
    </cfRule>
    <cfRule type="cellIs" dxfId="5188" priority="1616" operator="greaterThan">
      <formula>0.85</formula>
    </cfRule>
  </conditionalFormatting>
  <conditionalFormatting sqref="E91">
    <cfRule type="expression" dxfId="5187" priority="1611">
      <formula>AND(IF(OR($Q91=1,$Q91=2),1,0),IF($X91&lt;=20,1,0))</formula>
    </cfRule>
    <cfRule type="expression" dxfId="5186" priority="1612">
      <formula>AND(IF($Q91=2,1,0),IF($X91&lt;30,1,0))</formula>
    </cfRule>
    <cfRule type="expression" dxfId="5185" priority="1613">
      <formula>AND(IF($Q91=3,1,0),IF($X91&lt;30,1,0))</formula>
    </cfRule>
    <cfRule type="expression" dxfId="5184" priority="1614">
      <formula>AND(IF($Q91=3,1,IF($Q91=4,1,0)),IF($F91&lt;=85,1,0))</formula>
    </cfRule>
  </conditionalFormatting>
  <conditionalFormatting sqref="X91">
    <cfRule type="expression" dxfId="5183" priority="1607">
      <formula>AND(IF(OR($Q91=1,$Q91=2),1,0),IF($X91&lt;=20,1,0))</formula>
    </cfRule>
    <cfRule type="expression" dxfId="5182" priority="1608">
      <formula>AND(IF($Q91=2,1,0),IF($X91&lt;30,1,0))</formula>
    </cfRule>
    <cfRule type="expression" dxfId="5181" priority="1609">
      <formula>AND(IF($Q91=3,1,0),IF($X91&lt;30,1,0))</formula>
    </cfRule>
    <cfRule type="expression" dxfId="5180" priority="1610">
      <formula>AND(IF($Q91=3,1,IF($Q91=4,1,0)),IF($F91&lt;=85,1,0))</formula>
    </cfRule>
  </conditionalFormatting>
  <conditionalFormatting sqref="AI91">
    <cfRule type="expression" dxfId="5179" priority="1603">
      <formula>AND(IF(OR($Q91=1,$Q91=2),1,0),IF($X91&lt;=20,1,0))</formula>
    </cfRule>
    <cfRule type="expression" dxfId="5178" priority="1604">
      <formula>AND(IF($Q91=2,1,0),IF($X91&lt;30,1,0))</formula>
    </cfRule>
    <cfRule type="expression" dxfId="5177" priority="1605">
      <formula>AND(IF($Q91=3,1,0),IF($X91&lt;30,1,0))</formula>
    </cfRule>
    <cfRule type="expression" dxfId="5176" priority="1606">
      <formula>AND(IF($Q91=3,1,IF($Q91=4,1,0)),IF($F91&lt;=85,1,0))</formula>
    </cfRule>
  </conditionalFormatting>
  <conditionalFormatting sqref="AV92">
    <cfRule type="expression" dxfId="5175" priority="1601">
      <formula>AV92="X"</formula>
    </cfRule>
    <cfRule type="expression" dxfId="5174" priority="1602">
      <formula>AV92="후보"</formula>
    </cfRule>
  </conditionalFormatting>
  <conditionalFormatting sqref="AC92">
    <cfRule type="cellIs" dxfId="5173" priority="1599" operator="greaterThan">
      <formula>0.9</formula>
    </cfRule>
    <cfRule type="cellIs" dxfId="5172" priority="1600" operator="greaterThan">
      <formula>0.85</formula>
    </cfRule>
  </conditionalFormatting>
  <conditionalFormatting sqref="N92">
    <cfRule type="cellIs" dxfId="5171" priority="1597" operator="greaterThan">
      <formula>0.9</formula>
    </cfRule>
    <cfRule type="cellIs" dxfId="5170" priority="1598" operator="greaterThan">
      <formula>0.85</formula>
    </cfRule>
  </conditionalFormatting>
  <conditionalFormatting sqref="E92">
    <cfRule type="expression" dxfId="5169" priority="1593">
      <formula>AND(IF(OR($Q92=1,$Q92=2),1,0),IF($X92&lt;=20,1,0))</formula>
    </cfRule>
    <cfRule type="expression" dxfId="5168" priority="1594">
      <formula>AND(IF($Q92=2,1,0),IF($X92&lt;30,1,0))</formula>
    </cfRule>
    <cfRule type="expression" dxfId="5167" priority="1595">
      <formula>AND(IF($Q92=3,1,0),IF($X92&lt;30,1,0))</formula>
    </cfRule>
    <cfRule type="expression" dxfId="5166" priority="1596">
      <formula>AND(IF($Q92=3,1,IF($Q92=4,1,0)),IF($F92&lt;=85,1,0))</formula>
    </cfRule>
  </conditionalFormatting>
  <conditionalFormatting sqref="X92">
    <cfRule type="expression" dxfId="5165" priority="1589">
      <formula>AND(IF(OR($Q92=1,$Q92=2),1,0),IF($X92&lt;=20,1,0))</formula>
    </cfRule>
    <cfRule type="expression" dxfId="5164" priority="1590">
      <formula>AND(IF($Q92=2,1,0),IF($X92&lt;30,1,0))</formula>
    </cfRule>
    <cfRule type="expression" dxfId="5163" priority="1591">
      <formula>AND(IF($Q92=3,1,0),IF($X92&lt;30,1,0))</formula>
    </cfRule>
    <cfRule type="expression" dxfId="5162" priority="1592">
      <formula>AND(IF($Q92=3,1,IF($Q92=4,1,0)),IF($F92&lt;=85,1,0))</formula>
    </cfRule>
  </conditionalFormatting>
  <conditionalFormatting sqref="AI92">
    <cfRule type="expression" dxfId="5161" priority="1585">
      <formula>AND(IF(OR($Q92=1,$Q92=2),1,0),IF($X92&lt;=20,1,0))</formula>
    </cfRule>
    <cfRule type="expression" dxfId="5160" priority="1586">
      <formula>AND(IF($Q92=2,1,0),IF($X92&lt;30,1,0))</formula>
    </cfRule>
    <cfRule type="expression" dxfId="5159" priority="1587">
      <formula>AND(IF($Q92=3,1,0),IF($X92&lt;30,1,0))</formula>
    </cfRule>
    <cfRule type="expression" dxfId="5158" priority="1588">
      <formula>AND(IF($Q92=3,1,IF($Q92=4,1,0)),IF($F92&lt;=85,1,0))</formula>
    </cfRule>
  </conditionalFormatting>
  <conditionalFormatting sqref="AV93">
    <cfRule type="expression" dxfId="5157" priority="1583">
      <formula>AV93="X"</formula>
    </cfRule>
    <cfRule type="expression" dxfId="5156" priority="1584">
      <formula>AV93="후보"</formula>
    </cfRule>
  </conditionalFormatting>
  <conditionalFormatting sqref="AC93">
    <cfRule type="cellIs" dxfId="5155" priority="1581" operator="greaterThan">
      <formula>0.9</formula>
    </cfRule>
    <cfRule type="cellIs" dxfId="5154" priority="1582" operator="greaterThan">
      <formula>0.85</formula>
    </cfRule>
  </conditionalFormatting>
  <conditionalFormatting sqref="N93">
    <cfRule type="cellIs" dxfId="5153" priority="1579" operator="greaterThan">
      <formula>0.9</formula>
    </cfRule>
    <cfRule type="cellIs" dxfId="5152" priority="1580" operator="greaterThan">
      <formula>0.85</formula>
    </cfRule>
  </conditionalFormatting>
  <conditionalFormatting sqref="E93">
    <cfRule type="expression" dxfId="5151" priority="1575">
      <formula>AND(IF(OR($Q93=1,$Q93=2),1,0),IF($X93&lt;=20,1,0))</formula>
    </cfRule>
    <cfRule type="expression" dxfId="5150" priority="1576">
      <formula>AND(IF($Q93=2,1,0),IF($X93&lt;30,1,0))</formula>
    </cfRule>
    <cfRule type="expression" dxfId="5149" priority="1577">
      <formula>AND(IF($Q93=3,1,0),IF($X93&lt;30,1,0))</formula>
    </cfRule>
    <cfRule type="expression" dxfId="5148" priority="1578">
      <formula>AND(IF($Q93=3,1,IF($Q93=4,1,0)),IF($F93&lt;=85,1,0))</formula>
    </cfRule>
  </conditionalFormatting>
  <conditionalFormatting sqref="X93">
    <cfRule type="expression" dxfId="5147" priority="1571">
      <formula>AND(IF(OR($Q93=1,$Q93=2),1,0),IF($X93&lt;=20,1,0))</formula>
    </cfRule>
    <cfRule type="expression" dxfId="5146" priority="1572">
      <formula>AND(IF($Q93=2,1,0),IF($X93&lt;30,1,0))</formula>
    </cfRule>
    <cfRule type="expression" dxfId="5145" priority="1573">
      <formula>AND(IF($Q93=3,1,0),IF($X93&lt;30,1,0))</formula>
    </cfRule>
    <cfRule type="expression" dxfId="5144" priority="1574">
      <formula>AND(IF($Q93=3,1,IF($Q93=4,1,0)),IF($F93&lt;=85,1,0))</formula>
    </cfRule>
  </conditionalFormatting>
  <conditionalFormatting sqref="AI93">
    <cfRule type="expression" dxfId="5143" priority="1567">
      <formula>AND(IF(OR($Q93=1,$Q93=2),1,0),IF($X93&lt;=20,1,0))</formula>
    </cfRule>
    <cfRule type="expression" dxfId="5142" priority="1568">
      <formula>AND(IF($Q93=2,1,0),IF($X93&lt;30,1,0))</formula>
    </cfRule>
    <cfRule type="expression" dxfId="5141" priority="1569">
      <formula>AND(IF($Q93=3,1,0),IF($X93&lt;30,1,0))</formula>
    </cfRule>
    <cfRule type="expression" dxfId="5140" priority="1570">
      <formula>AND(IF($Q93=3,1,IF($Q93=4,1,0)),IF($F93&lt;=85,1,0))</formula>
    </cfRule>
  </conditionalFormatting>
  <conditionalFormatting sqref="AV94">
    <cfRule type="expression" dxfId="5139" priority="1565">
      <formula>AV94="X"</formula>
    </cfRule>
    <cfRule type="expression" dxfId="5138" priority="1566">
      <formula>AV94="후보"</formula>
    </cfRule>
  </conditionalFormatting>
  <conditionalFormatting sqref="AC94">
    <cfRule type="cellIs" dxfId="5137" priority="1563" operator="greaterThan">
      <formula>0.9</formula>
    </cfRule>
    <cfRule type="cellIs" dxfId="5136" priority="1564" operator="greaterThan">
      <formula>0.85</formula>
    </cfRule>
  </conditionalFormatting>
  <conditionalFormatting sqref="N94">
    <cfRule type="cellIs" dxfId="5135" priority="1561" operator="greaterThan">
      <formula>0.9</formula>
    </cfRule>
    <cfRule type="cellIs" dxfId="5134" priority="1562" operator="greaterThan">
      <formula>0.85</formula>
    </cfRule>
  </conditionalFormatting>
  <conditionalFormatting sqref="E94">
    <cfRule type="expression" dxfId="5133" priority="1557">
      <formula>AND(IF(OR($Q94=1,$Q94=2),1,0),IF($X94&lt;=20,1,0))</formula>
    </cfRule>
    <cfRule type="expression" dxfId="5132" priority="1558">
      <formula>AND(IF($Q94=2,1,0),IF($X94&lt;30,1,0))</formula>
    </cfRule>
    <cfRule type="expression" dxfId="5131" priority="1559">
      <formula>AND(IF($Q94=3,1,0),IF($X94&lt;30,1,0))</formula>
    </cfRule>
    <cfRule type="expression" dxfId="5130" priority="1560">
      <formula>AND(IF($Q94=3,1,IF($Q94=4,1,0)),IF($F94&lt;=85,1,0))</formula>
    </cfRule>
  </conditionalFormatting>
  <conditionalFormatting sqref="X94">
    <cfRule type="expression" dxfId="5129" priority="1553">
      <formula>AND(IF(OR($Q94=1,$Q94=2),1,0),IF($X94&lt;=20,1,0))</formula>
    </cfRule>
    <cfRule type="expression" dxfId="5128" priority="1554">
      <formula>AND(IF($Q94=2,1,0),IF($X94&lt;30,1,0))</formula>
    </cfRule>
    <cfRule type="expression" dxfId="5127" priority="1555">
      <formula>AND(IF($Q94=3,1,0),IF($X94&lt;30,1,0))</formula>
    </cfRule>
    <cfRule type="expression" dxfId="5126" priority="1556">
      <formula>AND(IF($Q94=3,1,IF($Q94=4,1,0)),IF($F94&lt;=85,1,0))</formula>
    </cfRule>
  </conditionalFormatting>
  <conditionalFormatting sqref="AI94">
    <cfRule type="expression" dxfId="5125" priority="1549">
      <formula>AND(IF(OR($Q94=1,$Q94=2),1,0),IF($X94&lt;=20,1,0))</formula>
    </cfRule>
    <cfRule type="expression" dxfId="5124" priority="1550">
      <formula>AND(IF($Q94=2,1,0),IF($X94&lt;30,1,0))</formula>
    </cfRule>
    <cfRule type="expression" dxfId="5123" priority="1551">
      <formula>AND(IF($Q94=3,1,0),IF($X94&lt;30,1,0))</formula>
    </cfRule>
    <cfRule type="expression" dxfId="5122" priority="1552">
      <formula>AND(IF($Q94=3,1,IF($Q94=4,1,0)),IF($F94&lt;=85,1,0))</formula>
    </cfRule>
  </conditionalFormatting>
  <conditionalFormatting sqref="AV95">
    <cfRule type="expression" dxfId="5121" priority="1547">
      <formula>AV95="X"</formula>
    </cfRule>
    <cfRule type="expression" dxfId="5120" priority="1548">
      <formula>AV95="후보"</formula>
    </cfRule>
  </conditionalFormatting>
  <conditionalFormatting sqref="AC95">
    <cfRule type="cellIs" dxfId="5119" priority="1545" operator="greaterThan">
      <formula>0.9</formula>
    </cfRule>
    <cfRule type="cellIs" dxfId="5118" priority="1546" operator="greaterThan">
      <formula>0.85</formula>
    </cfRule>
  </conditionalFormatting>
  <conditionalFormatting sqref="N95">
    <cfRule type="cellIs" dxfId="5117" priority="1543" operator="greaterThan">
      <formula>0.9</formula>
    </cfRule>
    <cfRule type="cellIs" dxfId="5116" priority="1544" operator="greaterThan">
      <formula>0.85</formula>
    </cfRule>
  </conditionalFormatting>
  <conditionalFormatting sqref="E95">
    <cfRule type="expression" dxfId="5115" priority="1539">
      <formula>AND(IF(OR($Q95=1,$Q95=2),1,0),IF($X95&lt;=20,1,0))</formula>
    </cfRule>
    <cfRule type="expression" dxfId="5114" priority="1540">
      <formula>AND(IF($Q95=2,1,0),IF($X95&lt;30,1,0))</formula>
    </cfRule>
    <cfRule type="expression" dxfId="5113" priority="1541">
      <formula>AND(IF($Q95=3,1,0),IF($X95&lt;30,1,0))</formula>
    </cfRule>
    <cfRule type="expression" dxfId="5112" priority="1542">
      <formula>AND(IF($Q95=3,1,IF($Q95=4,1,0)),IF($F95&lt;=85,1,0))</formula>
    </cfRule>
  </conditionalFormatting>
  <conditionalFormatting sqref="X95">
    <cfRule type="expression" dxfId="5111" priority="1535">
      <formula>AND(IF(OR($Q95=1,$Q95=2),1,0),IF($X95&lt;=20,1,0))</formula>
    </cfRule>
    <cfRule type="expression" dxfId="5110" priority="1536">
      <formula>AND(IF($Q95=2,1,0),IF($X95&lt;30,1,0))</formula>
    </cfRule>
    <cfRule type="expression" dxfId="5109" priority="1537">
      <formula>AND(IF($Q95=3,1,0),IF($X95&lt;30,1,0))</formula>
    </cfRule>
    <cfRule type="expression" dxfId="5108" priority="1538">
      <formula>AND(IF($Q95=3,1,IF($Q95=4,1,0)),IF($F95&lt;=85,1,0))</formula>
    </cfRule>
  </conditionalFormatting>
  <conditionalFormatting sqref="AI95">
    <cfRule type="expression" dxfId="5107" priority="1531">
      <formula>AND(IF(OR($Q95=1,$Q95=2),1,0),IF($X95&lt;=20,1,0))</formula>
    </cfRule>
    <cfRule type="expression" dxfId="5106" priority="1532">
      <formula>AND(IF($Q95=2,1,0),IF($X95&lt;30,1,0))</formula>
    </cfRule>
    <cfRule type="expression" dxfId="5105" priority="1533">
      <formula>AND(IF($Q95=3,1,0),IF($X95&lt;30,1,0))</formula>
    </cfRule>
    <cfRule type="expression" dxfId="5104" priority="1534">
      <formula>AND(IF($Q95=3,1,IF($Q95=4,1,0)),IF($F95&lt;=85,1,0))</formula>
    </cfRule>
  </conditionalFormatting>
  <conditionalFormatting sqref="AV96">
    <cfRule type="expression" dxfId="5103" priority="1529">
      <formula>AV96="X"</formula>
    </cfRule>
    <cfRule type="expression" dxfId="5102" priority="1530">
      <formula>AV96="후보"</formula>
    </cfRule>
  </conditionalFormatting>
  <conditionalFormatting sqref="AC96">
    <cfRule type="cellIs" dxfId="5101" priority="1527" operator="greaterThan">
      <formula>0.9</formula>
    </cfRule>
    <cfRule type="cellIs" dxfId="5100" priority="1528" operator="greaterThan">
      <formula>0.85</formula>
    </cfRule>
  </conditionalFormatting>
  <conditionalFormatting sqref="N96">
    <cfRule type="cellIs" dxfId="5099" priority="1525" operator="greaterThan">
      <formula>0.9</formula>
    </cfRule>
    <cfRule type="cellIs" dxfId="5098" priority="1526" operator="greaterThan">
      <formula>0.85</formula>
    </cfRule>
  </conditionalFormatting>
  <conditionalFormatting sqref="E96">
    <cfRule type="expression" dxfId="5097" priority="1521">
      <formula>AND(IF(OR($Q96=1,$Q96=2),1,0),IF($X96&lt;=20,1,0))</formula>
    </cfRule>
    <cfRule type="expression" dxfId="5096" priority="1522">
      <formula>AND(IF($Q96=2,1,0),IF($X96&lt;30,1,0))</formula>
    </cfRule>
    <cfRule type="expression" dxfId="5095" priority="1523">
      <formula>AND(IF($Q96=3,1,0),IF($X96&lt;30,1,0))</formula>
    </cfRule>
    <cfRule type="expression" dxfId="5094" priority="1524">
      <formula>AND(IF($Q96=3,1,IF($Q96=4,1,0)),IF($F96&lt;=85,1,0))</formula>
    </cfRule>
  </conditionalFormatting>
  <conditionalFormatting sqref="X96">
    <cfRule type="expression" dxfId="5093" priority="1517">
      <formula>AND(IF(OR($Q96=1,$Q96=2),1,0),IF($X96&lt;=20,1,0))</formula>
    </cfRule>
    <cfRule type="expression" dxfId="5092" priority="1518">
      <formula>AND(IF($Q96=2,1,0),IF($X96&lt;30,1,0))</formula>
    </cfRule>
    <cfRule type="expression" dxfId="5091" priority="1519">
      <formula>AND(IF($Q96=3,1,0),IF($X96&lt;30,1,0))</formula>
    </cfRule>
    <cfRule type="expression" dxfId="5090" priority="1520">
      <formula>AND(IF($Q96=3,1,IF($Q96=4,1,0)),IF($F96&lt;=85,1,0))</formula>
    </cfRule>
  </conditionalFormatting>
  <conditionalFormatting sqref="AI96">
    <cfRule type="expression" dxfId="5089" priority="1513">
      <formula>AND(IF(OR($Q96=1,$Q96=2),1,0),IF($X96&lt;=20,1,0))</formula>
    </cfRule>
    <cfRule type="expression" dxfId="5088" priority="1514">
      <formula>AND(IF($Q96=2,1,0),IF($X96&lt;30,1,0))</formula>
    </cfRule>
    <cfRule type="expression" dxfId="5087" priority="1515">
      <formula>AND(IF($Q96=3,1,0),IF($X96&lt;30,1,0))</formula>
    </cfRule>
    <cfRule type="expression" dxfId="5086" priority="1516">
      <formula>AND(IF($Q96=3,1,IF($Q96=4,1,0)),IF($F96&lt;=85,1,0))</formula>
    </cfRule>
  </conditionalFormatting>
  <conditionalFormatting sqref="AV97">
    <cfRule type="expression" dxfId="5085" priority="1511">
      <formula>AV97="X"</formula>
    </cfRule>
    <cfRule type="expression" dxfId="5084" priority="1512">
      <formula>AV97="후보"</formula>
    </cfRule>
  </conditionalFormatting>
  <conditionalFormatting sqref="AC97">
    <cfRule type="cellIs" dxfId="5083" priority="1509" operator="greaterThan">
      <formula>0.9</formula>
    </cfRule>
    <cfRule type="cellIs" dxfId="5082" priority="1510" operator="greaterThan">
      <formula>0.85</formula>
    </cfRule>
  </conditionalFormatting>
  <conditionalFormatting sqref="N97">
    <cfRule type="cellIs" dxfId="5081" priority="1507" operator="greaterThan">
      <formula>0.9</formula>
    </cfRule>
    <cfRule type="cellIs" dxfId="5080" priority="1508" operator="greaterThan">
      <formula>0.85</formula>
    </cfRule>
  </conditionalFormatting>
  <conditionalFormatting sqref="E97">
    <cfRule type="expression" dxfId="5079" priority="1503">
      <formula>AND(IF(OR($Q97=1,$Q97=2),1,0),IF($X97&lt;=20,1,0))</formula>
    </cfRule>
    <cfRule type="expression" dxfId="5078" priority="1504">
      <formula>AND(IF($Q97=2,1,0),IF($X97&lt;30,1,0))</formula>
    </cfRule>
    <cfRule type="expression" dxfId="5077" priority="1505">
      <formula>AND(IF($Q97=3,1,0),IF($X97&lt;30,1,0))</formula>
    </cfRule>
    <cfRule type="expression" dxfId="5076" priority="1506">
      <formula>AND(IF($Q97=3,1,IF($Q97=4,1,0)),IF($F97&lt;=85,1,0))</formula>
    </cfRule>
  </conditionalFormatting>
  <conditionalFormatting sqref="X97">
    <cfRule type="expression" dxfId="5075" priority="1499">
      <formula>AND(IF(OR($Q97=1,$Q97=2),1,0),IF($X97&lt;=20,1,0))</formula>
    </cfRule>
    <cfRule type="expression" dxfId="5074" priority="1500">
      <formula>AND(IF($Q97=2,1,0),IF($X97&lt;30,1,0))</formula>
    </cfRule>
    <cfRule type="expression" dxfId="5073" priority="1501">
      <formula>AND(IF($Q97=3,1,0),IF($X97&lt;30,1,0))</formula>
    </cfRule>
    <cfRule type="expression" dxfId="5072" priority="1502">
      <formula>AND(IF($Q97=3,1,IF($Q97=4,1,0)),IF($F97&lt;=85,1,0))</formula>
    </cfRule>
  </conditionalFormatting>
  <conditionalFormatting sqref="AI97">
    <cfRule type="expression" dxfId="5071" priority="1495">
      <formula>AND(IF(OR($Q97=1,$Q97=2),1,0),IF($X97&lt;=20,1,0))</formula>
    </cfRule>
    <cfRule type="expression" dxfId="5070" priority="1496">
      <formula>AND(IF($Q97=2,1,0),IF($X97&lt;30,1,0))</formula>
    </cfRule>
    <cfRule type="expression" dxfId="5069" priority="1497">
      <formula>AND(IF($Q97=3,1,0),IF($X97&lt;30,1,0))</formula>
    </cfRule>
    <cfRule type="expression" dxfId="5068" priority="1498">
      <formula>AND(IF($Q97=3,1,IF($Q97=4,1,0)),IF($F97&lt;=85,1,0))</formula>
    </cfRule>
  </conditionalFormatting>
  <conditionalFormatting sqref="AV98">
    <cfRule type="expression" dxfId="5067" priority="1493">
      <formula>AV98="X"</formula>
    </cfRule>
    <cfRule type="expression" dxfId="5066" priority="1494">
      <formula>AV98="후보"</formula>
    </cfRule>
  </conditionalFormatting>
  <conditionalFormatting sqref="AC98">
    <cfRule type="cellIs" dxfId="5065" priority="1491" operator="greaterThan">
      <formula>0.9</formula>
    </cfRule>
    <cfRule type="cellIs" dxfId="5064" priority="1492" operator="greaterThan">
      <formula>0.85</formula>
    </cfRule>
  </conditionalFormatting>
  <conditionalFormatting sqref="N98">
    <cfRule type="cellIs" dxfId="5063" priority="1489" operator="greaterThan">
      <formula>0.9</formula>
    </cfRule>
    <cfRule type="cellIs" dxfId="5062" priority="1490" operator="greaterThan">
      <formula>0.85</formula>
    </cfRule>
  </conditionalFormatting>
  <conditionalFormatting sqref="E98">
    <cfRule type="expression" dxfId="5061" priority="1485">
      <formula>AND(IF(OR($Q98=1,$Q98=2),1,0),IF($X98&lt;=20,1,0))</formula>
    </cfRule>
    <cfRule type="expression" dxfId="5060" priority="1486">
      <formula>AND(IF($Q98=2,1,0),IF($X98&lt;30,1,0))</formula>
    </cfRule>
    <cfRule type="expression" dxfId="5059" priority="1487">
      <formula>AND(IF($Q98=3,1,0),IF($X98&lt;30,1,0))</formula>
    </cfRule>
    <cfRule type="expression" dxfId="5058" priority="1488">
      <formula>AND(IF($Q98=3,1,IF($Q98=4,1,0)),IF($F98&lt;=85,1,0))</formula>
    </cfRule>
  </conditionalFormatting>
  <conditionalFormatting sqref="X98">
    <cfRule type="expression" dxfId="5057" priority="1481">
      <formula>AND(IF(OR($Q98=1,$Q98=2),1,0),IF($X98&lt;=20,1,0))</formula>
    </cfRule>
    <cfRule type="expression" dxfId="5056" priority="1482">
      <formula>AND(IF($Q98=2,1,0),IF($X98&lt;30,1,0))</formula>
    </cfRule>
    <cfRule type="expression" dxfId="5055" priority="1483">
      <formula>AND(IF($Q98=3,1,0),IF($X98&lt;30,1,0))</formula>
    </cfRule>
    <cfRule type="expression" dxfId="5054" priority="1484">
      <formula>AND(IF($Q98=3,1,IF($Q98=4,1,0)),IF($F98&lt;=85,1,0))</formula>
    </cfRule>
  </conditionalFormatting>
  <conditionalFormatting sqref="AI98">
    <cfRule type="expression" dxfId="5053" priority="1477">
      <formula>AND(IF(OR($Q98=1,$Q98=2),1,0),IF($X98&lt;=20,1,0))</formula>
    </cfRule>
    <cfRule type="expression" dxfId="5052" priority="1478">
      <formula>AND(IF($Q98=2,1,0),IF($X98&lt;30,1,0))</formula>
    </cfRule>
    <cfRule type="expression" dxfId="5051" priority="1479">
      <formula>AND(IF($Q98=3,1,0),IF($X98&lt;30,1,0))</formula>
    </cfRule>
    <cfRule type="expression" dxfId="5050" priority="1480">
      <formula>AND(IF($Q98=3,1,IF($Q98=4,1,0)),IF($F98&lt;=85,1,0))</formula>
    </cfRule>
  </conditionalFormatting>
  <conditionalFormatting sqref="AV99">
    <cfRule type="expression" dxfId="5049" priority="1475">
      <formula>AV99="X"</formula>
    </cfRule>
    <cfRule type="expression" dxfId="5048" priority="1476">
      <formula>AV99="후보"</formula>
    </cfRule>
  </conditionalFormatting>
  <conditionalFormatting sqref="AC99">
    <cfRule type="cellIs" dxfId="5047" priority="1473" operator="greaterThan">
      <formula>0.9</formula>
    </cfRule>
    <cfRule type="cellIs" dxfId="5046" priority="1474" operator="greaterThan">
      <formula>0.85</formula>
    </cfRule>
  </conditionalFormatting>
  <conditionalFormatting sqref="N99">
    <cfRule type="cellIs" dxfId="5045" priority="1471" operator="greaterThan">
      <formula>0.9</formula>
    </cfRule>
    <cfRule type="cellIs" dxfId="5044" priority="1472" operator="greaterThan">
      <formula>0.85</formula>
    </cfRule>
  </conditionalFormatting>
  <conditionalFormatting sqref="E99">
    <cfRule type="expression" dxfId="5043" priority="1467">
      <formula>AND(IF(OR($Q99=1,$Q99=2),1,0),IF($X99&lt;=20,1,0))</formula>
    </cfRule>
    <cfRule type="expression" dxfId="5042" priority="1468">
      <formula>AND(IF($Q99=2,1,0),IF($X99&lt;30,1,0))</formula>
    </cfRule>
    <cfRule type="expression" dxfId="5041" priority="1469">
      <formula>AND(IF($Q99=3,1,0),IF($X99&lt;30,1,0))</formula>
    </cfRule>
    <cfRule type="expression" dxfId="5040" priority="1470">
      <formula>AND(IF($Q99=3,1,IF($Q99=4,1,0)),IF($F99&lt;=85,1,0))</formula>
    </cfRule>
  </conditionalFormatting>
  <conditionalFormatting sqref="X99">
    <cfRule type="expression" dxfId="5039" priority="1463">
      <formula>AND(IF(OR($Q99=1,$Q99=2),1,0),IF($X99&lt;=20,1,0))</formula>
    </cfRule>
    <cfRule type="expression" dxfId="5038" priority="1464">
      <formula>AND(IF($Q99=2,1,0),IF($X99&lt;30,1,0))</formula>
    </cfRule>
    <cfRule type="expression" dxfId="5037" priority="1465">
      <formula>AND(IF($Q99=3,1,0),IF($X99&lt;30,1,0))</formula>
    </cfRule>
    <cfRule type="expression" dxfId="5036" priority="1466">
      <formula>AND(IF($Q99=3,1,IF($Q99=4,1,0)),IF($F99&lt;=85,1,0))</formula>
    </cfRule>
  </conditionalFormatting>
  <conditionalFormatting sqref="AI99">
    <cfRule type="expression" dxfId="5035" priority="1459">
      <formula>AND(IF(OR($Q99=1,$Q99=2),1,0),IF($X99&lt;=20,1,0))</formula>
    </cfRule>
    <cfRule type="expression" dxfId="5034" priority="1460">
      <formula>AND(IF($Q99=2,1,0),IF($X99&lt;30,1,0))</formula>
    </cfRule>
    <cfRule type="expression" dxfId="5033" priority="1461">
      <formula>AND(IF($Q99=3,1,0),IF($X99&lt;30,1,0))</formula>
    </cfRule>
    <cfRule type="expression" dxfId="5032" priority="1462">
      <formula>AND(IF($Q99=3,1,IF($Q99=4,1,0)),IF($F99&lt;=85,1,0))</formula>
    </cfRule>
  </conditionalFormatting>
  <conditionalFormatting sqref="AV100">
    <cfRule type="expression" dxfId="5031" priority="1457">
      <formula>AV100="X"</formula>
    </cfRule>
    <cfRule type="expression" dxfId="5030" priority="1458">
      <formula>AV100="후보"</formula>
    </cfRule>
  </conditionalFormatting>
  <conditionalFormatting sqref="AC100">
    <cfRule type="cellIs" dxfId="5029" priority="1455" operator="greaterThan">
      <formula>0.9</formula>
    </cfRule>
    <cfRule type="cellIs" dxfId="5028" priority="1456" operator="greaterThan">
      <formula>0.85</formula>
    </cfRule>
  </conditionalFormatting>
  <conditionalFormatting sqref="N100">
    <cfRule type="cellIs" dxfId="5027" priority="1453" operator="greaterThan">
      <formula>0.9</formula>
    </cfRule>
    <cfRule type="cellIs" dxfId="5026" priority="1454" operator="greaterThan">
      <formula>0.85</formula>
    </cfRule>
  </conditionalFormatting>
  <conditionalFormatting sqref="E100">
    <cfRule type="expression" dxfId="5025" priority="1449">
      <formula>AND(IF(OR($Q100=1,$Q100=2),1,0),IF($X100&lt;=20,1,0))</formula>
    </cfRule>
    <cfRule type="expression" dxfId="5024" priority="1450">
      <formula>AND(IF($Q100=2,1,0),IF($X100&lt;30,1,0))</formula>
    </cfRule>
    <cfRule type="expression" dxfId="5023" priority="1451">
      <formula>AND(IF($Q100=3,1,0),IF($X100&lt;30,1,0))</formula>
    </cfRule>
    <cfRule type="expression" dxfId="5022" priority="1452">
      <formula>AND(IF($Q100=3,1,IF($Q100=4,1,0)),IF($F100&lt;=85,1,0))</formula>
    </cfRule>
  </conditionalFormatting>
  <conditionalFormatting sqref="X100">
    <cfRule type="expression" dxfId="5021" priority="1445">
      <formula>AND(IF(OR($Q100=1,$Q100=2),1,0),IF($X100&lt;=20,1,0))</formula>
    </cfRule>
    <cfRule type="expression" dxfId="5020" priority="1446">
      <formula>AND(IF($Q100=2,1,0),IF($X100&lt;30,1,0))</formula>
    </cfRule>
    <cfRule type="expression" dxfId="5019" priority="1447">
      <formula>AND(IF($Q100=3,1,0),IF($X100&lt;30,1,0))</formula>
    </cfRule>
    <cfRule type="expression" dxfId="5018" priority="1448">
      <formula>AND(IF($Q100=3,1,IF($Q100=4,1,0)),IF($F100&lt;=85,1,0))</formula>
    </cfRule>
  </conditionalFormatting>
  <conditionalFormatting sqref="AI100">
    <cfRule type="expression" dxfId="5017" priority="1441">
      <formula>AND(IF(OR($Q100=1,$Q100=2),1,0),IF($X100&lt;=20,1,0))</formula>
    </cfRule>
    <cfRule type="expression" dxfId="5016" priority="1442">
      <formula>AND(IF($Q100=2,1,0),IF($X100&lt;30,1,0))</formula>
    </cfRule>
    <cfRule type="expression" dxfId="5015" priority="1443">
      <formula>AND(IF($Q100=3,1,0),IF($X100&lt;30,1,0))</formula>
    </cfRule>
    <cfRule type="expression" dxfId="5014" priority="1444">
      <formula>AND(IF($Q100=3,1,IF($Q100=4,1,0)),IF($F100&lt;=85,1,0))</formula>
    </cfRule>
  </conditionalFormatting>
  <conditionalFormatting sqref="AV101">
    <cfRule type="expression" dxfId="5013" priority="1439">
      <formula>AV101="X"</formula>
    </cfRule>
    <cfRule type="expression" dxfId="5012" priority="1440">
      <formula>AV101="후보"</formula>
    </cfRule>
  </conditionalFormatting>
  <conditionalFormatting sqref="AC101">
    <cfRule type="cellIs" dxfId="5011" priority="1437" operator="greaterThan">
      <formula>0.9</formula>
    </cfRule>
    <cfRule type="cellIs" dxfId="5010" priority="1438" operator="greaterThan">
      <formula>0.85</formula>
    </cfRule>
  </conditionalFormatting>
  <conditionalFormatting sqref="N101">
    <cfRule type="cellIs" dxfId="5009" priority="1435" operator="greaterThan">
      <formula>0.9</formula>
    </cfRule>
    <cfRule type="cellIs" dxfId="5008" priority="1436" operator="greaterThan">
      <formula>0.85</formula>
    </cfRule>
  </conditionalFormatting>
  <conditionalFormatting sqref="E101">
    <cfRule type="expression" dxfId="5007" priority="1431">
      <formula>AND(IF(OR($Q101=1,$Q101=2),1,0),IF($X101&lt;=20,1,0))</formula>
    </cfRule>
    <cfRule type="expression" dxfId="5006" priority="1432">
      <formula>AND(IF($Q101=2,1,0),IF($X101&lt;30,1,0))</formula>
    </cfRule>
    <cfRule type="expression" dxfId="5005" priority="1433">
      <formula>AND(IF($Q101=3,1,0),IF($X101&lt;30,1,0))</formula>
    </cfRule>
    <cfRule type="expression" dxfId="5004" priority="1434">
      <formula>AND(IF($Q101=3,1,IF($Q101=4,1,0)),IF($F101&lt;=85,1,0))</formula>
    </cfRule>
  </conditionalFormatting>
  <conditionalFormatting sqref="X101">
    <cfRule type="expression" dxfId="5003" priority="1427">
      <formula>AND(IF(OR($Q101=1,$Q101=2),1,0),IF($X101&lt;=20,1,0))</formula>
    </cfRule>
    <cfRule type="expression" dxfId="5002" priority="1428">
      <formula>AND(IF($Q101=2,1,0),IF($X101&lt;30,1,0))</formula>
    </cfRule>
    <cfRule type="expression" dxfId="5001" priority="1429">
      <formula>AND(IF($Q101=3,1,0),IF($X101&lt;30,1,0))</formula>
    </cfRule>
    <cfRule type="expression" dxfId="5000" priority="1430">
      <formula>AND(IF($Q101=3,1,IF($Q101=4,1,0)),IF($F101&lt;=85,1,0))</formula>
    </cfRule>
  </conditionalFormatting>
  <conditionalFormatting sqref="AI101">
    <cfRule type="expression" dxfId="4999" priority="1423">
      <formula>AND(IF(OR($Q101=1,$Q101=2),1,0),IF($X101&lt;=20,1,0))</formula>
    </cfRule>
    <cfRule type="expression" dxfId="4998" priority="1424">
      <formula>AND(IF($Q101=2,1,0),IF($X101&lt;30,1,0))</formula>
    </cfRule>
    <cfRule type="expression" dxfId="4997" priority="1425">
      <formula>AND(IF($Q101=3,1,0),IF($X101&lt;30,1,0))</formula>
    </cfRule>
    <cfRule type="expression" dxfId="4996" priority="1426">
      <formula>AND(IF($Q101=3,1,IF($Q101=4,1,0)),IF($F101&lt;=85,1,0))</formula>
    </cfRule>
  </conditionalFormatting>
  <conditionalFormatting sqref="AV102">
    <cfRule type="expression" dxfId="4995" priority="1421">
      <formula>AV102="X"</formula>
    </cfRule>
    <cfRule type="expression" dxfId="4994" priority="1422">
      <formula>AV102="후보"</formula>
    </cfRule>
  </conditionalFormatting>
  <conditionalFormatting sqref="AC102">
    <cfRule type="cellIs" dxfId="4993" priority="1419" operator="greaterThan">
      <formula>0.9</formula>
    </cfRule>
    <cfRule type="cellIs" dxfId="4992" priority="1420" operator="greaterThan">
      <formula>0.85</formula>
    </cfRule>
  </conditionalFormatting>
  <conditionalFormatting sqref="N102">
    <cfRule type="cellIs" dxfId="4991" priority="1417" operator="greaterThan">
      <formula>0.9</formula>
    </cfRule>
    <cfRule type="cellIs" dxfId="4990" priority="1418" operator="greaterThan">
      <formula>0.85</formula>
    </cfRule>
  </conditionalFormatting>
  <conditionalFormatting sqref="E102">
    <cfRule type="expression" dxfId="4989" priority="1413">
      <formula>AND(IF(OR($Q102=1,$Q102=2),1,0),IF($X102&lt;=20,1,0))</formula>
    </cfRule>
    <cfRule type="expression" dxfId="4988" priority="1414">
      <formula>AND(IF($Q102=2,1,0),IF($X102&lt;30,1,0))</formula>
    </cfRule>
    <cfRule type="expression" dxfId="4987" priority="1415">
      <formula>AND(IF($Q102=3,1,0),IF($X102&lt;30,1,0))</formula>
    </cfRule>
    <cfRule type="expression" dxfId="4986" priority="1416">
      <formula>AND(IF($Q102=3,1,IF($Q102=4,1,0)),IF($F102&lt;=85,1,0))</formula>
    </cfRule>
  </conditionalFormatting>
  <conditionalFormatting sqref="X102">
    <cfRule type="expression" dxfId="4985" priority="1409">
      <formula>AND(IF(OR($Q102=1,$Q102=2),1,0),IF($X102&lt;=20,1,0))</formula>
    </cfRule>
    <cfRule type="expression" dxfId="4984" priority="1410">
      <formula>AND(IF($Q102=2,1,0),IF($X102&lt;30,1,0))</formula>
    </cfRule>
    <cfRule type="expression" dxfId="4983" priority="1411">
      <formula>AND(IF($Q102=3,1,0),IF($X102&lt;30,1,0))</formula>
    </cfRule>
    <cfRule type="expression" dxfId="4982" priority="1412">
      <formula>AND(IF($Q102=3,1,IF($Q102=4,1,0)),IF($F102&lt;=85,1,0))</formula>
    </cfRule>
  </conditionalFormatting>
  <conditionalFormatting sqref="AI102">
    <cfRule type="expression" dxfId="4981" priority="1405">
      <formula>AND(IF(OR($Q102=1,$Q102=2),1,0),IF($X102&lt;=20,1,0))</formula>
    </cfRule>
    <cfRule type="expression" dxfId="4980" priority="1406">
      <formula>AND(IF($Q102=2,1,0),IF($X102&lt;30,1,0))</formula>
    </cfRule>
    <cfRule type="expression" dxfId="4979" priority="1407">
      <formula>AND(IF($Q102=3,1,0),IF($X102&lt;30,1,0))</formula>
    </cfRule>
    <cfRule type="expression" dxfId="4978" priority="1408">
      <formula>AND(IF($Q102=3,1,IF($Q102=4,1,0)),IF($F102&lt;=85,1,0))</formula>
    </cfRule>
  </conditionalFormatting>
  <conditionalFormatting sqref="AV103">
    <cfRule type="expression" dxfId="4977" priority="1403">
      <formula>AV103="X"</formula>
    </cfRule>
    <cfRule type="expression" dxfId="4976" priority="1404">
      <formula>AV103="후보"</formula>
    </cfRule>
  </conditionalFormatting>
  <conditionalFormatting sqref="AC103">
    <cfRule type="cellIs" dxfId="4975" priority="1401" operator="greaterThan">
      <formula>0.9</formula>
    </cfRule>
    <cfRule type="cellIs" dxfId="4974" priority="1402" operator="greaterThan">
      <formula>0.85</formula>
    </cfRule>
  </conditionalFormatting>
  <conditionalFormatting sqref="N103">
    <cfRule type="cellIs" dxfId="4973" priority="1399" operator="greaterThan">
      <formula>0.9</formula>
    </cfRule>
    <cfRule type="cellIs" dxfId="4972" priority="1400" operator="greaterThan">
      <formula>0.85</formula>
    </cfRule>
  </conditionalFormatting>
  <conditionalFormatting sqref="E103">
    <cfRule type="expression" dxfId="4971" priority="1395">
      <formula>AND(IF(OR($Q103=1,$Q103=2),1,0),IF($X103&lt;=20,1,0))</formula>
    </cfRule>
    <cfRule type="expression" dxfId="4970" priority="1396">
      <formula>AND(IF($Q103=2,1,0),IF($X103&lt;30,1,0))</formula>
    </cfRule>
    <cfRule type="expression" dxfId="4969" priority="1397">
      <formula>AND(IF($Q103=3,1,0),IF($X103&lt;30,1,0))</formula>
    </cfRule>
    <cfRule type="expression" dxfId="4968" priority="1398">
      <formula>AND(IF($Q103=3,1,IF($Q103=4,1,0)),IF($F103&lt;=85,1,0))</formula>
    </cfRule>
  </conditionalFormatting>
  <conditionalFormatting sqref="X103">
    <cfRule type="expression" dxfId="4967" priority="1391">
      <formula>AND(IF(OR($Q103=1,$Q103=2),1,0),IF($X103&lt;=20,1,0))</formula>
    </cfRule>
    <cfRule type="expression" dxfId="4966" priority="1392">
      <formula>AND(IF($Q103=2,1,0),IF($X103&lt;30,1,0))</formula>
    </cfRule>
    <cfRule type="expression" dxfId="4965" priority="1393">
      <formula>AND(IF($Q103=3,1,0),IF($X103&lt;30,1,0))</formula>
    </cfRule>
    <cfRule type="expression" dxfId="4964" priority="1394">
      <formula>AND(IF($Q103=3,1,IF($Q103=4,1,0)),IF($F103&lt;=85,1,0))</formula>
    </cfRule>
  </conditionalFormatting>
  <conditionalFormatting sqref="AI103">
    <cfRule type="expression" dxfId="4963" priority="1387">
      <formula>AND(IF(OR($Q103=1,$Q103=2),1,0),IF($X103&lt;=20,1,0))</formula>
    </cfRule>
    <cfRule type="expression" dxfId="4962" priority="1388">
      <formula>AND(IF($Q103=2,1,0),IF($X103&lt;30,1,0))</formula>
    </cfRule>
    <cfRule type="expression" dxfId="4961" priority="1389">
      <formula>AND(IF($Q103=3,1,0),IF($X103&lt;30,1,0))</formula>
    </cfRule>
    <cfRule type="expression" dxfId="4960" priority="1390">
      <formula>AND(IF($Q103=3,1,IF($Q103=4,1,0)),IF($F103&lt;=85,1,0))</formula>
    </cfRule>
  </conditionalFormatting>
  <conditionalFormatting sqref="AV104">
    <cfRule type="expression" dxfId="4959" priority="1385">
      <formula>AV104="X"</formula>
    </cfRule>
    <cfRule type="expression" dxfId="4958" priority="1386">
      <formula>AV104="후보"</formula>
    </cfRule>
  </conditionalFormatting>
  <conditionalFormatting sqref="AC104">
    <cfRule type="cellIs" dxfId="4957" priority="1383" operator="greaterThan">
      <formula>0.9</formula>
    </cfRule>
    <cfRule type="cellIs" dxfId="4956" priority="1384" operator="greaterThan">
      <formula>0.85</formula>
    </cfRule>
  </conditionalFormatting>
  <conditionalFormatting sqref="N104">
    <cfRule type="cellIs" dxfId="4955" priority="1381" operator="greaterThan">
      <formula>0.9</formula>
    </cfRule>
    <cfRule type="cellIs" dxfId="4954" priority="1382" operator="greaterThan">
      <formula>0.85</formula>
    </cfRule>
  </conditionalFormatting>
  <conditionalFormatting sqref="E104">
    <cfRule type="expression" dxfId="4953" priority="1377">
      <formula>AND(IF(OR($Q104=1,$Q104=2),1,0),IF($X104&lt;=20,1,0))</formula>
    </cfRule>
    <cfRule type="expression" dxfId="4952" priority="1378">
      <formula>AND(IF($Q104=2,1,0),IF($X104&lt;30,1,0))</formula>
    </cfRule>
    <cfRule type="expression" dxfId="4951" priority="1379">
      <formula>AND(IF($Q104=3,1,0),IF($X104&lt;30,1,0))</formula>
    </cfRule>
    <cfRule type="expression" dxfId="4950" priority="1380">
      <formula>AND(IF($Q104=3,1,IF($Q104=4,1,0)),IF($F104&lt;=85,1,0))</formula>
    </cfRule>
  </conditionalFormatting>
  <conditionalFormatting sqref="X104">
    <cfRule type="expression" dxfId="4949" priority="1373">
      <formula>AND(IF(OR($Q104=1,$Q104=2),1,0),IF($X104&lt;=20,1,0))</formula>
    </cfRule>
    <cfRule type="expression" dxfId="4948" priority="1374">
      <formula>AND(IF($Q104=2,1,0),IF($X104&lt;30,1,0))</formula>
    </cfRule>
    <cfRule type="expression" dxfId="4947" priority="1375">
      <formula>AND(IF($Q104=3,1,0),IF($X104&lt;30,1,0))</formula>
    </cfRule>
    <cfRule type="expression" dxfId="4946" priority="1376">
      <formula>AND(IF($Q104=3,1,IF($Q104=4,1,0)),IF($F104&lt;=85,1,0))</formula>
    </cfRule>
  </conditionalFormatting>
  <conditionalFormatting sqref="AI104">
    <cfRule type="expression" dxfId="4945" priority="1369">
      <formula>AND(IF(OR($Q104=1,$Q104=2),1,0),IF($X104&lt;=20,1,0))</formula>
    </cfRule>
    <cfRule type="expression" dxfId="4944" priority="1370">
      <formula>AND(IF($Q104=2,1,0),IF($X104&lt;30,1,0))</formula>
    </cfRule>
    <cfRule type="expression" dxfId="4943" priority="1371">
      <formula>AND(IF($Q104=3,1,0),IF($X104&lt;30,1,0))</formula>
    </cfRule>
    <cfRule type="expression" dxfId="4942" priority="1372">
      <formula>AND(IF($Q104=3,1,IF($Q104=4,1,0)),IF($F104&lt;=85,1,0))</formula>
    </cfRule>
  </conditionalFormatting>
  <conditionalFormatting sqref="AV105">
    <cfRule type="expression" dxfId="4941" priority="1367">
      <formula>AV105="X"</formula>
    </cfRule>
    <cfRule type="expression" dxfId="4940" priority="1368">
      <formula>AV105="후보"</formula>
    </cfRule>
  </conditionalFormatting>
  <conditionalFormatting sqref="AC105">
    <cfRule type="cellIs" dxfId="4939" priority="1365" operator="greaterThan">
      <formula>0.9</formula>
    </cfRule>
    <cfRule type="cellIs" dxfId="4938" priority="1366" operator="greaterThan">
      <formula>0.85</formula>
    </cfRule>
  </conditionalFormatting>
  <conditionalFormatting sqref="N105">
    <cfRule type="cellIs" dxfId="4937" priority="1363" operator="greaterThan">
      <formula>0.9</formula>
    </cfRule>
    <cfRule type="cellIs" dxfId="4936" priority="1364" operator="greaterThan">
      <formula>0.85</formula>
    </cfRule>
  </conditionalFormatting>
  <conditionalFormatting sqref="E105">
    <cfRule type="expression" dxfId="4935" priority="1359">
      <formula>AND(IF(OR($Q105=1,$Q105=2),1,0),IF($X105&lt;=20,1,0))</formula>
    </cfRule>
    <cfRule type="expression" dxfId="4934" priority="1360">
      <formula>AND(IF($Q105=2,1,0),IF($X105&lt;30,1,0))</formula>
    </cfRule>
    <cfRule type="expression" dxfId="4933" priority="1361">
      <formula>AND(IF($Q105=3,1,0),IF($X105&lt;30,1,0))</formula>
    </cfRule>
    <cfRule type="expression" dxfId="4932" priority="1362">
      <formula>AND(IF($Q105=3,1,IF($Q105=4,1,0)),IF($F105&lt;=85,1,0))</formula>
    </cfRule>
  </conditionalFormatting>
  <conditionalFormatting sqref="X105">
    <cfRule type="expression" dxfId="4931" priority="1355">
      <formula>AND(IF(OR($Q105=1,$Q105=2),1,0),IF($X105&lt;=20,1,0))</formula>
    </cfRule>
    <cfRule type="expression" dxfId="4930" priority="1356">
      <formula>AND(IF($Q105=2,1,0),IF($X105&lt;30,1,0))</formula>
    </cfRule>
    <cfRule type="expression" dxfId="4929" priority="1357">
      <formula>AND(IF($Q105=3,1,0),IF($X105&lt;30,1,0))</formula>
    </cfRule>
    <cfRule type="expression" dxfId="4928" priority="1358">
      <formula>AND(IF($Q105=3,1,IF($Q105=4,1,0)),IF($F105&lt;=85,1,0))</formula>
    </cfRule>
  </conditionalFormatting>
  <conditionalFormatting sqref="AI105">
    <cfRule type="expression" dxfId="4927" priority="1351">
      <formula>AND(IF(OR($Q105=1,$Q105=2),1,0),IF($X105&lt;=20,1,0))</formula>
    </cfRule>
    <cfRule type="expression" dxfId="4926" priority="1352">
      <formula>AND(IF($Q105=2,1,0),IF($X105&lt;30,1,0))</formula>
    </cfRule>
    <cfRule type="expression" dxfId="4925" priority="1353">
      <formula>AND(IF($Q105=3,1,0),IF($X105&lt;30,1,0))</formula>
    </cfRule>
    <cfRule type="expression" dxfId="4924" priority="1354">
      <formula>AND(IF($Q105=3,1,IF($Q105=4,1,0)),IF($F105&lt;=85,1,0))</formula>
    </cfRule>
  </conditionalFormatting>
  <conditionalFormatting sqref="AV106">
    <cfRule type="expression" dxfId="4923" priority="1349">
      <formula>AV106="X"</formula>
    </cfRule>
    <cfRule type="expression" dxfId="4922" priority="1350">
      <formula>AV106="후보"</formula>
    </cfRule>
  </conditionalFormatting>
  <conditionalFormatting sqref="AC106">
    <cfRule type="cellIs" dxfId="4921" priority="1347" operator="greaterThan">
      <formula>0.9</formula>
    </cfRule>
    <cfRule type="cellIs" dxfId="4920" priority="1348" operator="greaterThan">
      <formula>0.85</formula>
    </cfRule>
  </conditionalFormatting>
  <conditionalFormatting sqref="N106">
    <cfRule type="cellIs" dxfId="4919" priority="1345" operator="greaterThan">
      <formula>0.9</formula>
    </cfRule>
    <cfRule type="cellIs" dxfId="4918" priority="1346" operator="greaterThan">
      <formula>0.85</formula>
    </cfRule>
  </conditionalFormatting>
  <conditionalFormatting sqref="E106">
    <cfRule type="expression" dxfId="4917" priority="1341">
      <formula>AND(IF(OR($Q106=1,$Q106=2),1,0),IF($X106&lt;=20,1,0))</formula>
    </cfRule>
    <cfRule type="expression" dxfId="4916" priority="1342">
      <formula>AND(IF($Q106=2,1,0),IF($X106&lt;30,1,0))</formula>
    </cfRule>
    <cfRule type="expression" dxfId="4915" priority="1343">
      <formula>AND(IF($Q106=3,1,0),IF($X106&lt;30,1,0))</formula>
    </cfRule>
    <cfRule type="expression" dxfId="4914" priority="1344">
      <formula>AND(IF($Q106=3,1,IF($Q106=4,1,0)),IF($F106&lt;=85,1,0))</formula>
    </cfRule>
  </conditionalFormatting>
  <conditionalFormatting sqref="X106">
    <cfRule type="expression" dxfId="4913" priority="1337">
      <formula>AND(IF(OR($Q106=1,$Q106=2),1,0),IF($X106&lt;=20,1,0))</formula>
    </cfRule>
    <cfRule type="expression" dxfId="4912" priority="1338">
      <formula>AND(IF($Q106=2,1,0),IF($X106&lt;30,1,0))</formula>
    </cfRule>
    <cfRule type="expression" dxfId="4911" priority="1339">
      <formula>AND(IF($Q106=3,1,0),IF($X106&lt;30,1,0))</formula>
    </cfRule>
    <cfRule type="expression" dxfId="4910" priority="1340">
      <formula>AND(IF($Q106=3,1,IF($Q106=4,1,0)),IF($F106&lt;=85,1,0))</formula>
    </cfRule>
  </conditionalFormatting>
  <conditionalFormatting sqref="AI106">
    <cfRule type="expression" dxfId="4909" priority="1333">
      <formula>AND(IF(OR($Q106=1,$Q106=2),1,0),IF($X106&lt;=20,1,0))</formula>
    </cfRule>
    <cfRule type="expression" dxfId="4908" priority="1334">
      <formula>AND(IF($Q106=2,1,0),IF($X106&lt;30,1,0))</formula>
    </cfRule>
    <cfRule type="expression" dxfId="4907" priority="1335">
      <formula>AND(IF($Q106=3,1,0),IF($X106&lt;30,1,0))</formula>
    </cfRule>
    <cfRule type="expression" dxfId="4906" priority="1336">
      <formula>AND(IF($Q106=3,1,IF($Q106=4,1,0)),IF($F106&lt;=85,1,0))</formula>
    </cfRule>
  </conditionalFormatting>
  <conditionalFormatting sqref="AV107">
    <cfRule type="expression" dxfId="4905" priority="1331">
      <formula>AV107="X"</formula>
    </cfRule>
    <cfRule type="expression" dxfId="4904" priority="1332">
      <formula>AV107="후보"</formula>
    </cfRule>
  </conditionalFormatting>
  <conditionalFormatting sqref="AC107">
    <cfRule type="cellIs" dxfId="4903" priority="1329" operator="greaterThan">
      <formula>0.9</formula>
    </cfRule>
    <cfRule type="cellIs" dxfId="4902" priority="1330" operator="greaterThan">
      <formula>0.85</formula>
    </cfRule>
  </conditionalFormatting>
  <conditionalFormatting sqref="N107">
    <cfRule type="cellIs" dxfId="4901" priority="1327" operator="greaterThan">
      <formula>0.9</formula>
    </cfRule>
    <cfRule type="cellIs" dxfId="4900" priority="1328" operator="greaterThan">
      <formula>0.85</formula>
    </cfRule>
  </conditionalFormatting>
  <conditionalFormatting sqref="E107">
    <cfRule type="expression" dxfId="4899" priority="1323">
      <formula>AND(IF(OR($Q107=1,$Q107=2),1,0),IF($X107&lt;=20,1,0))</formula>
    </cfRule>
    <cfRule type="expression" dxfId="4898" priority="1324">
      <formula>AND(IF($Q107=2,1,0),IF($X107&lt;30,1,0))</formula>
    </cfRule>
    <cfRule type="expression" dxfId="4897" priority="1325">
      <formula>AND(IF($Q107=3,1,0),IF($X107&lt;30,1,0))</formula>
    </cfRule>
    <cfRule type="expression" dxfId="4896" priority="1326">
      <formula>AND(IF($Q107=3,1,IF($Q107=4,1,0)),IF($F107&lt;=85,1,0))</formula>
    </cfRule>
  </conditionalFormatting>
  <conditionalFormatting sqref="X107">
    <cfRule type="expression" dxfId="4895" priority="1319">
      <formula>AND(IF(OR($Q107=1,$Q107=2),1,0),IF($X107&lt;=20,1,0))</formula>
    </cfRule>
    <cfRule type="expression" dxfId="4894" priority="1320">
      <formula>AND(IF($Q107=2,1,0),IF($X107&lt;30,1,0))</formula>
    </cfRule>
    <cfRule type="expression" dxfId="4893" priority="1321">
      <formula>AND(IF($Q107=3,1,0),IF($X107&lt;30,1,0))</formula>
    </cfRule>
    <cfRule type="expression" dxfId="4892" priority="1322">
      <formula>AND(IF($Q107=3,1,IF($Q107=4,1,0)),IF($F107&lt;=85,1,0))</formula>
    </cfRule>
  </conditionalFormatting>
  <conditionalFormatting sqref="AI107">
    <cfRule type="expression" dxfId="4891" priority="1315">
      <formula>AND(IF(OR($Q107=1,$Q107=2),1,0),IF($X107&lt;=20,1,0))</formula>
    </cfRule>
    <cfRule type="expression" dxfId="4890" priority="1316">
      <formula>AND(IF($Q107=2,1,0),IF($X107&lt;30,1,0))</formula>
    </cfRule>
    <cfRule type="expression" dxfId="4889" priority="1317">
      <formula>AND(IF($Q107=3,1,0),IF($X107&lt;30,1,0))</formula>
    </cfRule>
    <cfRule type="expression" dxfId="4888" priority="1318">
      <formula>AND(IF($Q107=3,1,IF($Q107=4,1,0)),IF($F107&lt;=85,1,0))</formula>
    </cfRule>
  </conditionalFormatting>
  <conditionalFormatting sqref="AV108">
    <cfRule type="expression" dxfId="4887" priority="1313">
      <formula>AV108="X"</formula>
    </cfRule>
    <cfRule type="expression" dxfId="4886" priority="1314">
      <formula>AV108="후보"</formula>
    </cfRule>
  </conditionalFormatting>
  <conditionalFormatting sqref="AC108">
    <cfRule type="cellIs" dxfId="4885" priority="1311" operator="greaterThan">
      <formula>0.9</formula>
    </cfRule>
    <cfRule type="cellIs" dxfId="4884" priority="1312" operator="greaterThan">
      <formula>0.85</formula>
    </cfRule>
  </conditionalFormatting>
  <conditionalFormatting sqref="N108">
    <cfRule type="cellIs" dxfId="4883" priority="1309" operator="greaterThan">
      <formula>0.9</formula>
    </cfRule>
    <cfRule type="cellIs" dxfId="4882" priority="1310" operator="greaterThan">
      <formula>0.85</formula>
    </cfRule>
  </conditionalFormatting>
  <conditionalFormatting sqref="E108">
    <cfRule type="expression" dxfId="4881" priority="1305">
      <formula>AND(IF(OR($Q108=1,$Q108=2),1,0),IF($X108&lt;=20,1,0))</formula>
    </cfRule>
    <cfRule type="expression" dxfId="4880" priority="1306">
      <formula>AND(IF($Q108=2,1,0),IF($X108&lt;30,1,0))</formula>
    </cfRule>
    <cfRule type="expression" dxfId="4879" priority="1307">
      <formula>AND(IF($Q108=3,1,0),IF($X108&lt;30,1,0))</formula>
    </cfRule>
    <cfRule type="expression" dxfId="4878" priority="1308">
      <formula>AND(IF($Q108=3,1,IF($Q108=4,1,0)),IF($F108&lt;=85,1,0))</formula>
    </cfRule>
  </conditionalFormatting>
  <conditionalFormatting sqref="X108">
    <cfRule type="expression" dxfId="4877" priority="1301">
      <formula>AND(IF(OR($Q108=1,$Q108=2),1,0),IF($X108&lt;=20,1,0))</formula>
    </cfRule>
    <cfRule type="expression" dxfId="4876" priority="1302">
      <formula>AND(IF($Q108=2,1,0),IF($X108&lt;30,1,0))</formula>
    </cfRule>
    <cfRule type="expression" dxfId="4875" priority="1303">
      <formula>AND(IF($Q108=3,1,0),IF($X108&lt;30,1,0))</formula>
    </cfRule>
    <cfRule type="expression" dxfId="4874" priority="1304">
      <formula>AND(IF($Q108=3,1,IF($Q108=4,1,0)),IF($F108&lt;=85,1,0))</formula>
    </cfRule>
  </conditionalFormatting>
  <conditionalFormatting sqref="AI108">
    <cfRule type="expression" dxfId="4873" priority="1297">
      <formula>AND(IF(OR($Q108=1,$Q108=2),1,0),IF($X108&lt;=20,1,0))</formula>
    </cfRule>
    <cfRule type="expression" dxfId="4872" priority="1298">
      <formula>AND(IF($Q108=2,1,0),IF($X108&lt;30,1,0))</formula>
    </cfRule>
    <cfRule type="expression" dxfId="4871" priority="1299">
      <formula>AND(IF($Q108=3,1,0),IF($X108&lt;30,1,0))</formula>
    </cfRule>
    <cfRule type="expression" dxfId="4870" priority="1300">
      <formula>AND(IF($Q108=3,1,IF($Q108=4,1,0)),IF($F108&lt;=85,1,0))</formula>
    </cfRule>
  </conditionalFormatting>
  <conditionalFormatting sqref="AV109">
    <cfRule type="expression" dxfId="4869" priority="1295">
      <formula>AV109="X"</formula>
    </cfRule>
    <cfRule type="expression" dxfId="4868" priority="1296">
      <formula>AV109="후보"</formula>
    </cfRule>
  </conditionalFormatting>
  <conditionalFormatting sqref="AC109">
    <cfRule type="cellIs" dxfId="4867" priority="1293" operator="greaterThan">
      <formula>0.9</formula>
    </cfRule>
    <cfRule type="cellIs" dxfId="4866" priority="1294" operator="greaterThan">
      <formula>0.85</formula>
    </cfRule>
  </conditionalFormatting>
  <conditionalFormatting sqref="N109">
    <cfRule type="cellIs" dxfId="4865" priority="1291" operator="greaterThan">
      <formula>0.9</formula>
    </cfRule>
    <cfRule type="cellIs" dxfId="4864" priority="1292" operator="greaterThan">
      <formula>0.85</formula>
    </cfRule>
  </conditionalFormatting>
  <conditionalFormatting sqref="E109">
    <cfRule type="expression" dxfId="4863" priority="1287">
      <formula>AND(IF(OR($Q109=1,$Q109=2),1,0),IF($X109&lt;=20,1,0))</formula>
    </cfRule>
    <cfRule type="expression" dxfId="4862" priority="1288">
      <formula>AND(IF($Q109=2,1,0),IF($X109&lt;30,1,0))</formula>
    </cfRule>
    <cfRule type="expression" dxfId="4861" priority="1289">
      <formula>AND(IF($Q109=3,1,0),IF($X109&lt;30,1,0))</formula>
    </cfRule>
    <cfRule type="expression" dxfId="4860" priority="1290">
      <formula>AND(IF($Q109=3,1,IF($Q109=4,1,0)),IF($F109&lt;=85,1,0))</formula>
    </cfRule>
  </conditionalFormatting>
  <conditionalFormatting sqref="X109">
    <cfRule type="expression" dxfId="4859" priority="1283">
      <formula>AND(IF(OR($Q109=1,$Q109=2),1,0),IF($X109&lt;=20,1,0))</formula>
    </cfRule>
    <cfRule type="expression" dxfId="4858" priority="1284">
      <formula>AND(IF($Q109=2,1,0),IF($X109&lt;30,1,0))</formula>
    </cfRule>
    <cfRule type="expression" dxfId="4857" priority="1285">
      <formula>AND(IF($Q109=3,1,0),IF($X109&lt;30,1,0))</formula>
    </cfRule>
    <cfRule type="expression" dxfId="4856" priority="1286">
      <formula>AND(IF($Q109=3,1,IF($Q109=4,1,0)),IF($F109&lt;=85,1,0))</formula>
    </cfRule>
  </conditionalFormatting>
  <conditionalFormatting sqref="AI109">
    <cfRule type="expression" dxfId="4855" priority="1279">
      <formula>AND(IF(OR($Q109=1,$Q109=2),1,0),IF($X109&lt;=20,1,0))</formula>
    </cfRule>
    <cfRule type="expression" dxfId="4854" priority="1280">
      <formula>AND(IF($Q109=2,1,0),IF($X109&lt;30,1,0))</formula>
    </cfRule>
    <cfRule type="expression" dxfId="4853" priority="1281">
      <formula>AND(IF($Q109=3,1,0),IF($X109&lt;30,1,0))</formula>
    </cfRule>
    <cfRule type="expression" dxfId="4852" priority="1282">
      <formula>AND(IF($Q109=3,1,IF($Q109=4,1,0)),IF($F109&lt;=85,1,0))</formula>
    </cfRule>
  </conditionalFormatting>
  <conditionalFormatting sqref="AV110">
    <cfRule type="expression" dxfId="4851" priority="1277">
      <formula>AV110="X"</formula>
    </cfRule>
    <cfRule type="expression" dxfId="4850" priority="1278">
      <formula>AV110="후보"</formula>
    </cfRule>
  </conditionalFormatting>
  <conditionalFormatting sqref="AC110">
    <cfRule type="cellIs" dxfId="4849" priority="1275" operator="greaterThan">
      <formula>0.9</formula>
    </cfRule>
    <cfRule type="cellIs" dxfId="4848" priority="1276" operator="greaterThan">
      <formula>0.85</formula>
    </cfRule>
  </conditionalFormatting>
  <conditionalFormatting sqref="N110">
    <cfRule type="cellIs" dxfId="4847" priority="1273" operator="greaterThan">
      <formula>0.9</formula>
    </cfRule>
    <cfRule type="cellIs" dxfId="4846" priority="1274" operator="greaterThan">
      <formula>0.85</formula>
    </cfRule>
  </conditionalFormatting>
  <conditionalFormatting sqref="E110">
    <cfRule type="expression" dxfId="4845" priority="1269">
      <formula>AND(IF(OR($Q110=1,$Q110=2),1,0),IF($X110&lt;=20,1,0))</formula>
    </cfRule>
    <cfRule type="expression" dxfId="4844" priority="1270">
      <formula>AND(IF($Q110=2,1,0),IF($X110&lt;30,1,0))</formula>
    </cfRule>
    <cfRule type="expression" dxfId="4843" priority="1271">
      <formula>AND(IF($Q110=3,1,0),IF($X110&lt;30,1,0))</formula>
    </cfRule>
    <cfRule type="expression" dxfId="4842" priority="1272">
      <formula>AND(IF($Q110=3,1,IF($Q110=4,1,0)),IF($F110&lt;=85,1,0))</formula>
    </cfRule>
  </conditionalFormatting>
  <conditionalFormatting sqref="X110">
    <cfRule type="expression" dxfId="4841" priority="1265">
      <formula>AND(IF(OR($Q110=1,$Q110=2),1,0),IF($X110&lt;=20,1,0))</formula>
    </cfRule>
    <cfRule type="expression" dxfId="4840" priority="1266">
      <formula>AND(IF($Q110=2,1,0),IF($X110&lt;30,1,0))</formula>
    </cfRule>
    <cfRule type="expression" dxfId="4839" priority="1267">
      <formula>AND(IF($Q110=3,1,0),IF($X110&lt;30,1,0))</formula>
    </cfRule>
    <cfRule type="expression" dxfId="4838" priority="1268">
      <formula>AND(IF($Q110=3,1,IF($Q110=4,1,0)),IF($F110&lt;=85,1,0))</formula>
    </cfRule>
  </conditionalFormatting>
  <conditionalFormatting sqref="AI110">
    <cfRule type="expression" dxfId="4837" priority="1261">
      <formula>AND(IF(OR($Q110=1,$Q110=2),1,0),IF($X110&lt;=20,1,0))</formula>
    </cfRule>
    <cfRule type="expression" dxfId="4836" priority="1262">
      <formula>AND(IF($Q110=2,1,0),IF($X110&lt;30,1,0))</formula>
    </cfRule>
    <cfRule type="expression" dxfId="4835" priority="1263">
      <formula>AND(IF($Q110=3,1,0),IF($X110&lt;30,1,0))</formula>
    </cfRule>
    <cfRule type="expression" dxfId="4834" priority="1264">
      <formula>AND(IF($Q110=3,1,IF($Q110=4,1,0)),IF($F110&lt;=85,1,0))</formula>
    </cfRule>
  </conditionalFormatting>
  <conditionalFormatting sqref="AV111">
    <cfRule type="expression" dxfId="4833" priority="1259">
      <formula>AV111="X"</formula>
    </cfRule>
    <cfRule type="expression" dxfId="4832" priority="1260">
      <formula>AV111="후보"</formula>
    </cfRule>
  </conditionalFormatting>
  <conditionalFormatting sqref="AC111">
    <cfRule type="cellIs" dxfId="4831" priority="1257" operator="greaterThan">
      <formula>0.9</formula>
    </cfRule>
    <cfRule type="cellIs" dxfId="4830" priority="1258" operator="greaterThan">
      <formula>0.85</formula>
    </cfRule>
  </conditionalFormatting>
  <conditionalFormatting sqref="N111">
    <cfRule type="cellIs" dxfId="4829" priority="1255" operator="greaterThan">
      <formula>0.9</formula>
    </cfRule>
    <cfRule type="cellIs" dxfId="4828" priority="1256" operator="greaterThan">
      <formula>0.85</formula>
    </cfRule>
  </conditionalFormatting>
  <conditionalFormatting sqref="E111">
    <cfRule type="expression" dxfId="4827" priority="1251">
      <formula>AND(IF(OR($Q111=1,$Q111=2),1,0),IF($X111&lt;=20,1,0))</formula>
    </cfRule>
    <cfRule type="expression" dxfId="4826" priority="1252">
      <formula>AND(IF($Q111=2,1,0),IF($X111&lt;30,1,0))</formula>
    </cfRule>
    <cfRule type="expression" dxfId="4825" priority="1253">
      <formula>AND(IF($Q111=3,1,0),IF($X111&lt;30,1,0))</formula>
    </cfRule>
    <cfRule type="expression" dxfId="4824" priority="1254">
      <formula>AND(IF($Q111=3,1,IF($Q111=4,1,0)),IF($F111&lt;=85,1,0))</formula>
    </cfRule>
  </conditionalFormatting>
  <conditionalFormatting sqref="X111">
    <cfRule type="expression" dxfId="4823" priority="1247">
      <formula>AND(IF(OR($Q111=1,$Q111=2),1,0),IF($X111&lt;=20,1,0))</formula>
    </cfRule>
    <cfRule type="expression" dxfId="4822" priority="1248">
      <formula>AND(IF($Q111=2,1,0),IF($X111&lt;30,1,0))</formula>
    </cfRule>
    <cfRule type="expression" dxfId="4821" priority="1249">
      <formula>AND(IF($Q111=3,1,0),IF($X111&lt;30,1,0))</formula>
    </cfRule>
    <cfRule type="expression" dxfId="4820" priority="1250">
      <formula>AND(IF($Q111=3,1,IF($Q111=4,1,0)),IF($F111&lt;=85,1,0))</formula>
    </cfRule>
  </conditionalFormatting>
  <conditionalFormatting sqref="AI111">
    <cfRule type="expression" dxfId="4819" priority="1243">
      <formula>AND(IF(OR($Q111=1,$Q111=2),1,0),IF($X111&lt;=20,1,0))</formula>
    </cfRule>
    <cfRule type="expression" dxfId="4818" priority="1244">
      <formula>AND(IF($Q111=2,1,0),IF($X111&lt;30,1,0))</formula>
    </cfRule>
    <cfRule type="expression" dxfId="4817" priority="1245">
      <formula>AND(IF($Q111=3,1,0),IF($X111&lt;30,1,0))</formula>
    </cfRule>
    <cfRule type="expression" dxfId="4816" priority="1246">
      <formula>AND(IF($Q111=3,1,IF($Q111=4,1,0)),IF($F111&lt;=85,1,0))</formula>
    </cfRule>
  </conditionalFormatting>
  <conditionalFormatting sqref="AV112">
    <cfRule type="expression" dxfId="4815" priority="1241">
      <formula>AV112="X"</formula>
    </cfRule>
    <cfRule type="expression" dxfId="4814" priority="1242">
      <formula>AV112="후보"</formula>
    </cfRule>
  </conditionalFormatting>
  <conditionalFormatting sqref="AC112">
    <cfRule type="cellIs" dxfId="4813" priority="1239" operator="greaterThan">
      <formula>0.9</formula>
    </cfRule>
    <cfRule type="cellIs" dxfId="4812" priority="1240" operator="greaterThan">
      <formula>0.85</formula>
    </cfRule>
  </conditionalFormatting>
  <conditionalFormatting sqref="N112">
    <cfRule type="cellIs" dxfId="4811" priority="1237" operator="greaterThan">
      <formula>0.9</formula>
    </cfRule>
    <cfRule type="cellIs" dxfId="4810" priority="1238" operator="greaterThan">
      <formula>0.85</formula>
    </cfRule>
  </conditionalFormatting>
  <conditionalFormatting sqref="E112">
    <cfRule type="expression" dxfId="4809" priority="1233">
      <formula>AND(IF(OR($Q112=1,$Q112=2),1,0),IF($X112&lt;=20,1,0))</formula>
    </cfRule>
    <cfRule type="expression" dxfId="4808" priority="1234">
      <formula>AND(IF($Q112=2,1,0),IF($X112&lt;30,1,0))</formula>
    </cfRule>
    <cfRule type="expression" dxfId="4807" priority="1235">
      <formula>AND(IF($Q112=3,1,0),IF($X112&lt;30,1,0))</formula>
    </cfRule>
    <cfRule type="expression" dxfId="4806" priority="1236">
      <formula>AND(IF($Q112=3,1,IF($Q112=4,1,0)),IF($F112&lt;=85,1,0))</formula>
    </cfRule>
  </conditionalFormatting>
  <conditionalFormatting sqref="X112">
    <cfRule type="expression" dxfId="4805" priority="1229">
      <formula>AND(IF(OR($Q112=1,$Q112=2),1,0),IF($X112&lt;=20,1,0))</formula>
    </cfRule>
    <cfRule type="expression" dxfId="4804" priority="1230">
      <formula>AND(IF($Q112=2,1,0),IF($X112&lt;30,1,0))</formula>
    </cfRule>
    <cfRule type="expression" dxfId="4803" priority="1231">
      <formula>AND(IF($Q112=3,1,0),IF($X112&lt;30,1,0))</formula>
    </cfRule>
    <cfRule type="expression" dxfId="4802" priority="1232">
      <formula>AND(IF($Q112=3,1,IF($Q112=4,1,0)),IF($F112&lt;=85,1,0))</formula>
    </cfRule>
  </conditionalFormatting>
  <conditionalFormatting sqref="AI112">
    <cfRule type="expression" dxfId="4801" priority="1225">
      <formula>AND(IF(OR($Q112=1,$Q112=2),1,0),IF($X112&lt;=20,1,0))</formula>
    </cfRule>
    <cfRule type="expression" dxfId="4800" priority="1226">
      <formula>AND(IF($Q112=2,1,0),IF($X112&lt;30,1,0))</formula>
    </cfRule>
    <cfRule type="expression" dxfId="4799" priority="1227">
      <formula>AND(IF($Q112=3,1,0),IF($X112&lt;30,1,0))</formula>
    </cfRule>
    <cfRule type="expression" dxfId="4798" priority="1228">
      <formula>AND(IF($Q112=3,1,IF($Q112=4,1,0)),IF($F112&lt;=85,1,0))</formula>
    </cfRule>
  </conditionalFormatting>
  <conditionalFormatting sqref="AV113">
    <cfRule type="expression" dxfId="4797" priority="1223">
      <formula>AV113="X"</formula>
    </cfRule>
    <cfRule type="expression" dxfId="4796" priority="1224">
      <formula>AV113="후보"</formula>
    </cfRule>
  </conditionalFormatting>
  <conditionalFormatting sqref="AC113">
    <cfRule type="cellIs" dxfId="4795" priority="1221" operator="greaterThan">
      <formula>0.9</formula>
    </cfRule>
    <cfRule type="cellIs" dxfId="4794" priority="1222" operator="greaterThan">
      <formula>0.85</formula>
    </cfRule>
  </conditionalFormatting>
  <conditionalFormatting sqref="N113">
    <cfRule type="cellIs" dxfId="4793" priority="1219" operator="greaterThan">
      <formula>0.9</formula>
    </cfRule>
    <cfRule type="cellIs" dxfId="4792" priority="1220" operator="greaterThan">
      <formula>0.85</formula>
    </cfRule>
  </conditionalFormatting>
  <conditionalFormatting sqref="E113">
    <cfRule type="expression" dxfId="4791" priority="1215">
      <formula>AND(IF(OR($Q113=1,$Q113=2),1,0),IF($X113&lt;=20,1,0))</formula>
    </cfRule>
    <cfRule type="expression" dxfId="4790" priority="1216">
      <formula>AND(IF($Q113=2,1,0),IF($X113&lt;30,1,0))</formula>
    </cfRule>
    <cfRule type="expression" dxfId="4789" priority="1217">
      <formula>AND(IF($Q113=3,1,0),IF($X113&lt;30,1,0))</formula>
    </cfRule>
    <cfRule type="expression" dxfId="4788" priority="1218">
      <formula>AND(IF($Q113=3,1,IF($Q113=4,1,0)),IF($F113&lt;=85,1,0))</formula>
    </cfRule>
  </conditionalFormatting>
  <conditionalFormatting sqref="X113">
    <cfRule type="expression" dxfId="4787" priority="1211">
      <formula>AND(IF(OR($Q113=1,$Q113=2),1,0),IF($X113&lt;=20,1,0))</formula>
    </cfRule>
    <cfRule type="expression" dxfId="4786" priority="1212">
      <formula>AND(IF($Q113=2,1,0),IF($X113&lt;30,1,0))</formula>
    </cfRule>
    <cfRule type="expression" dxfId="4785" priority="1213">
      <formula>AND(IF($Q113=3,1,0),IF($X113&lt;30,1,0))</formula>
    </cfRule>
    <cfRule type="expression" dxfId="4784" priority="1214">
      <formula>AND(IF($Q113=3,1,IF($Q113=4,1,0)),IF($F113&lt;=85,1,0))</formula>
    </cfRule>
  </conditionalFormatting>
  <conditionalFormatting sqref="AI113">
    <cfRule type="expression" dxfId="4783" priority="1207">
      <formula>AND(IF(OR($Q113=1,$Q113=2),1,0),IF($X113&lt;=20,1,0))</formula>
    </cfRule>
    <cfRule type="expression" dxfId="4782" priority="1208">
      <formula>AND(IF($Q113=2,1,0),IF($X113&lt;30,1,0))</formula>
    </cfRule>
    <cfRule type="expression" dxfId="4781" priority="1209">
      <formula>AND(IF($Q113=3,1,0),IF($X113&lt;30,1,0))</formula>
    </cfRule>
    <cfRule type="expression" dxfId="4780" priority="1210">
      <formula>AND(IF($Q113=3,1,IF($Q113=4,1,0)),IF($F113&lt;=85,1,0))</formula>
    </cfRule>
  </conditionalFormatting>
  <conditionalFormatting sqref="AV114">
    <cfRule type="expression" dxfId="4779" priority="1205">
      <formula>AV114="X"</formula>
    </cfRule>
    <cfRule type="expression" dxfId="4778" priority="1206">
      <formula>AV114="후보"</formula>
    </cfRule>
  </conditionalFormatting>
  <conditionalFormatting sqref="AC114">
    <cfRule type="cellIs" dxfId="4777" priority="1203" operator="greaterThan">
      <formula>0.9</formula>
    </cfRule>
    <cfRule type="cellIs" dxfId="4776" priority="1204" operator="greaterThan">
      <formula>0.85</formula>
    </cfRule>
  </conditionalFormatting>
  <conditionalFormatting sqref="N114">
    <cfRule type="cellIs" dxfId="4775" priority="1201" operator="greaterThan">
      <formula>0.9</formula>
    </cfRule>
    <cfRule type="cellIs" dxfId="4774" priority="1202" operator="greaterThan">
      <formula>0.85</formula>
    </cfRule>
  </conditionalFormatting>
  <conditionalFormatting sqref="E114">
    <cfRule type="expression" dxfId="4773" priority="1197">
      <formula>AND(IF(OR($Q114=1,$Q114=2),1,0),IF($X114&lt;=20,1,0))</formula>
    </cfRule>
    <cfRule type="expression" dxfId="4772" priority="1198">
      <formula>AND(IF($Q114=2,1,0),IF($X114&lt;30,1,0))</formula>
    </cfRule>
    <cfRule type="expression" dxfId="4771" priority="1199">
      <formula>AND(IF($Q114=3,1,0),IF($X114&lt;30,1,0))</formula>
    </cfRule>
    <cfRule type="expression" dxfId="4770" priority="1200">
      <formula>AND(IF($Q114=3,1,IF($Q114=4,1,0)),IF($F114&lt;=85,1,0))</formula>
    </cfRule>
  </conditionalFormatting>
  <conditionalFormatting sqref="X114">
    <cfRule type="expression" dxfId="4769" priority="1193">
      <formula>AND(IF(OR($Q114=1,$Q114=2),1,0),IF($X114&lt;=20,1,0))</formula>
    </cfRule>
    <cfRule type="expression" dxfId="4768" priority="1194">
      <formula>AND(IF($Q114=2,1,0),IF($X114&lt;30,1,0))</formula>
    </cfRule>
    <cfRule type="expression" dxfId="4767" priority="1195">
      <formula>AND(IF($Q114=3,1,0),IF($X114&lt;30,1,0))</formula>
    </cfRule>
    <cfRule type="expression" dxfId="4766" priority="1196">
      <formula>AND(IF($Q114=3,1,IF($Q114=4,1,0)),IF($F114&lt;=85,1,0))</formula>
    </cfRule>
  </conditionalFormatting>
  <conditionalFormatting sqref="AI114">
    <cfRule type="expression" dxfId="4765" priority="1189">
      <formula>AND(IF(OR($Q114=1,$Q114=2),1,0),IF($X114&lt;=20,1,0))</formula>
    </cfRule>
    <cfRule type="expression" dxfId="4764" priority="1190">
      <formula>AND(IF($Q114=2,1,0),IF($X114&lt;30,1,0))</formula>
    </cfRule>
    <cfRule type="expression" dxfId="4763" priority="1191">
      <formula>AND(IF($Q114=3,1,0),IF($X114&lt;30,1,0))</formula>
    </cfRule>
    <cfRule type="expression" dxfId="4762" priority="1192">
      <formula>AND(IF($Q114=3,1,IF($Q114=4,1,0)),IF($F114&lt;=85,1,0))</formula>
    </cfRule>
  </conditionalFormatting>
  <conditionalFormatting sqref="AV115">
    <cfRule type="expression" dxfId="4761" priority="1187">
      <formula>AV115="X"</formula>
    </cfRule>
    <cfRule type="expression" dxfId="4760" priority="1188">
      <formula>AV115="후보"</formula>
    </cfRule>
  </conditionalFormatting>
  <conditionalFormatting sqref="AC115">
    <cfRule type="cellIs" dxfId="4759" priority="1185" operator="greaterThan">
      <formula>0.9</formula>
    </cfRule>
    <cfRule type="cellIs" dxfId="4758" priority="1186" operator="greaterThan">
      <formula>0.85</formula>
    </cfRule>
  </conditionalFormatting>
  <conditionalFormatting sqref="N115">
    <cfRule type="cellIs" dxfId="4757" priority="1183" operator="greaterThan">
      <formula>0.9</formula>
    </cfRule>
    <cfRule type="cellIs" dxfId="4756" priority="1184" operator="greaterThan">
      <formula>0.85</formula>
    </cfRule>
  </conditionalFormatting>
  <conditionalFormatting sqref="E115">
    <cfRule type="expression" dxfId="4755" priority="1179">
      <formula>AND(IF(OR($Q115=1,$Q115=2),1,0),IF($X115&lt;=20,1,0))</formula>
    </cfRule>
    <cfRule type="expression" dxfId="4754" priority="1180">
      <formula>AND(IF($Q115=2,1,0),IF($X115&lt;30,1,0))</formula>
    </cfRule>
    <cfRule type="expression" dxfId="4753" priority="1181">
      <formula>AND(IF($Q115=3,1,0),IF($X115&lt;30,1,0))</formula>
    </cfRule>
    <cfRule type="expression" dxfId="4752" priority="1182">
      <formula>AND(IF($Q115=3,1,IF($Q115=4,1,0)),IF($F115&lt;=85,1,0))</formula>
    </cfRule>
  </conditionalFormatting>
  <conditionalFormatting sqref="X115">
    <cfRule type="expression" dxfId="4751" priority="1175">
      <formula>AND(IF(OR($Q115=1,$Q115=2),1,0),IF($X115&lt;=20,1,0))</formula>
    </cfRule>
    <cfRule type="expression" dxfId="4750" priority="1176">
      <formula>AND(IF($Q115=2,1,0),IF($X115&lt;30,1,0))</formula>
    </cfRule>
    <cfRule type="expression" dxfId="4749" priority="1177">
      <formula>AND(IF($Q115=3,1,0),IF($X115&lt;30,1,0))</formula>
    </cfRule>
    <cfRule type="expression" dxfId="4748" priority="1178">
      <formula>AND(IF($Q115=3,1,IF($Q115=4,1,0)),IF($F115&lt;=85,1,0))</formula>
    </cfRule>
  </conditionalFormatting>
  <conditionalFormatting sqref="AI115">
    <cfRule type="expression" dxfId="4747" priority="1171">
      <formula>AND(IF(OR($Q115=1,$Q115=2),1,0),IF($X115&lt;=20,1,0))</formula>
    </cfRule>
    <cfRule type="expression" dxfId="4746" priority="1172">
      <formula>AND(IF($Q115=2,1,0),IF($X115&lt;30,1,0))</formula>
    </cfRule>
    <cfRule type="expression" dxfId="4745" priority="1173">
      <formula>AND(IF($Q115=3,1,0),IF($X115&lt;30,1,0))</formula>
    </cfRule>
    <cfRule type="expression" dxfId="4744" priority="1174">
      <formula>AND(IF($Q115=3,1,IF($Q115=4,1,0)),IF($F115&lt;=85,1,0))</formula>
    </cfRule>
  </conditionalFormatting>
  <conditionalFormatting sqref="AV116">
    <cfRule type="expression" dxfId="4743" priority="1169">
      <formula>AV116="X"</formula>
    </cfRule>
    <cfRule type="expression" dxfId="4742" priority="1170">
      <formula>AV116="후보"</formula>
    </cfRule>
  </conditionalFormatting>
  <conditionalFormatting sqref="AC116">
    <cfRule type="cellIs" dxfId="4741" priority="1167" operator="greaterThan">
      <formula>0.9</formula>
    </cfRule>
    <cfRule type="cellIs" dxfId="4740" priority="1168" operator="greaterThan">
      <formula>0.85</formula>
    </cfRule>
  </conditionalFormatting>
  <conditionalFormatting sqref="N116">
    <cfRule type="cellIs" dxfId="4739" priority="1165" operator="greaterThan">
      <formula>0.9</formula>
    </cfRule>
    <cfRule type="cellIs" dxfId="4738" priority="1166" operator="greaterThan">
      <formula>0.85</formula>
    </cfRule>
  </conditionalFormatting>
  <conditionalFormatting sqref="E116">
    <cfRule type="expression" dxfId="4737" priority="1161">
      <formula>AND(IF(OR($Q116=1,$Q116=2),1,0),IF($X116&lt;=20,1,0))</formula>
    </cfRule>
    <cfRule type="expression" dxfId="4736" priority="1162">
      <formula>AND(IF($Q116=2,1,0),IF($X116&lt;30,1,0))</formula>
    </cfRule>
    <cfRule type="expression" dxfId="4735" priority="1163">
      <formula>AND(IF($Q116=3,1,0),IF($X116&lt;30,1,0))</formula>
    </cfRule>
    <cfRule type="expression" dxfId="4734" priority="1164">
      <formula>AND(IF($Q116=3,1,IF($Q116=4,1,0)),IF($F116&lt;=85,1,0))</formula>
    </cfRule>
  </conditionalFormatting>
  <conditionalFormatting sqref="X116">
    <cfRule type="expression" dxfId="4733" priority="1157">
      <formula>AND(IF(OR($Q116=1,$Q116=2),1,0),IF($X116&lt;=20,1,0))</formula>
    </cfRule>
    <cfRule type="expression" dxfId="4732" priority="1158">
      <formula>AND(IF($Q116=2,1,0),IF($X116&lt;30,1,0))</formula>
    </cfRule>
    <cfRule type="expression" dxfId="4731" priority="1159">
      <formula>AND(IF($Q116=3,1,0),IF($X116&lt;30,1,0))</formula>
    </cfRule>
    <cfRule type="expression" dxfId="4730" priority="1160">
      <formula>AND(IF($Q116=3,1,IF($Q116=4,1,0)),IF($F116&lt;=85,1,0))</formula>
    </cfRule>
  </conditionalFormatting>
  <conditionalFormatting sqref="AI116">
    <cfRule type="expression" dxfId="4729" priority="1153">
      <formula>AND(IF(OR($Q116=1,$Q116=2),1,0),IF($X116&lt;=20,1,0))</formula>
    </cfRule>
    <cfRule type="expression" dxfId="4728" priority="1154">
      <formula>AND(IF($Q116=2,1,0),IF($X116&lt;30,1,0))</formula>
    </cfRule>
    <cfRule type="expression" dxfId="4727" priority="1155">
      <formula>AND(IF($Q116=3,1,0),IF($X116&lt;30,1,0))</formula>
    </cfRule>
    <cfRule type="expression" dxfId="4726" priority="1156">
      <formula>AND(IF($Q116=3,1,IF($Q116=4,1,0)),IF($F116&lt;=85,1,0))</formula>
    </cfRule>
  </conditionalFormatting>
  <conditionalFormatting sqref="AV117">
    <cfRule type="expression" dxfId="4725" priority="1151">
      <formula>AV117="X"</formula>
    </cfRule>
    <cfRule type="expression" dxfId="4724" priority="1152">
      <formula>AV117="후보"</formula>
    </cfRule>
  </conditionalFormatting>
  <conditionalFormatting sqref="AC117">
    <cfRule type="cellIs" dxfId="4723" priority="1149" operator="greaterThan">
      <formula>0.9</formula>
    </cfRule>
    <cfRule type="cellIs" dxfId="4722" priority="1150" operator="greaterThan">
      <formula>0.85</formula>
    </cfRule>
  </conditionalFormatting>
  <conditionalFormatting sqref="N117">
    <cfRule type="cellIs" dxfId="4721" priority="1147" operator="greaterThan">
      <formula>0.9</formula>
    </cfRule>
    <cfRule type="cellIs" dxfId="4720" priority="1148" operator="greaterThan">
      <formula>0.85</formula>
    </cfRule>
  </conditionalFormatting>
  <conditionalFormatting sqref="E117">
    <cfRule type="expression" dxfId="4719" priority="1143">
      <formula>AND(IF(OR($Q117=1,$Q117=2),1,0),IF($X117&lt;=20,1,0))</formula>
    </cfRule>
    <cfRule type="expression" dxfId="4718" priority="1144">
      <formula>AND(IF($Q117=2,1,0),IF($X117&lt;30,1,0))</formula>
    </cfRule>
    <cfRule type="expression" dxfId="4717" priority="1145">
      <formula>AND(IF($Q117=3,1,0),IF($X117&lt;30,1,0))</formula>
    </cfRule>
    <cfRule type="expression" dxfId="4716" priority="1146">
      <formula>AND(IF($Q117=3,1,IF($Q117=4,1,0)),IF($F117&lt;=85,1,0))</formula>
    </cfRule>
  </conditionalFormatting>
  <conditionalFormatting sqref="X117">
    <cfRule type="expression" dxfId="4715" priority="1139">
      <formula>AND(IF(OR($Q117=1,$Q117=2),1,0),IF($X117&lt;=20,1,0))</formula>
    </cfRule>
    <cfRule type="expression" dxfId="4714" priority="1140">
      <formula>AND(IF($Q117=2,1,0),IF($X117&lt;30,1,0))</formula>
    </cfRule>
    <cfRule type="expression" dxfId="4713" priority="1141">
      <formula>AND(IF($Q117=3,1,0),IF($X117&lt;30,1,0))</formula>
    </cfRule>
    <cfRule type="expression" dxfId="4712" priority="1142">
      <formula>AND(IF($Q117=3,1,IF($Q117=4,1,0)),IF($F117&lt;=85,1,0))</formula>
    </cfRule>
  </conditionalFormatting>
  <conditionalFormatting sqref="AI117">
    <cfRule type="expression" dxfId="4711" priority="1135">
      <formula>AND(IF(OR($Q117=1,$Q117=2),1,0),IF($X117&lt;=20,1,0))</formula>
    </cfRule>
    <cfRule type="expression" dxfId="4710" priority="1136">
      <formula>AND(IF($Q117=2,1,0),IF($X117&lt;30,1,0))</formula>
    </cfRule>
    <cfRule type="expression" dxfId="4709" priority="1137">
      <formula>AND(IF($Q117=3,1,0),IF($X117&lt;30,1,0))</formula>
    </cfRule>
    <cfRule type="expression" dxfId="4708" priority="1138">
      <formula>AND(IF($Q117=3,1,IF($Q117=4,1,0)),IF($F117&lt;=85,1,0))</formula>
    </cfRule>
  </conditionalFormatting>
  <conditionalFormatting sqref="AV118">
    <cfRule type="expression" dxfId="4707" priority="1133">
      <formula>AV118="X"</formula>
    </cfRule>
    <cfRule type="expression" dxfId="4706" priority="1134">
      <formula>AV118="후보"</formula>
    </cfRule>
  </conditionalFormatting>
  <conditionalFormatting sqref="AC118">
    <cfRule type="cellIs" dxfId="4705" priority="1131" operator="greaterThan">
      <formula>0.9</formula>
    </cfRule>
    <cfRule type="cellIs" dxfId="4704" priority="1132" operator="greaterThan">
      <formula>0.85</formula>
    </cfRule>
  </conditionalFormatting>
  <conditionalFormatting sqref="N118">
    <cfRule type="cellIs" dxfId="4703" priority="1129" operator="greaterThan">
      <formula>0.9</formula>
    </cfRule>
    <cfRule type="cellIs" dxfId="4702" priority="1130" operator="greaterThan">
      <formula>0.85</formula>
    </cfRule>
  </conditionalFormatting>
  <conditionalFormatting sqref="E118">
    <cfRule type="expression" dxfId="4701" priority="1125">
      <formula>AND(IF(OR($Q118=1,$Q118=2),1,0),IF($X118&lt;=20,1,0))</formula>
    </cfRule>
    <cfRule type="expression" dxfId="4700" priority="1126">
      <formula>AND(IF($Q118=2,1,0),IF($X118&lt;30,1,0))</formula>
    </cfRule>
    <cfRule type="expression" dxfId="4699" priority="1127">
      <formula>AND(IF($Q118=3,1,0),IF($X118&lt;30,1,0))</formula>
    </cfRule>
    <cfRule type="expression" dxfId="4698" priority="1128">
      <formula>AND(IF($Q118=3,1,IF($Q118=4,1,0)),IF($F118&lt;=85,1,0))</formula>
    </cfRule>
  </conditionalFormatting>
  <conditionalFormatting sqref="X118">
    <cfRule type="expression" dxfId="4697" priority="1121">
      <formula>AND(IF(OR($Q118=1,$Q118=2),1,0),IF($X118&lt;=20,1,0))</formula>
    </cfRule>
    <cfRule type="expression" dxfId="4696" priority="1122">
      <formula>AND(IF($Q118=2,1,0),IF($X118&lt;30,1,0))</formula>
    </cfRule>
    <cfRule type="expression" dxfId="4695" priority="1123">
      <formula>AND(IF($Q118=3,1,0),IF($X118&lt;30,1,0))</formula>
    </cfRule>
    <cfRule type="expression" dxfId="4694" priority="1124">
      <formula>AND(IF($Q118=3,1,IF($Q118=4,1,0)),IF($F118&lt;=85,1,0))</formula>
    </cfRule>
  </conditionalFormatting>
  <conditionalFormatting sqref="AI118">
    <cfRule type="expression" dxfId="4693" priority="1117">
      <formula>AND(IF(OR($Q118=1,$Q118=2),1,0),IF($X118&lt;=20,1,0))</formula>
    </cfRule>
    <cfRule type="expression" dxfId="4692" priority="1118">
      <formula>AND(IF($Q118=2,1,0),IF($X118&lt;30,1,0))</formula>
    </cfRule>
    <cfRule type="expression" dxfId="4691" priority="1119">
      <formula>AND(IF($Q118=3,1,0),IF($X118&lt;30,1,0))</formula>
    </cfRule>
    <cfRule type="expression" dxfId="4690" priority="1120">
      <formula>AND(IF($Q118=3,1,IF($Q118=4,1,0)),IF($F118&lt;=85,1,0))</formula>
    </cfRule>
  </conditionalFormatting>
  <conditionalFormatting sqref="AV119">
    <cfRule type="expression" dxfId="4689" priority="1115">
      <formula>AV119="X"</formula>
    </cfRule>
    <cfRule type="expression" dxfId="4688" priority="1116">
      <formula>AV119="후보"</formula>
    </cfRule>
  </conditionalFormatting>
  <conditionalFormatting sqref="AC119">
    <cfRule type="cellIs" dxfId="4687" priority="1113" operator="greaterThan">
      <formula>0.9</formula>
    </cfRule>
    <cfRule type="cellIs" dxfId="4686" priority="1114" operator="greaterThan">
      <formula>0.85</formula>
    </cfRule>
  </conditionalFormatting>
  <conditionalFormatting sqref="N119">
    <cfRule type="cellIs" dxfId="4685" priority="1111" operator="greaterThan">
      <formula>0.9</formula>
    </cfRule>
    <cfRule type="cellIs" dxfId="4684" priority="1112" operator="greaterThan">
      <formula>0.85</formula>
    </cfRule>
  </conditionalFormatting>
  <conditionalFormatting sqref="E119">
    <cfRule type="expression" dxfId="4683" priority="1107">
      <formula>AND(IF(OR($Q119=1,$Q119=2),1,0),IF($X119&lt;=20,1,0))</formula>
    </cfRule>
    <cfRule type="expression" dxfId="4682" priority="1108">
      <formula>AND(IF($Q119=2,1,0),IF($X119&lt;30,1,0))</formula>
    </cfRule>
    <cfRule type="expression" dxfId="4681" priority="1109">
      <formula>AND(IF($Q119=3,1,0),IF($X119&lt;30,1,0))</formula>
    </cfRule>
    <cfRule type="expression" dxfId="4680" priority="1110">
      <formula>AND(IF($Q119=3,1,IF($Q119=4,1,0)),IF($F119&lt;=85,1,0))</formula>
    </cfRule>
  </conditionalFormatting>
  <conditionalFormatting sqref="X119">
    <cfRule type="expression" dxfId="4679" priority="1103">
      <formula>AND(IF(OR($Q119=1,$Q119=2),1,0),IF($X119&lt;=20,1,0))</formula>
    </cfRule>
    <cfRule type="expression" dxfId="4678" priority="1104">
      <formula>AND(IF($Q119=2,1,0),IF($X119&lt;30,1,0))</formula>
    </cfRule>
    <cfRule type="expression" dxfId="4677" priority="1105">
      <formula>AND(IF($Q119=3,1,0),IF($X119&lt;30,1,0))</formula>
    </cfRule>
    <cfRule type="expression" dxfId="4676" priority="1106">
      <formula>AND(IF($Q119=3,1,IF($Q119=4,1,0)),IF($F119&lt;=85,1,0))</formula>
    </cfRule>
  </conditionalFormatting>
  <conditionalFormatting sqref="AI119">
    <cfRule type="expression" dxfId="4675" priority="1099">
      <formula>AND(IF(OR($Q119=1,$Q119=2),1,0),IF($X119&lt;=20,1,0))</formula>
    </cfRule>
    <cfRule type="expression" dxfId="4674" priority="1100">
      <formula>AND(IF($Q119=2,1,0),IF($X119&lt;30,1,0))</formula>
    </cfRule>
    <cfRule type="expression" dxfId="4673" priority="1101">
      <formula>AND(IF($Q119=3,1,0),IF($X119&lt;30,1,0))</formula>
    </cfRule>
    <cfRule type="expression" dxfId="4672" priority="1102">
      <formula>AND(IF($Q119=3,1,IF($Q119=4,1,0)),IF($F119&lt;=85,1,0))</formula>
    </cfRule>
  </conditionalFormatting>
  <conditionalFormatting sqref="AV120">
    <cfRule type="expression" dxfId="4671" priority="1097">
      <formula>AV120="X"</formula>
    </cfRule>
    <cfRule type="expression" dxfId="4670" priority="1098">
      <formula>AV120="후보"</formula>
    </cfRule>
  </conditionalFormatting>
  <conditionalFormatting sqref="AC120">
    <cfRule type="cellIs" dxfId="4669" priority="1095" operator="greaterThan">
      <formula>0.9</formula>
    </cfRule>
    <cfRule type="cellIs" dxfId="4668" priority="1096" operator="greaterThan">
      <formula>0.85</formula>
    </cfRule>
  </conditionalFormatting>
  <conditionalFormatting sqref="N120">
    <cfRule type="cellIs" dxfId="4667" priority="1093" operator="greaterThan">
      <formula>0.9</formula>
    </cfRule>
    <cfRule type="cellIs" dxfId="4666" priority="1094" operator="greaterThan">
      <formula>0.85</formula>
    </cfRule>
  </conditionalFormatting>
  <conditionalFormatting sqref="E120">
    <cfRule type="expression" dxfId="4665" priority="1089">
      <formula>AND(IF(OR($Q120=1,$Q120=2),1,0),IF($X120&lt;=20,1,0))</formula>
    </cfRule>
    <cfRule type="expression" dxfId="4664" priority="1090">
      <formula>AND(IF($Q120=2,1,0),IF($X120&lt;30,1,0))</formula>
    </cfRule>
    <cfRule type="expression" dxfId="4663" priority="1091">
      <formula>AND(IF($Q120=3,1,0),IF($X120&lt;30,1,0))</formula>
    </cfRule>
    <cfRule type="expression" dxfId="4662" priority="1092">
      <formula>AND(IF($Q120=3,1,IF($Q120=4,1,0)),IF($F120&lt;=85,1,0))</formula>
    </cfRule>
  </conditionalFormatting>
  <conditionalFormatting sqref="X120">
    <cfRule type="expression" dxfId="4661" priority="1085">
      <formula>AND(IF(OR($Q120=1,$Q120=2),1,0),IF($X120&lt;=20,1,0))</formula>
    </cfRule>
    <cfRule type="expression" dxfId="4660" priority="1086">
      <formula>AND(IF($Q120=2,1,0),IF($X120&lt;30,1,0))</formula>
    </cfRule>
    <cfRule type="expression" dxfId="4659" priority="1087">
      <formula>AND(IF($Q120=3,1,0),IF($X120&lt;30,1,0))</formula>
    </cfRule>
    <cfRule type="expression" dxfId="4658" priority="1088">
      <formula>AND(IF($Q120=3,1,IF($Q120=4,1,0)),IF($F120&lt;=85,1,0))</formula>
    </cfRule>
  </conditionalFormatting>
  <conditionalFormatting sqref="AI120">
    <cfRule type="expression" dxfId="4657" priority="1081">
      <formula>AND(IF(OR($Q120=1,$Q120=2),1,0),IF($X120&lt;=20,1,0))</formula>
    </cfRule>
    <cfRule type="expression" dxfId="4656" priority="1082">
      <formula>AND(IF($Q120=2,1,0),IF($X120&lt;30,1,0))</formula>
    </cfRule>
    <cfRule type="expression" dxfId="4655" priority="1083">
      <formula>AND(IF($Q120=3,1,0),IF($X120&lt;30,1,0))</formula>
    </cfRule>
    <cfRule type="expression" dxfId="4654" priority="1084">
      <formula>AND(IF($Q120=3,1,IF($Q120=4,1,0)),IF($F120&lt;=85,1,0))</formula>
    </cfRule>
  </conditionalFormatting>
  <conditionalFormatting sqref="AV121">
    <cfRule type="expression" dxfId="4653" priority="1079">
      <formula>AV121="X"</formula>
    </cfRule>
    <cfRule type="expression" dxfId="4652" priority="1080">
      <formula>AV121="후보"</formula>
    </cfRule>
  </conditionalFormatting>
  <conditionalFormatting sqref="AC121">
    <cfRule type="cellIs" dxfId="4651" priority="1077" operator="greaterThan">
      <formula>0.9</formula>
    </cfRule>
    <cfRule type="cellIs" dxfId="4650" priority="1078" operator="greaterThan">
      <formula>0.85</formula>
    </cfRule>
  </conditionalFormatting>
  <conditionalFormatting sqref="N121">
    <cfRule type="cellIs" dxfId="4649" priority="1075" operator="greaterThan">
      <formula>0.9</formula>
    </cfRule>
    <cfRule type="cellIs" dxfId="4648" priority="1076" operator="greaterThan">
      <formula>0.85</formula>
    </cfRule>
  </conditionalFormatting>
  <conditionalFormatting sqref="E121">
    <cfRule type="expression" dxfId="4647" priority="1071">
      <formula>AND(IF(OR($Q121=1,$Q121=2),1,0),IF($X121&lt;=20,1,0))</formula>
    </cfRule>
    <cfRule type="expression" dxfId="4646" priority="1072">
      <formula>AND(IF($Q121=2,1,0),IF($X121&lt;30,1,0))</formula>
    </cfRule>
    <cfRule type="expression" dxfId="4645" priority="1073">
      <formula>AND(IF($Q121=3,1,0),IF($X121&lt;30,1,0))</formula>
    </cfRule>
    <cfRule type="expression" dxfId="4644" priority="1074">
      <formula>AND(IF($Q121=3,1,IF($Q121=4,1,0)),IF($F121&lt;=85,1,0))</formula>
    </cfRule>
  </conditionalFormatting>
  <conditionalFormatting sqref="X121">
    <cfRule type="expression" dxfId="4643" priority="1067">
      <formula>AND(IF(OR($Q121=1,$Q121=2),1,0),IF($X121&lt;=20,1,0))</formula>
    </cfRule>
    <cfRule type="expression" dxfId="4642" priority="1068">
      <formula>AND(IF($Q121=2,1,0),IF($X121&lt;30,1,0))</formula>
    </cfRule>
    <cfRule type="expression" dxfId="4641" priority="1069">
      <formula>AND(IF($Q121=3,1,0),IF($X121&lt;30,1,0))</formula>
    </cfRule>
    <cfRule type="expression" dxfId="4640" priority="1070">
      <formula>AND(IF($Q121=3,1,IF($Q121=4,1,0)),IF($F121&lt;=85,1,0))</formula>
    </cfRule>
  </conditionalFormatting>
  <conditionalFormatting sqref="AI121">
    <cfRule type="expression" dxfId="4639" priority="1063">
      <formula>AND(IF(OR($Q121=1,$Q121=2),1,0),IF($X121&lt;=20,1,0))</formula>
    </cfRule>
    <cfRule type="expression" dxfId="4638" priority="1064">
      <formula>AND(IF($Q121=2,1,0),IF($X121&lt;30,1,0))</formula>
    </cfRule>
    <cfRule type="expression" dxfId="4637" priority="1065">
      <formula>AND(IF($Q121=3,1,0),IF($X121&lt;30,1,0))</formula>
    </cfRule>
    <cfRule type="expression" dxfId="4636" priority="1066">
      <formula>AND(IF($Q121=3,1,IF($Q121=4,1,0)),IF($F121&lt;=85,1,0))</formula>
    </cfRule>
  </conditionalFormatting>
  <conditionalFormatting sqref="AV122">
    <cfRule type="expression" dxfId="4635" priority="1061">
      <formula>AV122="X"</formula>
    </cfRule>
    <cfRule type="expression" dxfId="4634" priority="1062">
      <formula>AV122="후보"</formula>
    </cfRule>
  </conditionalFormatting>
  <conditionalFormatting sqref="AC122">
    <cfRule type="cellIs" dxfId="4633" priority="1059" operator="greaterThan">
      <formula>0.9</formula>
    </cfRule>
    <cfRule type="cellIs" dxfId="4632" priority="1060" operator="greaterThan">
      <formula>0.85</formula>
    </cfRule>
  </conditionalFormatting>
  <conditionalFormatting sqref="N122">
    <cfRule type="cellIs" dxfId="4631" priority="1057" operator="greaterThan">
      <formula>0.9</formula>
    </cfRule>
    <cfRule type="cellIs" dxfId="4630" priority="1058" operator="greaterThan">
      <formula>0.85</formula>
    </cfRule>
  </conditionalFormatting>
  <conditionalFormatting sqref="E122">
    <cfRule type="expression" dxfId="4629" priority="1053">
      <formula>AND(IF(OR($Q122=1,$Q122=2),1,0),IF($X122&lt;=20,1,0))</formula>
    </cfRule>
    <cfRule type="expression" dxfId="4628" priority="1054">
      <formula>AND(IF($Q122=2,1,0),IF($X122&lt;30,1,0))</formula>
    </cfRule>
    <cfRule type="expression" dxfId="4627" priority="1055">
      <formula>AND(IF($Q122=3,1,0),IF($X122&lt;30,1,0))</formula>
    </cfRule>
    <cfRule type="expression" dxfId="4626" priority="1056">
      <formula>AND(IF($Q122=3,1,IF($Q122=4,1,0)),IF($F122&lt;=85,1,0))</formula>
    </cfRule>
  </conditionalFormatting>
  <conditionalFormatting sqref="X122">
    <cfRule type="expression" dxfId="4625" priority="1049">
      <formula>AND(IF(OR($Q122=1,$Q122=2),1,0),IF($X122&lt;=20,1,0))</formula>
    </cfRule>
    <cfRule type="expression" dxfId="4624" priority="1050">
      <formula>AND(IF($Q122=2,1,0),IF($X122&lt;30,1,0))</formula>
    </cfRule>
    <cfRule type="expression" dxfId="4623" priority="1051">
      <formula>AND(IF($Q122=3,1,0),IF($X122&lt;30,1,0))</formula>
    </cfRule>
    <cfRule type="expression" dxfId="4622" priority="1052">
      <formula>AND(IF($Q122=3,1,IF($Q122=4,1,0)),IF($F122&lt;=85,1,0))</formula>
    </cfRule>
  </conditionalFormatting>
  <conditionalFormatting sqref="AI122">
    <cfRule type="expression" dxfId="4621" priority="1045">
      <formula>AND(IF(OR($Q122=1,$Q122=2),1,0),IF($X122&lt;=20,1,0))</formula>
    </cfRule>
    <cfRule type="expression" dxfId="4620" priority="1046">
      <formula>AND(IF($Q122=2,1,0),IF($X122&lt;30,1,0))</formula>
    </cfRule>
    <cfRule type="expression" dxfId="4619" priority="1047">
      <formula>AND(IF($Q122=3,1,0),IF($X122&lt;30,1,0))</formula>
    </cfRule>
    <cfRule type="expression" dxfId="4618" priority="1048">
      <formula>AND(IF($Q122=3,1,IF($Q122=4,1,0)),IF($F122&lt;=85,1,0))</formula>
    </cfRule>
  </conditionalFormatting>
  <conditionalFormatting sqref="AV123">
    <cfRule type="expression" dxfId="4617" priority="1043">
      <formula>AV123="X"</formula>
    </cfRule>
    <cfRule type="expression" dxfId="4616" priority="1044">
      <formula>AV123="후보"</formula>
    </cfRule>
  </conditionalFormatting>
  <conditionalFormatting sqref="AC123">
    <cfRule type="cellIs" dxfId="4615" priority="1041" operator="greaterThan">
      <formula>0.9</formula>
    </cfRule>
    <cfRule type="cellIs" dxfId="4614" priority="1042" operator="greaterThan">
      <formula>0.85</formula>
    </cfRule>
  </conditionalFormatting>
  <conditionalFormatting sqref="N123">
    <cfRule type="cellIs" dxfId="4613" priority="1039" operator="greaterThan">
      <formula>0.9</formula>
    </cfRule>
    <cfRule type="cellIs" dxfId="4612" priority="1040" operator="greaterThan">
      <formula>0.85</formula>
    </cfRule>
  </conditionalFormatting>
  <conditionalFormatting sqref="E123">
    <cfRule type="expression" dxfId="4611" priority="1035">
      <formula>AND(IF(OR($Q123=1,$Q123=2),1,0),IF($X123&lt;=20,1,0))</formula>
    </cfRule>
    <cfRule type="expression" dxfId="4610" priority="1036">
      <formula>AND(IF($Q123=2,1,0),IF($X123&lt;30,1,0))</formula>
    </cfRule>
    <cfRule type="expression" dxfId="4609" priority="1037">
      <formula>AND(IF($Q123=3,1,0),IF($X123&lt;30,1,0))</formula>
    </cfRule>
    <cfRule type="expression" dxfId="4608" priority="1038">
      <formula>AND(IF($Q123=3,1,IF($Q123=4,1,0)),IF($F123&lt;=85,1,0))</formula>
    </cfRule>
  </conditionalFormatting>
  <conditionalFormatting sqref="X123">
    <cfRule type="expression" dxfId="4607" priority="1031">
      <formula>AND(IF(OR($Q123=1,$Q123=2),1,0),IF($X123&lt;=20,1,0))</formula>
    </cfRule>
    <cfRule type="expression" dxfId="4606" priority="1032">
      <formula>AND(IF($Q123=2,1,0),IF($X123&lt;30,1,0))</formula>
    </cfRule>
    <cfRule type="expression" dxfId="4605" priority="1033">
      <formula>AND(IF($Q123=3,1,0),IF($X123&lt;30,1,0))</formula>
    </cfRule>
    <cfRule type="expression" dxfId="4604" priority="1034">
      <formula>AND(IF($Q123=3,1,IF($Q123=4,1,0)),IF($F123&lt;=85,1,0))</formula>
    </cfRule>
  </conditionalFormatting>
  <conditionalFormatting sqref="AI123">
    <cfRule type="expression" dxfId="4603" priority="1027">
      <formula>AND(IF(OR($Q123=1,$Q123=2),1,0),IF($X123&lt;=20,1,0))</formula>
    </cfRule>
    <cfRule type="expression" dxfId="4602" priority="1028">
      <formula>AND(IF($Q123=2,1,0),IF($X123&lt;30,1,0))</formula>
    </cfRule>
    <cfRule type="expression" dxfId="4601" priority="1029">
      <formula>AND(IF($Q123=3,1,0),IF($X123&lt;30,1,0))</formula>
    </cfRule>
    <cfRule type="expression" dxfId="4600" priority="1030">
      <formula>AND(IF($Q123=3,1,IF($Q123=4,1,0)),IF($F123&lt;=85,1,0))</formula>
    </cfRule>
  </conditionalFormatting>
  <conditionalFormatting sqref="AV124">
    <cfRule type="expression" dxfId="4599" priority="1025">
      <formula>AV124="X"</formula>
    </cfRule>
    <cfRule type="expression" dxfId="4598" priority="1026">
      <formula>AV124="후보"</formula>
    </cfRule>
  </conditionalFormatting>
  <conditionalFormatting sqref="AC124">
    <cfRule type="cellIs" dxfId="4597" priority="1023" operator="greaterThan">
      <formula>0.9</formula>
    </cfRule>
    <cfRule type="cellIs" dxfId="4596" priority="1024" operator="greaterThan">
      <formula>0.85</formula>
    </cfRule>
  </conditionalFormatting>
  <conditionalFormatting sqref="N124">
    <cfRule type="cellIs" dxfId="4595" priority="1021" operator="greaterThan">
      <formula>0.9</formula>
    </cfRule>
    <cfRule type="cellIs" dxfId="4594" priority="1022" operator="greaterThan">
      <formula>0.85</formula>
    </cfRule>
  </conditionalFormatting>
  <conditionalFormatting sqref="E124">
    <cfRule type="expression" dxfId="4593" priority="1017">
      <formula>AND(IF(OR($Q124=1,$Q124=2),1,0),IF($X124&lt;=20,1,0))</formula>
    </cfRule>
    <cfRule type="expression" dxfId="4592" priority="1018">
      <formula>AND(IF($Q124=2,1,0),IF($X124&lt;30,1,0))</formula>
    </cfRule>
    <cfRule type="expression" dxfId="4591" priority="1019">
      <formula>AND(IF($Q124=3,1,0),IF($X124&lt;30,1,0))</formula>
    </cfRule>
    <cfRule type="expression" dxfId="4590" priority="1020">
      <formula>AND(IF($Q124=3,1,IF($Q124=4,1,0)),IF($F124&lt;=85,1,0))</formula>
    </cfRule>
  </conditionalFormatting>
  <conditionalFormatting sqref="X124">
    <cfRule type="expression" dxfId="4589" priority="1013">
      <formula>AND(IF(OR($Q124=1,$Q124=2),1,0),IF($X124&lt;=20,1,0))</formula>
    </cfRule>
    <cfRule type="expression" dxfId="4588" priority="1014">
      <formula>AND(IF($Q124=2,1,0),IF($X124&lt;30,1,0))</formula>
    </cfRule>
    <cfRule type="expression" dxfId="4587" priority="1015">
      <formula>AND(IF($Q124=3,1,0),IF($X124&lt;30,1,0))</formula>
    </cfRule>
    <cfRule type="expression" dxfId="4586" priority="1016">
      <formula>AND(IF($Q124=3,1,IF($Q124=4,1,0)),IF($F124&lt;=85,1,0))</formula>
    </cfRule>
  </conditionalFormatting>
  <conditionalFormatting sqref="AI124">
    <cfRule type="expression" dxfId="4585" priority="1009">
      <formula>AND(IF(OR($Q124=1,$Q124=2),1,0),IF($X124&lt;=20,1,0))</formula>
    </cfRule>
    <cfRule type="expression" dxfId="4584" priority="1010">
      <formula>AND(IF($Q124=2,1,0),IF($X124&lt;30,1,0))</formula>
    </cfRule>
    <cfRule type="expression" dxfId="4583" priority="1011">
      <formula>AND(IF($Q124=3,1,0),IF($X124&lt;30,1,0))</formula>
    </cfRule>
    <cfRule type="expression" dxfId="4582" priority="1012">
      <formula>AND(IF($Q124=3,1,IF($Q124=4,1,0)),IF($F124&lt;=85,1,0))</formula>
    </cfRule>
  </conditionalFormatting>
  <conditionalFormatting sqref="AV125">
    <cfRule type="expression" dxfId="4581" priority="1007">
      <formula>AV125="X"</formula>
    </cfRule>
    <cfRule type="expression" dxfId="4580" priority="1008">
      <formula>AV125="후보"</formula>
    </cfRule>
  </conditionalFormatting>
  <conditionalFormatting sqref="AC125">
    <cfRule type="cellIs" dxfId="4579" priority="1005" operator="greaterThan">
      <formula>0.9</formula>
    </cfRule>
    <cfRule type="cellIs" dxfId="4578" priority="1006" operator="greaterThan">
      <formula>0.85</formula>
    </cfRule>
  </conditionalFormatting>
  <conditionalFormatting sqref="N125">
    <cfRule type="cellIs" dxfId="4577" priority="1003" operator="greaterThan">
      <formula>0.9</formula>
    </cfRule>
    <cfRule type="cellIs" dxfId="4576" priority="1004" operator="greaterThan">
      <formula>0.85</formula>
    </cfRule>
  </conditionalFormatting>
  <conditionalFormatting sqref="E125">
    <cfRule type="expression" dxfId="4575" priority="999">
      <formula>AND(IF(OR($Q125=1,$Q125=2),1,0),IF($X125&lt;=20,1,0))</formula>
    </cfRule>
    <cfRule type="expression" dxfId="4574" priority="1000">
      <formula>AND(IF($Q125=2,1,0),IF($X125&lt;30,1,0))</formula>
    </cfRule>
    <cfRule type="expression" dxfId="4573" priority="1001">
      <formula>AND(IF($Q125=3,1,0),IF($X125&lt;30,1,0))</formula>
    </cfRule>
    <cfRule type="expression" dxfId="4572" priority="1002">
      <formula>AND(IF($Q125=3,1,IF($Q125=4,1,0)),IF($F125&lt;=85,1,0))</formula>
    </cfRule>
  </conditionalFormatting>
  <conditionalFormatting sqref="X125">
    <cfRule type="expression" dxfId="4571" priority="995">
      <formula>AND(IF(OR($Q125=1,$Q125=2),1,0),IF($X125&lt;=20,1,0))</formula>
    </cfRule>
    <cfRule type="expression" dxfId="4570" priority="996">
      <formula>AND(IF($Q125=2,1,0),IF($X125&lt;30,1,0))</formula>
    </cfRule>
    <cfRule type="expression" dxfId="4569" priority="997">
      <formula>AND(IF($Q125=3,1,0),IF($X125&lt;30,1,0))</formula>
    </cfRule>
    <cfRule type="expression" dxfId="4568" priority="998">
      <formula>AND(IF($Q125=3,1,IF($Q125=4,1,0)),IF($F125&lt;=85,1,0))</formula>
    </cfRule>
  </conditionalFormatting>
  <conditionalFormatting sqref="AI125">
    <cfRule type="expression" dxfId="4567" priority="991">
      <formula>AND(IF(OR($Q125=1,$Q125=2),1,0),IF($X125&lt;=20,1,0))</formula>
    </cfRule>
    <cfRule type="expression" dxfId="4566" priority="992">
      <formula>AND(IF($Q125=2,1,0),IF($X125&lt;30,1,0))</formula>
    </cfRule>
    <cfRule type="expression" dxfId="4565" priority="993">
      <formula>AND(IF($Q125=3,1,0),IF($X125&lt;30,1,0))</formula>
    </cfRule>
    <cfRule type="expression" dxfId="4564" priority="994">
      <formula>AND(IF($Q125=3,1,IF($Q125=4,1,0)),IF($F125&lt;=85,1,0))</formula>
    </cfRule>
  </conditionalFormatting>
  <conditionalFormatting sqref="AV126">
    <cfRule type="expression" dxfId="4563" priority="989">
      <formula>AV126="X"</formula>
    </cfRule>
    <cfRule type="expression" dxfId="4562" priority="990">
      <formula>AV126="후보"</formula>
    </cfRule>
  </conditionalFormatting>
  <conditionalFormatting sqref="AC126">
    <cfRule type="cellIs" dxfId="4561" priority="987" operator="greaterThan">
      <formula>0.9</formula>
    </cfRule>
    <cfRule type="cellIs" dxfId="4560" priority="988" operator="greaterThan">
      <formula>0.85</formula>
    </cfRule>
  </conditionalFormatting>
  <conditionalFormatting sqref="N126">
    <cfRule type="cellIs" dxfId="4559" priority="985" operator="greaterThan">
      <formula>0.9</formula>
    </cfRule>
    <cfRule type="cellIs" dxfId="4558" priority="986" operator="greaterThan">
      <formula>0.85</formula>
    </cfRule>
  </conditionalFormatting>
  <conditionalFormatting sqref="E126">
    <cfRule type="expression" dxfId="4557" priority="981">
      <formula>AND(IF(OR($Q126=1,$Q126=2),1,0),IF($X126&lt;=20,1,0))</formula>
    </cfRule>
    <cfRule type="expression" dxfId="4556" priority="982">
      <formula>AND(IF($Q126=2,1,0),IF($X126&lt;30,1,0))</formula>
    </cfRule>
    <cfRule type="expression" dxfId="4555" priority="983">
      <formula>AND(IF($Q126=3,1,0),IF($X126&lt;30,1,0))</formula>
    </cfRule>
    <cfRule type="expression" dxfId="4554" priority="984">
      <formula>AND(IF($Q126=3,1,IF($Q126=4,1,0)),IF($F126&lt;=85,1,0))</formula>
    </cfRule>
  </conditionalFormatting>
  <conditionalFormatting sqref="X126">
    <cfRule type="expression" dxfId="4553" priority="977">
      <formula>AND(IF(OR($Q126=1,$Q126=2),1,0),IF($X126&lt;=20,1,0))</formula>
    </cfRule>
    <cfRule type="expression" dxfId="4552" priority="978">
      <formula>AND(IF($Q126=2,1,0),IF($X126&lt;30,1,0))</formula>
    </cfRule>
    <cfRule type="expression" dxfId="4551" priority="979">
      <formula>AND(IF($Q126=3,1,0),IF($X126&lt;30,1,0))</formula>
    </cfRule>
    <cfRule type="expression" dxfId="4550" priority="980">
      <formula>AND(IF($Q126=3,1,IF($Q126=4,1,0)),IF($F126&lt;=85,1,0))</formula>
    </cfRule>
  </conditionalFormatting>
  <conditionalFormatting sqref="AI126">
    <cfRule type="expression" dxfId="4549" priority="973">
      <formula>AND(IF(OR($Q126=1,$Q126=2),1,0),IF($X126&lt;=20,1,0))</formula>
    </cfRule>
    <cfRule type="expression" dxfId="4548" priority="974">
      <formula>AND(IF($Q126=2,1,0),IF($X126&lt;30,1,0))</formula>
    </cfRule>
    <cfRule type="expression" dxfId="4547" priority="975">
      <formula>AND(IF($Q126=3,1,0),IF($X126&lt;30,1,0))</formula>
    </cfRule>
    <cfRule type="expression" dxfId="4546" priority="976">
      <formula>AND(IF($Q126=3,1,IF($Q126=4,1,0)),IF($F126&lt;=85,1,0))</formula>
    </cfRule>
  </conditionalFormatting>
  <conditionalFormatting sqref="AV127">
    <cfRule type="expression" dxfId="4545" priority="971">
      <formula>AV127="X"</formula>
    </cfRule>
    <cfRule type="expression" dxfId="4544" priority="972">
      <formula>AV127="후보"</formula>
    </cfRule>
  </conditionalFormatting>
  <conditionalFormatting sqref="AC127">
    <cfRule type="cellIs" dxfId="4543" priority="969" operator="greaterThan">
      <formula>0.9</formula>
    </cfRule>
    <cfRule type="cellIs" dxfId="4542" priority="970" operator="greaterThan">
      <formula>0.85</formula>
    </cfRule>
  </conditionalFormatting>
  <conditionalFormatting sqref="N127">
    <cfRule type="cellIs" dxfId="4541" priority="967" operator="greaterThan">
      <formula>0.9</formula>
    </cfRule>
    <cfRule type="cellIs" dxfId="4540" priority="968" operator="greaterThan">
      <formula>0.85</formula>
    </cfRule>
  </conditionalFormatting>
  <conditionalFormatting sqref="E127">
    <cfRule type="expression" dxfId="4539" priority="963">
      <formula>AND(IF(OR($Q127=1,$Q127=2),1,0),IF($X127&lt;=20,1,0))</formula>
    </cfRule>
    <cfRule type="expression" dxfId="4538" priority="964">
      <formula>AND(IF($Q127=2,1,0),IF($X127&lt;30,1,0))</formula>
    </cfRule>
    <cfRule type="expression" dxfId="4537" priority="965">
      <formula>AND(IF($Q127=3,1,0),IF($X127&lt;30,1,0))</formula>
    </cfRule>
    <cfRule type="expression" dxfId="4536" priority="966">
      <formula>AND(IF($Q127=3,1,IF($Q127=4,1,0)),IF($F127&lt;=85,1,0))</formula>
    </cfRule>
  </conditionalFormatting>
  <conditionalFormatting sqref="X127">
    <cfRule type="expression" dxfId="4535" priority="959">
      <formula>AND(IF(OR($Q127=1,$Q127=2),1,0),IF($X127&lt;=20,1,0))</formula>
    </cfRule>
    <cfRule type="expression" dxfId="4534" priority="960">
      <formula>AND(IF($Q127=2,1,0),IF($X127&lt;30,1,0))</formula>
    </cfRule>
    <cfRule type="expression" dxfId="4533" priority="961">
      <formula>AND(IF($Q127=3,1,0),IF($X127&lt;30,1,0))</formula>
    </cfRule>
    <cfRule type="expression" dxfId="4532" priority="962">
      <formula>AND(IF($Q127=3,1,IF($Q127=4,1,0)),IF($F127&lt;=85,1,0))</formula>
    </cfRule>
  </conditionalFormatting>
  <conditionalFormatting sqref="AI127">
    <cfRule type="expression" dxfId="4531" priority="955">
      <formula>AND(IF(OR($Q127=1,$Q127=2),1,0),IF($X127&lt;=20,1,0))</formula>
    </cfRule>
    <cfRule type="expression" dxfId="4530" priority="956">
      <formula>AND(IF($Q127=2,1,0),IF($X127&lt;30,1,0))</formula>
    </cfRule>
    <cfRule type="expression" dxfId="4529" priority="957">
      <formula>AND(IF($Q127=3,1,0),IF($X127&lt;30,1,0))</formula>
    </cfRule>
    <cfRule type="expression" dxfId="4528" priority="958">
      <formula>AND(IF($Q127=3,1,IF($Q127=4,1,0)),IF($F127&lt;=85,1,0))</formula>
    </cfRule>
  </conditionalFormatting>
  <conditionalFormatting sqref="AV128">
    <cfRule type="expression" dxfId="4527" priority="953">
      <formula>AV128="X"</formula>
    </cfRule>
    <cfRule type="expression" dxfId="4526" priority="954">
      <formula>AV128="후보"</formula>
    </cfRule>
  </conditionalFormatting>
  <conditionalFormatting sqref="AC128">
    <cfRule type="cellIs" dxfId="4525" priority="951" operator="greaterThan">
      <formula>0.9</formula>
    </cfRule>
    <cfRule type="cellIs" dxfId="4524" priority="952" operator="greaterThan">
      <formula>0.85</formula>
    </cfRule>
  </conditionalFormatting>
  <conditionalFormatting sqref="N128">
    <cfRule type="cellIs" dxfId="4523" priority="949" operator="greaterThan">
      <formula>0.9</formula>
    </cfRule>
    <cfRule type="cellIs" dxfId="4522" priority="950" operator="greaterThan">
      <formula>0.85</formula>
    </cfRule>
  </conditionalFormatting>
  <conditionalFormatting sqref="E128">
    <cfRule type="expression" dxfId="4521" priority="945">
      <formula>AND(IF(OR($Q128=1,$Q128=2),1,0),IF($X128&lt;=20,1,0))</formula>
    </cfRule>
    <cfRule type="expression" dxfId="4520" priority="946">
      <formula>AND(IF($Q128=2,1,0),IF($X128&lt;30,1,0))</formula>
    </cfRule>
    <cfRule type="expression" dxfId="4519" priority="947">
      <formula>AND(IF($Q128=3,1,0),IF($X128&lt;30,1,0))</formula>
    </cfRule>
    <cfRule type="expression" dxfId="4518" priority="948">
      <formula>AND(IF($Q128=3,1,IF($Q128=4,1,0)),IF($F128&lt;=85,1,0))</formula>
    </cfRule>
  </conditionalFormatting>
  <conditionalFormatting sqref="X128">
    <cfRule type="expression" dxfId="4517" priority="941">
      <formula>AND(IF(OR($Q128=1,$Q128=2),1,0),IF($X128&lt;=20,1,0))</formula>
    </cfRule>
    <cfRule type="expression" dxfId="4516" priority="942">
      <formula>AND(IF($Q128=2,1,0),IF($X128&lt;30,1,0))</formula>
    </cfRule>
    <cfRule type="expression" dxfId="4515" priority="943">
      <formula>AND(IF($Q128=3,1,0),IF($X128&lt;30,1,0))</formula>
    </cfRule>
    <cfRule type="expression" dxfId="4514" priority="944">
      <formula>AND(IF($Q128=3,1,IF($Q128=4,1,0)),IF($F128&lt;=85,1,0))</formula>
    </cfRule>
  </conditionalFormatting>
  <conditionalFormatting sqref="AI128">
    <cfRule type="expression" dxfId="4513" priority="937">
      <formula>AND(IF(OR($Q128=1,$Q128=2),1,0),IF($X128&lt;=20,1,0))</formula>
    </cfRule>
    <cfRule type="expression" dxfId="4512" priority="938">
      <formula>AND(IF($Q128=2,1,0),IF($X128&lt;30,1,0))</formula>
    </cfRule>
    <cfRule type="expression" dxfId="4511" priority="939">
      <formula>AND(IF($Q128=3,1,0),IF($X128&lt;30,1,0))</formula>
    </cfRule>
    <cfRule type="expression" dxfId="4510" priority="940">
      <formula>AND(IF($Q128=3,1,IF($Q128=4,1,0)),IF($F128&lt;=85,1,0))</formula>
    </cfRule>
  </conditionalFormatting>
  <conditionalFormatting sqref="AV129">
    <cfRule type="expression" dxfId="4509" priority="935">
      <formula>AV129="X"</formula>
    </cfRule>
    <cfRule type="expression" dxfId="4508" priority="936">
      <formula>AV129="후보"</formula>
    </cfRule>
  </conditionalFormatting>
  <conditionalFormatting sqref="AC129">
    <cfRule type="cellIs" dxfId="4507" priority="933" operator="greaterThan">
      <formula>0.9</formula>
    </cfRule>
    <cfRule type="cellIs" dxfId="4506" priority="934" operator="greaterThan">
      <formula>0.85</formula>
    </cfRule>
  </conditionalFormatting>
  <conditionalFormatting sqref="N129">
    <cfRule type="cellIs" dxfId="4505" priority="931" operator="greaterThan">
      <formula>0.9</formula>
    </cfRule>
    <cfRule type="cellIs" dxfId="4504" priority="932" operator="greaterThan">
      <formula>0.85</formula>
    </cfRule>
  </conditionalFormatting>
  <conditionalFormatting sqref="E129">
    <cfRule type="expression" dxfId="4503" priority="927">
      <formula>AND(IF(OR($Q129=1,$Q129=2),1,0),IF($X129&lt;=20,1,0))</formula>
    </cfRule>
    <cfRule type="expression" dxfId="4502" priority="928">
      <formula>AND(IF($Q129=2,1,0),IF($X129&lt;30,1,0))</formula>
    </cfRule>
    <cfRule type="expression" dxfId="4501" priority="929">
      <formula>AND(IF($Q129=3,1,0),IF($X129&lt;30,1,0))</formula>
    </cfRule>
    <cfRule type="expression" dxfId="4500" priority="930">
      <formula>AND(IF($Q129=3,1,IF($Q129=4,1,0)),IF($F129&lt;=85,1,0))</formula>
    </cfRule>
  </conditionalFormatting>
  <conditionalFormatting sqref="X129">
    <cfRule type="expression" dxfId="4499" priority="923">
      <formula>AND(IF(OR($Q129=1,$Q129=2),1,0),IF($X129&lt;=20,1,0))</formula>
    </cfRule>
    <cfRule type="expression" dxfId="4498" priority="924">
      <formula>AND(IF($Q129=2,1,0),IF($X129&lt;30,1,0))</formula>
    </cfRule>
    <cfRule type="expression" dxfId="4497" priority="925">
      <formula>AND(IF($Q129=3,1,0),IF($X129&lt;30,1,0))</formula>
    </cfRule>
    <cfRule type="expression" dxfId="4496" priority="926">
      <formula>AND(IF($Q129=3,1,IF($Q129=4,1,0)),IF($F129&lt;=85,1,0))</formula>
    </cfRule>
  </conditionalFormatting>
  <conditionalFormatting sqref="AI129">
    <cfRule type="expression" dxfId="4495" priority="919">
      <formula>AND(IF(OR($Q129=1,$Q129=2),1,0),IF($X129&lt;=20,1,0))</formula>
    </cfRule>
    <cfRule type="expression" dxfId="4494" priority="920">
      <formula>AND(IF($Q129=2,1,0),IF($X129&lt;30,1,0))</formula>
    </cfRule>
    <cfRule type="expression" dxfId="4493" priority="921">
      <formula>AND(IF($Q129=3,1,0),IF($X129&lt;30,1,0))</formula>
    </cfRule>
    <cfRule type="expression" dxfId="4492" priority="922">
      <formula>AND(IF($Q129=3,1,IF($Q129=4,1,0)),IF($F129&lt;=85,1,0))</formula>
    </cfRule>
  </conditionalFormatting>
  <conditionalFormatting sqref="AV130">
    <cfRule type="expression" dxfId="4491" priority="917">
      <formula>AV130="X"</formula>
    </cfRule>
    <cfRule type="expression" dxfId="4490" priority="918">
      <formula>AV130="후보"</formula>
    </cfRule>
  </conditionalFormatting>
  <conditionalFormatting sqref="AC130">
    <cfRule type="cellIs" dxfId="4489" priority="915" operator="greaterThan">
      <formula>0.9</formula>
    </cfRule>
    <cfRule type="cellIs" dxfId="4488" priority="916" operator="greaterThan">
      <formula>0.85</formula>
    </cfRule>
  </conditionalFormatting>
  <conditionalFormatting sqref="N130">
    <cfRule type="cellIs" dxfId="4487" priority="913" operator="greaterThan">
      <formula>0.9</formula>
    </cfRule>
    <cfRule type="cellIs" dxfId="4486" priority="914" operator="greaterThan">
      <formula>0.85</formula>
    </cfRule>
  </conditionalFormatting>
  <conditionalFormatting sqref="E130">
    <cfRule type="expression" dxfId="4485" priority="909">
      <formula>AND(IF(OR($Q130=1,$Q130=2),1,0),IF($X130&lt;=20,1,0))</formula>
    </cfRule>
    <cfRule type="expression" dxfId="4484" priority="910">
      <formula>AND(IF($Q130=2,1,0),IF($X130&lt;30,1,0))</formula>
    </cfRule>
    <cfRule type="expression" dxfId="4483" priority="911">
      <formula>AND(IF($Q130=3,1,0),IF($X130&lt;30,1,0))</formula>
    </cfRule>
    <cfRule type="expression" dxfId="4482" priority="912">
      <formula>AND(IF($Q130=3,1,IF($Q130=4,1,0)),IF($F130&lt;=85,1,0))</formula>
    </cfRule>
  </conditionalFormatting>
  <conditionalFormatting sqref="X130">
    <cfRule type="expression" dxfId="4481" priority="905">
      <formula>AND(IF(OR($Q130=1,$Q130=2),1,0),IF($X130&lt;=20,1,0))</formula>
    </cfRule>
    <cfRule type="expression" dxfId="4480" priority="906">
      <formula>AND(IF($Q130=2,1,0),IF($X130&lt;30,1,0))</formula>
    </cfRule>
    <cfRule type="expression" dxfId="4479" priority="907">
      <formula>AND(IF($Q130=3,1,0),IF($X130&lt;30,1,0))</formula>
    </cfRule>
    <cfRule type="expression" dxfId="4478" priority="908">
      <formula>AND(IF($Q130=3,1,IF($Q130=4,1,0)),IF($F130&lt;=85,1,0))</formula>
    </cfRule>
  </conditionalFormatting>
  <conditionalFormatting sqref="AI130">
    <cfRule type="expression" dxfId="4477" priority="901">
      <formula>AND(IF(OR($Q130=1,$Q130=2),1,0),IF($X130&lt;=20,1,0))</formula>
    </cfRule>
    <cfRule type="expression" dxfId="4476" priority="902">
      <formula>AND(IF($Q130=2,1,0),IF($X130&lt;30,1,0))</formula>
    </cfRule>
    <cfRule type="expression" dxfId="4475" priority="903">
      <formula>AND(IF($Q130=3,1,0),IF($X130&lt;30,1,0))</formula>
    </cfRule>
    <cfRule type="expression" dxfId="4474" priority="904">
      <formula>AND(IF($Q130=3,1,IF($Q130=4,1,0)),IF($F130&lt;=85,1,0))</formula>
    </cfRule>
  </conditionalFormatting>
  <conditionalFormatting sqref="AV131">
    <cfRule type="expression" dxfId="4473" priority="899">
      <formula>AV131="X"</formula>
    </cfRule>
    <cfRule type="expression" dxfId="4472" priority="900">
      <formula>AV131="후보"</formula>
    </cfRule>
  </conditionalFormatting>
  <conditionalFormatting sqref="AC131">
    <cfRule type="cellIs" dxfId="4471" priority="897" operator="greaterThan">
      <formula>0.9</formula>
    </cfRule>
    <cfRule type="cellIs" dxfId="4470" priority="898" operator="greaterThan">
      <formula>0.85</formula>
    </cfRule>
  </conditionalFormatting>
  <conditionalFormatting sqref="N131">
    <cfRule type="cellIs" dxfId="4469" priority="895" operator="greaterThan">
      <formula>0.9</formula>
    </cfRule>
    <cfRule type="cellIs" dxfId="4468" priority="896" operator="greaterThan">
      <formula>0.85</formula>
    </cfRule>
  </conditionalFormatting>
  <conditionalFormatting sqref="E131">
    <cfRule type="expression" dxfId="4467" priority="891">
      <formula>AND(IF(OR($Q131=1,$Q131=2),1,0),IF($X131&lt;=20,1,0))</formula>
    </cfRule>
    <cfRule type="expression" dxfId="4466" priority="892">
      <formula>AND(IF($Q131=2,1,0),IF($X131&lt;30,1,0))</formula>
    </cfRule>
    <cfRule type="expression" dxfId="4465" priority="893">
      <formula>AND(IF($Q131=3,1,0),IF($X131&lt;30,1,0))</formula>
    </cfRule>
    <cfRule type="expression" dxfId="4464" priority="894">
      <formula>AND(IF($Q131=3,1,IF($Q131=4,1,0)),IF($F131&lt;=85,1,0))</formula>
    </cfRule>
  </conditionalFormatting>
  <conditionalFormatting sqref="X131">
    <cfRule type="expression" dxfId="4463" priority="887">
      <formula>AND(IF(OR($Q131=1,$Q131=2),1,0),IF($X131&lt;=20,1,0))</formula>
    </cfRule>
    <cfRule type="expression" dxfId="4462" priority="888">
      <formula>AND(IF($Q131=2,1,0),IF($X131&lt;30,1,0))</formula>
    </cfRule>
    <cfRule type="expression" dxfId="4461" priority="889">
      <formula>AND(IF($Q131=3,1,0),IF($X131&lt;30,1,0))</formula>
    </cfRule>
    <cfRule type="expression" dxfId="4460" priority="890">
      <formula>AND(IF($Q131=3,1,IF($Q131=4,1,0)),IF($F131&lt;=85,1,0))</formula>
    </cfRule>
  </conditionalFormatting>
  <conditionalFormatting sqref="AI131">
    <cfRule type="expression" dxfId="4459" priority="883">
      <formula>AND(IF(OR($Q131=1,$Q131=2),1,0),IF($X131&lt;=20,1,0))</formula>
    </cfRule>
    <cfRule type="expression" dxfId="4458" priority="884">
      <formula>AND(IF($Q131=2,1,0),IF($X131&lt;30,1,0))</formula>
    </cfRule>
    <cfRule type="expression" dxfId="4457" priority="885">
      <formula>AND(IF($Q131=3,1,0),IF($X131&lt;30,1,0))</formula>
    </cfRule>
    <cfRule type="expression" dxfId="4456" priority="886">
      <formula>AND(IF($Q131=3,1,IF($Q131=4,1,0)),IF($F131&lt;=85,1,0))</formula>
    </cfRule>
  </conditionalFormatting>
  <conditionalFormatting sqref="AV132">
    <cfRule type="expression" dxfId="4455" priority="881">
      <formula>AV132="X"</formula>
    </cfRule>
    <cfRule type="expression" dxfId="4454" priority="882">
      <formula>AV132="후보"</formula>
    </cfRule>
  </conditionalFormatting>
  <conditionalFormatting sqref="AC132">
    <cfRule type="cellIs" dxfId="4453" priority="879" operator="greaterThan">
      <formula>0.9</formula>
    </cfRule>
    <cfRule type="cellIs" dxfId="4452" priority="880" operator="greaterThan">
      <formula>0.85</formula>
    </cfRule>
  </conditionalFormatting>
  <conditionalFormatting sqref="N132">
    <cfRule type="cellIs" dxfId="4451" priority="877" operator="greaterThan">
      <formula>0.9</formula>
    </cfRule>
    <cfRule type="cellIs" dxfId="4450" priority="878" operator="greaterThan">
      <formula>0.85</formula>
    </cfRule>
  </conditionalFormatting>
  <conditionalFormatting sqref="E132">
    <cfRule type="expression" dxfId="4449" priority="873">
      <formula>AND(IF(OR($Q132=1,$Q132=2),1,0),IF($X132&lt;=20,1,0))</formula>
    </cfRule>
    <cfRule type="expression" dxfId="4448" priority="874">
      <formula>AND(IF($Q132=2,1,0),IF($X132&lt;30,1,0))</formula>
    </cfRule>
    <cfRule type="expression" dxfId="4447" priority="875">
      <formula>AND(IF($Q132=3,1,0),IF($X132&lt;30,1,0))</formula>
    </cfRule>
    <cfRule type="expression" dxfId="4446" priority="876">
      <formula>AND(IF($Q132=3,1,IF($Q132=4,1,0)),IF($F132&lt;=85,1,0))</formula>
    </cfRule>
  </conditionalFormatting>
  <conditionalFormatting sqref="X132">
    <cfRule type="expression" dxfId="4445" priority="869">
      <formula>AND(IF(OR($Q132=1,$Q132=2),1,0),IF($X132&lt;=20,1,0))</formula>
    </cfRule>
    <cfRule type="expression" dxfId="4444" priority="870">
      <formula>AND(IF($Q132=2,1,0),IF($X132&lt;30,1,0))</formula>
    </cfRule>
    <cfRule type="expression" dxfId="4443" priority="871">
      <formula>AND(IF($Q132=3,1,0),IF($X132&lt;30,1,0))</formula>
    </cfRule>
    <cfRule type="expression" dxfId="4442" priority="872">
      <formula>AND(IF($Q132=3,1,IF($Q132=4,1,0)),IF($F132&lt;=85,1,0))</formula>
    </cfRule>
  </conditionalFormatting>
  <conditionalFormatting sqref="AI132">
    <cfRule type="expression" dxfId="4441" priority="865">
      <formula>AND(IF(OR($Q132=1,$Q132=2),1,0),IF($X132&lt;=20,1,0))</formula>
    </cfRule>
    <cfRule type="expression" dxfId="4440" priority="866">
      <formula>AND(IF($Q132=2,1,0),IF($X132&lt;30,1,0))</formula>
    </cfRule>
    <cfRule type="expression" dxfId="4439" priority="867">
      <formula>AND(IF($Q132=3,1,0),IF($X132&lt;30,1,0))</formula>
    </cfRule>
    <cfRule type="expression" dxfId="4438" priority="868">
      <formula>AND(IF($Q132=3,1,IF($Q132=4,1,0)),IF($F132&lt;=85,1,0))</formula>
    </cfRule>
  </conditionalFormatting>
  <conditionalFormatting sqref="AV133">
    <cfRule type="expression" dxfId="4437" priority="863">
      <formula>AV133="X"</formula>
    </cfRule>
    <cfRule type="expression" dxfId="4436" priority="864">
      <formula>AV133="후보"</formula>
    </cfRule>
  </conditionalFormatting>
  <conditionalFormatting sqref="AC133">
    <cfRule type="cellIs" dxfId="4435" priority="861" operator="greaterThan">
      <formula>0.9</formula>
    </cfRule>
    <cfRule type="cellIs" dxfId="4434" priority="862" operator="greaterThan">
      <formula>0.85</formula>
    </cfRule>
  </conditionalFormatting>
  <conditionalFormatting sqref="N133">
    <cfRule type="cellIs" dxfId="4433" priority="859" operator="greaterThan">
      <formula>0.9</formula>
    </cfRule>
    <cfRule type="cellIs" dxfId="4432" priority="860" operator="greaterThan">
      <formula>0.85</formula>
    </cfRule>
  </conditionalFormatting>
  <conditionalFormatting sqref="E133">
    <cfRule type="expression" dxfId="4431" priority="855">
      <formula>AND(IF(OR($Q133=1,$Q133=2),1,0),IF($X133&lt;=20,1,0))</formula>
    </cfRule>
    <cfRule type="expression" dxfId="4430" priority="856">
      <formula>AND(IF($Q133=2,1,0),IF($X133&lt;30,1,0))</formula>
    </cfRule>
    <cfRule type="expression" dxfId="4429" priority="857">
      <formula>AND(IF($Q133=3,1,0),IF($X133&lt;30,1,0))</formula>
    </cfRule>
    <cfRule type="expression" dxfId="4428" priority="858">
      <formula>AND(IF($Q133=3,1,IF($Q133=4,1,0)),IF($F133&lt;=85,1,0))</formula>
    </cfRule>
  </conditionalFormatting>
  <conditionalFormatting sqref="X133">
    <cfRule type="expression" dxfId="4427" priority="851">
      <formula>AND(IF(OR($Q133=1,$Q133=2),1,0),IF($X133&lt;=20,1,0))</formula>
    </cfRule>
    <cfRule type="expression" dxfId="4426" priority="852">
      <formula>AND(IF($Q133=2,1,0),IF($X133&lt;30,1,0))</formula>
    </cfRule>
    <cfRule type="expression" dxfId="4425" priority="853">
      <formula>AND(IF($Q133=3,1,0),IF($X133&lt;30,1,0))</formula>
    </cfRule>
    <cfRule type="expression" dxfId="4424" priority="854">
      <formula>AND(IF($Q133=3,1,IF($Q133=4,1,0)),IF($F133&lt;=85,1,0))</formula>
    </cfRule>
  </conditionalFormatting>
  <conditionalFormatting sqref="AI133">
    <cfRule type="expression" dxfId="4423" priority="847">
      <formula>AND(IF(OR($Q133=1,$Q133=2),1,0),IF($X133&lt;=20,1,0))</formula>
    </cfRule>
    <cfRule type="expression" dxfId="4422" priority="848">
      <formula>AND(IF($Q133=2,1,0),IF($X133&lt;30,1,0))</formula>
    </cfRule>
    <cfRule type="expression" dxfId="4421" priority="849">
      <formula>AND(IF($Q133=3,1,0),IF($X133&lt;30,1,0))</formula>
    </cfRule>
    <cfRule type="expression" dxfId="4420" priority="850">
      <formula>AND(IF($Q133=3,1,IF($Q133=4,1,0)),IF($F133&lt;=85,1,0))</formula>
    </cfRule>
  </conditionalFormatting>
  <conditionalFormatting sqref="AV134">
    <cfRule type="expression" dxfId="4419" priority="845">
      <formula>AV134="X"</formula>
    </cfRule>
    <cfRule type="expression" dxfId="4418" priority="846">
      <formula>AV134="후보"</formula>
    </cfRule>
  </conditionalFormatting>
  <conditionalFormatting sqref="AC134">
    <cfRule type="cellIs" dxfId="4417" priority="843" operator="greaterThan">
      <formula>0.9</formula>
    </cfRule>
    <cfRule type="cellIs" dxfId="4416" priority="844" operator="greaterThan">
      <formula>0.85</formula>
    </cfRule>
  </conditionalFormatting>
  <conditionalFormatting sqref="N134">
    <cfRule type="cellIs" dxfId="4415" priority="841" operator="greaterThan">
      <formula>0.9</formula>
    </cfRule>
    <cfRule type="cellIs" dxfId="4414" priority="842" operator="greaterThan">
      <formula>0.85</formula>
    </cfRule>
  </conditionalFormatting>
  <conditionalFormatting sqref="E134">
    <cfRule type="expression" dxfId="4413" priority="837">
      <formula>AND(IF(OR($Q134=1,$Q134=2),1,0),IF($X134&lt;=20,1,0))</formula>
    </cfRule>
    <cfRule type="expression" dxfId="4412" priority="838">
      <formula>AND(IF($Q134=2,1,0),IF($X134&lt;30,1,0))</formula>
    </cfRule>
    <cfRule type="expression" dxfId="4411" priority="839">
      <formula>AND(IF($Q134=3,1,0),IF($X134&lt;30,1,0))</formula>
    </cfRule>
    <cfRule type="expression" dxfId="4410" priority="840">
      <formula>AND(IF($Q134=3,1,IF($Q134=4,1,0)),IF($F134&lt;=85,1,0))</formula>
    </cfRule>
  </conditionalFormatting>
  <conditionalFormatting sqref="X134">
    <cfRule type="expression" dxfId="4409" priority="833">
      <formula>AND(IF(OR($Q134=1,$Q134=2),1,0),IF($X134&lt;=20,1,0))</formula>
    </cfRule>
    <cfRule type="expression" dxfId="4408" priority="834">
      <formula>AND(IF($Q134=2,1,0),IF($X134&lt;30,1,0))</formula>
    </cfRule>
    <cfRule type="expression" dxfId="4407" priority="835">
      <formula>AND(IF($Q134=3,1,0),IF($X134&lt;30,1,0))</formula>
    </cfRule>
    <cfRule type="expression" dxfId="4406" priority="836">
      <formula>AND(IF($Q134=3,1,IF($Q134=4,1,0)),IF($F134&lt;=85,1,0))</formula>
    </cfRule>
  </conditionalFormatting>
  <conditionalFormatting sqref="AI134">
    <cfRule type="expression" dxfId="4405" priority="829">
      <formula>AND(IF(OR($Q134=1,$Q134=2),1,0),IF($X134&lt;=20,1,0))</formula>
    </cfRule>
    <cfRule type="expression" dxfId="4404" priority="830">
      <formula>AND(IF($Q134=2,1,0),IF($X134&lt;30,1,0))</formula>
    </cfRule>
    <cfRule type="expression" dxfId="4403" priority="831">
      <formula>AND(IF($Q134=3,1,0),IF($X134&lt;30,1,0))</formula>
    </cfRule>
    <cfRule type="expression" dxfId="4402" priority="832">
      <formula>AND(IF($Q134=3,1,IF($Q134=4,1,0)),IF($F134&lt;=85,1,0))</formula>
    </cfRule>
  </conditionalFormatting>
  <conditionalFormatting sqref="AV135">
    <cfRule type="expression" dxfId="4401" priority="827">
      <formula>AV135="X"</formula>
    </cfRule>
    <cfRule type="expression" dxfId="4400" priority="828">
      <formula>AV135="후보"</formula>
    </cfRule>
  </conditionalFormatting>
  <conditionalFormatting sqref="AC135">
    <cfRule type="cellIs" dxfId="4399" priority="825" operator="greaterThan">
      <formula>0.9</formula>
    </cfRule>
    <cfRule type="cellIs" dxfId="4398" priority="826" operator="greaterThan">
      <formula>0.85</formula>
    </cfRule>
  </conditionalFormatting>
  <conditionalFormatting sqref="N135">
    <cfRule type="cellIs" dxfId="4397" priority="823" operator="greaterThan">
      <formula>0.9</formula>
    </cfRule>
    <cfRule type="cellIs" dxfId="4396" priority="824" operator="greaterThan">
      <formula>0.85</formula>
    </cfRule>
  </conditionalFormatting>
  <conditionalFormatting sqref="E135">
    <cfRule type="expression" dxfId="4395" priority="819">
      <formula>AND(IF(OR($Q135=1,$Q135=2),1,0),IF($X135&lt;=20,1,0))</formula>
    </cfRule>
    <cfRule type="expression" dxfId="4394" priority="820">
      <formula>AND(IF($Q135=2,1,0),IF($X135&lt;30,1,0))</formula>
    </cfRule>
    <cfRule type="expression" dxfId="4393" priority="821">
      <formula>AND(IF($Q135=3,1,0),IF($X135&lt;30,1,0))</formula>
    </cfRule>
    <cfRule type="expression" dxfId="4392" priority="822">
      <formula>AND(IF($Q135=3,1,IF($Q135=4,1,0)),IF($F135&lt;=85,1,0))</formula>
    </cfRule>
  </conditionalFormatting>
  <conditionalFormatting sqref="X135">
    <cfRule type="expression" dxfId="4391" priority="815">
      <formula>AND(IF(OR($Q135=1,$Q135=2),1,0),IF($X135&lt;=20,1,0))</formula>
    </cfRule>
    <cfRule type="expression" dxfId="4390" priority="816">
      <formula>AND(IF($Q135=2,1,0),IF($X135&lt;30,1,0))</formula>
    </cfRule>
    <cfRule type="expression" dxfId="4389" priority="817">
      <formula>AND(IF($Q135=3,1,0),IF($X135&lt;30,1,0))</formula>
    </cfRule>
    <cfRule type="expression" dxfId="4388" priority="818">
      <formula>AND(IF($Q135=3,1,IF($Q135=4,1,0)),IF($F135&lt;=85,1,0))</formula>
    </cfRule>
  </conditionalFormatting>
  <conditionalFormatting sqref="AI135">
    <cfRule type="expression" dxfId="4387" priority="811">
      <formula>AND(IF(OR($Q135=1,$Q135=2),1,0),IF($X135&lt;=20,1,0))</formula>
    </cfRule>
    <cfRule type="expression" dxfId="4386" priority="812">
      <formula>AND(IF($Q135=2,1,0),IF($X135&lt;30,1,0))</formula>
    </cfRule>
    <cfRule type="expression" dxfId="4385" priority="813">
      <formula>AND(IF($Q135=3,1,0),IF($X135&lt;30,1,0))</formula>
    </cfRule>
    <cfRule type="expression" dxfId="4384" priority="814">
      <formula>AND(IF($Q135=3,1,IF($Q135=4,1,0)),IF($F135&lt;=85,1,0))</formula>
    </cfRule>
  </conditionalFormatting>
  <conditionalFormatting sqref="AV136">
    <cfRule type="expression" dxfId="4383" priority="809">
      <formula>AV136="X"</formula>
    </cfRule>
    <cfRule type="expression" dxfId="4382" priority="810">
      <formula>AV136="후보"</formula>
    </cfRule>
  </conditionalFormatting>
  <conditionalFormatting sqref="AC136">
    <cfRule type="cellIs" dxfId="4381" priority="807" operator="greaterThan">
      <formula>0.9</formula>
    </cfRule>
    <cfRule type="cellIs" dxfId="4380" priority="808" operator="greaterThan">
      <formula>0.85</formula>
    </cfRule>
  </conditionalFormatting>
  <conditionalFormatting sqref="N136">
    <cfRule type="cellIs" dxfId="4379" priority="805" operator="greaterThan">
      <formula>0.9</formula>
    </cfRule>
    <cfRule type="cellIs" dxfId="4378" priority="806" operator="greaterThan">
      <formula>0.85</formula>
    </cfRule>
  </conditionalFormatting>
  <conditionalFormatting sqref="E136">
    <cfRule type="expression" dxfId="4377" priority="801">
      <formula>AND(IF(OR($Q136=1,$Q136=2),1,0),IF($X136&lt;=20,1,0))</formula>
    </cfRule>
    <cfRule type="expression" dxfId="4376" priority="802">
      <formula>AND(IF($Q136=2,1,0),IF($X136&lt;30,1,0))</formula>
    </cfRule>
    <cfRule type="expression" dxfId="4375" priority="803">
      <formula>AND(IF($Q136=3,1,0),IF($X136&lt;30,1,0))</formula>
    </cfRule>
    <cfRule type="expression" dxfId="4374" priority="804">
      <formula>AND(IF($Q136=3,1,IF($Q136=4,1,0)),IF($F136&lt;=85,1,0))</formula>
    </cfRule>
  </conditionalFormatting>
  <conditionalFormatting sqref="X136">
    <cfRule type="expression" dxfId="4373" priority="797">
      <formula>AND(IF(OR($Q136=1,$Q136=2),1,0),IF($X136&lt;=20,1,0))</formula>
    </cfRule>
    <cfRule type="expression" dxfId="4372" priority="798">
      <formula>AND(IF($Q136=2,1,0),IF($X136&lt;30,1,0))</formula>
    </cfRule>
    <cfRule type="expression" dxfId="4371" priority="799">
      <formula>AND(IF($Q136=3,1,0),IF($X136&lt;30,1,0))</formula>
    </cfRule>
    <cfRule type="expression" dxfId="4370" priority="800">
      <formula>AND(IF($Q136=3,1,IF($Q136=4,1,0)),IF($F136&lt;=85,1,0))</formula>
    </cfRule>
  </conditionalFormatting>
  <conditionalFormatting sqref="AI136">
    <cfRule type="expression" dxfId="4369" priority="793">
      <formula>AND(IF(OR($Q136=1,$Q136=2),1,0),IF($X136&lt;=20,1,0))</formula>
    </cfRule>
    <cfRule type="expression" dxfId="4368" priority="794">
      <formula>AND(IF($Q136=2,1,0),IF($X136&lt;30,1,0))</formula>
    </cfRule>
    <cfRule type="expression" dxfId="4367" priority="795">
      <formula>AND(IF($Q136=3,1,0),IF($X136&lt;30,1,0))</formula>
    </cfRule>
    <cfRule type="expression" dxfId="4366" priority="796">
      <formula>AND(IF($Q136=3,1,IF($Q136=4,1,0)),IF($F136&lt;=85,1,0))</formula>
    </cfRule>
  </conditionalFormatting>
  <conditionalFormatting sqref="AV137">
    <cfRule type="expression" dxfId="4365" priority="791">
      <formula>AV137="X"</formula>
    </cfRule>
    <cfRule type="expression" dxfId="4364" priority="792">
      <formula>AV137="후보"</formula>
    </cfRule>
  </conditionalFormatting>
  <conditionalFormatting sqref="AC137">
    <cfRule type="cellIs" dxfId="4363" priority="789" operator="greaterThan">
      <formula>0.9</formula>
    </cfRule>
    <cfRule type="cellIs" dxfId="4362" priority="790" operator="greaterThan">
      <formula>0.85</formula>
    </cfRule>
  </conditionalFormatting>
  <conditionalFormatting sqref="N137">
    <cfRule type="cellIs" dxfId="4361" priority="787" operator="greaterThan">
      <formula>0.9</formula>
    </cfRule>
    <cfRule type="cellIs" dxfId="4360" priority="788" operator="greaterThan">
      <formula>0.85</formula>
    </cfRule>
  </conditionalFormatting>
  <conditionalFormatting sqref="E137">
    <cfRule type="expression" dxfId="4359" priority="783">
      <formula>AND(IF(OR($Q137=1,$Q137=2),1,0),IF($X137&lt;=20,1,0))</formula>
    </cfRule>
    <cfRule type="expression" dxfId="4358" priority="784">
      <formula>AND(IF($Q137=2,1,0),IF($X137&lt;30,1,0))</formula>
    </cfRule>
    <cfRule type="expression" dxfId="4357" priority="785">
      <formula>AND(IF($Q137=3,1,0),IF($X137&lt;30,1,0))</formula>
    </cfRule>
    <cfRule type="expression" dxfId="4356" priority="786">
      <formula>AND(IF($Q137=3,1,IF($Q137=4,1,0)),IF($F137&lt;=85,1,0))</formula>
    </cfRule>
  </conditionalFormatting>
  <conditionalFormatting sqref="X137">
    <cfRule type="expression" dxfId="4355" priority="779">
      <formula>AND(IF(OR($Q137=1,$Q137=2),1,0),IF($X137&lt;=20,1,0))</formula>
    </cfRule>
    <cfRule type="expression" dxfId="4354" priority="780">
      <formula>AND(IF($Q137=2,1,0),IF($X137&lt;30,1,0))</formula>
    </cfRule>
    <cfRule type="expression" dxfId="4353" priority="781">
      <formula>AND(IF($Q137=3,1,0),IF($X137&lt;30,1,0))</formula>
    </cfRule>
    <cfRule type="expression" dxfId="4352" priority="782">
      <formula>AND(IF($Q137=3,1,IF($Q137=4,1,0)),IF($F137&lt;=85,1,0))</formula>
    </cfRule>
  </conditionalFormatting>
  <conditionalFormatting sqref="AI137">
    <cfRule type="expression" dxfId="4351" priority="775">
      <formula>AND(IF(OR($Q137=1,$Q137=2),1,0),IF($X137&lt;=20,1,0))</formula>
    </cfRule>
    <cfRule type="expression" dxfId="4350" priority="776">
      <formula>AND(IF($Q137=2,1,0),IF($X137&lt;30,1,0))</formula>
    </cfRule>
    <cfRule type="expression" dxfId="4349" priority="777">
      <formula>AND(IF($Q137=3,1,0),IF($X137&lt;30,1,0))</formula>
    </cfRule>
    <cfRule type="expression" dxfId="4348" priority="778">
      <formula>AND(IF($Q137=3,1,IF($Q137=4,1,0)),IF($F137&lt;=85,1,0))</formula>
    </cfRule>
  </conditionalFormatting>
  <conditionalFormatting sqref="AV138">
    <cfRule type="expression" dxfId="4347" priority="773">
      <formula>AV138="X"</formula>
    </cfRule>
    <cfRule type="expression" dxfId="4346" priority="774">
      <formula>AV138="후보"</formula>
    </cfRule>
  </conditionalFormatting>
  <conditionalFormatting sqref="AC138">
    <cfRule type="cellIs" dxfId="4345" priority="771" operator="greaterThan">
      <formula>0.9</formula>
    </cfRule>
    <cfRule type="cellIs" dxfId="4344" priority="772" operator="greaterThan">
      <formula>0.85</formula>
    </cfRule>
  </conditionalFormatting>
  <conditionalFormatting sqref="N138">
    <cfRule type="cellIs" dxfId="4343" priority="769" operator="greaterThan">
      <formula>0.9</formula>
    </cfRule>
    <cfRule type="cellIs" dxfId="4342" priority="770" operator="greaterThan">
      <formula>0.85</formula>
    </cfRule>
  </conditionalFormatting>
  <conditionalFormatting sqref="E138">
    <cfRule type="expression" dxfId="4341" priority="765">
      <formula>AND(IF(OR($Q138=1,$Q138=2),1,0),IF($X138&lt;=20,1,0))</formula>
    </cfRule>
    <cfRule type="expression" dxfId="4340" priority="766">
      <formula>AND(IF($Q138=2,1,0),IF($X138&lt;30,1,0))</formula>
    </cfRule>
    <cfRule type="expression" dxfId="4339" priority="767">
      <formula>AND(IF($Q138=3,1,0),IF($X138&lt;30,1,0))</formula>
    </cfRule>
    <cfRule type="expression" dxfId="4338" priority="768">
      <formula>AND(IF($Q138=3,1,IF($Q138=4,1,0)),IF($F138&lt;=85,1,0))</formula>
    </cfRule>
  </conditionalFormatting>
  <conditionalFormatting sqref="X138">
    <cfRule type="expression" dxfId="4337" priority="761">
      <formula>AND(IF(OR($Q138=1,$Q138=2),1,0),IF($X138&lt;=20,1,0))</formula>
    </cfRule>
    <cfRule type="expression" dxfId="4336" priority="762">
      <formula>AND(IF($Q138=2,1,0),IF($X138&lt;30,1,0))</formula>
    </cfRule>
    <cfRule type="expression" dxfId="4335" priority="763">
      <formula>AND(IF($Q138=3,1,0),IF($X138&lt;30,1,0))</formula>
    </cfRule>
    <cfRule type="expression" dxfId="4334" priority="764">
      <formula>AND(IF($Q138=3,1,IF($Q138=4,1,0)),IF($F138&lt;=85,1,0))</formula>
    </cfRule>
  </conditionalFormatting>
  <conditionalFormatting sqref="AI138">
    <cfRule type="expression" dxfId="4333" priority="757">
      <formula>AND(IF(OR($Q138=1,$Q138=2),1,0),IF($X138&lt;=20,1,0))</formula>
    </cfRule>
    <cfRule type="expression" dxfId="4332" priority="758">
      <formula>AND(IF($Q138=2,1,0),IF($X138&lt;30,1,0))</formula>
    </cfRule>
    <cfRule type="expression" dxfId="4331" priority="759">
      <formula>AND(IF($Q138=3,1,0),IF($X138&lt;30,1,0))</formula>
    </cfRule>
    <cfRule type="expression" dxfId="4330" priority="760">
      <formula>AND(IF($Q138=3,1,IF($Q138=4,1,0)),IF($F138&lt;=85,1,0))</formula>
    </cfRule>
  </conditionalFormatting>
  <conditionalFormatting sqref="AV139">
    <cfRule type="expression" dxfId="4329" priority="755">
      <formula>AV139="X"</formula>
    </cfRule>
    <cfRule type="expression" dxfId="4328" priority="756">
      <formula>AV139="후보"</formula>
    </cfRule>
  </conditionalFormatting>
  <conditionalFormatting sqref="AC139">
    <cfRule type="cellIs" dxfId="4327" priority="753" operator="greaterThan">
      <formula>0.9</formula>
    </cfRule>
    <cfRule type="cellIs" dxfId="4326" priority="754" operator="greaterThan">
      <formula>0.85</formula>
    </cfRule>
  </conditionalFormatting>
  <conditionalFormatting sqref="N139">
    <cfRule type="cellIs" dxfId="4325" priority="751" operator="greaterThan">
      <formula>0.9</formula>
    </cfRule>
    <cfRule type="cellIs" dxfId="4324" priority="752" operator="greaterThan">
      <formula>0.85</formula>
    </cfRule>
  </conditionalFormatting>
  <conditionalFormatting sqref="E139">
    <cfRule type="expression" dxfId="4323" priority="747">
      <formula>AND(IF(OR($Q139=1,$Q139=2),1,0),IF($X139&lt;=20,1,0))</formula>
    </cfRule>
    <cfRule type="expression" dxfId="4322" priority="748">
      <formula>AND(IF($Q139=2,1,0),IF($X139&lt;30,1,0))</formula>
    </cfRule>
    <cfRule type="expression" dxfId="4321" priority="749">
      <formula>AND(IF($Q139=3,1,0),IF($X139&lt;30,1,0))</formula>
    </cfRule>
    <cfRule type="expression" dxfId="4320" priority="750">
      <formula>AND(IF($Q139=3,1,IF($Q139=4,1,0)),IF($F139&lt;=85,1,0))</formula>
    </cfRule>
  </conditionalFormatting>
  <conditionalFormatting sqref="X139">
    <cfRule type="expression" dxfId="4319" priority="743">
      <formula>AND(IF(OR($Q139=1,$Q139=2),1,0),IF($X139&lt;=20,1,0))</formula>
    </cfRule>
    <cfRule type="expression" dxfId="4318" priority="744">
      <formula>AND(IF($Q139=2,1,0),IF($X139&lt;30,1,0))</formula>
    </cfRule>
    <cfRule type="expression" dxfId="4317" priority="745">
      <formula>AND(IF($Q139=3,1,0),IF($X139&lt;30,1,0))</formula>
    </cfRule>
    <cfRule type="expression" dxfId="4316" priority="746">
      <formula>AND(IF($Q139=3,1,IF($Q139=4,1,0)),IF($F139&lt;=85,1,0))</formula>
    </cfRule>
  </conditionalFormatting>
  <conditionalFormatting sqref="AI139">
    <cfRule type="expression" dxfId="4315" priority="739">
      <formula>AND(IF(OR($Q139=1,$Q139=2),1,0),IF($X139&lt;=20,1,0))</formula>
    </cfRule>
    <cfRule type="expression" dxfId="4314" priority="740">
      <formula>AND(IF($Q139=2,1,0),IF($X139&lt;30,1,0))</formula>
    </cfRule>
    <cfRule type="expression" dxfId="4313" priority="741">
      <formula>AND(IF($Q139=3,1,0),IF($X139&lt;30,1,0))</formula>
    </cfRule>
    <cfRule type="expression" dxfId="4312" priority="742">
      <formula>AND(IF($Q139=3,1,IF($Q139=4,1,0)),IF($F139&lt;=85,1,0))</formula>
    </cfRule>
  </conditionalFormatting>
  <conditionalFormatting sqref="AV140">
    <cfRule type="expression" dxfId="4311" priority="737">
      <formula>AV140="X"</formula>
    </cfRule>
    <cfRule type="expression" dxfId="4310" priority="738">
      <formula>AV140="후보"</formula>
    </cfRule>
  </conditionalFormatting>
  <conditionalFormatting sqref="AC140">
    <cfRule type="cellIs" dxfId="4309" priority="735" operator="greaterThan">
      <formula>0.9</formula>
    </cfRule>
    <cfRule type="cellIs" dxfId="4308" priority="736" operator="greaterThan">
      <formula>0.85</formula>
    </cfRule>
  </conditionalFormatting>
  <conditionalFormatting sqref="N140">
    <cfRule type="cellIs" dxfId="4307" priority="733" operator="greaterThan">
      <formula>0.9</formula>
    </cfRule>
    <cfRule type="cellIs" dxfId="4306" priority="734" operator="greaterThan">
      <formula>0.85</formula>
    </cfRule>
  </conditionalFormatting>
  <conditionalFormatting sqref="E140">
    <cfRule type="expression" dxfId="4305" priority="729">
      <formula>AND(IF(OR($Q140=1,$Q140=2),1,0),IF($X140&lt;=20,1,0))</formula>
    </cfRule>
    <cfRule type="expression" dxfId="4304" priority="730">
      <formula>AND(IF($Q140=2,1,0),IF($X140&lt;30,1,0))</formula>
    </cfRule>
    <cfRule type="expression" dxfId="4303" priority="731">
      <formula>AND(IF($Q140=3,1,0),IF($X140&lt;30,1,0))</formula>
    </cfRule>
    <cfRule type="expression" dxfId="4302" priority="732">
      <formula>AND(IF($Q140=3,1,IF($Q140=4,1,0)),IF($F140&lt;=85,1,0))</formula>
    </cfRule>
  </conditionalFormatting>
  <conditionalFormatting sqref="X140">
    <cfRule type="expression" dxfId="4301" priority="725">
      <formula>AND(IF(OR($Q140=1,$Q140=2),1,0),IF($X140&lt;=20,1,0))</formula>
    </cfRule>
    <cfRule type="expression" dxfId="4300" priority="726">
      <formula>AND(IF($Q140=2,1,0),IF($X140&lt;30,1,0))</formula>
    </cfRule>
    <cfRule type="expression" dxfId="4299" priority="727">
      <formula>AND(IF($Q140=3,1,0),IF($X140&lt;30,1,0))</formula>
    </cfRule>
    <cfRule type="expression" dxfId="4298" priority="728">
      <formula>AND(IF($Q140=3,1,IF($Q140=4,1,0)),IF($F140&lt;=85,1,0))</formula>
    </cfRule>
  </conditionalFormatting>
  <conditionalFormatting sqref="AI140">
    <cfRule type="expression" dxfId="4297" priority="721">
      <formula>AND(IF(OR($Q140=1,$Q140=2),1,0),IF($X140&lt;=20,1,0))</formula>
    </cfRule>
    <cfRule type="expression" dxfId="4296" priority="722">
      <formula>AND(IF($Q140=2,1,0),IF($X140&lt;30,1,0))</formula>
    </cfRule>
    <cfRule type="expression" dxfId="4295" priority="723">
      <formula>AND(IF($Q140=3,1,0),IF($X140&lt;30,1,0))</formula>
    </cfRule>
    <cfRule type="expression" dxfId="4294" priority="724">
      <formula>AND(IF($Q140=3,1,IF($Q140=4,1,0)),IF($F140&lt;=85,1,0))</formula>
    </cfRule>
  </conditionalFormatting>
  <conditionalFormatting sqref="AV141">
    <cfRule type="expression" dxfId="4293" priority="719">
      <formula>AV141="X"</formula>
    </cfRule>
    <cfRule type="expression" dxfId="4292" priority="720">
      <formula>AV141="후보"</formula>
    </cfRule>
  </conditionalFormatting>
  <conditionalFormatting sqref="AC141">
    <cfRule type="cellIs" dxfId="4291" priority="717" operator="greaterThan">
      <formula>0.9</formula>
    </cfRule>
    <cfRule type="cellIs" dxfId="4290" priority="718" operator="greaterThan">
      <formula>0.85</formula>
    </cfRule>
  </conditionalFormatting>
  <conditionalFormatting sqref="N141">
    <cfRule type="cellIs" dxfId="4289" priority="715" operator="greaterThan">
      <formula>0.9</formula>
    </cfRule>
    <cfRule type="cellIs" dxfId="4288" priority="716" operator="greaterThan">
      <formula>0.85</formula>
    </cfRule>
  </conditionalFormatting>
  <conditionalFormatting sqref="E141">
    <cfRule type="expression" dxfId="4287" priority="711">
      <formula>AND(IF(OR($Q141=1,$Q141=2),1,0),IF($X141&lt;=20,1,0))</formula>
    </cfRule>
    <cfRule type="expression" dxfId="4286" priority="712">
      <formula>AND(IF($Q141=2,1,0),IF($X141&lt;30,1,0))</formula>
    </cfRule>
    <cfRule type="expression" dxfId="4285" priority="713">
      <formula>AND(IF($Q141=3,1,0),IF($X141&lt;30,1,0))</formula>
    </cfRule>
    <cfRule type="expression" dxfId="4284" priority="714">
      <formula>AND(IF($Q141=3,1,IF($Q141=4,1,0)),IF($F141&lt;=85,1,0))</formula>
    </cfRule>
  </conditionalFormatting>
  <conditionalFormatting sqref="X141">
    <cfRule type="expression" dxfId="4283" priority="707">
      <formula>AND(IF(OR($Q141=1,$Q141=2),1,0),IF($X141&lt;=20,1,0))</formula>
    </cfRule>
    <cfRule type="expression" dxfId="4282" priority="708">
      <formula>AND(IF($Q141=2,1,0),IF($X141&lt;30,1,0))</formula>
    </cfRule>
    <cfRule type="expression" dxfId="4281" priority="709">
      <formula>AND(IF($Q141=3,1,0),IF($X141&lt;30,1,0))</formula>
    </cfRule>
    <cfRule type="expression" dxfId="4280" priority="710">
      <formula>AND(IF($Q141=3,1,IF($Q141=4,1,0)),IF($F141&lt;=85,1,0))</formula>
    </cfRule>
  </conditionalFormatting>
  <conditionalFormatting sqref="AI141">
    <cfRule type="expression" dxfId="4279" priority="703">
      <formula>AND(IF(OR($Q141=1,$Q141=2),1,0),IF($X141&lt;=20,1,0))</formula>
    </cfRule>
    <cfRule type="expression" dxfId="4278" priority="704">
      <formula>AND(IF($Q141=2,1,0),IF($X141&lt;30,1,0))</formula>
    </cfRule>
    <cfRule type="expression" dxfId="4277" priority="705">
      <formula>AND(IF($Q141=3,1,0),IF($X141&lt;30,1,0))</formula>
    </cfRule>
    <cfRule type="expression" dxfId="4276" priority="706">
      <formula>AND(IF($Q141=3,1,IF($Q141=4,1,0)),IF($F141&lt;=85,1,0))</formula>
    </cfRule>
  </conditionalFormatting>
  <conditionalFormatting sqref="AV142">
    <cfRule type="expression" dxfId="4275" priority="701">
      <formula>AV142="X"</formula>
    </cfRule>
    <cfRule type="expression" dxfId="4274" priority="702">
      <formula>AV142="후보"</formula>
    </cfRule>
  </conditionalFormatting>
  <conditionalFormatting sqref="AC142">
    <cfRule type="cellIs" dxfId="4273" priority="699" operator="greaterThan">
      <formula>0.9</formula>
    </cfRule>
    <cfRule type="cellIs" dxfId="4272" priority="700" operator="greaterThan">
      <formula>0.85</formula>
    </cfRule>
  </conditionalFormatting>
  <conditionalFormatting sqref="N142">
    <cfRule type="cellIs" dxfId="4271" priority="697" operator="greaterThan">
      <formula>0.9</formula>
    </cfRule>
    <cfRule type="cellIs" dxfId="4270" priority="698" operator="greaterThan">
      <formula>0.85</formula>
    </cfRule>
  </conditionalFormatting>
  <conditionalFormatting sqref="E142">
    <cfRule type="expression" dxfId="4269" priority="693">
      <formula>AND(IF(OR($Q142=1,$Q142=2),1,0),IF($X142&lt;=20,1,0))</formula>
    </cfRule>
    <cfRule type="expression" dxfId="4268" priority="694">
      <formula>AND(IF($Q142=2,1,0),IF($X142&lt;30,1,0))</formula>
    </cfRule>
    <cfRule type="expression" dxfId="4267" priority="695">
      <formula>AND(IF($Q142=3,1,0),IF($X142&lt;30,1,0))</formula>
    </cfRule>
    <cfRule type="expression" dxfId="4266" priority="696">
      <formula>AND(IF($Q142=3,1,IF($Q142=4,1,0)),IF($F142&lt;=85,1,0))</formula>
    </cfRule>
  </conditionalFormatting>
  <conditionalFormatting sqref="X142">
    <cfRule type="expression" dxfId="4265" priority="689">
      <formula>AND(IF(OR($Q142=1,$Q142=2),1,0),IF($X142&lt;=20,1,0))</formula>
    </cfRule>
    <cfRule type="expression" dxfId="4264" priority="690">
      <formula>AND(IF($Q142=2,1,0),IF($X142&lt;30,1,0))</formula>
    </cfRule>
    <cfRule type="expression" dxfId="4263" priority="691">
      <formula>AND(IF($Q142=3,1,0),IF($X142&lt;30,1,0))</formula>
    </cfRule>
    <cfRule type="expression" dxfId="4262" priority="692">
      <formula>AND(IF($Q142=3,1,IF($Q142=4,1,0)),IF($F142&lt;=85,1,0))</formula>
    </cfRule>
  </conditionalFormatting>
  <conditionalFormatting sqref="AI142">
    <cfRule type="expression" dxfId="4261" priority="685">
      <formula>AND(IF(OR($Q142=1,$Q142=2),1,0),IF($X142&lt;=20,1,0))</formula>
    </cfRule>
    <cfRule type="expression" dxfId="4260" priority="686">
      <formula>AND(IF($Q142=2,1,0),IF($X142&lt;30,1,0))</formula>
    </cfRule>
    <cfRule type="expression" dxfId="4259" priority="687">
      <formula>AND(IF($Q142=3,1,0),IF($X142&lt;30,1,0))</formula>
    </cfRule>
    <cfRule type="expression" dxfId="4258" priority="688">
      <formula>AND(IF($Q142=3,1,IF($Q142=4,1,0)),IF($F142&lt;=85,1,0))</formula>
    </cfRule>
  </conditionalFormatting>
  <conditionalFormatting sqref="AV143">
    <cfRule type="expression" dxfId="4257" priority="683">
      <formula>AV143="X"</formula>
    </cfRule>
    <cfRule type="expression" dxfId="4256" priority="684">
      <formula>AV143="후보"</formula>
    </cfRule>
  </conditionalFormatting>
  <conditionalFormatting sqref="AC143">
    <cfRule type="cellIs" dxfId="4255" priority="681" operator="greaterThan">
      <formula>0.9</formula>
    </cfRule>
    <cfRule type="cellIs" dxfId="4254" priority="682" operator="greaterThan">
      <formula>0.85</formula>
    </cfRule>
  </conditionalFormatting>
  <conditionalFormatting sqref="N143">
    <cfRule type="cellIs" dxfId="4253" priority="679" operator="greaterThan">
      <formula>0.9</formula>
    </cfRule>
    <cfRule type="cellIs" dxfId="4252" priority="680" operator="greaterThan">
      <formula>0.85</formula>
    </cfRule>
  </conditionalFormatting>
  <conditionalFormatting sqref="E143">
    <cfRule type="expression" dxfId="4251" priority="675">
      <formula>AND(IF(OR($Q143=1,$Q143=2),1,0),IF($X143&lt;=20,1,0))</formula>
    </cfRule>
    <cfRule type="expression" dxfId="4250" priority="676">
      <formula>AND(IF($Q143=2,1,0),IF($X143&lt;30,1,0))</formula>
    </cfRule>
    <cfRule type="expression" dxfId="4249" priority="677">
      <formula>AND(IF($Q143=3,1,0),IF($X143&lt;30,1,0))</formula>
    </cfRule>
    <cfRule type="expression" dxfId="4248" priority="678">
      <formula>AND(IF($Q143=3,1,IF($Q143=4,1,0)),IF($F143&lt;=85,1,0))</formula>
    </cfRule>
  </conditionalFormatting>
  <conditionalFormatting sqref="X143">
    <cfRule type="expression" dxfId="4247" priority="671">
      <formula>AND(IF(OR($Q143=1,$Q143=2),1,0),IF($X143&lt;=20,1,0))</formula>
    </cfRule>
    <cfRule type="expression" dxfId="4246" priority="672">
      <formula>AND(IF($Q143=2,1,0),IF($X143&lt;30,1,0))</formula>
    </cfRule>
    <cfRule type="expression" dxfId="4245" priority="673">
      <formula>AND(IF($Q143=3,1,0),IF($X143&lt;30,1,0))</formula>
    </cfRule>
    <cfRule type="expression" dxfId="4244" priority="674">
      <formula>AND(IF($Q143=3,1,IF($Q143=4,1,0)),IF($F143&lt;=85,1,0))</formula>
    </cfRule>
  </conditionalFormatting>
  <conditionalFormatting sqref="AI143">
    <cfRule type="expression" dxfId="4243" priority="667">
      <formula>AND(IF(OR($Q143=1,$Q143=2),1,0),IF($X143&lt;=20,1,0))</formula>
    </cfRule>
    <cfRule type="expression" dxfId="4242" priority="668">
      <formula>AND(IF($Q143=2,1,0),IF($X143&lt;30,1,0))</formula>
    </cfRule>
    <cfRule type="expression" dxfId="4241" priority="669">
      <formula>AND(IF($Q143=3,1,0),IF($X143&lt;30,1,0))</formula>
    </cfRule>
    <cfRule type="expression" dxfId="4240" priority="670">
      <formula>AND(IF($Q143=3,1,IF($Q143=4,1,0)),IF($F143&lt;=85,1,0))</formula>
    </cfRule>
  </conditionalFormatting>
  <conditionalFormatting sqref="AV144">
    <cfRule type="expression" dxfId="4239" priority="665">
      <formula>AV144="X"</formula>
    </cfRule>
    <cfRule type="expression" dxfId="4238" priority="666">
      <formula>AV144="후보"</formula>
    </cfRule>
  </conditionalFormatting>
  <conditionalFormatting sqref="AC144">
    <cfRule type="cellIs" dxfId="4237" priority="663" operator="greaterThan">
      <formula>0.9</formula>
    </cfRule>
    <cfRule type="cellIs" dxfId="4236" priority="664" operator="greaterThan">
      <formula>0.85</formula>
    </cfRule>
  </conditionalFormatting>
  <conditionalFormatting sqref="N144">
    <cfRule type="cellIs" dxfId="4235" priority="661" operator="greaterThan">
      <formula>0.9</formula>
    </cfRule>
    <cfRule type="cellIs" dxfId="4234" priority="662" operator="greaterThan">
      <formula>0.85</formula>
    </cfRule>
  </conditionalFormatting>
  <conditionalFormatting sqref="E144">
    <cfRule type="expression" dxfId="4233" priority="657">
      <formula>AND(IF(OR($Q144=1,$Q144=2),1,0),IF($X144&lt;=20,1,0))</formula>
    </cfRule>
    <cfRule type="expression" dxfId="4232" priority="658">
      <formula>AND(IF($Q144=2,1,0),IF($X144&lt;30,1,0))</formula>
    </cfRule>
    <cfRule type="expression" dxfId="4231" priority="659">
      <formula>AND(IF($Q144=3,1,0),IF($X144&lt;30,1,0))</formula>
    </cfRule>
    <cfRule type="expression" dxfId="4230" priority="660">
      <formula>AND(IF($Q144=3,1,IF($Q144=4,1,0)),IF($F144&lt;=85,1,0))</formula>
    </cfRule>
  </conditionalFormatting>
  <conditionalFormatting sqref="X144">
    <cfRule type="expression" dxfId="4229" priority="653">
      <formula>AND(IF(OR($Q144=1,$Q144=2),1,0),IF($X144&lt;=20,1,0))</formula>
    </cfRule>
    <cfRule type="expression" dxfId="4228" priority="654">
      <formula>AND(IF($Q144=2,1,0),IF($X144&lt;30,1,0))</formula>
    </cfRule>
    <cfRule type="expression" dxfId="4227" priority="655">
      <formula>AND(IF($Q144=3,1,0),IF($X144&lt;30,1,0))</formula>
    </cfRule>
    <cfRule type="expression" dxfId="4226" priority="656">
      <formula>AND(IF($Q144=3,1,IF($Q144=4,1,0)),IF($F144&lt;=85,1,0))</formula>
    </cfRule>
  </conditionalFormatting>
  <conditionalFormatting sqref="AI144">
    <cfRule type="expression" dxfId="4225" priority="649">
      <formula>AND(IF(OR($Q144=1,$Q144=2),1,0),IF($X144&lt;=20,1,0))</formula>
    </cfRule>
    <cfRule type="expression" dxfId="4224" priority="650">
      <formula>AND(IF($Q144=2,1,0),IF($X144&lt;30,1,0))</formula>
    </cfRule>
    <cfRule type="expression" dxfId="4223" priority="651">
      <formula>AND(IF($Q144=3,1,0),IF($X144&lt;30,1,0))</formula>
    </cfRule>
    <cfRule type="expression" dxfId="4222" priority="652">
      <formula>AND(IF($Q144=3,1,IF($Q144=4,1,0)),IF($F144&lt;=85,1,0))</formula>
    </cfRule>
  </conditionalFormatting>
  <conditionalFormatting sqref="AV145">
    <cfRule type="expression" dxfId="4221" priority="647">
      <formula>AV145="X"</formula>
    </cfRule>
    <cfRule type="expression" dxfId="4220" priority="648">
      <formula>AV145="후보"</formula>
    </cfRule>
  </conditionalFormatting>
  <conditionalFormatting sqref="AC145">
    <cfRule type="cellIs" dxfId="4219" priority="645" operator="greaterThan">
      <formula>0.9</formula>
    </cfRule>
    <cfRule type="cellIs" dxfId="4218" priority="646" operator="greaterThan">
      <formula>0.85</formula>
    </cfRule>
  </conditionalFormatting>
  <conditionalFormatting sqref="N145">
    <cfRule type="cellIs" dxfId="4217" priority="643" operator="greaterThan">
      <formula>0.9</formula>
    </cfRule>
    <cfRule type="cellIs" dxfId="4216" priority="644" operator="greaterThan">
      <formula>0.85</formula>
    </cfRule>
  </conditionalFormatting>
  <conditionalFormatting sqref="E145">
    <cfRule type="expression" dxfId="4215" priority="639">
      <formula>AND(IF(OR($Q145=1,$Q145=2),1,0),IF($X145&lt;=20,1,0))</formula>
    </cfRule>
    <cfRule type="expression" dxfId="4214" priority="640">
      <formula>AND(IF($Q145=2,1,0),IF($X145&lt;30,1,0))</formula>
    </cfRule>
    <cfRule type="expression" dxfId="4213" priority="641">
      <formula>AND(IF($Q145=3,1,0),IF($X145&lt;30,1,0))</formula>
    </cfRule>
    <cfRule type="expression" dxfId="4212" priority="642">
      <formula>AND(IF($Q145=3,1,IF($Q145=4,1,0)),IF($F145&lt;=85,1,0))</formula>
    </cfRule>
  </conditionalFormatting>
  <conditionalFormatting sqref="X145">
    <cfRule type="expression" dxfId="4211" priority="635">
      <formula>AND(IF(OR($Q145=1,$Q145=2),1,0),IF($X145&lt;=20,1,0))</formula>
    </cfRule>
    <cfRule type="expression" dxfId="4210" priority="636">
      <formula>AND(IF($Q145=2,1,0),IF($X145&lt;30,1,0))</formula>
    </cfRule>
    <cfRule type="expression" dxfId="4209" priority="637">
      <formula>AND(IF($Q145=3,1,0),IF($X145&lt;30,1,0))</formula>
    </cfRule>
    <cfRule type="expression" dxfId="4208" priority="638">
      <formula>AND(IF($Q145=3,1,IF($Q145=4,1,0)),IF($F145&lt;=85,1,0))</formula>
    </cfRule>
  </conditionalFormatting>
  <conditionalFormatting sqref="AI145">
    <cfRule type="expression" dxfId="4207" priority="631">
      <formula>AND(IF(OR($Q145=1,$Q145=2),1,0),IF($X145&lt;=20,1,0))</formula>
    </cfRule>
    <cfRule type="expression" dxfId="4206" priority="632">
      <formula>AND(IF($Q145=2,1,0),IF($X145&lt;30,1,0))</formula>
    </cfRule>
    <cfRule type="expression" dxfId="4205" priority="633">
      <formula>AND(IF($Q145=3,1,0),IF($X145&lt;30,1,0))</formula>
    </cfRule>
    <cfRule type="expression" dxfId="4204" priority="634">
      <formula>AND(IF($Q145=3,1,IF($Q145=4,1,0)),IF($F145&lt;=85,1,0))</formula>
    </cfRule>
  </conditionalFormatting>
  <conditionalFormatting sqref="AV146">
    <cfRule type="expression" dxfId="4203" priority="629">
      <formula>AV146="X"</formula>
    </cfRule>
    <cfRule type="expression" dxfId="4202" priority="630">
      <formula>AV146="후보"</formula>
    </cfRule>
  </conditionalFormatting>
  <conditionalFormatting sqref="AC146">
    <cfRule type="cellIs" dxfId="4201" priority="627" operator="greaterThan">
      <formula>0.9</formula>
    </cfRule>
    <cfRule type="cellIs" dxfId="4200" priority="628" operator="greaterThan">
      <formula>0.85</formula>
    </cfRule>
  </conditionalFormatting>
  <conditionalFormatting sqref="N146">
    <cfRule type="cellIs" dxfId="4199" priority="625" operator="greaterThan">
      <formula>0.9</formula>
    </cfRule>
    <cfRule type="cellIs" dxfId="4198" priority="626" operator="greaterThan">
      <formula>0.85</formula>
    </cfRule>
  </conditionalFormatting>
  <conditionalFormatting sqref="E146">
    <cfRule type="expression" dxfId="4197" priority="621">
      <formula>AND(IF(OR($Q146=1,$Q146=2),1,0),IF($X146&lt;=20,1,0))</formula>
    </cfRule>
    <cfRule type="expression" dxfId="4196" priority="622">
      <formula>AND(IF($Q146=2,1,0),IF($X146&lt;30,1,0))</formula>
    </cfRule>
    <cfRule type="expression" dxfId="4195" priority="623">
      <formula>AND(IF($Q146=3,1,0),IF($X146&lt;30,1,0))</formula>
    </cfRule>
    <cfRule type="expression" dxfId="4194" priority="624">
      <formula>AND(IF($Q146=3,1,IF($Q146=4,1,0)),IF($F146&lt;=85,1,0))</formula>
    </cfRule>
  </conditionalFormatting>
  <conditionalFormatting sqref="X146">
    <cfRule type="expression" dxfId="4193" priority="617">
      <formula>AND(IF(OR($Q146=1,$Q146=2),1,0),IF($X146&lt;=20,1,0))</formula>
    </cfRule>
    <cfRule type="expression" dxfId="4192" priority="618">
      <formula>AND(IF($Q146=2,1,0),IF($X146&lt;30,1,0))</formula>
    </cfRule>
    <cfRule type="expression" dxfId="4191" priority="619">
      <formula>AND(IF($Q146=3,1,0),IF($X146&lt;30,1,0))</formula>
    </cfRule>
    <cfRule type="expression" dxfId="4190" priority="620">
      <formula>AND(IF($Q146=3,1,IF($Q146=4,1,0)),IF($F146&lt;=85,1,0))</formula>
    </cfRule>
  </conditionalFormatting>
  <conditionalFormatting sqref="AI146">
    <cfRule type="expression" dxfId="4189" priority="613">
      <formula>AND(IF(OR($Q146=1,$Q146=2),1,0),IF($X146&lt;=20,1,0))</formula>
    </cfRule>
    <cfRule type="expression" dxfId="4188" priority="614">
      <formula>AND(IF($Q146=2,1,0),IF($X146&lt;30,1,0))</formula>
    </cfRule>
    <cfRule type="expression" dxfId="4187" priority="615">
      <formula>AND(IF($Q146=3,1,0),IF($X146&lt;30,1,0))</formula>
    </cfRule>
    <cfRule type="expression" dxfId="4186" priority="616">
      <formula>AND(IF($Q146=3,1,IF($Q146=4,1,0)),IF($F146&lt;=85,1,0))</formula>
    </cfRule>
  </conditionalFormatting>
  <conditionalFormatting sqref="AV147">
    <cfRule type="expression" dxfId="4185" priority="611">
      <formula>AV147="X"</formula>
    </cfRule>
    <cfRule type="expression" dxfId="4184" priority="612">
      <formula>AV147="후보"</formula>
    </cfRule>
  </conditionalFormatting>
  <conditionalFormatting sqref="AC147">
    <cfRule type="cellIs" dxfId="4183" priority="609" operator="greaterThan">
      <formula>0.9</formula>
    </cfRule>
    <cfRule type="cellIs" dxfId="4182" priority="610" operator="greaterThan">
      <formula>0.85</formula>
    </cfRule>
  </conditionalFormatting>
  <conditionalFormatting sqref="N147">
    <cfRule type="cellIs" dxfId="4181" priority="607" operator="greaterThan">
      <formula>0.9</formula>
    </cfRule>
    <cfRule type="cellIs" dxfId="4180" priority="608" operator="greaterThan">
      <formula>0.85</formula>
    </cfRule>
  </conditionalFormatting>
  <conditionalFormatting sqref="E147">
    <cfRule type="expression" dxfId="4179" priority="603">
      <formula>AND(IF(OR($Q147=1,$Q147=2),1,0),IF($X147&lt;=20,1,0))</formula>
    </cfRule>
    <cfRule type="expression" dxfId="4178" priority="604">
      <formula>AND(IF($Q147=2,1,0),IF($X147&lt;30,1,0))</formula>
    </cfRule>
    <cfRule type="expression" dxfId="4177" priority="605">
      <formula>AND(IF($Q147=3,1,0),IF($X147&lt;30,1,0))</formula>
    </cfRule>
    <cfRule type="expression" dxfId="4176" priority="606">
      <formula>AND(IF($Q147=3,1,IF($Q147=4,1,0)),IF($F147&lt;=85,1,0))</formula>
    </cfRule>
  </conditionalFormatting>
  <conditionalFormatting sqref="X147">
    <cfRule type="expression" dxfId="4175" priority="599">
      <formula>AND(IF(OR($Q147=1,$Q147=2),1,0),IF($X147&lt;=20,1,0))</formula>
    </cfRule>
    <cfRule type="expression" dxfId="4174" priority="600">
      <formula>AND(IF($Q147=2,1,0),IF($X147&lt;30,1,0))</formula>
    </cfRule>
    <cfRule type="expression" dxfId="4173" priority="601">
      <formula>AND(IF($Q147=3,1,0),IF($X147&lt;30,1,0))</formula>
    </cfRule>
    <cfRule type="expression" dxfId="4172" priority="602">
      <formula>AND(IF($Q147=3,1,IF($Q147=4,1,0)),IF($F147&lt;=85,1,0))</formula>
    </cfRule>
  </conditionalFormatting>
  <conditionalFormatting sqref="AI147">
    <cfRule type="expression" dxfId="4171" priority="595">
      <formula>AND(IF(OR($Q147=1,$Q147=2),1,0),IF($X147&lt;=20,1,0))</formula>
    </cfRule>
    <cfRule type="expression" dxfId="4170" priority="596">
      <formula>AND(IF($Q147=2,1,0),IF($X147&lt;30,1,0))</formula>
    </cfRule>
    <cfRule type="expression" dxfId="4169" priority="597">
      <formula>AND(IF($Q147=3,1,0),IF($X147&lt;30,1,0))</formula>
    </cfRule>
    <cfRule type="expression" dxfId="4168" priority="598">
      <formula>AND(IF($Q147=3,1,IF($Q147=4,1,0)),IF($F147&lt;=85,1,0))</formula>
    </cfRule>
  </conditionalFormatting>
  <conditionalFormatting sqref="AV148">
    <cfRule type="expression" dxfId="4167" priority="593">
      <formula>AV148="X"</formula>
    </cfRule>
    <cfRule type="expression" dxfId="4166" priority="594">
      <formula>AV148="후보"</formula>
    </cfRule>
  </conditionalFormatting>
  <conditionalFormatting sqref="AC148">
    <cfRule type="cellIs" dxfId="4165" priority="591" operator="greaterThan">
      <formula>0.9</formula>
    </cfRule>
    <cfRule type="cellIs" dxfId="4164" priority="592" operator="greaterThan">
      <formula>0.85</formula>
    </cfRule>
  </conditionalFormatting>
  <conditionalFormatting sqref="N148">
    <cfRule type="cellIs" dxfId="4163" priority="589" operator="greaterThan">
      <formula>0.9</formula>
    </cfRule>
    <cfRule type="cellIs" dxfId="4162" priority="590" operator="greaterThan">
      <formula>0.85</formula>
    </cfRule>
  </conditionalFormatting>
  <conditionalFormatting sqref="E148">
    <cfRule type="expression" dxfId="4161" priority="585">
      <formula>AND(IF(OR($Q148=1,$Q148=2),1,0),IF($X148&lt;=20,1,0))</formula>
    </cfRule>
    <cfRule type="expression" dxfId="4160" priority="586">
      <formula>AND(IF($Q148=2,1,0),IF($X148&lt;30,1,0))</formula>
    </cfRule>
    <cfRule type="expression" dxfId="4159" priority="587">
      <formula>AND(IF($Q148=3,1,0),IF($X148&lt;30,1,0))</formula>
    </cfRule>
    <cfRule type="expression" dxfId="4158" priority="588">
      <formula>AND(IF($Q148=3,1,IF($Q148=4,1,0)),IF($F148&lt;=85,1,0))</formula>
    </cfRule>
  </conditionalFormatting>
  <conditionalFormatting sqref="X148">
    <cfRule type="expression" dxfId="4157" priority="581">
      <formula>AND(IF(OR($Q148=1,$Q148=2),1,0),IF($X148&lt;=20,1,0))</formula>
    </cfRule>
    <cfRule type="expression" dxfId="4156" priority="582">
      <formula>AND(IF($Q148=2,1,0),IF($X148&lt;30,1,0))</formula>
    </cfRule>
    <cfRule type="expression" dxfId="4155" priority="583">
      <formula>AND(IF($Q148=3,1,0),IF($X148&lt;30,1,0))</formula>
    </cfRule>
    <cfRule type="expression" dxfId="4154" priority="584">
      <formula>AND(IF($Q148=3,1,IF($Q148=4,1,0)),IF($F148&lt;=85,1,0))</formula>
    </cfRule>
  </conditionalFormatting>
  <conditionalFormatting sqref="AI148">
    <cfRule type="expression" dxfId="4153" priority="577">
      <formula>AND(IF(OR($Q148=1,$Q148=2),1,0),IF($X148&lt;=20,1,0))</formula>
    </cfRule>
    <cfRule type="expression" dxfId="4152" priority="578">
      <formula>AND(IF($Q148=2,1,0),IF($X148&lt;30,1,0))</formula>
    </cfRule>
    <cfRule type="expression" dxfId="4151" priority="579">
      <formula>AND(IF($Q148=3,1,0),IF($X148&lt;30,1,0))</formula>
    </cfRule>
    <cfRule type="expression" dxfId="4150" priority="580">
      <formula>AND(IF($Q148=3,1,IF($Q148=4,1,0)),IF($F148&lt;=85,1,0))</formula>
    </cfRule>
  </conditionalFormatting>
  <conditionalFormatting sqref="AV149">
    <cfRule type="expression" dxfId="4149" priority="575">
      <formula>AV149="X"</formula>
    </cfRule>
    <cfRule type="expression" dxfId="4148" priority="576">
      <formula>AV149="후보"</formula>
    </cfRule>
  </conditionalFormatting>
  <conditionalFormatting sqref="AC149">
    <cfRule type="cellIs" dxfId="4147" priority="573" operator="greaterThan">
      <formula>0.9</formula>
    </cfRule>
    <cfRule type="cellIs" dxfId="4146" priority="574" operator="greaterThan">
      <formula>0.85</formula>
    </cfRule>
  </conditionalFormatting>
  <conditionalFormatting sqref="N149">
    <cfRule type="cellIs" dxfId="4145" priority="571" operator="greaterThan">
      <formula>0.9</formula>
    </cfRule>
    <cfRule type="cellIs" dxfId="4144" priority="572" operator="greaterThan">
      <formula>0.85</formula>
    </cfRule>
  </conditionalFormatting>
  <conditionalFormatting sqref="E149">
    <cfRule type="expression" dxfId="4143" priority="567">
      <formula>AND(IF(OR($Q149=1,$Q149=2),1,0),IF($X149&lt;=20,1,0))</formula>
    </cfRule>
    <cfRule type="expression" dxfId="4142" priority="568">
      <formula>AND(IF($Q149=2,1,0),IF($X149&lt;30,1,0))</formula>
    </cfRule>
    <cfRule type="expression" dxfId="4141" priority="569">
      <formula>AND(IF($Q149=3,1,0),IF($X149&lt;30,1,0))</formula>
    </cfRule>
    <cfRule type="expression" dxfId="4140" priority="570">
      <formula>AND(IF($Q149=3,1,IF($Q149=4,1,0)),IF($F149&lt;=85,1,0))</formula>
    </cfRule>
  </conditionalFormatting>
  <conditionalFormatting sqref="X149">
    <cfRule type="expression" dxfId="4139" priority="563">
      <formula>AND(IF(OR($Q149=1,$Q149=2),1,0),IF($X149&lt;=20,1,0))</formula>
    </cfRule>
    <cfRule type="expression" dxfId="4138" priority="564">
      <formula>AND(IF($Q149=2,1,0),IF($X149&lt;30,1,0))</formula>
    </cfRule>
    <cfRule type="expression" dxfId="4137" priority="565">
      <formula>AND(IF($Q149=3,1,0),IF($X149&lt;30,1,0))</formula>
    </cfRule>
    <cfRule type="expression" dxfId="4136" priority="566">
      <formula>AND(IF($Q149=3,1,IF($Q149=4,1,0)),IF($F149&lt;=85,1,0))</formula>
    </cfRule>
  </conditionalFormatting>
  <conditionalFormatting sqref="AI149">
    <cfRule type="expression" dxfId="4135" priority="559">
      <formula>AND(IF(OR($Q149=1,$Q149=2),1,0),IF($X149&lt;=20,1,0))</formula>
    </cfRule>
    <cfRule type="expression" dxfId="4134" priority="560">
      <formula>AND(IF($Q149=2,1,0),IF($X149&lt;30,1,0))</formula>
    </cfRule>
    <cfRule type="expression" dxfId="4133" priority="561">
      <formula>AND(IF($Q149=3,1,0),IF($X149&lt;30,1,0))</formula>
    </cfRule>
    <cfRule type="expression" dxfId="4132" priority="562">
      <formula>AND(IF($Q149=3,1,IF($Q149=4,1,0)),IF($F149&lt;=85,1,0))</formula>
    </cfRule>
  </conditionalFormatting>
  <conditionalFormatting sqref="AV150">
    <cfRule type="expression" dxfId="4131" priority="557">
      <formula>AV150="X"</formula>
    </cfRule>
    <cfRule type="expression" dxfId="4130" priority="558">
      <formula>AV150="후보"</formula>
    </cfRule>
  </conditionalFormatting>
  <conditionalFormatting sqref="AC150">
    <cfRule type="cellIs" dxfId="4129" priority="555" operator="greaterThan">
      <formula>0.9</formula>
    </cfRule>
    <cfRule type="cellIs" dxfId="4128" priority="556" operator="greaterThan">
      <formula>0.85</formula>
    </cfRule>
  </conditionalFormatting>
  <conditionalFormatting sqref="N150">
    <cfRule type="cellIs" dxfId="4127" priority="553" operator="greaterThan">
      <formula>0.9</formula>
    </cfRule>
    <cfRule type="cellIs" dxfId="4126" priority="554" operator="greaterThan">
      <formula>0.85</formula>
    </cfRule>
  </conditionalFormatting>
  <conditionalFormatting sqref="E150">
    <cfRule type="expression" dxfId="4125" priority="549">
      <formula>AND(IF(OR($Q150=1,$Q150=2),1,0),IF($X150&lt;=20,1,0))</formula>
    </cfRule>
    <cfRule type="expression" dxfId="4124" priority="550">
      <formula>AND(IF($Q150=2,1,0),IF($X150&lt;30,1,0))</formula>
    </cfRule>
    <cfRule type="expression" dxfId="4123" priority="551">
      <formula>AND(IF($Q150=3,1,0),IF($X150&lt;30,1,0))</formula>
    </cfRule>
    <cfRule type="expression" dxfId="4122" priority="552">
      <formula>AND(IF($Q150=3,1,IF($Q150=4,1,0)),IF($F150&lt;=85,1,0))</formula>
    </cfRule>
  </conditionalFormatting>
  <conditionalFormatting sqref="X150">
    <cfRule type="expression" dxfId="4121" priority="545">
      <formula>AND(IF(OR($Q150=1,$Q150=2),1,0),IF($X150&lt;=20,1,0))</formula>
    </cfRule>
    <cfRule type="expression" dxfId="4120" priority="546">
      <formula>AND(IF($Q150=2,1,0),IF($X150&lt;30,1,0))</formula>
    </cfRule>
    <cfRule type="expression" dxfId="4119" priority="547">
      <formula>AND(IF($Q150=3,1,0),IF($X150&lt;30,1,0))</formula>
    </cfRule>
    <cfRule type="expression" dxfId="4118" priority="548">
      <formula>AND(IF($Q150=3,1,IF($Q150=4,1,0)),IF($F150&lt;=85,1,0))</formula>
    </cfRule>
  </conditionalFormatting>
  <conditionalFormatting sqref="AI150">
    <cfRule type="expression" dxfId="4117" priority="541">
      <formula>AND(IF(OR($Q150=1,$Q150=2),1,0),IF($X150&lt;=20,1,0))</formula>
    </cfRule>
    <cfRule type="expression" dxfId="4116" priority="542">
      <formula>AND(IF($Q150=2,1,0),IF($X150&lt;30,1,0))</formula>
    </cfRule>
    <cfRule type="expression" dxfId="4115" priority="543">
      <formula>AND(IF($Q150=3,1,0),IF($X150&lt;30,1,0))</formula>
    </cfRule>
    <cfRule type="expression" dxfId="4114" priority="544">
      <formula>AND(IF($Q150=3,1,IF($Q150=4,1,0)),IF($F150&lt;=85,1,0))</formula>
    </cfRule>
  </conditionalFormatting>
  <conditionalFormatting sqref="AV151">
    <cfRule type="expression" dxfId="4113" priority="539">
      <formula>AV151="X"</formula>
    </cfRule>
    <cfRule type="expression" dxfId="4112" priority="540">
      <formula>AV151="후보"</formula>
    </cfRule>
  </conditionalFormatting>
  <conditionalFormatting sqref="AC151">
    <cfRule type="cellIs" dxfId="4111" priority="537" operator="greaterThan">
      <formula>0.9</formula>
    </cfRule>
    <cfRule type="cellIs" dxfId="4110" priority="538" operator="greaterThan">
      <formula>0.85</formula>
    </cfRule>
  </conditionalFormatting>
  <conditionalFormatting sqref="N151">
    <cfRule type="cellIs" dxfId="4109" priority="535" operator="greaterThan">
      <formula>0.9</formula>
    </cfRule>
    <cfRule type="cellIs" dxfId="4108" priority="536" operator="greaterThan">
      <formula>0.85</formula>
    </cfRule>
  </conditionalFormatting>
  <conditionalFormatting sqref="E151">
    <cfRule type="expression" dxfId="4107" priority="531">
      <formula>AND(IF(OR($Q151=1,$Q151=2),1,0),IF($X151&lt;=20,1,0))</formula>
    </cfRule>
    <cfRule type="expression" dxfId="4106" priority="532">
      <formula>AND(IF($Q151=2,1,0),IF($X151&lt;30,1,0))</formula>
    </cfRule>
    <cfRule type="expression" dxfId="4105" priority="533">
      <formula>AND(IF($Q151=3,1,0),IF($X151&lt;30,1,0))</formula>
    </cfRule>
    <cfRule type="expression" dxfId="4104" priority="534">
      <formula>AND(IF($Q151=3,1,IF($Q151=4,1,0)),IF($F151&lt;=85,1,0))</formula>
    </cfRule>
  </conditionalFormatting>
  <conditionalFormatting sqref="X151">
    <cfRule type="expression" dxfId="4103" priority="527">
      <formula>AND(IF(OR($Q151=1,$Q151=2),1,0),IF($X151&lt;=20,1,0))</formula>
    </cfRule>
    <cfRule type="expression" dxfId="4102" priority="528">
      <formula>AND(IF($Q151=2,1,0),IF($X151&lt;30,1,0))</formula>
    </cfRule>
    <cfRule type="expression" dxfId="4101" priority="529">
      <formula>AND(IF($Q151=3,1,0),IF($X151&lt;30,1,0))</formula>
    </cfRule>
    <cfRule type="expression" dxfId="4100" priority="530">
      <formula>AND(IF($Q151=3,1,IF($Q151=4,1,0)),IF($F151&lt;=85,1,0))</formula>
    </cfRule>
  </conditionalFormatting>
  <conditionalFormatting sqref="AI151">
    <cfRule type="expression" dxfId="4099" priority="523">
      <formula>AND(IF(OR($Q151=1,$Q151=2),1,0),IF($X151&lt;=20,1,0))</formula>
    </cfRule>
    <cfRule type="expression" dxfId="4098" priority="524">
      <formula>AND(IF($Q151=2,1,0),IF($X151&lt;30,1,0))</formula>
    </cfRule>
    <cfRule type="expression" dxfId="4097" priority="525">
      <formula>AND(IF($Q151=3,1,0),IF($X151&lt;30,1,0))</formula>
    </cfRule>
    <cfRule type="expression" dxfId="4096" priority="526">
      <formula>AND(IF($Q151=3,1,IF($Q151=4,1,0)),IF($F151&lt;=85,1,0))</formula>
    </cfRule>
  </conditionalFormatting>
  <conditionalFormatting sqref="AV152">
    <cfRule type="expression" dxfId="4095" priority="521">
      <formula>AV152="X"</formula>
    </cfRule>
    <cfRule type="expression" dxfId="4094" priority="522">
      <formula>AV152="후보"</formula>
    </cfRule>
  </conditionalFormatting>
  <conditionalFormatting sqref="AC152">
    <cfRule type="cellIs" dxfId="4093" priority="519" operator="greaterThan">
      <formula>0.9</formula>
    </cfRule>
    <cfRule type="cellIs" dxfId="4092" priority="520" operator="greaterThan">
      <formula>0.85</formula>
    </cfRule>
  </conditionalFormatting>
  <conditionalFormatting sqref="N152">
    <cfRule type="cellIs" dxfId="4091" priority="517" operator="greaterThan">
      <formula>0.9</formula>
    </cfRule>
    <cfRule type="cellIs" dxfId="4090" priority="518" operator="greaterThan">
      <formula>0.85</formula>
    </cfRule>
  </conditionalFormatting>
  <conditionalFormatting sqref="E152">
    <cfRule type="expression" dxfId="4089" priority="513">
      <formula>AND(IF(OR($Q152=1,$Q152=2),1,0),IF($X152&lt;=20,1,0))</formula>
    </cfRule>
    <cfRule type="expression" dxfId="4088" priority="514">
      <formula>AND(IF($Q152=2,1,0),IF($X152&lt;30,1,0))</formula>
    </cfRule>
    <cfRule type="expression" dxfId="4087" priority="515">
      <formula>AND(IF($Q152=3,1,0),IF($X152&lt;30,1,0))</formula>
    </cfRule>
    <cfRule type="expression" dxfId="4086" priority="516">
      <formula>AND(IF($Q152=3,1,IF($Q152=4,1,0)),IF($F152&lt;=85,1,0))</formula>
    </cfRule>
  </conditionalFormatting>
  <conditionalFormatting sqref="X152">
    <cfRule type="expression" dxfId="4085" priority="509">
      <formula>AND(IF(OR($Q152=1,$Q152=2),1,0),IF($X152&lt;=20,1,0))</formula>
    </cfRule>
    <cfRule type="expression" dxfId="4084" priority="510">
      <formula>AND(IF($Q152=2,1,0),IF($X152&lt;30,1,0))</formula>
    </cfRule>
    <cfRule type="expression" dxfId="4083" priority="511">
      <formula>AND(IF($Q152=3,1,0),IF($X152&lt;30,1,0))</formula>
    </cfRule>
    <cfRule type="expression" dxfId="4082" priority="512">
      <formula>AND(IF($Q152=3,1,IF($Q152=4,1,0)),IF($F152&lt;=85,1,0))</formula>
    </cfRule>
  </conditionalFormatting>
  <conditionalFormatting sqref="AI152">
    <cfRule type="expression" dxfId="4081" priority="505">
      <formula>AND(IF(OR($Q152=1,$Q152=2),1,0),IF($X152&lt;=20,1,0))</formula>
    </cfRule>
    <cfRule type="expression" dxfId="4080" priority="506">
      <formula>AND(IF($Q152=2,1,0),IF($X152&lt;30,1,0))</formula>
    </cfRule>
    <cfRule type="expression" dxfId="4079" priority="507">
      <formula>AND(IF($Q152=3,1,0),IF($X152&lt;30,1,0))</formula>
    </cfRule>
    <cfRule type="expression" dxfId="4078" priority="508">
      <formula>AND(IF($Q152=3,1,IF($Q152=4,1,0)),IF($F152&lt;=85,1,0))</formula>
    </cfRule>
  </conditionalFormatting>
  <conditionalFormatting sqref="AV153">
    <cfRule type="expression" dxfId="4077" priority="503">
      <formula>AV153="X"</formula>
    </cfRule>
    <cfRule type="expression" dxfId="4076" priority="504">
      <formula>AV153="후보"</formula>
    </cfRule>
  </conditionalFormatting>
  <conditionalFormatting sqref="AC153">
    <cfRule type="cellIs" dxfId="4075" priority="501" operator="greaterThan">
      <formula>0.9</formula>
    </cfRule>
    <cfRule type="cellIs" dxfId="4074" priority="502" operator="greaterThan">
      <formula>0.85</formula>
    </cfRule>
  </conditionalFormatting>
  <conditionalFormatting sqref="N153">
    <cfRule type="cellIs" dxfId="4073" priority="499" operator="greaterThan">
      <formula>0.9</formula>
    </cfRule>
    <cfRule type="cellIs" dxfId="4072" priority="500" operator="greaterThan">
      <formula>0.85</formula>
    </cfRule>
  </conditionalFormatting>
  <conditionalFormatting sqref="E153">
    <cfRule type="expression" dxfId="4071" priority="495">
      <formula>AND(IF(OR($Q153=1,$Q153=2),1,0),IF($X153&lt;=20,1,0))</formula>
    </cfRule>
    <cfRule type="expression" dxfId="4070" priority="496">
      <formula>AND(IF($Q153=2,1,0),IF($X153&lt;30,1,0))</formula>
    </cfRule>
    <cfRule type="expression" dxfId="4069" priority="497">
      <formula>AND(IF($Q153=3,1,0),IF($X153&lt;30,1,0))</formula>
    </cfRule>
    <cfRule type="expression" dxfId="4068" priority="498">
      <formula>AND(IF($Q153=3,1,IF($Q153=4,1,0)),IF($F153&lt;=85,1,0))</formula>
    </cfRule>
  </conditionalFormatting>
  <conditionalFormatting sqref="X153">
    <cfRule type="expression" dxfId="4067" priority="491">
      <formula>AND(IF(OR($Q153=1,$Q153=2),1,0),IF($X153&lt;=20,1,0))</formula>
    </cfRule>
    <cfRule type="expression" dxfId="4066" priority="492">
      <formula>AND(IF($Q153=2,1,0),IF($X153&lt;30,1,0))</formula>
    </cfRule>
    <cfRule type="expression" dxfId="4065" priority="493">
      <formula>AND(IF($Q153=3,1,0),IF($X153&lt;30,1,0))</formula>
    </cfRule>
    <cfRule type="expression" dxfId="4064" priority="494">
      <formula>AND(IF($Q153=3,1,IF($Q153=4,1,0)),IF($F153&lt;=85,1,0))</formula>
    </cfRule>
  </conditionalFormatting>
  <conditionalFormatting sqref="AI153">
    <cfRule type="expression" dxfId="4063" priority="487">
      <formula>AND(IF(OR($Q153=1,$Q153=2),1,0),IF($X153&lt;=20,1,0))</formula>
    </cfRule>
    <cfRule type="expression" dxfId="4062" priority="488">
      <formula>AND(IF($Q153=2,1,0),IF($X153&lt;30,1,0))</formula>
    </cfRule>
    <cfRule type="expression" dxfId="4061" priority="489">
      <formula>AND(IF($Q153=3,1,0),IF($X153&lt;30,1,0))</formula>
    </cfRule>
    <cfRule type="expression" dxfId="4060" priority="490">
      <formula>AND(IF($Q153=3,1,IF($Q153=4,1,0)),IF($F153&lt;=85,1,0))</formula>
    </cfRule>
  </conditionalFormatting>
  <conditionalFormatting sqref="AV154">
    <cfRule type="expression" dxfId="4059" priority="485">
      <formula>AV154="X"</formula>
    </cfRule>
    <cfRule type="expression" dxfId="4058" priority="486">
      <formula>AV154="후보"</formula>
    </cfRule>
  </conditionalFormatting>
  <conditionalFormatting sqref="AC154">
    <cfRule type="cellIs" dxfId="4057" priority="483" operator="greaterThan">
      <formula>0.9</formula>
    </cfRule>
    <cfRule type="cellIs" dxfId="4056" priority="484" operator="greaterThan">
      <formula>0.85</formula>
    </cfRule>
  </conditionalFormatting>
  <conditionalFormatting sqref="N154">
    <cfRule type="cellIs" dxfId="4055" priority="481" operator="greaterThan">
      <formula>0.9</formula>
    </cfRule>
    <cfRule type="cellIs" dxfId="4054" priority="482" operator="greaterThan">
      <formula>0.85</formula>
    </cfRule>
  </conditionalFormatting>
  <conditionalFormatting sqref="E154">
    <cfRule type="expression" dxfId="4053" priority="477">
      <formula>AND(IF(OR($Q154=1,$Q154=2),1,0),IF($X154&lt;=20,1,0))</formula>
    </cfRule>
    <cfRule type="expression" dxfId="4052" priority="478">
      <formula>AND(IF($Q154=2,1,0),IF($X154&lt;30,1,0))</formula>
    </cfRule>
    <cfRule type="expression" dxfId="4051" priority="479">
      <formula>AND(IF($Q154=3,1,0),IF($X154&lt;30,1,0))</formula>
    </cfRule>
    <cfRule type="expression" dxfId="4050" priority="480">
      <formula>AND(IF($Q154=3,1,IF($Q154=4,1,0)),IF($F154&lt;=85,1,0))</formula>
    </cfRule>
  </conditionalFormatting>
  <conditionalFormatting sqref="X154">
    <cfRule type="expression" dxfId="4049" priority="473">
      <formula>AND(IF(OR($Q154=1,$Q154=2),1,0),IF($X154&lt;=20,1,0))</formula>
    </cfRule>
    <cfRule type="expression" dxfId="4048" priority="474">
      <formula>AND(IF($Q154=2,1,0),IF($X154&lt;30,1,0))</formula>
    </cfRule>
    <cfRule type="expression" dxfId="4047" priority="475">
      <formula>AND(IF($Q154=3,1,0),IF($X154&lt;30,1,0))</formula>
    </cfRule>
    <cfRule type="expression" dxfId="4046" priority="476">
      <formula>AND(IF($Q154=3,1,IF($Q154=4,1,0)),IF($F154&lt;=85,1,0))</formula>
    </cfRule>
  </conditionalFormatting>
  <conditionalFormatting sqref="AI154">
    <cfRule type="expression" dxfId="4045" priority="469">
      <formula>AND(IF(OR($Q154=1,$Q154=2),1,0),IF($X154&lt;=20,1,0))</formula>
    </cfRule>
    <cfRule type="expression" dxfId="4044" priority="470">
      <formula>AND(IF($Q154=2,1,0),IF($X154&lt;30,1,0))</formula>
    </cfRule>
    <cfRule type="expression" dxfId="4043" priority="471">
      <formula>AND(IF($Q154=3,1,0),IF($X154&lt;30,1,0))</formula>
    </cfRule>
    <cfRule type="expression" dxfId="4042" priority="472">
      <formula>AND(IF($Q154=3,1,IF($Q154=4,1,0)),IF($F154&lt;=85,1,0))</formula>
    </cfRule>
  </conditionalFormatting>
  <conditionalFormatting sqref="AV155">
    <cfRule type="expression" dxfId="4041" priority="467">
      <formula>AV155="X"</formula>
    </cfRule>
    <cfRule type="expression" dxfId="4040" priority="468">
      <formula>AV155="후보"</formula>
    </cfRule>
  </conditionalFormatting>
  <conditionalFormatting sqref="AC155">
    <cfRule type="cellIs" dxfId="4039" priority="465" operator="greaterThan">
      <formula>0.9</formula>
    </cfRule>
    <cfRule type="cellIs" dxfId="4038" priority="466" operator="greaterThan">
      <formula>0.85</formula>
    </cfRule>
  </conditionalFormatting>
  <conditionalFormatting sqref="N155">
    <cfRule type="cellIs" dxfId="4037" priority="463" operator="greaterThan">
      <formula>0.9</formula>
    </cfRule>
    <cfRule type="cellIs" dxfId="4036" priority="464" operator="greaterThan">
      <formula>0.85</formula>
    </cfRule>
  </conditionalFormatting>
  <conditionalFormatting sqref="E155">
    <cfRule type="expression" dxfId="4035" priority="459">
      <formula>AND(IF(OR($Q155=1,$Q155=2),1,0),IF($X155&lt;=20,1,0))</formula>
    </cfRule>
    <cfRule type="expression" dxfId="4034" priority="460">
      <formula>AND(IF($Q155=2,1,0),IF($X155&lt;30,1,0))</formula>
    </cfRule>
    <cfRule type="expression" dxfId="4033" priority="461">
      <formula>AND(IF($Q155=3,1,0),IF($X155&lt;30,1,0))</formula>
    </cfRule>
    <cfRule type="expression" dxfId="4032" priority="462">
      <formula>AND(IF($Q155=3,1,IF($Q155=4,1,0)),IF($F155&lt;=85,1,0))</formula>
    </cfRule>
  </conditionalFormatting>
  <conditionalFormatting sqref="X155">
    <cfRule type="expression" dxfId="4031" priority="455">
      <formula>AND(IF(OR($Q155=1,$Q155=2),1,0),IF($X155&lt;=20,1,0))</formula>
    </cfRule>
    <cfRule type="expression" dxfId="4030" priority="456">
      <formula>AND(IF($Q155=2,1,0),IF($X155&lt;30,1,0))</formula>
    </cfRule>
    <cfRule type="expression" dxfId="4029" priority="457">
      <formula>AND(IF($Q155=3,1,0),IF($X155&lt;30,1,0))</formula>
    </cfRule>
    <cfRule type="expression" dxfId="4028" priority="458">
      <formula>AND(IF($Q155=3,1,IF($Q155=4,1,0)),IF($F155&lt;=85,1,0))</formula>
    </cfRule>
  </conditionalFormatting>
  <conditionalFormatting sqref="AI155">
    <cfRule type="expression" dxfId="4027" priority="451">
      <formula>AND(IF(OR($Q155=1,$Q155=2),1,0),IF($X155&lt;=20,1,0))</formula>
    </cfRule>
    <cfRule type="expression" dxfId="4026" priority="452">
      <formula>AND(IF($Q155=2,1,0),IF($X155&lt;30,1,0))</formula>
    </cfRule>
    <cfRule type="expression" dxfId="4025" priority="453">
      <formula>AND(IF($Q155=3,1,0),IF($X155&lt;30,1,0))</formula>
    </cfRule>
    <cfRule type="expression" dxfId="4024" priority="454">
      <formula>AND(IF($Q155=3,1,IF($Q155=4,1,0)),IF($F155&lt;=85,1,0))</formula>
    </cfRule>
  </conditionalFormatting>
  <conditionalFormatting sqref="AV156">
    <cfRule type="expression" dxfId="4023" priority="449">
      <formula>AV156="X"</formula>
    </cfRule>
    <cfRule type="expression" dxfId="4022" priority="450">
      <formula>AV156="후보"</formula>
    </cfRule>
  </conditionalFormatting>
  <conditionalFormatting sqref="AC156">
    <cfRule type="cellIs" dxfId="4021" priority="447" operator="greaterThan">
      <formula>0.9</formula>
    </cfRule>
    <cfRule type="cellIs" dxfId="4020" priority="448" operator="greaterThan">
      <formula>0.85</formula>
    </cfRule>
  </conditionalFormatting>
  <conditionalFormatting sqref="N156">
    <cfRule type="cellIs" dxfId="4019" priority="445" operator="greaterThan">
      <formula>0.9</formula>
    </cfRule>
    <cfRule type="cellIs" dxfId="4018" priority="446" operator="greaterThan">
      <formula>0.85</formula>
    </cfRule>
  </conditionalFormatting>
  <conditionalFormatting sqref="E156">
    <cfRule type="expression" dxfId="4017" priority="441">
      <formula>AND(IF(OR($Q156=1,$Q156=2),1,0),IF($X156&lt;=20,1,0))</formula>
    </cfRule>
    <cfRule type="expression" dxfId="4016" priority="442">
      <formula>AND(IF($Q156=2,1,0),IF($X156&lt;30,1,0))</formula>
    </cfRule>
    <cfRule type="expression" dxfId="4015" priority="443">
      <formula>AND(IF($Q156=3,1,0),IF($X156&lt;30,1,0))</formula>
    </cfRule>
    <cfRule type="expression" dxfId="4014" priority="444">
      <formula>AND(IF($Q156=3,1,IF($Q156=4,1,0)),IF($F156&lt;=85,1,0))</formula>
    </cfRule>
  </conditionalFormatting>
  <conditionalFormatting sqref="X156">
    <cfRule type="expression" dxfId="4013" priority="437">
      <formula>AND(IF(OR($Q156=1,$Q156=2),1,0),IF($X156&lt;=20,1,0))</formula>
    </cfRule>
    <cfRule type="expression" dxfId="4012" priority="438">
      <formula>AND(IF($Q156=2,1,0),IF($X156&lt;30,1,0))</formula>
    </cfRule>
    <cfRule type="expression" dxfId="4011" priority="439">
      <formula>AND(IF($Q156=3,1,0),IF($X156&lt;30,1,0))</formula>
    </cfRule>
    <cfRule type="expression" dxfId="4010" priority="440">
      <formula>AND(IF($Q156=3,1,IF($Q156=4,1,0)),IF($F156&lt;=85,1,0))</formula>
    </cfRule>
  </conditionalFormatting>
  <conditionalFormatting sqref="AI156">
    <cfRule type="expression" dxfId="4009" priority="433">
      <formula>AND(IF(OR($Q156=1,$Q156=2),1,0),IF($X156&lt;=20,1,0))</formula>
    </cfRule>
    <cfRule type="expression" dxfId="4008" priority="434">
      <formula>AND(IF($Q156=2,1,0),IF($X156&lt;30,1,0))</formula>
    </cfRule>
    <cfRule type="expression" dxfId="4007" priority="435">
      <formula>AND(IF($Q156=3,1,0),IF($X156&lt;30,1,0))</formula>
    </cfRule>
    <cfRule type="expression" dxfId="4006" priority="436">
      <formula>AND(IF($Q156=3,1,IF($Q156=4,1,0)),IF($F156&lt;=85,1,0))</formula>
    </cfRule>
  </conditionalFormatting>
  <conditionalFormatting sqref="AV157">
    <cfRule type="expression" dxfId="4005" priority="431">
      <formula>AV157="X"</formula>
    </cfRule>
    <cfRule type="expression" dxfId="4004" priority="432">
      <formula>AV157="후보"</formula>
    </cfRule>
  </conditionalFormatting>
  <conditionalFormatting sqref="AC157">
    <cfRule type="cellIs" dxfId="4003" priority="429" operator="greaterThan">
      <formula>0.9</formula>
    </cfRule>
    <cfRule type="cellIs" dxfId="4002" priority="430" operator="greaterThan">
      <formula>0.85</formula>
    </cfRule>
  </conditionalFormatting>
  <conditionalFormatting sqref="N157">
    <cfRule type="cellIs" dxfId="4001" priority="427" operator="greaterThan">
      <formula>0.9</formula>
    </cfRule>
    <cfRule type="cellIs" dxfId="4000" priority="428" operator="greaterThan">
      <formula>0.85</formula>
    </cfRule>
  </conditionalFormatting>
  <conditionalFormatting sqref="E157">
    <cfRule type="expression" dxfId="3999" priority="423">
      <formula>AND(IF(OR($Q157=1,$Q157=2),1,0),IF($X157&lt;=20,1,0))</formula>
    </cfRule>
    <cfRule type="expression" dxfId="3998" priority="424">
      <formula>AND(IF($Q157=2,1,0),IF($X157&lt;30,1,0))</formula>
    </cfRule>
    <cfRule type="expression" dxfId="3997" priority="425">
      <formula>AND(IF($Q157=3,1,0),IF($X157&lt;30,1,0))</formula>
    </cfRule>
    <cfRule type="expression" dxfId="3996" priority="426">
      <formula>AND(IF($Q157=3,1,IF($Q157=4,1,0)),IF($F157&lt;=85,1,0))</formula>
    </cfRule>
  </conditionalFormatting>
  <conditionalFormatting sqref="X157">
    <cfRule type="expression" dxfId="3995" priority="419">
      <formula>AND(IF(OR($Q157=1,$Q157=2),1,0),IF($X157&lt;=20,1,0))</formula>
    </cfRule>
    <cfRule type="expression" dxfId="3994" priority="420">
      <formula>AND(IF($Q157=2,1,0),IF($X157&lt;30,1,0))</formula>
    </cfRule>
    <cfRule type="expression" dxfId="3993" priority="421">
      <formula>AND(IF($Q157=3,1,0),IF($X157&lt;30,1,0))</formula>
    </cfRule>
    <cfRule type="expression" dxfId="3992" priority="422">
      <formula>AND(IF($Q157=3,1,IF($Q157=4,1,0)),IF($F157&lt;=85,1,0))</formula>
    </cfRule>
  </conditionalFormatting>
  <conditionalFormatting sqref="AI157">
    <cfRule type="expression" dxfId="3991" priority="415">
      <formula>AND(IF(OR($Q157=1,$Q157=2),1,0),IF($X157&lt;=20,1,0))</formula>
    </cfRule>
    <cfRule type="expression" dxfId="3990" priority="416">
      <formula>AND(IF($Q157=2,1,0),IF($X157&lt;30,1,0))</formula>
    </cfRule>
    <cfRule type="expression" dxfId="3989" priority="417">
      <formula>AND(IF($Q157=3,1,0),IF($X157&lt;30,1,0))</formula>
    </cfRule>
    <cfRule type="expression" dxfId="3988" priority="418">
      <formula>AND(IF($Q157=3,1,IF($Q157=4,1,0)),IF($F157&lt;=85,1,0))</formula>
    </cfRule>
  </conditionalFormatting>
  <conditionalFormatting sqref="AV158">
    <cfRule type="expression" dxfId="3987" priority="413">
      <formula>AV158="X"</formula>
    </cfRule>
    <cfRule type="expression" dxfId="3986" priority="414">
      <formula>AV158="후보"</formula>
    </cfRule>
  </conditionalFormatting>
  <conditionalFormatting sqref="AC158">
    <cfRule type="cellIs" dxfId="3985" priority="411" operator="greaterThan">
      <formula>0.9</formula>
    </cfRule>
    <cfRule type="cellIs" dxfId="3984" priority="412" operator="greaterThan">
      <formula>0.85</formula>
    </cfRule>
  </conditionalFormatting>
  <conditionalFormatting sqref="N158">
    <cfRule type="cellIs" dxfId="3983" priority="409" operator="greaterThan">
      <formula>0.9</formula>
    </cfRule>
    <cfRule type="cellIs" dxfId="3982" priority="410" operator="greaterThan">
      <formula>0.85</formula>
    </cfRule>
  </conditionalFormatting>
  <conditionalFormatting sqref="E158">
    <cfRule type="expression" dxfId="3981" priority="405">
      <formula>AND(IF(OR($Q158=1,$Q158=2),1,0),IF($X158&lt;=20,1,0))</formula>
    </cfRule>
    <cfRule type="expression" dxfId="3980" priority="406">
      <formula>AND(IF($Q158=2,1,0),IF($X158&lt;30,1,0))</formula>
    </cfRule>
    <cfRule type="expression" dxfId="3979" priority="407">
      <formula>AND(IF($Q158=3,1,0),IF($X158&lt;30,1,0))</formula>
    </cfRule>
    <cfRule type="expression" dxfId="3978" priority="408">
      <formula>AND(IF($Q158=3,1,IF($Q158=4,1,0)),IF($F158&lt;=85,1,0))</formula>
    </cfRule>
  </conditionalFormatting>
  <conditionalFormatting sqref="X158">
    <cfRule type="expression" dxfId="3977" priority="401">
      <formula>AND(IF(OR($Q158=1,$Q158=2),1,0),IF($X158&lt;=20,1,0))</formula>
    </cfRule>
    <cfRule type="expression" dxfId="3976" priority="402">
      <formula>AND(IF($Q158=2,1,0),IF($X158&lt;30,1,0))</formula>
    </cfRule>
    <cfRule type="expression" dxfId="3975" priority="403">
      <formula>AND(IF($Q158=3,1,0),IF($X158&lt;30,1,0))</formula>
    </cfRule>
    <cfRule type="expression" dxfId="3974" priority="404">
      <formula>AND(IF($Q158=3,1,IF($Q158=4,1,0)),IF($F158&lt;=85,1,0))</formula>
    </cfRule>
  </conditionalFormatting>
  <conditionalFormatting sqref="AI158">
    <cfRule type="expression" dxfId="3973" priority="397">
      <formula>AND(IF(OR($Q158=1,$Q158=2),1,0),IF($X158&lt;=20,1,0))</formula>
    </cfRule>
    <cfRule type="expression" dxfId="3972" priority="398">
      <formula>AND(IF($Q158=2,1,0),IF($X158&lt;30,1,0))</formula>
    </cfRule>
    <cfRule type="expression" dxfId="3971" priority="399">
      <formula>AND(IF($Q158=3,1,0),IF($X158&lt;30,1,0))</formula>
    </cfRule>
    <cfRule type="expression" dxfId="3970" priority="400">
      <formula>AND(IF($Q158=3,1,IF($Q158=4,1,0)),IF($F158&lt;=85,1,0))</formula>
    </cfRule>
  </conditionalFormatting>
  <conditionalFormatting sqref="AV159">
    <cfRule type="expression" dxfId="3969" priority="395">
      <formula>AV159="X"</formula>
    </cfRule>
    <cfRule type="expression" dxfId="3968" priority="396">
      <formula>AV159="후보"</formula>
    </cfRule>
  </conditionalFormatting>
  <conditionalFormatting sqref="AC159">
    <cfRule type="cellIs" dxfId="3967" priority="393" operator="greaterThan">
      <formula>0.9</formula>
    </cfRule>
    <cfRule type="cellIs" dxfId="3966" priority="394" operator="greaterThan">
      <formula>0.85</formula>
    </cfRule>
  </conditionalFormatting>
  <conditionalFormatting sqref="N159">
    <cfRule type="cellIs" dxfId="3965" priority="391" operator="greaterThan">
      <formula>0.9</formula>
    </cfRule>
    <cfRule type="cellIs" dxfId="3964" priority="392" operator="greaterThan">
      <formula>0.85</formula>
    </cfRule>
  </conditionalFormatting>
  <conditionalFormatting sqref="E159">
    <cfRule type="expression" dxfId="3963" priority="387">
      <formula>AND(IF(OR($Q159=1,$Q159=2),1,0),IF($X159&lt;=20,1,0))</formula>
    </cfRule>
    <cfRule type="expression" dxfId="3962" priority="388">
      <formula>AND(IF($Q159=2,1,0),IF($X159&lt;30,1,0))</formula>
    </cfRule>
    <cfRule type="expression" dxfId="3961" priority="389">
      <formula>AND(IF($Q159=3,1,0),IF($X159&lt;30,1,0))</formula>
    </cfRule>
    <cfRule type="expression" dxfId="3960" priority="390">
      <formula>AND(IF($Q159=3,1,IF($Q159=4,1,0)),IF($F159&lt;=85,1,0))</formula>
    </cfRule>
  </conditionalFormatting>
  <conditionalFormatting sqref="X159">
    <cfRule type="expression" dxfId="3959" priority="383">
      <formula>AND(IF(OR($Q159=1,$Q159=2),1,0),IF($X159&lt;=20,1,0))</formula>
    </cfRule>
    <cfRule type="expression" dxfId="3958" priority="384">
      <formula>AND(IF($Q159=2,1,0),IF($X159&lt;30,1,0))</formula>
    </cfRule>
    <cfRule type="expression" dxfId="3957" priority="385">
      <formula>AND(IF($Q159=3,1,0),IF($X159&lt;30,1,0))</formula>
    </cfRule>
    <cfRule type="expression" dxfId="3956" priority="386">
      <formula>AND(IF($Q159=3,1,IF($Q159=4,1,0)),IF($F159&lt;=85,1,0))</formula>
    </cfRule>
  </conditionalFormatting>
  <conditionalFormatting sqref="AI159">
    <cfRule type="expression" dxfId="3955" priority="379">
      <formula>AND(IF(OR($Q159=1,$Q159=2),1,0),IF($X159&lt;=20,1,0))</formula>
    </cfRule>
    <cfRule type="expression" dxfId="3954" priority="380">
      <formula>AND(IF($Q159=2,1,0),IF($X159&lt;30,1,0))</formula>
    </cfRule>
    <cfRule type="expression" dxfId="3953" priority="381">
      <formula>AND(IF($Q159=3,1,0),IF($X159&lt;30,1,0))</formula>
    </cfRule>
    <cfRule type="expression" dxfId="3952" priority="382">
      <formula>AND(IF($Q159=3,1,IF($Q159=4,1,0)),IF($F159&lt;=85,1,0))</formula>
    </cfRule>
  </conditionalFormatting>
  <conditionalFormatting sqref="AV160">
    <cfRule type="expression" dxfId="3951" priority="377">
      <formula>AV160="X"</formula>
    </cfRule>
    <cfRule type="expression" dxfId="3950" priority="378">
      <formula>AV160="후보"</formula>
    </cfRule>
  </conditionalFormatting>
  <conditionalFormatting sqref="AC160">
    <cfRule type="cellIs" dxfId="3949" priority="375" operator="greaterThan">
      <formula>0.9</formula>
    </cfRule>
    <cfRule type="cellIs" dxfId="3948" priority="376" operator="greaterThan">
      <formula>0.85</formula>
    </cfRule>
  </conditionalFormatting>
  <conditionalFormatting sqref="N160">
    <cfRule type="cellIs" dxfId="3947" priority="373" operator="greaterThan">
      <formula>0.9</formula>
    </cfRule>
    <cfRule type="cellIs" dxfId="3946" priority="374" operator="greaterThan">
      <formula>0.85</formula>
    </cfRule>
  </conditionalFormatting>
  <conditionalFormatting sqref="E160">
    <cfRule type="expression" dxfId="3945" priority="369">
      <formula>AND(IF(OR($Q160=1,$Q160=2),1,0),IF($X160&lt;=20,1,0))</formula>
    </cfRule>
    <cfRule type="expression" dxfId="3944" priority="370">
      <formula>AND(IF($Q160=2,1,0),IF($X160&lt;30,1,0))</formula>
    </cfRule>
    <cfRule type="expression" dxfId="3943" priority="371">
      <formula>AND(IF($Q160=3,1,0),IF($X160&lt;30,1,0))</formula>
    </cfRule>
    <cfRule type="expression" dxfId="3942" priority="372">
      <formula>AND(IF($Q160=3,1,IF($Q160=4,1,0)),IF($F160&lt;=85,1,0))</formula>
    </cfRule>
  </conditionalFormatting>
  <conditionalFormatting sqref="X160">
    <cfRule type="expression" dxfId="3941" priority="365">
      <formula>AND(IF(OR($Q160=1,$Q160=2),1,0),IF($X160&lt;=20,1,0))</formula>
    </cfRule>
    <cfRule type="expression" dxfId="3940" priority="366">
      <formula>AND(IF($Q160=2,1,0),IF($X160&lt;30,1,0))</formula>
    </cfRule>
    <cfRule type="expression" dxfId="3939" priority="367">
      <formula>AND(IF($Q160=3,1,0),IF($X160&lt;30,1,0))</formula>
    </cfRule>
    <cfRule type="expression" dxfId="3938" priority="368">
      <formula>AND(IF($Q160=3,1,IF($Q160=4,1,0)),IF($F160&lt;=85,1,0))</formula>
    </cfRule>
  </conditionalFormatting>
  <conditionalFormatting sqref="AI160">
    <cfRule type="expression" dxfId="3937" priority="361">
      <formula>AND(IF(OR($Q160=1,$Q160=2),1,0),IF($X160&lt;=20,1,0))</formula>
    </cfRule>
    <cfRule type="expression" dxfId="3936" priority="362">
      <formula>AND(IF($Q160=2,1,0),IF($X160&lt;30,1,0))</formula>
    </cfRule>
    <cfRule type="expression" dxfId="3935" priority="363">
      <formula>AND(IF($Q160=3,1,0),IF($X160&lt;30,1,0))</formula>
    </cfRule>
    <cfRule type="expression" dxfId="3934" priority="364">
      <formula>AND(IF($Q160=3,1,IF($Q160=4,1,0)),IF($F160&lt;=85,1,0))</formula>
    </cfRule>
  </conditionalFormatting>
  <conditionalFormatting sqref="AV161">
    <cfRule type="expression" dxfId="3933" priority="359">
      <formula>AV161="X"</formula>
    </cfRule>
    <cfRule type="expression" dxfId="3932" priority="360">
      <formula>AV161="후보"</formula>
    </cfRule>
  </conditionalFormatting>
  <conditionalFormatting sqref="AC161">
    <cfRule type="cellIs" dxfId="3931" priority="357" operator="greaterThan">
      <formula>0.9</formula>
    </cfRule>
    <cfRule type="cellIs" dxfId="3930" priority="358" operator="greaterThan">
      <formula>0.85</formula>
    </cfRule>
  </conditionalFormatting>
  <conditionalFormatting sqref="N161">
    <cfRule type="cellIs" dxfId="3929" priority="355" operator="greaterThan">
      <formula>0.9</formula>
    </cfRule>
    <cfRule type="cellIs" dxfId="3928" priority="356" operator="greaterThan">
      <formula>0.85</formula>
    </cfRule>
  </conditionalFormatting>
  <conditionalFormatting sqref="E161">
    <cfRule type="expression" dxfId="3927" priority="351">
      <formula>AND(IF(OR($Q161=1,$Q161=2),1,0),IF($X161&lt;=20,1,0))</formula>
    </cfRule>
    <cfRule type="expression" dxfId="3926" priority="352">
      <formula>AND(IF($Q161=2,1,0),IF($X161&lt;30,1,0))</formula>
    </cfRule>
    <cfRule type="expression" dxfId="3925" priority="353">
      <formula>AND(IF($Q161=3,1,0),IF($X161&lt;30,1,0))</formula>
    </cfRule>
    <cfRule type="expression" dxfId="3924" priority="354">
      <formula>AND(IF($Q161=3,1,IF($Q161=4,1,0)),IF($F161&lt;=85,1,0))</formula>
    </cfRule>
  </conditionalFormatting>
  <conditionalFormatting sqref="X161">
    <cfRule type="expression" dxfId="3923" priority="347">
      <formula>AND(IF(OR($Q161=1,$Q161=2),1,0),IF($X161&lt;=20,1,0))</formula>
    </cfRule>
    <cfRule type="expression" dxfId="3922" priority="348">
      <formula>AND(IF($Q161=2,1,0),IF($X161&lt;30,1,0))</formula>
    </cfRule>
    <cfRule type="expression" dxfId="3921" priority="349">
      <formula>AND(IF($Q161=3,1,0),IF($X161&lt;30,1,0))</formula>
    </cfRule>
    <cfRule type="expression" dxfId="3920" priority="350">
      <formula>AND(IF($Q161=3,1,IF($Q161=4,1,0)),IF($F161&lt;=85,1,0))</formula>
    </cfRule>
  </conditionalFormatting>
  <conditionalFormatting sqref="AI161">
    <cfRule type="expression" dxfId="3919" priority="343">
      <formula>AND(IF(OR($Q161=1,$Q161=2),1,0),IF($X161&lt;=20,1,0))</formula>
    </cfRule>
    <cfRule type="expression" dxfId="3918" priority="344">
      <formula>AND(IF($Q161=2,1,0),IF($X161&lt;30,1,0))</formula>
    </cfRule>
    <cfRule type="expression" dxfId="3917" priority="345">
      <formula>AND(IF($Q161=3,1,0),IF($X161&lt;30,1,0))</formula>
    </cfRule>
    <cfRule type="expression" dxfId="3916" priority="346">
      <formula>AND(IF($Q161=3,1,IF($Q161=4,1,0)),IF($F161&lt;=85,1,0))</formula>
    </cfRule>
  </conditionalFormatting>
  <conditionalFormatting sqref="AV162">
    <cfRule type="expression" dxfId="3915" priority="341">
      <formula>AV162="X"</formula>
    </cfRule>
    <cfRule type="expression" dxfId="3914" priority="342">
      <formula>AV162="후보"</formula>
    </cfRule>
  </conditionalFormatting>
  <conditionalFormatting sqref="AC162">
    <cfRule type="cellIs" dxfId="3913" priority="339" operator="greaterThan">
      <formula>0.9</formula>
    </cfRule>
    <cfRule type="cellIs" dxfId="3912" priority="340" operator="greaterThan">
      <formula>0.85</formula>
    </cfRule>
  </conditionalFormatting>
  <conditionalFormatting sqref="N162">
    <cfRule type="cellIs" dxfId="3911" priority="337" operator="greaterThan">
      <formula>0.9</formula>
    </cfRule>
    <cfRule type="cellIs" dxfId="3910" priority="338" operator="greaterThan">
      <formula>0.85</formula>
    </cfRule>
  </conditionalFormatting>
  <conditionalFormatting sqref="E162">
    <cfRule type="expression" dxfId="3909" priority="333">
      <formula>AND(IF(OR($Q162=1,$Q162=2),1,0),IF($X162&lt;=20,1,0))</formula>
    </cfRule>
    <cfRule type="expression" dxfId="3908" priority="334">
      <formula>AND(IF($Q162=2,1,0),IF($X162&lt;30,1,0))</formula>
    </cfRule>
    <cfRule type="expression" dxfId="3907" priority="335">
      <formula>AND(IF($Q162=3,1,0),IF($X162&lt;30,1,0))</formula>
    </cfRule>
    <cfRule type="expression" dxfId="3906" priority="336">
      <formula>AND(IF($Q162=3,1,IF($Q162=4,1,0)),IF($F162&lt;=85,1,0))</formula>
    </cfRule>
  </conditionalFormatting>
  <conditionalFormatting sqref="X162">
    <cfRule type="expression" dxfId="3905" priority="329">
      <formula>AND(IF(OR($Q162=1,$Q162=2),1,0),IF($X162&lt;=20,1,0))</formula>
    </cfRule>
    <cfRule type="expression" dxfId="3904" priority="330">
      <formula>AND(IF($Q162=2,1,0),IF($X162&lt;30,1,0))</formula>
    </cfRule>
    <cfRule type="expression" dxfId="3903" priority="331">
      <formula>AND(IF($Q162=3,1,0),IF($X162&lt;30,1,0))</formula>
    </cfRule>
    <cfRule type="expression" dxfId="3902" priority="332">
      <formula>AND(IF($Q162=3,1,IF($Q162=4,1,0)),IF($F162&lt;=85,1,0))</formula>
    </cfRule>
  </conditionalFormatting>
  <conditionalFormatting sqref="AI162">
    <cfRule type="expression" dxfId="3901" priority="325">
      <formula>AND(IF(OR($Q162=1,$Q162=2),1,0),IF($X162&lt;=20,1,0))</formula>
    </cfRule>
    <cfRule type="expression" dxfId="3900" priority="326">
      <formula>AND(IF($Q162=2,1,0),IF($X162&lt;30,1,0))</formula>
    </cfRule>
    <cfRule type="expression" dxfId="3899" priority="327">
      <formula>AND(IF($Q162=3,1,0),IF($X162&lt;30,1,0))</formula>
    </cfRule>
    <cfRule type="expression" dxfId="3898" priority="328">
      <formula>AND(IF($Q162=3,1,IF($Q162=4,1,0)),IF($F162&lt;=85,1,0))</formula>
    </cfRule>
  </conditionalFormatting>
  <conditionalFormatting sqref="AV163">
    <cfRule type="expression" dxfId="3897" priority="323">
      <formula>AV163="X"</formula>
    </cfRule>
    <cfRule type="expression" dxfId="3896" priority="324">
      <formula>AV163="후보"</formula>
    </cfRule>
  </conditionalFormatting>
  <conditionalFormatting sqref="AC163">
    <cfRule type="cellIs" dxfId="3895" priority="321" operator="greaterThan">
      <formula>0.9</formula>
    </cfRule>
    <cfRule type="cellIs" dxfId="3894" priority="322" operator="greaterThan">
      <formula>0.85</formula>
    </cfRule>
  </conditionalFormatting>
  <conditionalFormatting sqref="N163">
    <cfRule type="cellIs" dxfId="3893" priority="319" operator="greaterThan">
      <formula>0.9</formula>
    </cfRule>
    <cfRule type="cellIs" dxfId="3892" priority="320" operator="greaterThan">
      <formula>0.85</formula>
    </cfRule>
  </conditionalFormatting>
  <conditionalFormatting sqref="E163">
    <cfRule type="expression" dxfId="3891" priority="315">
      <formula>AND(IF(OR($Q163=1,$Q163=2),1,0),IF($X163&lt;=20,1,0))</formula>
    </cfRule>
    <cfRule type="expression" dxfId="3890" priority="316">
      <formula>AND(IF($Q163=2,1,0),IF($X163&lt;30,1,0))</formula>
    </cfRule>
    <cfRule type="expression" dxfId="3889" priority="317">
      <formula>AND(IF($Q163=3,1,0),IF($X163&lt;30,1,0))</formula>
    </cfRule>
    <cfRule type="expression" dxfId="3888" priority="318">
      <formula>AND(IF($Q163=3,1,IF($Q163=4,1,0)),IF($F163&lt;=85,1,0))</formula>
    </cfRule>
  </conditionalFormatting>
  <conditionalFormatting sqref="X163">
    <cfRule type="expression" dxfId="3887" priority="311">
      <formula>AND(IF(OR($Q163=1,$Q163=2),1,0),IF($X163&lt;=20,1,0))</formula>
    </cfRule>
    <cfRule type="expression" dxfId="3886" priority="312">
      <formula>AND(IF($Q163=2,1,0),IF($X163&lt;30,1,0))</formula>
    </cfRule>
    <cfRule type="expression" dxfId="3885" priority="313">
      <formula>AND(IF($Q163=3,1,0),IF($X163&lt;30,1,0))</formula>
    </cfRule>
    <cfRule type="expression" dxfId="3884" priority="314">
      <formula>AND(IF($Q163=3,1,IF($Q163=4,1,0)),IF($F163&lt;=85,1,0))</formula>
    </cfRule>
  </conditionalFormatting>
  <conditionalFormatting sqref="AI163">
    <cfRule type="expression" dxfId="3883" priority="307">
      <formula>AND(IF(OR($Q163=1,$Q163=2),1,0),IF($X163&lt;=20,1,0))</formula>
    </cfRule>
    <cfRule type="expression" dxfId="3882" priority="308">
      <formula>AND(IF($Q163=2,1,0),IF($X163&lt;30,1,0))</formula>
    </cfRule>
    <cfRule type="expression" dxfId="3881" priority="309">
      <formula>AND(IF($Q163=3,1,0),IF($X163&lt;30,1,0))</formula>
    </cfRule>
    <cfRule type="expression" dxfId="3880" priority="310">
      <formula>AND(IF($Q163=3,1,IF($Q163=4,1,0)),IF($F163&lt;=85,1,0))</formula>
    </cfRule>
  </conditionalFormatting>
  <conditionalFormatting sqref="AV164">
    <cfRule type="expression" dxfId="3879" priority="305">
      <formula>AV164="X"</formula>
    </cfRule>
    <cfRule type="expression" dxfId="3878" priority="306">
      <formula>AV164="후보"</formula>
    </cfRule>
  </conditionalFormatting>
  <conditionalFormatting sqref="AC164">
    <cfRule type="cellIs" dxfId="3877" priority="303" operator="greaterThan">
      <formula>0.9</formula>
    </cfRule>
    <cfRule type="cellIs" dxfId="3876" priority="304" operator="greaterThan">
      <formula>0.85</formula>
    </cfRule>
  </conditionalFormatting>
  <conditionalFormatting sqref="N164">
    <cfRule type="cellIs" dxfId="3875" priority="301" operator="greaterThan">
      <formula>0.9</formula>
    </cfRule>
    <cfRule type="cellIs" dxfId="3874" priority="302" operator="greaterThan">
      <formula>0.85</formula>
    </cfRule>
  </conditionalFormatting>
  <conditionalFormatting sqref="E164">
    <cfRule type="expression" dxfId="3873" priority="297">
      <formula>AND(IF(OR($Q164=1,$Q164=2),1,0),IF($X164&lt;=20,1,0))</formula>
    </cfRule>
    <cfRule type="expression" dxfId="3872" priority="298">
      <formula>AND(IF($Q164=2,1,0),IF($X164&lt;30,1,0))</formula>
    </cfRule>
    <cfRule type="expression" dxfId="3871" priority="299">
      <formula>AND(IF($Q164=3,1,0),IF($X164&lt;30,1,0))</formula>
    </cfRule>
    <cfRule type="expression" dxfId="3870" priority="300">
      <formula>AND(IF($Q164=3,1,IF($Q164=4,1,0)),IF($F164&lt;=85,1,0))</formula>
    </cfRule>
  </conditionalFormatting>
  <conditionalFormatting sqref="X164">
    <cfRule type="expression" dxfId="3869" priority="293">
      <formula>AND(IF(OR($Q164=1,$Q164=2),1,0),IF($X164&lt;=20,1,0))</formula>
    </cfRule>
    <cfRule type="expression" dxfId="3868" priority="294">
      <formula>AND(IF($Q164=2,1,0),IF($X164&lt;30,1,0))</formula>
    </cfRule>
    <cfRule type="expression" dxfId="3867" priority="295">
      <formula>AND(IF($Q164=3,1,0),IF($X164&lt;30,1,0))</formula>
    </cfRule>
    <cfRule type="expression" dxfId="3866" priority="296">
      <formula>AND(IF($Q164=3,1,IF($Q164=4,1,0)),IF($F164&lt;=85,1,0))</formula>
    </cfRule>
  </conditionalFormatting>
  <conditionalFormatting sqref="AI164">
    <cfRule type="expression" dxfId="3865" priority="289">
      <formula>AND(IF(OR($Q164=1,$Q164=2),1,0),IF($X164&lt;=20,1,0))</formula>
    </cfRule>
    <cfRule type="expression" dxfId="3864" priority="290">
      <formula>AND(IF($Q164=2,1,0),IF($X164&lt;30,1,0))</formula>
    </cfRule>
    <cfRule type="expression" dxfId="3863" priority="291">
      <formula>AND(IF($Q164=3,1,0),IF($X164&lt;30,1,0))</formula>
    </cfRule>
    <cfRule type="expression" dxfId="3862" priority="292">
      <formula>AND(IF($Q164=3,1,IF($Q164=4,1,0)),IF($F164&lt;=85,1,0))</formula>
    </cfRule>
  </conditionalFormatting>
  <conditionalFormatting sqref="AV165">
    <cfRule type="expression" dxfId="3861" priority="287">
      <formula>AV165="X"</formula>
    </cfRule>
    <cfRule type="expression" dxfId="3860" priority="288">
      <formula>AV165="후보"</formula>
    </cfRule>
  </conditionalFormatting>
  <conditionalFormatting sqref="AC165">
    <cfRule type="cellIs" dxfId="3859" priority="285" operator="greaterThan">
      <formula>0.9</formula>
    </cfRule>
    <cfRule type="cellIs" dxfId="3858" priority="286" operator="greaterThan">
      <formula>0.85</formula>
    </cfRule>
  </conditionalFormatting>
  <conditionalFormatting sqref="N165">
    <cfRule type="cellIs" dxfId="3857" priority="283" operator="greaterThan">
      <formula>0.9</formula>
    </cfRule>
    <cfRule type="cellIs" dxfId="3856" priority="284" operator="greaterThan">
      <formula>0.85</formula>
    </cfRule>
  </conditionalFormatting>
  <conditionalFormatting sqref="E165">
    <cfRule type="expression" dxfId="3855" priority="279">
      <formula>AND(IF(OR($Q165=1,$Q165=2),1,0),IF($X165&lt;=20,1,0))</formula>
    </cfRule>
    <cfRule type="expression" dxfId="3854" priority="280">
      <formula>AND(IF($Q165=2,1,0),IF($X165&lt;30,1,0))</formula>
    </cfRule>
    <cfRule type="expression" dxfId="3853" priority="281">
      <formula>AND(IF($Q165=3,1,0),IF($X165&lt;30,1,0))</formula>
    </cfRule>
    <cfRule type="expression" dxfId="3852" priority="282">
      <formula>AND(IF($Q165=3,1,IF($Q165=4,1,0)),IF($F165&lt;=85,1,0))</formula>
    </cfRule>
  </conditionalFormatting>
  <conditionalFormatting sqref="X165">
    <cfRule type="expression" dxfId="3851" priority="275">
      <formula>AND(IF(OR($Q165=1,$Q165=2),1,0),IF($X165&lt;=20,1,0))</formula>
    </cfRule>
    <cfRule type="expression" dxfId="3850" priority="276">
      <formula>AND(IF($Q165=2,1,0),IF($X165&lt;30,1,0))</formula>
    </cfRule>
    <cfRule type="expression" dxfId="3849" priority="277">
      <formula>AND(IF($Q165=3,1,0),IF($X165&lt;30,1,0))</formula>
    </cfRule>
    <cfRule type="expression" dxfId="3848" priority="278">
      <formula>AND(IF($Q165=3,1,IF($Q165=4,1,0)),IF($F165&lt;=85,1,0))</formula>
    </cfRule>
  </conditionalFormatting>
  <conditionalFormatting sqref="AI165">
    <cfRule type="expression" dxfId="3847" priority="271">
      <formula>AND(IF(OR($Q165=1,$Q165=2),1,0),IF($X165&lt;=20,1,0))</formula>
    </cfRule>
    <cfRule type="expression" dxfId="3846" priority="272">
      <formula>AND(IF($Q165=2,1,0),IF($X165&lt;30,1,0))</formula>
    </cfRule>
    <cfRule type="expression" dxfId="3845" priority="273">
      <formula>AND(IF($Q165=3,1,0),IF($X165&lt;30,1,0))</formula>
    </cfRule>
    <cfRule type="expression" dxfId="3844" priority="274">
      <formula>AND(IF($Q165=3,1,IF($Q165=4,1,0)),IF($F165&lt;=85,1,0))</formula>
    </cfRule>
  </conditionalFormatting>
  <conditionalFormatting sqref="AV166">
    <cfRule type="expression" dxfId="3843" priority="269">
      <formula>AV166="X"</formula>
    </cfRule>
    <cfRule type="expression" dxfId="3842" priority="270">
      <formula>AV166="후보"</formula>
    </cfRule>
  </conditionalFormatting>
  <conditionalFormatting sqref="AC166">
    <cfRule type="cellIs" dxfId="3841" priority="267" operator="greaterThan">
      <formula>0.9</formula>
    </cfRule>
    <cfRule type="cellIs" dxfId="3840" priority="268" operator="greaterThan">
      <formula>0.85</formula>
    </cfRule>
  </conditionalFormatting>
  <conditionalFormatting sqref="N166">
    <cfRule type="cellIs" dxfId="3839" priority="265" operator="greaterThan">
      <formula>0.9</formula>
    </cfRule>
    <cfRule type="cellIs" dxfId="3838" priority="266" operator="greaterThan">
      <formula>0.85</formula>
    </cfRule>
  </conditionalFormatting>
  <conditionalFormatting sqref="E166">
    <cfRule type="expression" dxfId="3837" priority="261">
      <formula>AND(IF(OR($Q166=1,$Q166=2),1,0),IF($X166&lt;=20,1,0))</formula>
    </cfRule>
    <cfRule type="expression" dxfId="3836" priority="262">
      <formula>AND(IF($Q166=2,1,0),IF($X166&lt;30,1,0))</formula>
    </cfRule>
    <cfRule type="expression" dxfId="3835" priority="263">
      <formula>AND(IF($Q166=3,1,0),IF($X166&lt;30,1,0))</formula>
    </cfRule>
    <cfRule type="expression" dxfId="3834" priority="264">
      <formula>AND(IF($Q166=3,1,IF($Q166=4,1,0)),IF($F166&lt;=85,1,0))</formula>
    </cfRule>
  </conditionalFormatting>
  <conditionalFormatting sqref="X166">
    <cfRule type="expression" dxfId="3833" priority="257">
      <formula>AND(IF(OR($Q166=1,$Q166=2),1,0),IF($X166&lt;=20,1,0))</formula>
    </cfRule>
    <cfRule type="expression" dxfId="3832" priority="258">
      <formula>AND(IF($Q166=2,1,0),IF($X166&lt;30,1,0))</formula>
    </cfRule>
    <cfRule type="expression" dxfId="3831" priority="259">
      <formula>AND(IF($Q166=3,1,0),IF($X166&lt;30,1,0))</formula>
    </cfRule>
    <cfRule type="expression" dxfId="3830" priority="260">
      <formula>AND(IF($Q166=3,1,IF($Q166=4,1,0)),IF($F166&lt;=85,1,0))</formula>
    </cfRule>
  </conditionalFormatting>
  <conditionalFormatting sqref="AI166">
    <cfRule type="expression" dxfId="3829" priority="253">
      <formula>AND(IF(OR($Q166=1,$Q166=2),1,0),IF($X166&lt;=20,1,0))</formula>
    </cfRule>
    <cfRule type="expression" dxfId="3828" priority="254">
      <formula>AND(IF($Q166=2,1,0),IF($X166&lt;30,1,0))</formula>
    </cfRule>
    <cfRule type="expression" dxfId="3827" priority="255">
      <formula>AND(IF($Q166=3,1,0),IF($X166&lt;30,1,0))</formula>
    </cfRule>
    <cfRule type="expression" dxfId="3826" priority="256">
      <formula>AND(IF($Q166=3,1,IF($Q166=4,1,0)),IF($F166&lt;=85,1,0))</formula>
    </cfRule>
  </conditionalFormatting>
  <conditionalFormatting sqref="AV167">
    <cfRule type="expression" dxfId="3825" priority="251">
      <formula>AV167="X"</formula>
    </cfRule>
    <cfRule type="expression" dxfId="3824" priority="252">
      <formula>AV167="후보"</formula>
    </cfRule>
  </conditionalFormatting>
  <conditionalFormatting sqref="AC167">
    <cfRule type="cellIs" dxfId="3823" priority="249" operator="greaterThan">
      <formula>0.9</formula>
    </cfRule>
    <cfRule type="cellIs" dxfId="3822" priority="250" operator="greaterThan">
      <formula>0.85</formula>
    </cfRule>
  </conditionalFormatting>
  <conditionalFormatting sqref="N167">
    <cfRule type="cellIs" dxfId="3821" priority="247" operator="greaterThan">
      <formula>0.9</formula>
    </cfRule>
    <cfRule type="cellIs" dxfId="3820" priority="248" operator="greaterThan">
      <formula>0.85</formula>
    </cfRule>
  </conditionalFormatting>
  <conditionalFormatting sqref="E167">
    <cfRule type="expression" dxfId="3819" priority="243">
      <formula>AND(IF(OR($Q167=1,$Q167=2),1,0),IF($X167&lt;=20,1,0))</formula>
    </cfRule>
    <cfRule type="expression" dxfId="3818" priority="244">
      <formula>AND(IF($Q167=2,1,0),IF($X167&lt;30,1,0))</formula>
    </cfRule>
    <cfRule type="expression" dxfId="3817" priority="245">
      <formula>AND(IF($Q167=3,1,0),IF($X167&lt;30,1,0))</formula>
    </cfRule>
    <cfRule type="expression" dxfId="3816" priority="246">
      <formula>AND(IF($Q167=3,1,IF($Q167=4,1,0)),IF($F167&lt;=85,1,0))</formula>
    </cfRule>
  </conditionalFormatting>
  <conditionalFormatting sqref="X167">
    <cfRule type="expression" dxfId="3815" priority="239">
      <formula>AND(IF(OR($Q167=1,$Q167=2),1,0),IF($X167&lt;=20,1,0))</formula>
    </cfRule>
    <cfRule type="expression" dxfId="3814" priority="240">
      <formula>AND(IF($Q167=2,1,0),IF($X167&lt;30,1,0))</formula>
    </cfRule>
    <cfRule type="expression" dxfId="3813" priority="241">
      <formula>AND(IF($Q167=3,1,0),IF($X167&lt;30,1,0))</formula>
    </cfRule>
    <cfRule type="expression" dxfId="3812" priority="242">
      <formula>AND(IF($Q167=3,1,IF($Q167=4,1,0)),IF($F167&lt;=85,1,0))</formula>
    </cfRule>
  </conditionalFormatting>
  <conditionalFormatting sqref="AI167">
    <cfRule type="expression" dxfId="3811" priority="235">
      <formula>AND(IF(OR($Q167=1,$Q167=2),1,0),IF($X167&lt;=20,1,0))</formula>
    </cfRule>
    <cfRule type="expression" dxfId="3810" priority="236">
      <formula>AND(IF($Q167=2,1,0),IF($X167&lt;30,1,0))</formula>
    </cfRule>
    <cfRule type="expression" dxfId="3809" priority="237">
      <formula>AND(IF($Q167=3,1,0),IF($X167&lt;30,1,0))</formula>
    </cfRule>
    <cfRule type="expression" dxfId="3808" priority="238">
      <formula>AND(IF($Q167=3,1,IF($Q167=4,1,0)),IF($F167&lt;=85,1,0))</formula>
    </cfRule>
  </conditionalFormatting>
  <conditionalFormatting sqref="AV168">
    <cfRule type="expression" dxfId="3807" priority="233">
      <formula>AV168="X"</formula>
    </cfRule>
    <cfRule type="expression" dxfId="3806" priority="234">
      <formula>AV168="후보"</formula>
    </cfRule>
  </conditionalFormatting>
  <conditionalFormatting sqref="AC168">
    <cfRule type="cellIs" dxfId="3805" priority="231" operator="greaterThan">
      <formula>0.9</formula>
    </cfRule>
    <cfRule type="cellIs" dxfId="3804" priority="232" operator="greaterThan">
      <formula>0.85</formula>
    </cfRule>
  </conditionalFormatting>
  <conditionalFormatting sqref="N168">
    <cfRule type="cellIs" dxfId="3803" priority="229" operator="greaterThan">
      <formula>0.9</formula>
    </cfRule>
    <cfRule type="cellIs" dxfId="3802" priority="230" operator="greaterThan">
      <formula>0.85</formula>
    </cfRule>
  </conditionalFormatting>
  <conditionalFormatting sqref="E168">
    <cfRule type="expression" dxfId="3801" priority="225">
      <formula>AND(IF(OR($Q168=1,$Q168=2),1,0),IF($X168&lt;=20,1,0))</formula>
    </cfRule>
    <cfRule type="expression" dxfId="3800" priority="226">
      <formula>AND(IF($Q168=2,1,0),IF($X168&lt;30,1,0))</formula>
    </cfRule>
    <cfRule type="expression" dxfId="3799" priority="227">
      <formula>AND(IF($Q168=3,1,0),IF($X168&lt;30,1,0))</formula>
    </cfRule>
    <cfRule type="expression" dxfId="3798" priority="228">
      <formula>AND(IF($Q168=3,1,IF($Q168=4,1,0)),IF($F168&lt;=85,1,0))</formula>
    </cfRule>
  </conditionalFormatting>
  <conditionalFormatting sqref="X168">
    <cfRule type="expression" dxfId="3797" priority="221">
      <formula>AND(IF(OR($Q168=1,$Q168=2),1,0),IF($X168&lt;=20,1,0))</formula>
    </cfRule>
    <cfRule type="expression" dxfId="3796" priority="222">
      <formula>AND(IF($Q168=2,1,0),IF($X168&lt;30,1,0))</formula>
    </cfRule>
    <cfRule type="expression" dxfId="3795" priority="223">
      <formula>AND(IF($Q168=3,1,0),IF($X168&lt;30,1,0))</formula>
    </cfRule>
    <cfRule type="expression" dxfId="3794" priority="224">
      <formula>AND(IF($Q168=3,1,IF($Q168=4,1,0)),IF($F168&lt;=85,1,0))</formula>
    </cfRule>
  </conditionalFormatting>
  <conditionalFormatting sqref="AI168">
    <cfRule type="expression" dxfId="3793" priority="217">
      <formula>AND(IF(OR($Q168=1,$Q168=2),1,0),IF($X168&lt;=20,1,0))</formula>
    </cfRule>
    <cfRule type="expression" dxfId="3792" priority="218">
      <formula>AND(IF($Q168=2,1,0),IF($X168&lt;30,1,0))</formula>
    </cfRule>
    <cfRule type="expression" dxfId="3791" priority="219">
      <formula>AND(IF($Q168=3,1,0),IF($X168&lt;30,1,0))</formula>
    </cfRule>
    <cfRule type="expression" dxfId="3790" priority="220">
      <formula>AND(IF($Q168=3,1,IF($Q168=4,1,0)),IF($F168&lt;=85,1,0))</formula>
    </cfRule>
  </conditionalFormatting>
  <conditionalFormatting sqref="AV169">
    <cfRule type="expression" dxfId="3789" priority="215">
      <formula>AV169="X"</formula>
    </cfRule>
    <cfRule type="expression" dxfId="3788" priority="216">
      <formula>AV169="후보"</formula>
    </cfRule>
  </conditionalFormatting>
  <conditionalFormatting sqref="AC169">
    <cfRule type="cellIs" dxfId="3787" priority="213" operator="greaterThan">
      <formula>0.9</formula>
    </cfRule>
    <cfRule type="cellIs" dxfId="3786" priority="214" operator="greaterThan">
      <formula>0.85</formula>
    </cfRule>
  </conditionalFormatting>
  <conditionalFormatting sqref="N169">
    <cfRule type="cellIs" dxfId="3785" priority="211" operator="greaterThan">
      <formula>0.9</formula>
    </cfRule>
    <cfRule type="cellIs" dxfId="3784" priority="212" operator="greaterThan">
      <formula>0.85</formula>
    </cfRule>
  </conditionalFormatting>
  <conditionalFormatting sqref="E169">
    <cfRule type="expression" dxfId="3783" priority="207">
      <formula>AND(IF(OR($Q169=1,$Q169=2),1,0),IF($X169&lt;=20,1,0))</formula>
    </cfRule>
    <cfRule type="expression" dxfId="3782" priority="208">
      <formula>AND(IF($Q169=2,1,0),IF($X169&lt;30,1,0))</formula>
    </cfRule>
    <cfRule type="expression" dxfId="3781" priority="209">
      <formula>AND(IF($Q169=3,1,0),IF($X169&lt;30,1,0))</formula>
    </cfRule>
    <cfRule type="expression" dxfId="3780" priority="210">
      <formula>AND(IF($Q169=3,1,IF($Q169=4,1,0)),IF($F169&lt;=85,1,0))</formula>
    </cfRule>
  </conditionalFormatting>
  <conditionalFormatting sqref="X169">
    <cfRule type="expression" dxfId="3779" priority="203">
      <formula>AND(IF(OR($Q169=1,$Q169=2),1,0),IF($X169&lt;=20,1,0))</formula>
    </cfRule>
    <cfRule type="expression" dxfId="3778" priority="204">
      <formula>AND(IF($Q169=2,1,0),IF($X169&lt;30,1,0))</formula>
    </cfRule>
    <cfRule type="expression" dxfId="3777" priority="205">
      <formula>AND(IF($Q169=3,1,0),IF($X169&lt;30,1,0))</formula>
    </cfRule>
    <cfRule type="expression" dxfId="3776" priority="206">
      <formula>AND(IF($Q169=3,1,IF($Q169=4,1,0)),IF($F169&lt;=85,1,0))</formula>
    </cfRule>
  </conditionalFormatting>
  <conditionalFormatting sqref="AI169">
    <cfRule type="expression" dxfId="3775" priority="199">
      <formula>AND(IF(OR($Q169=1,$Q169=2),1,0),IF($X169&lt;=20,1,0))</formula>
    </cfRule>
    <cfRule type="expression" dxfId="3774" priority="200">
      <formula>AND(IF($Q169=2,1,0),IF($X169&lt;30,1,0))</formula>
    </cfRule>
    <cfRule type="expression" dxfId="3773" priority="201">
      <formula>AND(IF($Q169=3,1,0),IF($X169&lt;30,1,0))</formula>
    </cfRule>
    <cfRule type="expression" dxfId="3772" priority="202">
      <formula>AND(IF($Q169=3,1,IF($Q169=4,1,0)),IF($F169&lt;=85,1,0))</formula>
    </cfRule>
  </conditionalFormatting>
  <conditionalFormatting sqref="AV170">
    <cfRule type="expression" dxfId="3771" priority="197">
      <formula>AV170="X"</formula>
    </cfRule>
    <cfRule type="expression" dxfId="3770" priority="198">
      <formula>AV170="후보"</formula>
    </cfRule>
  </conditionalFormatting>
  <conditionalFormatting sqref="AC170">
    <cfRule type="cellIs" dxfId="3769" priority="195" operator="greaterThan">
      <formula>0.9</formula>
    </cfRule>
    <cfRule type="cellIs" dxfId="3768" priority="196" operator="greaterThan">
      <formula>0.85</formula>
    </cfRule>
  </conditionalFormatting>
  <conditionalFormatting sqref="N170">
    <cfRule type="cellIs" dxfId="3767" priority="193" operator="greaterThan">
      <formula>0.9</formula>
    </cfRule>
    <cfRule type="cellIs" dxfId="3766" priority="194" operator="greaterThan">
      <formula>0.85</formula>
    </cfRule>
  </conditionalFormatting>
  <conditionalFormatting sqref="E170">
    <cfRule type="expression" dxfId="3765" priority="189">
      <formula>AND(IF(OR($Q170=1,$Q170=2),1,0),IF($X170&lt;=20,1,0))</formula>
    </cfRule>
    <cfRule type="expression" dxfId="3764" priority="190">
      <formula>AND(IF($Q170=2,1,0),IF($X170&lt;30,1,0))</formula>
    </cfRule>
    <cfRule type="expression" dxfId="3763" priority="191">
      <formula>AND(IF($Q170=3,1,0),IF($X170&lt;30,1,0))</formula>
    </cfRule>
    <cfRule type="expression" dxfId="3762" priority="192">
      <formula>AND(IF($Q170=3,1,IF($Q170=4,1,0)),IF($F170&lt;=85,1,0))</formula>
    </cfRule>
  </conditionalFormatting>
  <conditionalFormatting sqref="X170">
    <cfRule type="expression" dxfId="3761" priority="185">
      <formula>AND(IF(OR($Q170=1,$Q170=2),1,0),IF($X170&lt;=20,1,0))</formula>
    </cfRule>
    <cfRule type="expression" dxfId="3760" priority="186">
      <formula>AND(IF($Q170=2,1,0),IF($X170&lt;30,1,0))</formula>
    </cfRule>
    <cfRule type="expression" dxfId="3759" priority="187">
      <formula>AND(IF($Q170=3,1,0),IF($X170&lt;30,1,0))</formula>
    </cfRule>
    <cfRule type="expression" dxfId="3758" priority="188">
      <formula>AND(IF($Q170=3,1,IF($Q170=4,1,0)),IF($F170&lt;=85,1,0))</formula>
    </cfRule>
  </conditionalFormatting>
  <conditionalFormatting sqref="AI170">
    <cfRule type="expression" dxfId="3757" priority="181">
      <formula>AND(IF(OR($Q170=1,$Q170=2),1,0),IF($X170&lt;=20,1,0))</formula>
    </cfRule>
    <cfRule type="expression" dxfId="3756" priority="182">
      <formula>AND(IF($Q170=2,1,0),IF($X170&lt;30,1,0))</formula>
    </cfRule>
    <cfRule type="expression" dxfId="3755" priority="183">
      <formula>AND(IF($Q170=3,1,0),IF($X170&lt;30,1,0))</formula>
    </cfRule>
    <cfRule type="expression" dxfId="3754" priority="184">
      <formula>AND(IF($Q170=3,1,IF($Q170=4,1,0)),IF($F170&lt;=85,1,0))</formula>
    </cfRule>
  </conditionalFormatting>
  <conditionalFormatting sqref="AV171">
    <cfRule type="expression" dxfId="3753" priority="179">
      <formula>AV171="X"</formula>
    </cfRule>
    <cfRule type="expression" dxfId="3752" priority="180">
      <formula>AV171="후보"</formula>
    </cfRule>
  </conditionalFormatting>
  <conditionalFormatting sqref="AC171">
    <cfRule type="cellIs" dxfId="3751" priority="177" operator="greaterThan">
      <formula>0.9</formula>
    </cfRule>
    <cfRule type="cellIs" dxfId="3750" priority="178" operator="greaterThan">
      <formula>0.85</formula>
    </cfRule>
  </conditionalFormatting>
  <conditionalFormatting sqref="N171">
    <cfRule type="cellIs" dxfId="3749" priority="175" operator="greaterThan">
      <formula>0.9</formula>
    </cfRule>
    <cfRule type="cellIs" dxfId="3748" priority="176" operator="greaterThan">
      <formula>0.85</formula>
    </cfRule>
  </conditionalFormatting>
  <conditionalFormatting sqref="E171">
    <cfRule type="expression" dxfId="3747" priority="171">
      <formula>AND(IF(OR($Q171=1,$Q171=2),1,0),IF($X171&lt;=20,1,0))</formula>
    </cfRule>
    <cfRule type="expression" dxfId="3746" priority="172">
      <formula>AND(IF($Q171=2,1,0),IF($X171&lt;30,1,0))</formula>
    </cfRule>
    <cfRule type="expression" dxfId="3745" priority="173">
      <formula>AND(IF($Q171=3,1,0),IF($X171&lt;30,1,0))</formula>
    </cfRule>
    <cfRule type="expression" dxfId="3744" priority="174">
      <formula>AND(IF($Q171=3,1,IF($Q171=4,1,0)),IF($F171&lt;=85,1,0))</formula>
    </cfRule>
  </conditionalFormatting>
  <conditionalFormatting sqref="X171">
    <cfRule type="expression" dxfId="3743" priority="167">
      <formula>AND(IF(OR($Q171=1,$Q171=2),1,0),IF($X171&lt;=20,1,0))</formula>
    </cfRule>
    <cfRule type="expression" dxfId="3742" priority="168">
      <formula>AND(IF($Q171=2,1,0),IF($X171&lt;30,1,0))</formula>
    </cfRule>
    <cfRule type="expression" dxfId="3741" priority="169">
      <formula>AND(IF($Q171=3,1,0),IF($X171&lt;30,1,0))</formula>
    </cfRule>
    <cfRule type="expression" dxfId="3740" priority="170">
      <formula>AND(IF($Q171=3,1,IF($Q171=4,1,0)),IF($F171&lt;=85,1,0))</formula>
    </cfRule>
  </conditionalFormatting>
  <conditionalFormatting sqref="AI171">
    <cfRule type="expression" dxfId="3739" priority="163">
      <formula>AND(IF(OR($Q171=1,$Q171=2),1,0),IF($X171&lt;=20,1,0))</formula>
    </cfRule>
    <cfRule type="expression" dxfId="3738" priority="164">
      <formula>AND(IF($Q171=2,1,0),IF($X171&lt;30,1,0))</formula>
    </cfRule>
    <cfRule type="expression" dxfId="3737" priority="165">
      <formula>AND(IF($Q171=3,1,0),IF($X171&lt;30,1,0))</formula>
    </cfRule>
    <cfRule type="expression" dxfId="3736" priority="166">
      <formula>AND(IF($Q171=3,1,IF($Q171=4,1,0)),IF($F171&lt;=85,1,0))</formula>
    </cfRule>
  </conditionalFormatting>
  <conditionalFormatting sqref="AV172">
    <cfRule type="expression" dxfId="3735" priority="161">
      <formula>AV172="X"</formula>
    </cfRule>
    <cfRule type="expression" dxfId="3734" priority="162">
      <formula>AV172="후보"</formula>
    </cfRule>
  </conditionalFormatting>
  <conditionalFormatting sqref="AC172">
    <cfRule type="cellIs" dxfId="3733" priority="159" operator="greaterThan">
      <formula>0.9</formula>
    </cfRule>
    <cfRule type="cellIs" dxfId="3732" priority="160" operator="greaterThan">
      <formula>0.85</formula>
    </cfRule>
  </conditionalFormatting>
  <conditionalFormatting sqref="N172">
    <cfRule type="cellIs" dxfId="3731" priority="157" operator="greaterThan">
      <formula>0.9</formula>
    </cfRule>
    <cfRule type="cellIs" dxfId="3730" priority="158" operator="greaterThan">
      <formula>0.85</formula>
    </cfRule>
  </conditionalFormatting>
  <conditionalFormatting sqref="E172">
    <cfRule type="expression" dxfId="3729" priority="153">
      <formula>AND(IF(OR($Q172=1,$Q172=2),1,0),IF($X172&lt;=20,1,0))</formula>
    </cfRule>
    <cfRule type="expression" dxfId="3728" priority="154">
      <formula>AND(IF($Q172=2,1,0),IF($X172&lt;30,1,0))</formula>
    </cfRule>
    <cfRule type="expression" dxfId="3727" priority="155">
      <formula>AND(IF($Q172=3,1,0),IF($X172&lt;30,1,0))</formula>
    </cfRule>
    <cfRule type="expression" dxfId="3726" priority="156">
      <formula>AND(IF($Q172=3,1,IF($Q172=4,1,0)),IF($F172&lt;=85,1,0))</formula>
    </cfRule>
  </conditionalFormatting>
  <conditionalFormatting sqref="X172">
    <cfRule type="expression" dxfId="3725" priority="149">
      <formula>AND(IF(OR($Q172=1,$Q172=2),1,0),IF($X172&lt;=20,1,0))</formula>
    </cfRule>
    <cfRule type="expression" dxfId="3724" priority="150">
      <formula>AND(IF($Q172=2,1,0),IF($X172&lt;30,1,0))</formula>
    </cfRule>
    <cfRule type="expression" dxfId="3723" priority="151">
      <formula>AND(IF($Q172=3,1,0),IF($X172&lt;30,1,0))</formula>
    </cfRule>
    <cfRule type="expression" dxfId="3722" priority="152">
      <formula>AND(IF($Q172=3,1,IF($Q172=4,1,0)),IF($F172&lt;=85,1,0))</formula>
    </cfRule>
  </conditionalFormatting>
  <conditionalFormatting sqref="AI172">
    <cfRule type="expression" dxfId="3721" priority="145">
      <formula>AND(IF(OR($Q172=1,$Q172=2),1,0),IF($X172&lt;=20,1,0))</formula>
    </cfRule>
    <cfRule type="expression" dxfId="3720" priority="146">
      <formula>AND(IF($Q172=2,1,0),IF($X172&lt;30,1,0))</formula>
    </cfRule>
    <cfRule type="expression" dxfId="3719" priority="147">
      <formula>AND(IF($Q172=3,1,0),IF($X172&lt;30,1,0))</formula>
    </cfRule>
    <cfRule type="expression" dxfId="3718" priority="148">
      <formula>AND(IF($Q172=3,1,IF($Q172=4,1,0)),IF($F172&lt;=85,1,0))</formula>
    </cfRule>
  </conditionalFormatting>
  <conditionalFormatting sqref="AV173">
    <cfRule type="expression" dxfId="3717" priority="143">
      <formula>AV173="X"</formula>
    </cfRule>
    <cfRule type="expression" dxfId="3716" priority="144">
      <formula>AV173="후보"</formula>
    </cfRule>
  </conditionalFormatting>
  <conditionalFormatting sqref="AC173">
    <cfRule type="cellIs" dxfId="3715" priority="141" operator="greaterThan">
      <formula>0.9</formula>
    </cfRule>
    <cfRule type="cellIs" dxfId="3714" priority="142" operator="greaterThan">
      <formula>0.85</formula>
    </cfRule>
  </conditionalFormatting>
  <conditionalFormatting sqref="N173">
    <cfRule type="cellIs" dxfId="3713" priority="139" operator="greaterThan">
      <formula>0.9</formula>
    </cfRule>
    <cfRule type="cellIs" dxfId="3712" priority="140" operator="greaterThan">
      <formula>0.85</formula>
    </cfRule>
  </conditionalFormatting>
  <conditionalFormatting sqref="E173">
    <cfRule type="expression" dxfId="3711" priority="135">
      <formula>AND(IF(OR($Q173=1,$Q173=2),1,0),IF($X173&lt;=20,1,0))</formula>
    </cfRule>
    <cfRule type="expression" dxfId="3710" priority="136">
      <formula>AND(IF($Q173=2,1,0),IF($X173&lt;30,1,0))</formula>
    </cfRule>
    <cfRule type="expression" dxfId="3709" priority="137">
      <formula>AND(IF($Q173=3,1,0),IF($X173&lt;30,1,0))</formula>
    </cfRule>
    <cfRule type="expression" dxfId="3708" priority="138">
      <formula>AND(IF($Q173=3,1,IF($Q173=4,1,0)),IF($F173&lt;=85,1,0))</formula>
    </cfRule>
  </conditionalFormatting>
  <conditionalFormatting sqref="X173">
    <cfRule type="expression" dxfId="3707" priority="131">
      <formula>AND(IF(OR($Q173=1,$Q173=2),1,0),IF($X173&lt;=20,1,0))</formula>
    </cfRule>
    <cfRule type="expression" dxfId="3706" priority="132">
      <formula>AND(IF($Q173=2,1,0),IF($X173&lt;30,1,0))</formula>
    </cfRule>
    <cfRule type="expression" dxfId="3705" priority="133">
      <formula>AND(IF($Q173=3,1,0),IF($X173&lt;30,1,0))</formula>
    </cfRule>
    <cfRule type="expression" dxfId="3704" priority="134">
      <formula>AND(IF($Q173=3,1,IF($Q173=4,1,0)),IF($F173&lt;=85,1,0))</formula>
    </cfRule>
  </conditionalFormatting>
  <conditionalFormatting sqref="AI173">
    <cfRule type="expression" dxfId="3703" priority="127">
      <formula>AND(IF(OR($Q173=1,$Q173=2),1,0),IF($X173&lt;=20,1,0))</formula>
    </cfRule>
    <cfRule type="expression" dxfId="3702" priority="128">
      <formula>AND(IF($Q173=2,1,0),IF($X173&lt;30,1,0))</formula>
    </cfRule>
    <cfRule type="expression" dxfId="3701" priority="129">
      <formula>AND(IF($Q173=3,1,0),IF($X173&lt;30,1,0))</formula>
    </cfRule>
    <cfRule type="expression" dxfId="3700" priority="130">
      <formula>AND(IF($Q173=3,1,IF($Q173=4,1,0)),IF($F173&lt;=85,1,0))</formula>
    </cfRule>
  </conditionalFormatting>
  <conditionalFormatting sqref="AV174">
    <cfRule type="expression" dxfId="3699" priority="125">
      <formula>AV174="X"</formula>
    </cfRule>
    <cfRule type="expression" dxfId="3698" priority="126">
      <formula>AV174="후보"</formula>
    </cfRule>
  </conditionalFormatting>
  <conditionalFormatting sqref="AC174">
    <cfRule type="cellIs" dxfId="3697" priority="123" operator="greaterThan">
      <formula>0.9</formula>
    </cfRule>
    <cfRule type="cellIs" dxfId="3696" priority="124" operator="greaterThan">
      <formula>0.85</formula>
    </cfRule>
  </conditionalFormatting>
  <conditionalFormatting sqref="N174">
    <cfRule type="cellIs" dxfId="3695" priority="121" operator="greaterThan">
      <formula>0.9</formula>
    </cfRule>
    <cfRule type="cellIs" dxfId="3694" priority="122" operator="greaterThan">
      <formula>0.85</formula>
    </cfRule>
  </conditionalFormatting>
  <conditionalFormatting sqref="E174">
    <cfRule type="expression" dxfId="3693" priority="117">
      <formula>AND(IF(OR($Q174=1,$Q174=2),1,0),IF($X174&lt;=20,1,0))</formula>
    </cfRule>
    <cfRule type="expression" dxfId="3692" priority="118">
      <formula>AND(IF($Q174=2,1,0),IF($X174&lt;30,1,0))</formula>
    </cfRule>
    <cfRule type="expression" dxfId="3691" priority="119">
      <formula>AND(IF($Q174=3,1,0),IF($X174&lt;30,1,0))</formula>
    </cfRule>
    <cfRule type="expression" dxfId="3690" priority="120">
      <formula>AND(IF($Q174=3,1,IF($Q174=4,1,0)),IF($F174&lt;=85,1,0))</formula>
    </cfRule>
  </conditionalFormatting>
  <conditionalFormatting sqref="X174">
    <cfRule type="expression" dxfId="3689" priority="113">
      <formula>AND(IF(OR($Q174=1,$Q174=2),1,0),IF($X174&lt;=20,1,0))</formula>
    </cfRule>
    <cfRule type="expression" dxfId="3688" priority="114">
      <formula>AND(IF($Q174=2,1,0),IF($X174&lt;30,1,0))</formula>
    </cfRule>
    <cfRule type="expression" dxfId="3687" priority="115">
      <formula>AND(IF($Q174=3,1,0),IF($X174&lt;30,1,0))</formula>
    </cfRule>
    <cfRule type="expression" dxfId="3686" priority="116">
      <formula>AND(IF($Q174=3,1,IF($Q174=4,1,0)),IF($F174&lt;=85,1,0))</formula>
    </cfRule>
  </conditionalFormatting>
  <conditionalFormatting sqref="AI174">
    <cfRule type="expression" dxfId="3685" priority="109">
      <formula>AND(IF(OR($Q174=1,$Q174=2),1,0),IF($X174&lt;=20,1,0))</formula>
    </cfRule>
    <cfRule type="expression" dxfId="3684" priority="110">
      <formula>AND(IF($Q174=2,1,0),IF($X174&lt;30,1,0))</formula>
    </cfRule>
    <cfRule type="expression" dxfId="3683" priority="111">
      <formula>AND(IF($Q174=3,1,0),IF($X174&lt;30,1,0))</formula>
    </cfRule>
    <cfRule type="expression" dxfId="3682" priority="112">
      <formula>AND(IF($Q174=3,1,IF($Q174=4,1,0)),IF($F174&lt;=85,1,0))</formula>
    </cfRule>
  </conditionalFormatting>
  <conditionalFormatting sqref="AV175">
    <cfRule type="expression" dxfId="3681" priority="107">
      <formula>AV175="X"</formula>
    </cfRule>
    <cfRule type="expression" dxfId="3680" priority="108">
      <formula>AV175="후보"</formula>
    </cfRule>
  </conditionalFormatting>
  <conditionalFormatting sqref="AC175">
    <cfRule type="cellIs" dxfId="3679" priority="105" operator="greaterThan">
      <formula>0.9</formula>
    </cfRule>
    <cfRule type="cellIs" dxfId="3678" priority="106" operator="greaterThan">
      <formula>0.85</formula>
    </cfRule>
  </conditionalFormatting>
  <conditionalFormatting sqref="N175">
    <cfRule type="cellIs" dxfId="3677" priority="103" operator="greaterThan">
      <formula>0.9</formula>
    </cfRule>
    <cfRule type="cellIs" dxfId="3676" priority="104" operator="greaterThan">
      <formula>0.85</formula>
    </cfRule>
  </conditionalFormatting>
  <conditionalFormatting sqref="E175">
    <cfRule type="expression" dxfId="3675" priority="99">
      <formula>AND(IF(OR($Q175=1,$Q175=2),1,0),IF($X175&lt;=20,1,0))</formula>
    </cfRule>
    <cfRule type="expression" dxfId="3674" priority="100">
      <formula>AND(IF($Q175=2,1,0),IF($X175&lt;30,1,0))</formula>
    </cfRule>
    <cfRule type="expression" dxfId="3673" priority="101">
      <formula>AND(IF($Q175=3,1,0),IF($X175&lt;30,1,0))</formula>
    </cfRule>
    <cfRule type="expression" dxfId="3672" priority="102">
      <formula>AND(IF($Q175=3,1,IF($Q175=4,1,0)),IF($F175&lt;=85,1,0))</formula>
    </cfRule>
  </conditionalFormatting>
  <conditionalFormatting sqref="X175">
    <cfRule type="expression" dxfId="3671" priority="95">
      <formula>AND(IF(OR($Q175=1,$Q175=2),1,0),IF($X175&lt;=20,1,0))</formula>
    </cfRule>
    <cfRule type="expression" dxfId="3670" priority="96">
      <formula>AND(IF($Q175=2,1,0),IF($X175&lt;30,1,0))</formula>
    </cfRule>
    <cfRule type="expression" dxfId="3669" priority="97">
      <formula>AND(IF($Q175=3,1,0),IF($X175&lt;30,1,0))</formula>
    </cfRule>
    <cfRule type="expression" dxfId="3668" priority="98">
      <formula>AND(IF($Q175=3,1,IF($Q175=4,1,0)),IF($F175&lt;=85,1,0))</formula>
    </cfRule>
  </conditionalFormatting>
  <conditionalFormatting sqref="AI175">
    <cfRule type="expression" dxfId="3667" priority="91">
      <formula>AND(IF(OR($Q175=1,$Q175=2),1,0),IF($X175&lt;=20,1,0))</formula>
    </cfRule>
    <cfRule type="expression" dxfId="3666" priority="92">
      <formula>AND(IF($Q175=2,1,0),IF($X175&lt;30,1,0))</formula>
    </cfRule>
    <cfRule type="expression" dxfId="3665" priority="93">
      <formula>AND(IF($Q175=3,1,0),IF($X175&lt;30,1,0))</formula>
    </cfRule>
    <cfRule type="expression" dxfId="3664" priority="94">
      <formula>AND(IF($Q175=3,1,IF($Q175=4,1,0)),IF($F175&lt;=85,1,0))</formula>
    </cfRule>
  </conditionalFormatting>
  <conditionalFormatting sqref="AV176">
    <cfRule type="expression" dxfId="3663" priority="89">
      <formula>AV176="X"</formula>
    </cfRule>
    <cfRule type="expression" dxfId="3662" priority="90">
      <formula>AV176="후보"</formula>
    </cfRule>
  </conditionalFormatting>
  <conditionalFormatting sqref="AC176">
    <cfRule type="cellIs" dxfId="3661" priority="87" operator="greaterThan">
      <formula>0.9</formula>
    </cfRule>
    <cfRule type="cellIs" dxfId="3660" priority="88" operator="greaterThan">
      <formula>0.85</formula>
    </cfRule>
  </conditionalFormatting>
  <conditionalFormatting sqref="N176">
    <cfRule type="cellIs" dxfId="3659" priority="85" operator="greaterThan">
      <formula>0.9</formula>
    </cfRule>
    <cfRule type="cellIs" dxfId="3658" priority="86" operator="greaterThan">
      <formula>0.85</formula>
    </cfRule>
  </conditionalFormatting>
  <conditionalFormatting sqref="E176">
    <cfRule type="expression" dxfId="3657" priority="81">
      <formula>AND(IF(OR($Q176=1,$Q176=2),1,0),IF($X176&lt;=20,1,0))</formula>
    </cfRule>
    <cfRule type="expression" dxfId="3656" priority="82">
      <formula>AND(IF($Q176=2,1,0),IF($X176&lt;30,1,0))</formula>
    </cfRule>
    <cfRule type="expression" dxfId="3655" priority="83">
      <formula>AND(IF($Q176=3,1,0),IF($X176&lt;30,1,0))</formula>
    </cfRule>
    <cfRule type="expression" dxfId="3654" priority="84">
      <formula>AND(IF($Q176=3,1,IF($Q176=4,1,0)),IF($F176&lt;=85,1,0))</formula>
    </cfRule>
  </conditionalFormatting>
  <conditionalFormatting sqref="X176">
    <cfRule type="expression" dxfId="3653" priority="77">
      <formula>AND(IF(OR($Q176=1,$Q176=2),1,0),IF($X176&lt;=20,1,0))</formula>
    </cfRule>
    <cfRule type="expression" dxfId="3652" priority="78">
      <formula>AND(IF($Q176=2,1,0),IF($X176&lt;30,1,0))</formula>
    </cfRule>
    <cfRule type="expression" dxfId="3651" priority="79">
      <formula>AND(IF($Q176=3,1,0),IF($X176&lt;30,1,0))</formula>
    </cfRule>
    <cfRule type="expression" dxfId="3650" priority="80">
      <formula>AND(IF($Q176=3,1,IF($Q176=4,1,0)),IF($F176&lt;=85,1,0))</formula>
    </cfRule>
  </conditionalFormatting>
  <conditionalFormatting sqref="AI176">
    <cfRule type="expression" dxfId="3649" priority="73">
      <formula>AND(IF(OR($Q176=1,$Q176=2),1,0),IF($X176&lt;=20,1,0))</formula>
    </cfRule>
    <cfRule type="expression" dxfId="3648" priority="74">
      <formula>AND(IF($Q176=2,1,0),IF($X176&lt;30,1,0))</formula>
    </cfRule>
    <cfRule type="expression" dxfId="3647" priority="75">
      <formula>AND(IF($Q176=3,1,0),IF($X176&lt;30,1,0))</formula>
    </cfRule>
    <cfRule type="expression" dxfId="3646" priority="76">
      <formula>AND(IF($Q176=3,1,IF($Q176=4,1,0)),IF($F176&lt;=85,1,0))</formula>
    </cfRule>
  </conditionalFormatting>
  <conditionalFormatting sqref="AV177">
    <cfRule type="expression" dxfId="3645" priority="71">
      <formula>AV177="X"</formula>
    </cfRule>
    <cfRule type="expression" dxfId="3644" priority="72">
      <formula>AV177="후보"</formula>
    </cfRule>
  </conditionalFormatting>
  <conditionalFormatting sqref="AC177">
    <cfRule type="cellIs" dxfId="3643" priority="69" operator="greaterThan">
      <formula>0.9</formula>
    </cfRule>
    <cfRule type="cellIs" dxfId="3642" priority="70" operator="greaterThan">
      <formula>0.85</formula>
    </cfRule>
  </conditionalFormatting>
  <conditionalFormatting sqref="N177">
    <cfRule type="cellIs" dxfId="3641" priority="67" operator="greaterThan">
      <formula>0.9</formula>
    </cfRule>
    <cfRule type="cellIs" dxfId="3640" priority="68" operator="greaterThan">
      <formula>0.85</formula>
    </cfRule>
  </conditionalFormatting>
  <conditionalFormatting sqref="E177">
    <cfRule type="expression" dxfId="3639" priority="63">
      <formula>AND(IF(OR($Q177=1,$Q177=2),1,0),IF($X177&lt;=20,1,0))</formula>
    </cfRule>
    <cfRule type="expression" dxfId="3638" priority="64">
      <formula>AND(IF($Q177=2,1,0),IF($X177&lt;30,1,0))</formula>
    </cfRule>
    <cfRule type="expression" dxfId="3637" priority="65">
      <formula>AND(IF($Q177=3,1,0),IF($X177&lt;30,1,0))</formula>
    </cfRule>
    <cfRule type="expression" dxfId="3636" priority="66">
      <formula>AND(IF($Q177=3,1,IF($Q177=4,1,0)),IF($F177&lt;=85,1,0))</formula>
    </cfRule>
  </conditionalFormatting>
  <conditionalFormatting sqref="X177">
    <cfRule type="expression" dxfId="3635" priority="59">
      <formula>AND(IF(OR($Q177=1,$Q177=2),1,0),IF($X177&lt;=20,1,0))</formula>
    </cfRule>
    <cfRule type="expression" dxfId="3634" priority="60">
      <formula>AND(IF($Q177=2,1,0),IF($X177&lt;30,1,0))</formula>
    </cfRule>
    <cfRule type="expression" dxfId="3633" priority="61">
      <formula>AND(IF($Q177=3,1,0),IF($X177&lt;30,1,0))</formula>
    </cfRule>
    <cfRule type="expression" dxfId="3632" priority="62">
      <formula>AND(IF($Q177=3,1,IF($Q177=4,1,0)),IF($F177&lt;=85,1,0))</formula>
    </cfRule>
  </conditionalFormatting>
  <conditionalFormatting sqref="AI177">
    <cfRule type="expression" dxfId="3631" priority="55">
      <formula>AND(IF(OR($Q177=1,$Q177=2),1,0),IF($X177&lt;=20,1,0))</formula>
    </cfRule>
    <cfRule type="expression" dxfId="3630" priority="56">
      <formula>AND(IF($Q177=2,1,0),IF($X177&lt;30,1,0))</formula>
    </cfRule>
    <cfRule type="expression" dxfId="3629" priority="57">
      <formula>AND(IF($Q177=3,1,0),IF($X177&lt;30,1,0))</formula>
    </cfRule>
    <cfRule type="expression" dxfId="3628" priority="58">
      <formula>AND(IF($Q177=3,1,IF($Q177=4,1,0)),IF($F177&lt;=85,1,0))</formula>
    </cfRule>
  </conditionalFormatting>
  <conditionalFormatting sqref="AV178">
    <cfRule type="expression" dxfId="3627" priority="53">
      <formula>AV178="X"</formula>
    </cfRule>
    <cfRule type="expression" dxfId="3626" priority="54">
      <formula>AV178="후보"</formula>
    </cfRule>
  </conditionalFormatting>
  <conditionalFormatting sqref="AC178">
    <cfRule type="cellIs" dxfId="3625" priority="51" operator="greaterThan">
      <formula>0.9</formula>
    </cfRule>
    <cfRule type="cellIs" dxfId="3624" priority="52" operator="greaterThan">
      <formula>0.85</formula>
    </cfRule>
  </conditionalFormatting>
  <conditionalFormatting sqref="N178">
    <cfRule type="cellIs" dxfId="3623" priority="49" operator="greaterThan">
      <formula>0.9</formula>
    </cfRule>
    <cfRule type="cellIs" dxfId="3622" priority="50" operator="greaterThan">
      <formula>0.85</formula>
    </cfRule>
  </conditionalFormatting>
  <conditionalFormatting sqref="E178">
    <cfRule type="expression" dxfId="3621" priority="45">
      <formula>AND(IF(OR($Q178=1,$Q178=2),1,0),IF($X178&lt;=20,1,0))</formula>
    </cfRule>
    <cfRule type="expression" dxfId="3620" priority="46">
      <formula>AND(IF($Q178=2,1,0),IF($X178&lt;30,1,0))</formula>
    </cfRule>
    <cfRule type="expression" dxfId="3619" priority="47">
      <formula>AND(IF($Q178=3,1,0),IF($X178&lt;30,1,0))</formula>
    </cfRule>
    <cfRule type="expression" dxfId="3618" priority="48">
      <formula>AND(IF($Q178=3,1,IF($Q178=4,1,0)),IF($F178&lt;=85,1,0))</formula>
    </cfRule>
  </conditionalFormatting>
  <conditionalFormatting sqref="X178">
    <cfRule type="expression" dxfId="3617" priority="41">
      <formula>AND(IF(OR($Q178=1,$Q178=2),1,0),IF($X178&lt;=20,1,0))</formula>
    </cfRule>
    <cfRule type="expression" dxfId="3616" priority="42">
      <formula>AND(IF($Q178=2,1,0),IF($X178&lt;30,1,0))</formula>
    </cfRule>
    <cfRule type="expression" dxfId="3615" priority="43">
      <formula>AND(IF($Q178=3,1,0),IF($X178&lt;30,1,0))</formula>
    </cfRule>
    <cfRule type="expression" dxfId="3614" priority="44">
      <formula>AND(IF($Q178=3,1,IF($Q178=4,1,0)),IF($F178&lt;=85,1,0))</formula>
    </cfRule>
  </conditionalFormatting>
  <conditionalFormatting sqref="AI178">
    <cfRule type="expression" dxfId="3613" priority="37">
      <formula>AND(IF(OR($Q178=1,$Q178=2),1,0),IF($X178&lt;=20,1,0))</formula>
    </cfRule>
    <cfRule type="expression" dxfId="3612" priority="38">
      <formula>AND(IF($Q178=2,1,0),IF($X178&lt;30,1,0))</formula>
    </cfRule>
    <cfRule type="expression" dxfId="3611" priority="39">
      <formula>AND(IF($Q178=3,1,0),IF($X178&lt;30,1,0))</formula>
    </cfRule>
    <cfRule type="expression" dxfId="3610" priority="40">
      <formula>AND(IF($Q178=3,1,IF($Q178=4,1,0)),IF($F178&lt;=85,1,0))</formula>
    </cfRule>
  </conditionalFormatting>
  <conditionalFormatting sqref="AV179">
    <cfRule type="expression" dxfId="3609" priority="35">
      <formula>AV179="X"</formula>
    </cfRule>
    <cfRule type="expression" dxfId="3608" priority="36">
      <formula>AV179="후보"</formula>
    </cfRule>
  </conditionalFormatting>
  <conditionalFormatting sqref="AC179">
    <cfRule type="cellIs" dxfId="3607" priority="33" operator="greaterThan">
      <formula>0.9</formula>
    </cfRule>
    <cfRule type="cellIs" dxfId="3606" priority="34" operator="greaterThan">
      <formula>0.85</formula>
    </cfRule>
  </conditionalFormatting>
  <conditionalFormatting sqref="N179">
    <cfRule type="cellIs" dxfId="3605" priority="31" operator="greaterThan">
      <formula>0.9</formula>
    </cfRule>
    <cfRule type="cellIs" dxfId="3604" priority="32" operator="greaterThan">
      <formula>0.85</formula>
    </cfRule>
  </conditionalFormatting>
  <conditionalFormatting sqref="E179">
    <cfRule type="expression" dxfId="3603" priority="27">
      <formula>AND(IF(OR($Q179=1,$Q179=2),1,0),IF($X179&lt;=20,1,0))</formula>
    </cfRule>
    <cfRule type="expression" dxfId="3602" priority="28">
      <formula>AND(IF($Q179=2,1,0),IF($X179&lt;30,1,0))</formula>
    </cfRule>
    <cfRule type="expression" dxfId="3601" priority="29">
      <formula>AND(IF($Q179=3,1,0),IF($X179&lt;30,1,0))</formula>
    </cfRule>
    <cfRule type="expression" dxfId="3600" priority="30">
      <formula>AND(IF($Q179=3,1,IF($Q179=4,1,0)),IF($F179&lt;=85,1,0))</formula>
    </cfRule>
  </conditionalFormatting>
  <conditionalFormatting sqref="X179">
    <cfRule type="expression" dxfId="3599" priority="23">
      <formula>AND(IF(OR($Q179=1,$Q179=2),1,0),IF($X179&lt;=20,1,0))</formula>
    </cfRule>
    <cfRule type="expression" dxfId="3598" priority="24">
      <formula>AND(IF($Q179=2,1,0),IF($X179&lt;30,1,0))</formula>
    </cfRule>
    <cfRule type="expression" dxfId="3597" priority="25">
      <formula>AND(IF($Q179=3,1,0),IF($X179&lt;30,1,0))</formula>
    </cfRule>
    <cfRule type="expression" dxfId="3596" priority="26">
      <formula>AND(IF($Q179=3,1,IF($Q179=4,1,0)),IF($F179&lt;=85,1,0))</formula>
    </cfRule>
  </conditionalFormatting>
  <conditionalFormatting sqref="AI179">
    <cfRule type="expression" dxfId="3595" priority="19">
      <formula>AND(IF(OR($Q179=1,$Q179=2),1,0),IF($X179&lt;=20,1,0))</formula>
    </cfRule>
    <cfRule type="expression" dxfId="3594" priority="20">
      <formula>AND(IF($Q179=2,1,0),IF($X179&lt;30,1,0))</formula>
    </cfRule>
    <cfRule type="expression" dxfId="3593" priority="21">
      <formula>AND(IF($Q179=3,1,0),IF($X179&lt;30,1,0))</formula>
    </cfRule>
    <cfRule type="expression" dxfId="3592" priority="22">
      <formula>AND(IF($Q179=3,1,IF($Q179=4,1,0)),IF($F179&lt;=85,1,0))</formula>
    </cfRule>
  </conditionalFormatting>
  <conditionalFormatting sqref="AV180">
    <cfRule type="expression" dxfId="3591" priority="17">
      <formula>AV180="X"</formula>
    </cfRule>
    <cfRule type="expression" dxfId="3590" priority="18">
      <formula>AV180="후보"</formula>
    </cfRule>
  </conditionalFormatting>
  <conditionalFormatting sqref="AC180">
    <cfRule type="cellIs" dxfId="3589" priority="15" operator="greaterThan">
      <formula>0.9</formula>
    </cfRule>
    <cfRule type="cellIs" dxfId="3588" priority="16" operator="greaterThan">
      <formula>0.85</formula>
    </cfRule>
  </conditionalFormatting>
  <conditionalFormatting sqref="N180">
    <cfRule type="cellIs" dxfId="3587" priority="13" operator="greaterThan">
      <formula>0.9</formula>
    </cfRule>
    <cfRule type="cellIs" dxfId="3586" priority="14" operator="greaterThan">
      <formula>0.85</formula>
    </cfRule>
  </conditionalFormatting>
  <conditionalFormatting sqref="E180">
    <cfRule type="expression" dxfId="3585" priority="9">
      <formula>AND(IF(OR($Q180=1,$Q180=2),1,0),IF($X180&lt;=20,1,0))</formula>
    </cfRule>
    <cfRule type="expression" dxfId="3584" priority="10">
      <formula>AND(IF($Q180=2,1,0),IF($X180&lt;30,1,0))</formula>
    </cfRule>
    <cfRule type="expression" dxfId="3583" priority="11">
      <formula>AND(IF($Q180=3,1,0),IF($X180&lt;30,1,0))</formula>
    </cfRule>
    <cfRule type="expression" dxfId="3582" priority="12">
      <formula>AND(IF($Q180=3,1,IF($Q180=4,1,0)),IF($F180&lt;=85,1,0))</formula>
    </cfRule>
  </conditionalFormatting>
  <conditionalFormatting sqref="X180">
    <cfRule type="expression" dxfId="3581" priority="5">
      <formula>AND(IF(OR($Q180=1,$Q180=2),1,0),IF($X180&lt;=20,1,0))</formula>
    </cfRule>
    <cfRule type="expression" dxfId="3580" priority="6">
      <formula>AND(IF($Q180=2,1,0),IF($X180&lt;30,1,0))</formula>
    </cfRule>
    <cfRule type="expression" dxfId="3579" priority="7">
      <formula>AND(IF($Q180=3,1,0),IF($X180&lt;30,1,0))</formula>
    </cfRule>
    <cfRule type="expression" dxfId="3578" priority="8">
      <formula>AND(IF($Q180=3,1,IF($Q180=4,1,0)),IF($F180&lt;=85,1,0))</formula>
    </cfRule>
  </conditionalFormatting>
  <conditionalFormatting sqref="AI180">
    <cfRule type="expression" dxfId="3577" priority="1">
      <formula>AND(IF(OR($Q180=1,$Q180=2),1,0),IF($X180&lt;=20,1,0))</formula>
    </cfRule>
    <cfRule type="expression" dxfId="3576" priority="2">
      <formula>AND(IF($Q180=2,1,0),IF($X180&lt;30,1,0))</formula>
    </cfRule>
    <cfRule type="expression" dxfId="3575" priority="3">
      <formula>AND(IF($Q180=3,1,0),IF($X180&lt;30,1,0))</formula>
    </cfRule>
    <cfRule type="expression" dxfId="3574" priority="4">
      <formula>AND(IF($Q180=3,1,IF($Q180=4,1,0)),IF($F180&lt;=85,1,0))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34" activePane="bottomRight" state="frozen"/>
      <selection activeCell="U15" sqref="U15"/>
      <selection pane="topRight" activeCell="U15" sqref="U15"/>
      <selection pane="bottomLeft" activeCell="U15" sqref="U15"/>
      <selection pane="bottomRight" activeCell="U63" sqref="U63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9" style="77" customWidth="1"/>
    <col min="23" max="16384" width="9" style="25"/>
  </cols>
  <sheetData>
    <row r="1" spans="1:22" ht="17.25" customHeight="1" x14ac:dyDescent="0.3">
      <c r="A1" s="24" t="str">
        <f>단지추출!A1</f>
        <v>창원시 의창구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4" t="s">
        <v>69</v>
      </c>
      <c r="M1"/>
      <c r="N1" s="115" t="s">
        <v>3</v>
      </c>
      <c r="O1" s="114"/>
      <c r="P1" s="79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8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8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8" t="s">
        <v>40</v>
      </c>
      <c r="V3" s="25"/>
    </row>
    <row r="4" spans="1:22" s="38" customFormat="1" ht="12" x14ac:dyDescent="0.3">
      <c r="A4" s="110" t="s">
        <v>1004</v>
      </c>
      <c r="B4" s="111" t="s">
        <v>1005</v>
      </c>
      <c r="C4" s="112">
        <v>225</v>
      </c>
      <c r="D4" s="104">
        <v>64</v>
      </c>
      <c r="E4" s="106">
        <v>19</v>
      </c>
      <c r="F4" s="104">
        <v>49.4</v>
      </c>
      <c r="G4" s="17">
        <v>15</v>
      </c>
      <c r="H4" s="107">
        <v>225</v>
      </c>
      <c r="I4" s="108"/>
      <c r="J4" s="108"/>
      <c r="K4" s="108"/>
      <c r="L4" s="108"/>
      <c r="M4" s="109">
        <f>I4-K4</f>
        <v>0</v>
      </c>
      <c r="N4" s="4" t="str">
        <f>IF(ISERROR(K4/I4),"",K4/I4)</f>
        <v/>
      </c>
      <c r="O4" s="105">
        <f>I4/E4</f>
        <v>0</v>
      </c>
      <c r="P4" s="105">
        <f>K4/E4</f>
        <v>0</v>
      </c>
      <c r="Q4" s="75">
        <v>3</v>
      </c>
      <c r="R4" s="75">
        <v>1</v>
      </c>
      <c r="S4" s="75" t="s">
        <v>943</v>
      </c>
      <c r="T4" s="5">
        <v>63</v>
      </c>
      <c r="U4" s="9"/>
    </row>
    <row r="5" spans="1:22" s="38" customFormat="1" ht="12" x14ac:dyDescent="0.3">
      <c r="A5" s="110" t="s">
        <v>1069</v>
      </c>
      <c r="B5" s="111" t="s">
        <v>1006</v>
      </c>
      <c r="C5" s="112">
        <v>515</v>
      </c>
      <c r="D5" s="104">
        <v>94.6</v>
      </c>
      <c r="E5" s="106">
        <v>29</v>
      </c>
      <c r="F5" s="104">
        <v>68.8</v>
      </c>
      <c r="G5" s="17">
        <v>21</v>
      </c>
      <c r="H5" s="107">
        <v>263</v>
      </c>
      <c r="I5" s="108"/>
      <c r="J5" s="108"/>
      <c r="K5" s="108"/>
      <c r="L5" s="108"/>
      <c r="M5" s="109">
        <f>I5-K5</f>
        <v>0</v>
      </c>
      <c r="N5" s="4" t="str">
        <f>IF(ISERROR(K5/I5),"",K5/I5)</f>
        <v/>
      </c>
      <c r="O5" s="105">
        <f>I5/E5</f>
        <v>0</v>
      </c>
      <c r="P5" s="105">
        <f>K5/E5</f>
        <v>0</v>
      </c>
      <c r="Q5" s="75">
        <v>3</v>
      </c>
      <c r="R5" s="75">
        <v>2</v>
      </c>
      <c r="S5" s="75" t="s">
        <v>947</v>
      </c>
      <c r="T5" s="5">
        <v>94</v>
      </c>
      <c r="U5" s="9"/>
    </row>
    <row r="6" spans="1:22" s="38" customFormat="1" ht="12" x14ac:dyDescent="0.3">
      <c r="A6" s="110" t="s">
        <v>1068</v>
      </c>
      <c r="B6" s="111" t="s">
        <v>1141</v>
      </c>
      <c r="C6" s="112">
        <v>515</v>
      </c>
      <c r="D6" s="104">
        <v>116.3</v>
      </c>
      <c r="E6" s="106">
        <v>35</v>
      </c>
      <c r="F6" s="104">
        <v>84.9</v>
      </c>
      <c r="G6" s="17">
        <v>26</v>
      </c>
      <c r="H6" s="107">
        <v>106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4</v>
      </c>
      <c r="R6" s="75">
        <v>2</v>
      </c>
      <c r="S6" s="75" t="s">
        <v>947</v>
      </c>
      <c r="T6" s="5">
        <v>116</v>
      </c>
      <c r="U6" s="9"/>
    </row>
    <row r="7" spans="1:22" s="38" customFormat="1" ht="12" x14ac:dyDescent="0.3">
      <c r="A7" s="110" t="s">
        <v>1070</v>
      </c>
      <c r="B7" s="111" t="s">
        <v>1007</v>
      </c>
      <c r="C7" s="112">
        <v>325</v>
      </c>
      <c r="D7" s="104">
        <v>48.8</v>
      </c>
      <c r="E7" s="106">
        <v>15</v>
      </c>
      <c r="F7" s="104">
        <v>42.6</v>
      </c>
      <c r="G7" s="17">
        <v>13</v>
      </c>
      <c r="H7" s="107">
        <v>50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2</v>
      </c>
      <c r="R7" s="75">
        <v>1</v>
      </c>
      <c r="S7" s="75" t="s">
        <v>947</v>
      </c>
      <c r="T7" s="5">
        <v>48</v>
      </c>
      <c r="U7" s="9"/>
    </row>
    <row r="8" spans="1:22" s="38" customFormat="1" ht="12" x14ac:dyDescent="0.3">
      <c r="A8" s="110" t="s">
        <v>1070</v>
      </c>
      <c r="B8" s="111" t="s">
        <v>1007</v>
      </c>
      <c r="C8" s="112">
        <v>325</v>
      </c>
      <c r="D8" s="104">
        <v>58.7</v>
      </c>
      <c r="E8" s="106">
        <v>18</v>
      </c>
      <c r="F8" s="104">
        <v>52.2</v>
      </c>
      <c r="G8" s="17">
        <v>16</v>
      </c>
      <c r="H8" s="107">
        <v>200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2</v>
      </c>
      <c r="R8" s="75">
        <v>1</v>
      </c>
      <c r="S8" s="75" t="s">
        <v>947</v>
      </c>
      <c r="T8" s="5">
        <v>58</v>
      </c>
      <c r="U8" s="9"/>
    </row>
    <row r="9" spans="1:22" s="38" customFormat="1" ht="12" x14ac:dyDescent="0.3">
      <c r="A9" s="110" t="s">
        <v>1142</v>
      </c>
      <c r="B9" s="111" t="s">
        <v>1075</v>
      </c>
      <c r="C9" s="112">
        <v>275</v>
      </c>
      <c r="D9" s="104">
        <v>76.8</v>
      </c>
      <c r="E9" s="106">
        <v>23</v>
      </c>
      <c r="F9" s="104">
        <v>59.9</v>
      </c>
      <c r="G9" s="17">
        <v>18</v>
      </c>
      <c r="H9" s="107">
        <v>121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3</v>
      </c>
      <c r="R9" s="75">
        <v>1</v>
      </c>
      <c r="S9" s="75" t="s">
        <v>947</v>
      </c>
      <c r="T9" s="5">
        <v>76</v>
      </c>
      <c r="U9" s="9"/>
    </row>
    <row r="10" spans="1:22" s="38" customFormat="1" ht="12" x14ac:dyDescent="0.3">
      <c r="A10" s="110" t="s">
        <v>1142</v>
      </c>
      <c r="B10" s="111" t="s">
        <v>1075</v>
      </c>
      <c r="C10" s="112">
        <v>275</v>
      </c>
      <c r="D10" s="104">
        <v>101.3</v>
      </c>
      <c r="E10" s="106">
        <v>31</v>
      </c>
      <c r="F10" s="104">
        <v>79</v>
      </c>
      <c r="G10" s="17">
        <v>24</v>
      </c>
      <c r="H10" s="107">
        <v>40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3</v>
      </c>
      <c r="R10" s="75">
        <v>1</v>
      </c>
      <c r="S10" s="75" t="s">
        <v>947</v>
      </c>
      <c r="T10" s="5">
        <v>101</v>
      </c>
      <c r="U10" s="9"/>
    </row>
    <row r="11" spans="1:22" s="38" customFormat="1" ht="12" x14ac:dyDescent="0.3">
      <c r="A11" s="110" t="s">
        <v>1142</v>
      </c>
      <c r="B11" s="111" t="s">
        <v>1075</v>
      </c>
      <c r="C11" s="112">
        <v>275</v>
      </c>
      <c r="D11" s="104">
        <v>108.9</v>
      </c>
      <c r="E11" s="106">
        <v>33</v>
      </c>
      <c r="F11" s="104">
        <v>85</v>
      </c>
      <c r="G11" s="17">
        <v>26</v>
      </c>
      <c r="H11" s="107">
        <v>114</v>
      </c>
      <c r="I11" s="108"/>
      <c r="J11" s="108"/>
      <c r="K11" s="108"/>
      <c r="L11" s="108"/>
      <c r="M11" s="109">
        <f>I11-K11</f>
        <v>0</v>
      </c>
      <c r="N11" s="4" t="str">
        <f>IF(ISERROR(K11/I11),"",K11/I11)</f>
        <v/>
      </c>
      <c r="O11" s="105">
        <f>I11/E11</f>
        <v>0</v>
      </c>
      <c r="P11" s="105">
        <f>K11/E11</f>
        <v>0</v>
      </c>
      <c r="Q11" s="75">
        <v>3</v>
      </c>
      <c r="R11" s="75">
        <v>2</v>
      </c>
      <c r="S11" s="75" t="s">
        <v>947</v>
      </c>
      <c r="T11" s="5">
        <v>108</v>
      </c>
      <c r="U11" s="9"/>
    </row>
    <row r="12" spans="1:22" s="38" customFormat="1" ht="12" x14ac:dyDescent="0.3">
      <c r="A12" s="110" t="s">
        <v>1010</v>
      </c>
      <c r="B12" s="111" t="s">
        <v>1143</v>
      </c>
      <c r="C12" s="112">
        <v>220</v>
      </c>
      <c r="D12" s="104">
        <v>72.599999999999994</v>
      </c>
      <c r="E12" s="106">
        <v>22</v>
      </c>
      <c r="F12" s="104">
        <v>66.400000000000006</v>
      </c>
      <c r="G12" s="17">
        <v>20</v>
      </c>
      <c r="H12" s="107">
        <v>78</v>
      </c>
      <c r="I12" s="108"/>
      <c r="J12" s="108"/>
      <c r="K12" s="108"/>
      <c r="L12" s="108"/>
      <c r="M12" s="109">
        <f>I12-K12</f>
        <v>0</v>
      </c>
      <c r="N12" s="4" t="str">
        <f>IF(ISERROR(K12/I12),"",K12/I12)</f>
        <v/>
      </c>
      <c r="O12" s="105">
        <f>I12/E12</f>
        <v>0</v>
      </c>
      <c r="P12" s="105">
        <f>K12/E12</f>
        <v>0</v>
      </c>
      <c r="Q12" s="75">
        <v>3</v>
      </c>
      <c r="R12" s="75">
        <v>1</v>
      </c>
      <c r="S12" s="75" t="s">
        <v>947</v>
      </c>
      <c r="T12" s="5">
        <v>72</v>
      </c>
      <c r="U12" s="9"/>
    </row>
    <row r="13" spans="1:22" s="38" customFormat="1" ht="12" x14ac:dyDescent="0.3">
      <c r="A13" s="110" t="s">
        <v>1008</v>
      </c>
      <c r="B13" s="111" t="s">
        <v>1009</v>
      </c>
      <c r="C13" s="112">
        <v>220</v>
      </c>
      <c r="D13" s="104">
        <v>81.7</v>
      </c>
      <c r="E13" s="106">
        <v>25</v>
      </c>
      <c r="F13" s="104">
        <v>75.400000000000006</v>
      </c>
      <c r="G13" s="17">
        <v>23</v>
      </c>
      <c r="H13" s="107">
        <v>40</v>
      </c>
      <c r="I13" s="108"/>
      <c r="J13" s="108"/>
      <c r="K13" s="108"/>
      <c r="L13" s="108"/>
      <c r="M13" s="109">
        <f>I13-K13</f>
        <v>0</v>
      </c>
      <c r="N13" s="4" t="str">
        <f>IF(ISERROR(K13/I13),"",K13/I13)</f>
        <v/>
      </c>
      <c r="O13" s="105">
        <f>I13/E13</f>
        <v>0</v>
      </c>
      <c r="P13" s="105">
        <f>K13/E13</f>
        <v>0</v>
      </c>
      <c r="Q13" s="75">
        <v>3</v>
      </c>
      <c r="R13" s="75">
        <v>1</v>
      </c>
      <c r="S13" s="75" t="s">
        <v>947</v>
      </c>
      <c r="T13" s="5">
        <v>81</v>
      </c>
      <c r="U13" s="9"/>
    </row>
    <row r="14" spans="1:22" s="38" customFormat="1" ht="12" x14ac:dyDescent="0.3">
      <c r="A14" s="110" t="s">
        <v>1011</v>
      </c>
      <c r="B14" s="111" t="s">
        <v>1144</v>
      </c>
      <c r="C14" s="112">
        <v>254</v>
      </c>
      <c r="D14" s="104">
        <v>56.2</v>
      </c>
      <c r="E14" s="106">
        <v>17</v>
      </c>
      <c r="F14" s="104">
        <v>41.8</v>
      </c>
      <c r="G14" s="17">
        <v>13</v>
      </c>
      <c r="H14" s="107">
        <v>32</v>
      </c>
      <c r="I14" s="108"/>
      <c r="J14" s="108"/>
      <c r="K14" s="108"/>
      <c r="L14" s="108"/>
      <c r="M14" s="109">
        <f>I14-K14</f>
        <v>0</v>
      </c>
      <c r="N14" s="4" t="str">
        <f>IF(ISERROR(K14/I14),"",K14/I14)</f>
        <v/>
      </c>
      <c r="O14" s="105">
        <f>I14/E14</f>
        <v>0</v>
      </c>
      <c r="P14" s="105">
        <f>K14/E14</f>
        <v>0</v>
      </c>
      <c r="Q14" s="75">
        <v>2</v>
      </c>
      <c r="R14" s="75">
        <v>1</v>
      </c>
      <c r="S14" s="75" t="s">
        <v>947</v>
      </c>
      <c r="T14" s="5">
        <v>56</v>
      </c>
      <c r="U14" s="9"/>
    </row>
    <row r="15" spans="1:22" s="38" customFormat="1" ht="12" x14ac:dyDescent="0.3">
      <c r="A15" s="110" t="s">
        <v>1011</v>
      </c>
      <c r="B15" s="111" t="s">
        <v>1144</v>
      </c>
      <c r="C15" s="112">
        <v>254</v>
      </c>
      <c r="D15" s="104">
        <v>73.7</v>
      </c>
      <c r="E15" s="106">
        <v>22</v>
      </c>
      <c r="F15" s="104">
        <v>60</v>
      </c>
      <c r="G15" s="17">
        <v>18</v>
      </c>
      <c r="H15" s="107">
        <v>109</v>
      </c>
      <c r="I15" s="108"/>
      <c r="J15" s="108"/>
      <c r="K15" s="108"/>
      <c r="L15" s="108"/>
      <c r="M15" s="109">
        <f>I15-K15</f>
        <v>0</v>
      </c>
      <c r="N15" s="4" t="str">
        <f>IF(ISERROR(K15/I15),"",K15/I15)</f>
        <v/>
      </c>
      <c r="O15" s="105">
        <f>I15/E15</f>
        <v>0</v>
      </c>
      <c r="P15" s="105">
        <f>K15/E15</f>
        <v>0</v>
      </c>
      <c r="Q15" s="75">
        <v>3</v>
      </c>
      <c r="R15" s="75">
        <v>1</v>
      </c>
      <c r="S15" s="75" t="s">
        <v>947</v>
      </c>
      <c r="T15" s="5">
        <v>73</v>
      </c>
      <c r="U15" s="9"/>
    </row>
    <row r="16" spans="1:22" s="38" customFormat="1" ht="12" x14ac:dyDescent="0.3">
      <c r="A16" s="110" t="s">
        <v>1011</v>
      </c>
      <c r="B16" s="111" t="s">
        <v>1145</v>
      </c>
      <c r="C16" s="112">
        <v>254</v>
      </c>
      <c r="D16" s="104">
        <v>96.6</v>
      </c>
      <c r="E16" s="106">
        <v>29</v>
      </c>
      <c r="F16" s="104">
        <v>84.7</v>
      </c>
      <c r="G16" s="17">
        <v>26</v>
      </c>
      <c r="H16" s="107">
        <v>112</v>
      </c>
      <c r="I16" s="108"/>
      <c r="J16" s="108"/>
      <c r="K16" s="108"/>
      <c r="L16" s="108"/>
      <c r="M16" s="109">
        <f>I16-K16</f>
        <v>0</v>
      </c>
      <c r="N16" s="4" t="str">
        <f>IF(ISERROR(K16/I16),"",K16/I16)</f>
        <v/>
      </c>
      <c r="O16" s="105">
        <f>I16/E16</f>
        <v>0</v>
      </c>
      <c r="P16" s="105">
        <f>K16/E16</f>
        <v>0</v>
      </c>
      <c r="Q16" s="75">
        <v>3</v>
      </c>
      <c r="R16" s="75">
        <v>2</v>
      </c>
      <c r="S16" s="75" t="s">
        <v>947</v>
      </c>
      <c r="T16" s="5">
        <v>96</v>
      </c>
      <c r="U16" s="9"/>
    </row>
    <row r="17" spans="1:21" s="38" customFormat="1" ht="12" x14ac:dyDescent="0.3">
      <c r="A17" s="110" t="s">
        <v>1148</v>
      </c>
      <c r="B17" s="111" t="s">
        <v>1149</v>
      </c>
      <c r="C17" s="112">
        <v>395</v>
      </c>
      <c r="D17" s="104">
        <v>78.900000000000006</v>
      </c>
      <c r="E17" s="106">
        <v>24</v>
      </c>
      <c r="F17" s="104">
        <v>55.9</v>
      </c>
      <c r="G17" s="17">
        <v>17</v>
      </c>
      <c r="H17" s="107">
        <v>172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2</v>
      </c>
      <c r="R17" s="75">
        <v>2</v>
      </c>
      <c r="S17" s="75" t="s">
        <v>947</v>
      </c>
      <c r="T17" s="5" t="s">
        <v>531</v>
      </c>
      <c r="U17" s="9"/>
    </row>
    <row r="18" spans="1:21" s="38" customFormat="1" ht="12" x14ac:dyDescent="0.3">
      <c r="A18" s="110" t="s">
        <v>1151</v>
      </c>
      <c r="B18" s="111" t="s">
        <v>1018</v>
      </c>
      <c r="C18" s="112">
        <v>1522</v>
      </c>
      <c r="D18" s="104">
        <v>145.4</v>
      </c>
      <c r="E18" s="106">
        <v>44</v>
      </c>
      <c r="F18" s="104">
        <v>118.2</v>
      </c>
      <c r="G18" s="17">
        <v>36</v>
      </c>
      <c r="H18" s="107">
        <v>30</v>
      </c>
      <c r="I18" s="108"/>
      <c r="J18" s="108"/>
      <c r="K18" s="108"/>
      <c r="L18" s="108"/>
      <c r="M18" s="109">
        <f>I18-K18</f>
        <v>0</v>
      </c>
      <c r="N18" s="4" t="str">
        <f>IF(ISERROR(K18/I18),"",K18/I18)</f>
        <v/>
      </c>
      <c r="O18" s="105">
        <f>I18/E18</f>
        <v>0</v>
      </c>
      <c r="P18" s="105">
        <f>K18/E18</f>
        <v>0</v>
      </c>
      <c r="Q18" s="75">
        <v>4</v>
      </c>
      <c r="R18" s="75">
        <v>2</v>
      </c>
      <c r="S18" s="75" t="s">
        <v>947</v>
      </c>
      <c r="T18" s="5" t="s">
        <v>547</v>
      </c>
      <c r="U18" s="9"/>
    </row>
    <row r="19" spans="1:21" s="38" customFormat="1" ht="12" x14ac:dyDescent="0.3">
      <c r="A19" s="110" t="s">
        <v>1153</v>
      </c>
      <c r="B19" s="111" t="s">
        <v>1018</v>
      </c>
      <c r="C19" s="112">
        <v>1522</v>
      </c>
      <c r="D19" s="104">
        <v>195.7</v>
      </c>
      <c r="E19" s="106">
        <v>59</v>
      </c>
      <c r="F19" s="104">
        <v>167.5</v>
      </c>
      <c r="G19" s="17">
        <v>51</v>
      </c>
      <c r="H19" s="107">
        <v>118</v>
      </c>
      <c r="I19" s="108"/>
      <c r="J19" s="108"/>
      <c r="K19" s="108"/>
      <c r="L19" s="108"/>
      <c r="M19" s="109">
        <f>I19-K19</f>
        <v>0</v>
      </c>
      <c r="N19" s="4" t="str">
        <f>IF(ISERROR(K19/I19),"",K19/I19)</f>
        <v/>
      </c>
      <c r="O19" s="105">
        <f>I19/E19</f>
        <v>0</v>
      </c>
      <c r="P19" s="105">
        <f>K19/E19</f>
        <v>0</v>
      </c>
      <c r="Q19" s="75">
        <v>4</v>
      </c>
      <c r="R19" s="75">
        <v>2</v>
      </c>
      <c r="S19" s="75" t="s">
        <v>947</v>
      </c>
      <c r="T19" s="5" t="s">
        <v>553</v>
      </c>
      <c r="U19" s="9"/>
    </row>
    <row r="20" spans="1:21" s="38" customFormat="1" ht="12" x14ac:dyDescent="0.3">
      <c r="A20" s="110" t="s">
        <v>1017</v>
      </c>
      <c r="B20" s="111" t="s">
        <v>1018</v>
      </c>
      <c r="C20" s="112">
        <v>1522</v>
      </c>
      <c r="D20" s="104">
        <v>225.4</v>
      </c>
      <c r="E20" s="106">
        <v>68</v>
      </c>
      <c r="F20" s="104">
        <v>189.4</v>
      </c>
      <c r="G20" s="17">
        <v>57</v>
      </c>
      <c r="H20" s="107">
        <v>142</v>
      </c>
      <c r="I20" s="108"/>
      <c r="J20" s="108"/>
      <c r="K20" s="108"/>
      <c r="L20" s="108"/>
      <c r="M20" s="109">
        <f>I20-K20</f>
        <v>0</v>
      </c>
      <c r="N20" s="4" t="str">
        <f>IF(ISERROR(K20/I20),"",K20/I20)</f>
        <v/>
      </c>
      <c r="O20" s="105">
        <f>I20/E20</f>
        <v>0</v>
      </c>
      <c r="P20" s="105">
        <f>K20/E20</f>
        <v>0</v>
      </c>
      <c r="Q20" s="75">
        <v>4</v>
      </c>
      <c r="R20" s="75">
        <v>3</v>
      </c>
      <c r="S20" s="75" t="s">
        <v>947</v>
      </c>
      <c r="T20" s="5">
        <v>225</v>
      </c>
      <c r="U20" s="9"/>
    </row>
    <row r="21" spans="1:21" s="38" customFormat="1" ht="12" x14ac:dyDescent="0.3">
      <c r="A21" s="110" t="s">
        <v>1023</v>
      </c>
      <c r="B21" s="111" t="s">
        <v>1006</v>
      </c>
      <c r="C21" s="112">
        <v>525</v>
      </c>
      <c r="D21" s="104">
        <v>84.1</v>
      </c>
      <c r="E21" s="106">
        <v>25</v>
      </c>
      <c r="F21" s="104">
        <v>63.8</v>
      </c>
      <c r="G21" s="17">
        <v>19</v>
      </c>
      <c r="H21" s="107">
        <v>137</v>
      </c>
      <c r="I21" s="108"/>
      <c r="J21" s="108"/>
      <c r="K21" s="108"/>
      <c r="L21" s="108"/>
      <c r="M21" s="109">
        <f>I21-K21</f>
        <v>0</v>
      </c>
      <c r="N21" s="4" t="str">
        <f>IF(ISERROR(K21/I21),"",K21/I21)</f>
        <v/>
      </c>
      <c r="O21" s="105">
        <f>I21/E21</f>
        <v>0</v>
      </c>
      <c r="P21" s="105">
        <f>K21/E21</f>
        <v>0</v>
      </c>
      <c r="Q21" s="75">
        <v>3</v>
      </c>
      <c r="R21" s="75">
        <v>2</v>
      </c>
      <c r="S21" s="75" t="s">
        <v>947</v>
      </c>
      <c r="T21" s="5" t="s">
        <v>225</v>
      </c>
      <c r="U21" s="9"/>
    </row>
    <row r="22" spans="1:21" s="38" customFormat="1" ht="12" x14ac:dyDescent="0.3">
      <c r="A22" s="110" t="s">
        <v>1023</v>
      </c>
      <c r="B22" s="111" t="s">
        <v>1006</v>
      </c>
      <c r="C22" s="112">
        <v>525</v>
      </c>
      <c r="D22" s="104">
        <v>98.8</v>
      </c>
      <c r="E22" s="106">
        <v>30</v>
      </c>
      <c r="F22" s="104">
        <v>75.8</v>
      </c>
      <c r="G22" s="17">
        <v>23</v>
      </c>
      <c r="H22" s="107">
        <v>353</v>
      </c>
      <c r="I22" s="108"/>
      <c r="J22" s="108"/>
      <c r="K22" s="108"/>
      <c r="L22" s="108"/>
      <c r="M22" s="109">
        <f>I22-K22</f>
        <v>0</v>
      </c>
      <c r="N22" s="4" t="str">
        <f>IF(ISERROR(K22/I22),"",K22/I22)</f>
        <v/>
      </c>
      <c r="O22" s="105">
        <f>I22/E22</f>
        <v>0</v>
      </c>
      <c r="P22" s="105">
        <f>K22/E22</f>
        <v>0</v>
      </c>
      <c r="Q22" s="75">
        <v>3</v>
      </c>
      <c r="R22" s="75">
        <v>2</v>
      </c>
      <c r="S22" s="75" t="s">
        <v>947</v>
      </c>
      <c r="T22" s="5">
        <v>98</v>
      </c>
      <c r="U22" s="9"/>
    </row>
    <row r="23" spans="1:21" s="38" customFormat="1" ht="12" x14ac:dyDescent="0.3">
      <c r="A23" s="110" t="s">
        <v>1024</v>
      </c>
      <c r="B23" s="111" t="s">
        <v>1025</v>
      </c>
      <c r="C23" s="112">
        <v>253</v>
      </c>
      <c r="D23" s="104">
        <v>98.3</v>
      </c>
      <c r="E23" s="106">
        <v>30</v>
      </c>
      <c r="F23" s="104">
        <v>74.2</v>
      </c>
      <c r="G23" s="17">
        <v>22</v>
      </c>
      <c r="H23" s="107">
        <v>253</v>
      </c>
      <c r="I23" s="108"/>
      <c r="J23" s="108"/>
      <c r="K23" s="108"/>
      <c r="L23" s="108"/>
      <c r="M23" s="109">
        <f>I23-K23</f>
        <v>0</v>
      </c>
      <c r="N23" s="4" t="str">
        <f>IF(ISERROR(K23/I23),"",K23/I23)</f>
        <v/>
      </c>
      <c r="O23" s="105">
        <f>I23/E23</f>
        <v>0</v>
      </c>
      <c r="P23" s="105">
        <f>K23/E23</f>
        <v>0</v>
      </c>
      <c r="Q23" s="75">
        <v>4</v>
      </c>
      <c r="R23" s="75">
        <v>2</v>
      </c>
      <c r="S23" s="75" t="s">
        <v>947</v>
      </c>
      <c r="T23" s="5">
        <v>98</v>
      </c>
      <c r="U23" s="9"/>
    </row>
    <row r="24" spans="1:21" s="38" customFormat="1" ht="12" x14ac:dyDescent="0.3">
      <c r="A24" s="110" t="s">
        <v>1161</v>
      </c>
      <c r="B24" s="111" t="s">
        <v>1162</v>
      </c>
      <c r="C24" s="112">
        <v>218</v>
      </c>
      <c r="D24" s="104">
        <v>76.099999999999994</v>
      </c>
      <c r="E24" s="106">
        <v>23</v>
      </c>
      <c r="F24" s="104">
        <v>57.9</v>
      </c>
      <c r="G24" s="17">
        <v>18</v>
      </c>
      <c r="H24" s="107">
        <v>105</v>
      </c>
      <c r="I24" s="108"/>
      <c r="J24" s="108"/>
      <c r="K24" s="108"/>
      <c r="L24" s="108"/>
      <c r="M24" s="109">
        <f>I24-K24</f>
        <v>0</v>
      </c>
      <c r="N24" s="4" t="str">
        <f>IF(ISERROR(K24/I24),"",K24/I24)</f>
        <v/>
      </c>
      <c r="O24" s="105">
        <f>I24/E24</f>
        <v>0</v>
      </c>
      <c r="P24" s="105">
        <f>K24/E24</f>
        <v>0</v>
      </c>
      <c r="Q24" s="75">
        <v>3</v>
      </c>
      <c r="R24" s="75">
        <v>1</v>
      </c>
      <c r="S24" s="75" t="s">
        <v>943</v>
      </c>
      <c r="T24" s="5">
        <v>76</v>
      </c>
      <c r="U24" s="9"/>
    </row>
    <row r="25" spans="1:21" s="38" customFormat="1" ht="12" x14ac:dyDescent="0.3">
      <c r="A25" s="110" t="s">
        <v>1165</v>
      </c>
      <c r="B25" s="111" t="s">
        <v>1031</v>
      </c>
      <c r="C25" s="112">
        <v>1082</v>
      </c>
      <c r="D25" s="104">
        <v>132.19999999999999</v>
      </c>
      <c r="E25" s="106">
        <v>40</v>
      </c>
      <c r="F25" s="104">
        <v>101.9</v>
      </c>
      <c r="G25" s="17">
        <v>31</v>
      </c>
      <c r="H25" s="107">
        <v>128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5">
        <v>4</v>
      </c>
      <c r="R25" s="75">
        <v>2</v>
      </c>
      <c r="S25" s="75" t="s">
        <v>947</v>
      </c>
      <c r="T25" s="5">
        <v>132</v>
      </c>
      <c r="U25" s="9"/>
    </row>
    <row r="26" spans="1:21" s="38" customFormat="1" ht="12" x14ac:dyDescent="0.3">
      <c r="A26" s="110" t="s">
        <v>1102</v>
      </c>
      <c r="B26" s="111" t="s">
        <v>1166</v>
      </c>
      <c r="C26" s="112">
        <v>217</v>
      </c>
      <c r="D26" s="104">
        <v>86.7</v>
      </c>
      <c r="E26" s="106">
        <v>26</v>
      </c>
      <c r="F26" s="104">
        <v>67.599999999999994</v>
      </c>
      <c r="G26" s="17">
        <v>20</v>
      </c>
      <c r="H26" s="107">
        <v>77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3</v>
      </c>
      <c r="R26" s="75">
        <v>2</v>
      </c>
      <c r="S26" s="75" t="s">
        <v>947</v>
      </c>
      <c r="T26" s="5" t="s">
        <v>639</v>
      </c>
      <c r="U26" s="9"/>
    </row>
    <row r="27" spans="1:21" s="38" customFormat="1" ht="12" x14ac:dyDescent="0.3">
      <c r="A27" s="110" t="s">
        <v>1167</v>
      </c>
      <c r="B27" s="111" t="s">
        <v>1168</v>
      </c>
      <c r="C27" s="112">
        <v>217</v>
      </c>
      <c r="D27" s="104">
        <v>100.6</v>
      </c>
      <c r="E27" s="106">
        <v>30</v>
      </c>
      <c r="F27" s="104">
        <v>78.7</v>
      </c>
      <c r="G27" s="17">
        <v>24</v>
      </c>
      <c r="H27" s="107">
        <v>112</v>
      </c>
      <c r="I27" s="108"/>
      <c r="J27" s="108"/>
      <c r="K27" s="108"/>
      <c r="L27" s="108"/>
      <c r="M27" s="109">
        <f>I27-K27</f>
        <v>0</v>
      </c>
      <c r="N27" s="4" t="str">
        <f>IF(ISERROR(K27/I27),"",K27/I27)</f>
        <v/>
      </c>
      <c r="O27" s="105">
        <f>I27/E27</f>
        <v>0</v>
      </c>
      <c r="P27" s="105">
        <f>K27/E27</f>
        <v>0</v>
      </c>
      <c r="Q27" s="75">
        <v>3</v>
      </c>
      <c r="R27" s="75">
        <v>2</v>
      </c>
      <c r="S27" s="75" t="s">
        <v>947</v>
      </c>
      <c r="T27" s="5">
        <v>100</v>
      </c>
      <c r="U27" s="9"/>
    </row>
    <row r="28" spans="1:21" s="38" customFormat="1" ht="12" x14ac:dyDescent="0.3">
      <c r="A28" s="110" t="s">
        <v>1033</v>
      </c>
      <c r="B28" s="111" t="s">
        <v>1034</v>
      </c>
      <c r="C28" s="112">
        <v>1665</v>
      </c>
      <c r="D28" s="104">
        <v>85.7</v>
      </c>
      <c r="E28" s="106">
        <v>26</v>
      </c>
      <c r="F28" s="104">
        <v>59.9</v>
      </c>
      <c r="G28" s="17">
        <v>18</v>
      </c>
      <c r="H28" s="107">
        <v>164</v>
      </c>
      <c r="I28" s="108"/>
      <c r="J28" s="108"/>
      <c r="K28" s="108"/>
      <c r="L28" s="108"/>
      <c r="M28" s="109">
        <f>I28-K28</f>
        <v>0</v>
      </c>
      <c r="N28" s="4" t="str">
        <f>IF(ISERROR(K28/I28),"",K28/I28)</f>
        <v/>
      </c>
      <c r="O28" s="105">
        <f>I28/E28</f>
        <v>0</v>
      </c>
      <c r="P28" s="105">
        <f>K28/E28</f>
        <v>0</v>
      </c>
      <c r="Q28" s="75">
        <v>3</v>
      </c>
      <c r="R28" s="75">
        <v>2</v>
      </c>
      <c r="S28" s="75" t="s">
        <v>947</v>
      </c>
      <c r="T28" s="5" t="s">
        <v>216</v>
      </c>
      <c r="U28" s="9"/>
    </row>
    <row r="29" spans="1:21" s="38" customFormat="1" ht="12" x14ac:dyDescent="0.3">
      <c r="A29" s="110" t="s">
        <v>1169</v>
      </c>
      <c r="B29" s="111" t="s">
        <v>1170</v>
      </c>
      <c r="C29" s="112">
        <v>1665</v>
      </c>
      <c r="D29" s="104">
        <v>95.3</v>
      </c>
      <c r="E29" s="106">
        <v>29</v>
      </c>
      <c r="F29" s="104">
        <v>69</v>
      </c>
      <c r="G29" s="17">
        <v>21</v>
      </c>
      <c r="H29" s="107">
        <v>380</v>
      </c>
      <c r="I29" s="108"/>
      <c r="J29" s="108"/>
      <c r="K29" s="108"/>
      <c r="L29" s="108"/>
      <c r="M29" s="109">
        <f>I29-K29</f>
        <v>0</v>
      </c>
      <c r="N29" s="4" t="str">
        <f>IF(ISERROR(K29/I29),"",K29/I29)</f>
        <v/>
      </c>
      <c r="O29" s="105">
        <f>I29/E29</f>
        <v>0</v>
      </c>
      <c r="P29" s="105">
        <f>K29/E29</f>
        <v>0</v>
      </c>
      <c r="Q29" s="75">
        <v>3</v>
      </c>
      <c r="R29" s="75">
        <v>2</v>
      </c>
      <c r="S29" s="75" t="s">
        <v>947</v>
      </c>
      <c r="T29" s="5" t="s">
        <v>622</v>
      </c>
      <c r="U29" s="9"/>
    </row>
    <row r="30" spans="1:21" s="38" customFormat="1" ht="12" x14ac:dyDescent="0.3">
      <c r="A30" s="110" t="s">
        <v>1169</v>
      </c>
      <c r="B30" s="111" t="s">
        <v>1034</v>
      </c>
      <c r="C30" s="112">
        <v>1665</v>
      </c>
      <c r="D30" s="104">
        <v>108.1</v>
      </c>
      <c r="E30" s="106">
        <v>33</v>
      </c>
      <c r="F30" s="104">
        <v>79</v>
      </c>
      <c r="G30" s="17">
        <v>24</v>
      </c>
      <c r="H30" s="107">
        <v>143</v>
      </c>
      <c r="I30" s="108"/>
      <c r="J30" s="108"/>
      <c r="K30" s="108"/>
      <c r="L30" s="108"/>
      <c r="M30" s="109">
        <f>I30-K30</f>
        <v>0</v>
      </c>
      <c r="N30" s="4" t="str">
        <f>IF(ISERROR(K30/I30),"",K30/I30)</f>
        <v/>
      </c>
      <c r="O30" s="105">
        <f>I30/E30</f>
        <v>0</v>
      </c>
      <c r="P30" s="105">
        <f>K30/E30</f>
        <v>0</v>
      </c>
      <c r="Q30" s="75">
        <v>3</v>
      </c>
      <c r="R30" s="75">
        <v>2</v>
      </c>
      <c r="S30" s="75" t="s">
        <v>947</v>
      </c>
      <c r="T30" s="5" t="s">
        <v>565</v>
      </c>
      <c r="U30" s="9"/>
    </row>
    <row r="31" spans="1:21" s="38" customFormat="1" ht="12" x14ac:dyDescent="0.3">
      <c r="A31" s="110" t="s">
        <v>1104</v>
      </c>
      <c r="B31" s="111" t="s">
        <v>1105</v>
      </c>
      <c r="C31" s="112">
        <v>294</v>
      </c>
      <c r="D31" s="104">
        <v>69.400000000000006</v>
      </c>
      <c r="E31" s="106">
        <v>21</v>
      </c>
      <c r="F31" s="104">
        <v>59.8</v>
      </c>
      <c r="G31" s="17">
        <v>18</v>
      </c>
      <c r="H31" s="107">
        <v>174</v>
      </c>
      <c r="I31" s="108"/>
      <c r="J31" s="108"/>
      <c r="K31" s="108"/>
      <c r="L31" s="108"/>
      <c r="M31" s="109">
        <f>I31-K31</f>
        <v>0</v>
      </c>
      <c r="N31" s="4" t="str">
        <f>IF(ISERROR(K31/I31),"",K31/I31)</f>
        <v/>
      </c>
      <c r="O31" s="105">
        <f>I31/E31</f>
        <v>0</v>
      </c>
      <c r="P31" s="105">
        <f>K31/E31</f>
        <v>0</v>
      </c>
      <c r="Q31" s="75">
        <v>3</v>
      </c>
      <c r="R31" s="75">
        <v>1</v>
      </c>
      <c r="S31" s="75" t="s">
        <v>947</v>
      </c>
      <c r="T31" s="5" t="s">
        <v>349</v>
      </c>
      <c r="U31" s="9"/>
    </row>
    <row r="32" spans="1:21" s="38" customFormat="1" ht="12" x14ac:dyDescent="0.3">
      <c r="A32" s="110" t="s">
        <v>1035</v>
      </c>
      <c r="B32" s="111" t="s">
        <v>1173</v>
      </c>
      <c r="C32" s="112">
        <v>231</v>
      </c>
      <c r="D32" s="104">
        <v>113.1</v>
      </c>
      <c r="E32" s="106">
        <v>34</v>
      </c>
      <c r="F32" s="104">
        <v>85</v>
      </c>
      <c r="G32" s="17">
        <v>26</v>
      </c>
      <c r="H32" s="107">
        <v>104</v>
      </c>
      <c r="I32" s="108"/>
      <c r="J32" s="108"/>
      <c r="K32" s="108"/>
      <c r="L32" s="108"/>
      <c r="M32" s="109">
        <f>I32-K32</f>
        <v>0</v>
      </c>
      <c r="N32" s="4" t="str">
        <f>IF(ISERROR(K32/I32),"",K32/I32)</f>
        <v/>
      </c>
      <c r="O32" s="105">
        <f>I32/E32</f>
        <v>0</v>
      </c>
      <c r="P32" s="105">
        <f>K32/E32</f>
        <v>0</v>
      </c>
      <c r="Q32" s="75">
        <v>3</v>
      </c>
      <c r="R32" s="75">
        <v>2</v>
      </c>
      <c r="S32" s="75" t="s">
        <v>947</v>
      </c>
      <c r="T32" s="5" t="s">
        <v>598</v>
      </c>
      <c r="U32" s="9"/>
    </row>
    <row r="33" spans="1:21" s="38" customFormat="1" ht="12" x14ac:dyDescent="0.3">
      <c r="A33" s="110" t="s">
        <v>1176</v>
      </c>
      <c r="B33" s="111" t="s">
        <v>1038</v>
      </c>
      <c r="C33" s="112">
        <v>583</v>
      </c>
      <c r="D33" s="104">
        <v>97.9</v>
      </c>
      <c r="E33" s="106">
        <v>30</v>
      </c>
      <c r="F33" s="104">
        <v>72.900000000000006</v>
      </c>
      <c r="G33" s="17">
        <v>22</v>
      </c>
      <c r="H33" s="107">
        <v>262</v>
      </c>
      <c r="I33" s="108"/>
      <c r="J33" s="108"/>
      <c r="K33" s="108"/>
      <c r="L33" s="108"/>
      <c r="M33" s="109">
        <f>I33-K33</f>
        <v>0</v>
      </c>
      <c r="N33" s="4" t="str">
        <f>IF(ISERROR(K33/I33),"",K33/I33)</f>
        <v/>
      </c>
      <c r="O33" s="105">
        <f>I33/E33</f>
        <v>0</v>
      </c>
      <c r="P33" s="105">
        <f>K33/E33</f>
        <v>0</v>
      </c>
      <c r="Q33" s="75">
        <v>3</v>
      </c>
      <c r="R33" s="75">
        <v>2</v>
      </c>
      <c r="S33" s="75" t="s">
        <v>947</v>
      </c>
      <c r="T33" s="5">
        <v>97</v>
      </c>
      <c r="U33" s="9"/>
    </row>
    <row r="34" spans="1:21" s="38" customFormat="1" ht="12" x14ac:dyDescent="0.3">
      <c r="A34" s="110" t="s">
        <v>1042</v>
      </c>
      <c r="B34" s="111" t="s">
        <v>1179</v>
      </c>
      <c r="C34" s="112">
        <v>451</v>
      </c>
      <c r="D34" s="104">
        <v>81.7</v>
      </c>
      <c r="E34" s="106">
        <v>25</v>
      </c>
      <c r="F34" s="104">
        <v>60</v>
      </c>
      <c r="G34" s="17">
        <v>18</v>
      </c>
      <c r="H34" s="107">
        <v>117</v>
      </c>
      <c r="I34" s="108"/>
      <c r="J34" s="108"/>
      <c r="K34" s="108"/>
      <c r="L34" s="108"/>
      <c r="M34" s="109">
        <f>I34-K34</f>
        <v>0</v>
      </c>
      <c r="N34" s="4" t="str">
        <f>IF(ISERROR(K34/I34),"",K34/I34)</f>
        <v/>
      </c>
      <c r="O34" s="105">
        <f>I34/E34</f>
        <v>0</v>
      </c>
      <c r="P34" s="105">
        <f>K34/E34</f>
        <v>0</v>
      </c>
      <c r="Q34" s="75">
        <v>3</v>
      </c>
      <c r="R34" s="75">
        <v>2</v>
      </c>
      <c r="S34" s="75" t="s">
        <v>947</v>
      </c>
      <c r="T34" s="5">
        <v>81</v>
      </c>
      <c r="U34" s="9"/>
    </row>
    <row r="35" spans="1:21" s="38" customFormat="1" ht="12" x14ac:dyDescent="0.3">
      <c r="A35" s="110" t="s">
        <v>1122</v>
      </c>
      <c r="B35" s="111" t="s">
        <v>1036</v>
      </c>
      <c r="C35" s="112">
        <v>854</v>
      </c>
      <c r="D35" s="104">
        <v>84.1</v>
      </c>
      <c r="E35" s="106">
        <v>25</v>
      </c>
      <c r="F35" s="104">
        <v>60</v>
      </c>
      <c r="G35" s="17">
        <v>18</v>
      </c>
      <c r="H35" s="107">
        <v>44</v>
      </c>
      <c r="I35" s="108"/>
      <c r="J35" s="108"/>
      <c r="K35" s="108"/>
      <c r="L35" s="108"/>
      <c r="M35" s="109">
        <f>I35-K35</f>
        <v>0</v>
      </c>
      <c r="N35" s="4" t="str">
        <f>IF(ISERROR(K35/I35),"",K35/I35)</f>
        <v/>
      </c>
      <c r="O35" s="105">
        <f>I35/E35</f>
        <v>0</v>
      </c>
      <c r="P35" s="105">
        <f>K35/E35</f>
        <v>0</v>
      </c>
      <c r="Q35" s="75">
        <v>3</v>
      </c>
      <c r="R35" s="75">
        <v>2</v>
      </c>
      <c r="S35" s="75" t="s">
        <v>947</v>
      </c>
      <c r="T35" s="5" t="s">
        <v>225</v>
      </c>
      <c r="U35" s="9"/>
    </row>
    <row r="36" spans="1:21" s="38" customFormat="1" ht="12" x14ac:dyDescent="0.3">
      <c r="A36" s="110" t="s">
        <v>1065</v>
      </c>
      <c r="B36" s="111" t="s">
        <v>1066</v>
      </c>
      <c r="C36" s="112">
        <v>836</v>
      </c>
      <c r="D36" s="104">
        <v>112.1</v>
      </c>
      <c r="E36" s="106">
        <v>34</v>
      </c>
      <c r="F36" s="104">
        <v>84.9</v>
      </c>
      <c r="G36" s="17">
        <v>26</v>
      </c>
      <c r="H36" s="107">
        <v>284</v>
      </c>
      <c r="I36" s="108"/>
      <c r="J36" s="108"/>
      <c r="K36" s="108"/>
      <c r="L36" s="108"/>
      <c r="M36" s="109">
        <f>I36-K36</f>
        <v>0</v>
      </c>
      <c r="N36" s="4" t="str">
        <f>IF(ISERROR(K36/I36),"",K36/I36)</f>
        <v/>
      </c>
      <c r="O36" s="105">
        <f>I36/E36</f>
        <v>0</v>
      </c>
      <c r="P36" s="105">
        <f>K36/E36</f>
        <v>0</v>
      </c>
      <c r="Q36" s="75">
        <v>4</v>
      </c>
      <c r="R36" s="75">
        <v>2</v>
      </c>
      <c r="S36" s="75" t="s">
        <v>947</v>
      </c>
      <c r="T36" s="5" t="s">
        <v>245</v>
      </c>
      <c r="U36" s="9"/>
    </row>
    <row r="37" spans="1:21" s="38" customFormat="1" ht="12" x14ac:dyDescent="0.3">
      <c r="A37" s="110" t="s">
        <v>1046</v>
      </c>
      <c r="B37" s="111" t="s">
        <v>1047</v>
      </c>
      <c r="C37" s="112">
        <v>243</v>
      </c>
      <c r="D37" s="104">
        <v>71.400000000000006</v>
      </c>
      <c r="E37" s="106">
        <v>22</v>
      </c>
      <c r="F37" s="104">
        <v>54.1</v>
      </c>
      <c r="G37" s="17">
        <v>16</v>
      </c>
      <c r="H37" s="107">
        <v>90</v>
      </c>
      <c r="I37" s="108"/>
      <c r="J37" s="108"/>
      <c r="K37" s="108"/>
      <c r="L37" s="108"/>
      <c r="M37" s="109">
        <f>I37-K37</f>
        <v>0</v>
      </c>
      <c r="N37" s="4" t="str">
        <f>IF(ISERROR(K37/I37),"",K37/I37)</f>
        <v/>
      </c>
      <c r="O37" s="105">
        <f>I37/E37</f>
        <v>0</v>
      </c>
      <c r="P37" s="105">
        <f>K37/E37</f>
        <v>0</v>
      </c>
      <c r="Q37" s="75">
        <v>3</v>
      </c>
      <c r="R37" s="75">
        <v>1</v>
      </c>
      <c r="S37" s="75" t="s">
        <v>943</v>
      </c>
      <c r="T37" s="5">
        <v>71</v>
      </c>
      <c r="U37" s="9"/>
    </row>
    <row r="38" spans="1:21" s="38" customFormat="1" ht="12" x14ac:dyDescent="0.3">
      <c r="A38" s="110" t="s">
        <v>1193</v>
      </c>
      <c r="B38" s="111" t="s">
        <v>1047</v>
      </c>
      <c r="C38" s="112">
        <v>243</v>
      </c>
      <c r="D38" s="104">
        <v>79.3</v>
      </c>
      <c r="E38" s="106">
        <v>24</v>
      </c>
      <c r="F38" s="104">
        <v>60</v>
      </c>
      <c r="G38" s="17">
        <v>18</v>
      </c>
      <c r="H38" s="107">
        <v>132</v>
      </c>
      <c r="I38" s="108"/>
      <c r="J38" s="108"/>
      <c r="K38" s="108"/>
      <c r="L38" s="108"/>
      <c r="M38" s="109">
        <f>I38-K38</f>
        <v>0</v>
      </c>
      <c r="N38" s="4" t="str">
        <f>IF(ISERROR(K38/I38),"",K38/I38)</f>
        <v/>
      </c>
      <c r="O38" s="105">
        <f>I38/E38</f>
        <v>0</v>
      </c>
      <c r="P38" s="105">
        <f>K38/E38</f>
        <v>0</v>
      </c>
      <c r="Q38" s="75">
        <v>3</v>
      </c>
      <c r="R38" s="75">
        <v>1</v>
      </c>
      <c r="S38" s="75" t="s">
        <v>943</v>
      </c>
      <c r="T38" s="5">
        <v>79</v>
      </c>
      <c r="U38" s="9"/>
    </row>
    <row r="39" spans="1:21" s="38" customFormat="1" ht="12" x14ac:dyDescent="0.3">
      <c r="A39" s="110" t="s">
        <v>1127</v>
      </c>
      <c r="B39" s="111" t="s">
        <v>1048</v>
      </c>
      <c r="C39" s="112">
        <v>1803</v>
      </c>
      <c r="D39" s="104">
        <v>186.9</v>
      </c>
      <c r="E39" s="106">
        <v>57</v>
      </c>
      <c r="F39" s="104">
        <v>135.80000000000001</v>
      </c>
      <c r="G39" s="17">
        <v>41</v>
      </c>
      <c r="H39" s="107">
        <v>41</v>
      </c>
      <c r="I39" s="108"/>
      <c r="J39" s="108"/>
      <c r="K39" s="108"/>
      <c r="L39" s="108"/>
      <c r="M39" s="109">
        <f>I39-K39</f>
        <v>0</v>
      </c>
      <c r="N39" s="4" t="str">
        <f>IF(ISERROR(K39/I39),"",K39/I39)</f>
        <v/>
      </c>
      <c r="O39" s="105">
        <f>I39/E39</f>
        <v>0</v>
      </c>
      <c r="P39" s="105">
        <f>K39/E39</f>
        <v>0</v>
      </c>
      <c r="Q39" s="75">
        <v>3</v>
      </c>
      <c r="R39" s="75">
        <v>2</v>
      </c>
      <c r="S39" s="75" t="s">
        <v>947</v>
      </c>
      <c r="T39" s="5" t="s">
        <v>868</v>
      </c>
      <c r="U39" s="9"/>
    </row>
    <row r="40" spans="1:21" s="38" customFormat="1" ht="12" x14ac:dyDescent="0.3">
      <c r="A40" s="110" t="s">
        <v>1054</v>
      </c>
      <c r="B40" s="111" t="s">
        <v>1055</v>
      </c>
      <c r="C40" s="112">
        <v>1650</v>
      </c>
      <c r="D40" s="104">
        <v>95.1</v>
      </c>
      <c r="E40" s="106">
        <v>29</v>
      </c>
      <c r="F40" s="104">
        <v>74</v>
      </c>
      <c r="G40" s="17">
        <v>22</v>
      </c>
      <c r="H40" s="107">
        <v>570</v>
      </c>
      <c r="I40" s="108"/>
      <c r="J40" s="108"/>
      <c r="K40" s="108"/>
      <c r="L40" s="108"/>
      <c r="M40" s="109">
        <f>I40-K40</f>
        <v>0</v>
      </c>
      <c r="N40" s="4" t="str">
        <f>IF(ISERROR(K40/I40),"",K40/I40)</f>
        <v/>
      </c>
      <c r="O40" s="105">
        <f>I40/E40</f>
        <v>0</v>
      </c>
      <c r="P40" s="105">
        <f>K40/E40</f>
        <v>0</v>
      </c>
      <c r="Q40" s="75">
        <v>3</v>
      </c>
      <c r="R40" s="75">
        <v>1</v>
      </c>
      <c r="S40" s="75" t="s">
        <v>947</v>
      </c>
      <c r="T40" s="5">
        <v>95</v>
      </c>
      <c r="U40" s="9"/>
    </row>
    <row r="41" spans="1:21" s="38" customFormat="1" ht="12" x14ac:dyDescent="0.3">
      <c r="A41" s="110" t="s">
        <v>1216</v>
      </c>
      <c r="B41" s="111" t="s">
        <v>1057</v>
      </c>
      <c r="C41" s="112">
        <v>594</v>
      </c>
      <c r="D41" s="104">
        <v>94.7</v>
      </c>
      <c r="E41" s="106">
        <v>29</v>
      </c>
      <c r="F41" s="104">
        <v>74</v>
      </c>
      <c r="G41" s="17">
        <v>22</v>
      </c>
      <c r="H41" s="107">
        <v>87</v>
      </c>
      <c r="I41" s="108"/>
      <c r="J41" s="108"/>
      <c r="K41" s="108"/>
      <c r="L41" s="108"/>
      <c r="M41" s="109">
        <f>I41-K41</f>
        <v>0</v>
      </c>
      <c r="N41" s="4" t="str">
        <f>IF(ISERROR(K41/I41),"",K41/I41)</f>
        <v/>
      </c>
      <c r="O41" s="105">
        <f>I41/E41</f>
        <v>0</v>
      </c>
      <c r="P41" s="105">
        <f>K41/E41</f>
        <v>0</v>
      </c>
      <c r="Q41" s="75">
        <v>3</v>
      </c>
      <c r="R41" s="75">
        <v>1</v>
      </c>
      <c r="S41" s="75" t="s">
        <v>947</v>
      </c>
      <c r="T41" s="5">
        <v>94</v>
      </c>
      <c r="U41" s="9"/>
    </row>
    <row r="42" spans="1:21" s="38" customFormat="1" ht="12" x14ac:dyDescent="0.3">
      <c r="A42" s="110" t="s">
        <v>1058</v>
      </c>
      <c r="B42" s="111" t="s">
        <v>1059</v>
      </c>
      <c r="C42" s="112">
        <v>1132</v>
      </c>
      <c r="D42" s="104">
        <v>114.3</v>
      </c>
      <c r="E42" s="106">
        <v>35</v>
      </c>
      <c r="F42" s="104">
        <v>84.6</v>
      </c>
      <c r="G42" s="17">
        <v>26</v>
      </c>
      <c r="H42" s="107">
        <v>378</v>
      </c>
      <c r="I42" s="108"/>
      <c r="J42" s="108"/>
      <c r="K42" s="108"/>
      <c r="L42" s="108"/>
      <c r="M42" s="109">
        <f>I42-K42</f>
        <v>0</v>
      </c>
      <c r="N42" s="4" t="str">
        <f>IF(ISERROR(K42/I42),"",K42/I42)</f>
        <v/>
      </c>
      <c r="O42" s="105">
        <f>I42/E42</f>
        <v>0</v>
      </c>
      <c r="P42" s="105">
        <f>K42/E42</f>
        <v>0</v>
      </c>
      <c r="Q42" s="75">
        <v>3</v>
      </c>
      <c r="R42" s="75">
        <v>2</v>
      </c>
      <c r="S42" s="75" t="s">
        <v>947</v>
      </c>
      <c r="T42" s="5" t="s">
        <v>688</v>
      </c>
      <c r="U42" s="9"/>
    </row>
    <row r="43" spans="1:21" s="38" customFormat="1" ht="12" x14ac:dyDescent="0.3">
      <c r="A43" s="110" t="s">
        <v>1041</v>
      </c>
      <c r="B43" s="111" t="s">
        <v>1178</v>
      </c>
      <c r="C43" s="112">
        <v>546</v>
      </c>
      <c r="D43" s="104">
        <v>113.8</v>
      </c>
      <c r="E43" s="106">
        <v>34</v>
      </c>
      <c r="F43" s="104">
        <v>85</v>
      </c>
      <c r="G43" s="17">
        <v>26</v>
      </c>
      <c r="H43" s="107">
        <v>359</v>
      </c>
      <c r="I43" s="108">
        <v>23000</v>
      </c>
      <c r="J43" s="108" t="s">
        <v>954</v>
      </c>
      <c r="K43" s="108">
        <v>23000</v>
      </c>
      <c r="L43" s="108" t="s">
        <v>954</v>
      </c>
      <c r="M43" s="109">
        <f>I43-K43</f>
        <v>0</v>
      </c>
      <c r="N43" s="4">
        <f>IF(ISERROR(K43/I43),"",K43/I43)</f>
        <v>1</v>
      </c>
      <c r="O43" s="105">
        <f>I43/E43</f>
        <v>676.47058823529414</v>
      </c>
      <c r="P43" s="105">
        <f>K43/E43</f>
        <v>676.47058823529414</v>
      </c>
      <c r="Q43" s="75">
        <v>3</v>
      </c>
      <c r="R43" s="75">
        <v>2</v>
      </c>
      <c r="S43" s="75" t="s">
        <v>947</v>
      </c>
      <c r="T43" s="5" t="s">
        <v>598</v>
      </c>
      <c r="U43" s="9"/>
    </row>
    <row r="44" spans="1:21" s="38" customFormat="1" ht="12" x14ac:dyDescent="0.3">
      <c r="A44" s="110" t="s">
        <v>1123</v>
      </c>
      <c r="B44" s="111" t="s">
        <v>1189</v>
      </c>
      <c r="C44" s="112">
        <v>1393</v>
      </c>
      <c r="D44" s="104">
        <v>85.1</v>
      </c>
      <c r="E44" s="106">
        <v>26</v>
      </c>
      <c r="F44" s="104">
        <v>59.9</v>
      </c>
      <c r="G44" s="17">
        <v>18</v>
      </c>
      <c r="H44" s="107">
        <v>408</v>
      </c>
      <c r="I44" s="108">
        <v>28000</v>
      </c>
      <c r="J44" s="108" t="s">
        <v>957</v>
      </c>
      <c r="K44" s="108">
        <v>27000</v>
      </c>
      <c r="L44" s="108" t="s">
        <v>957</v>
      </c>
      <c r="M44" s="109">
        <f>I44-K44</f>
        <v>1000</v>
      </c>
      <c r="N44" s="4">
        <f>IF(ISERROR(K44/I44),"",K44/I44)</f>
        <v>0.9642857142857143</v>
      </c>
      <c r="O44" s="105">
        <f>I44/E44</f>
        <v>1076.9230769230769</v>
      </c>
      <c r="P44" s="105">
        <f>K44/E44</f>
        <v>1038.4615384615386</v>
      </c>
      <c r="Q44" s="75">
        <v>3</v>
      </c>
      <c r="R44" s="75">
        <v>2</v>
      </c>
      <c r="S44" s="75" t="s">
        <v>947</v>
      </c>
      <c r="T44" s="5">
        <v>85</v>
      </c>
      <c r="U44" s="9"/>
    </row>
    <row r="45" spans="1:21" s="38" customFormat="1" ht="12" x14ac:dyDescent="0.3">
      <c r="A45" s="110" t="s">
        <v>1182</v>
      </c>
      <c r="B45" s="111" t="s">
        <v>1183</v>
      </c>
      <c r="C45" s="112">
        <v>697</v>
      </c>
      <c r="D45" s="104">
        <v>81.3</v>
      </c>
      <c r="E45" s="106">
        <v>25</v>
      </c>
      <c r="F45" s="104">
        <v>60</v>
      </c>
      <c r="G45" s="17">
        <v>18</v>
      </c>
      <c r="H45" s="107">
        <v>134</v>
      </c>
      <c r="I45" s="108">
        <v>24000</v>
      </c>
      <c r="J45" s="108" t="s">
        <v>954</v>
      </c>
      <c r="K45" s="108">
        <v>23000</v>
      </c>
      <c r="L45" s="108" t="s">
        <v>954</v>
      </c>
      <c r="M45" s="109">
        <f>I45-K45</f>
        <v>1000</v>
      </c>
      <c r="N45" s="4">
        <f>IF(ISERROR(K45/I45),"",K45/I45)</f>
        <v>0.95833333333333337</v>
      </c>
      <c r="O45" s="105">
        <f>I45/E45</f>
        <v>960</v>
      </c>
      <c r="P45" s="105">
        <f>K45/E45</f>
        <v>920</v>
      </c>
      <c r="Q45" s="75">
        <v>3</v>
      </c>
      <c r="R45" s="75">
        <v>2</v>
      </c>
      <c r="S45" s="75" t="s">
        <v>947</v>
      </c>
      <c r="T45" s="5">
        <v>81</v>
      </c>
      <c r="U45" s="9"/>
    </row>
    <row r="46" spans="1:21" s="38" customFormat="1" ht="12" x14ac:dyDescent="0.3">
      <c r="A46" s="110" t="s">
        <v>1185</v>
      </c>
      <c r="B46" s="111" t="s">
        <v>1186</v>
      </c>
      <c r="C46" s="112">
        <v>854</v>
      </c>
      <c r="D46" s="104">
        <v>112.6</v>
      </c>
      <c r="E46" s="106">
        <v>34</v>
      </c>
      <c r="F46" s="104">
        <v>85</v>
      </c>
      <c r="G46" s="17">
        <v>26</v>
      </c>
      <c r="H46" s="107">
        <v>449</v>
      </c>
      <c r="I46" s="108">
        <v>24000</v>
      </c>
      <c r="J46" s="108" t="s">
        <v>959</v>
      </c>
      <c r="K46" s="108">
        <v>23000</v>
      </c>
      <c r="L46" s="108" t="s">
        <v>954</v>
      </c>
      <c r="M46" s="109">
        <f>I46-K46</f>
        <v>1000</v>
      </c>
      <c r="N46" s="4">
        <f>IF(ISERROR(K46/I46),"",K46/I46)</f>
        <v>0.95833333333333337</v>
      </c>
      <c r="O46" s="105">
        <f>I46/E46</f>
        <v>705.88235294117646</v>
      </c>
      <c r="P46" s="105">
        <f>K46/E46</f>
        <v>676.47058823529414</v>
      </c>
      <c r="Q46" s="75">
        <v>3</v>
      </c>
      <c r="R46" s="75">
        <v>2</v>
      </c>
      <c r="S46" s="75" t="s">
        <v>947</v>
      </c>
      <c r="T46" s="5" t="s">
        <v>245</v>
      </c>
      <c r="U46" s="9"/>
    </row>
    <row r="47" spans="1:21" s="38" customFormat="1" ht="12" x14ac:dyDescent="0.3">
      <c r="A47" s="110" t="s">
        <v>1065</v>
      </c>
      <c r="B47" s="111" t="s">
        <v>1066</v>
      </c>
      <c r="C47" s="112">
        <v>836</v>
      </c>
      <c r="D47" s="104">
        <v>85.6</v>
      </c>
      <c r="E47" s="106">
        <v>26</v>
      </c>
      <c r="F47" s="104">
        <v>59.3</v>
      </c>
      <c r="G47" s="17">
        <v>18</v>
      </c>
      <c r="H47" s="107">
        <v>147</v>
      </c>
      <c r="I47" s="108">
        <v>28000</v>
      </c>
      <c r="J47" s="108" t="s">
        <v>954</v>
      </c>
      <c r="K47" s="108">
        <v>25000</v>
      </c>
      <c r="L47" s="108" t="s">
        <v>954</v>
      </c>
      <c r="M47" s="109">
        <f>I47-K47</f>
        <v>3000</v>
      </c>
      <c r="N47" s="4">
        <f>IF(ISERROR(K47/I47),"",K47/I47)</f>
        <v>0.8928571428571429</v>
      </c>
      <c r="O47" s="105">
        <f>I47/E47</f>
        <v>1076.9230769230769</v>
      </c>
      <c r="P47" s="105">
        <f>K47/E47</f>
        <v>961.53846153846155</v>
      </c>
      <c r="Q47" s="75">
        <v>3</v>
      </c>
      <c r="R47" s="75">
        <v>2</v>
      </c>
      <c r="S47" s="75" t="s">
        <v>947</v>
      </c>
      <c r="T47" s="5">
        <v>85</v>
      </c>
      <c r="U47" s="9"/>
    </row>
    <row r="48" spans="1:21" s="38" customFormat="1" ht="12" x14ac:dyDescent="0.3">
      <c r="A48" s="110" t="s">
        <v>1056</v>
      </c>
      <c r="B48" s="111" t="s">
        <v>1057</v>
      </c>
      <c r="C48" s="112">
        <v>594</v>
      </c>
      <c r="D48" s="104">
        <v>106.5</v>
      </c>
      <c r="E48" s="106">
        <v>32</v>
      </c>
      <c r="F48" s="104">
        <v>84.9</v>
      </c>
      <c r="G48" s="17">
        <v>26</v>
      </c>
      <c r="H48" s="107">
        <v>276</v>
      </c>
      <c r="I48" s="108">
        <v>35000</v>
      </c>
      <c r="J48" s="108" t="s">
        <v>957</v>
      </c>
      <c r="K48" s="108">
        <v>31000</v>
      </c>
      <c r="L48" s="108" t="s">
        <v>957</v>
      </c>
      <c r="M48" s="109">
        <f>I48-K48</f>
        <v>4000</v>
      </c>
      <c r="N48" s="4">
        <f>IF(ISERROR(K48/I48),"",K48/I48)</f>
        <v>0.88571428571428568</v>
      </c>
      <c r="O48" s="105">
        <f>I48/E48</f>
        <v>1093.75</v>
      </c>
      <c r="P48" s="105">
        <f>K48/E48</f>
        <v>968.75</v>
      </c>
      <c r="Q48" s="75">
        <v>3</v>
      </c>
      <c r="R48" s="75">
        <v>2</v>
      </c>
      <c r="S48" s="75" t="s">
        <v>947</v>
      </c>
      <c r="T48" s="5">
        <v>106</v>
      </c>
      <c r="U48" s="9"/>
    </row>
    <row r="49" spans="1:21" s="38" customFormat="1" ht="12" x14ac:dyDescent="0.3">
      <c r="A49" s="110" t="s">
        <v>1163</v>
      </c>
      <c r="B49" s="111" t="s">
        <v>1164</v>
      </c>
      <c r="C49" s="112">
        <v>1082</v>
      </c>
      <c r="D49" s="104">
        <v>115.3</v>
      </c>
      <c r="E49" s="106">
        <v>35</v>
      </c>
      <c r="F49" s="104">
        <v>84.9</v>
      </c>
      <c r="G49" s="17">
        <v>26</v>
      </c>
      <c r="H49" s="107">
        <v>459</v>
      </c>
      <c r="I49" s="108">
        <v>33000</v>
      </c>
      <c r="J49" s="108" t="s">
        <v>971</v>
      </c>
      <c r="K49" s="108">
        <v>29000</v>
      </c>
      <c r="L49" s="108" t="s">
        <v>954</v>
      </c>
      <c r="M49" s="109">
        <f>I49-K49</f>
        <v>4000</v>
      </c>
      <c r="N49" s="4">
        <f>IF(ISERROR(K49/I49),"",K49/I49)</f>
        <v>0.87878787878787878</v>
      </c>
      <c r="O49" s="105">
        <f>I49/E49</f>
        <v>942.85714285714289</v>
      </c>
      <c r="P49" s="105">
        <f>K49/E49</f>
        <v>828.57142857142856</v>
      </c>
      <c r="Q49" s="75">
        <v>3</v>
      </c>
      <c r="R49" s="75">
        <v>2</v>
      </c>
      <c r="S49" s="75" t="s">
        <v>947</v>
      </c>
      <c r="T49" s="5" t="s">
        <v>627</v>
      </c>
      <c r="U49" s="9"/>
    </row>
    <row r="50" spans="1:21" s="38" customFormat="1" ht="12" x14ac:dyDescent="0.3">
      <c r="A50" s="110" t="s">
        <v>1120</v>
      </c>
      <c r="B50" s="111" t="s">
        <v>1039</v>
      </c>
      <c r="C50" s="112">
        <v>630</v>
      </c>
      <c r="D50" s="104">
        <v>115</v>
      </c>
      <c r="E50" s="106">
        <v>35</v>
      </c>
      <c r="F50" s="104">
        <v>84.8</v>
      </c>
      <c r="G50" s="17">
        <v>26</v>
      </c>
      <c r="H50" s="107">
        <v>274</v>
      </c>
      <c r="I50" s="108">
        <v>33000</v>
      </c>
      <c r="J50" s="108" t="s">
        <v>958</v>
      </c>
      <c r="K50" s="108">
        <v>29000</v>
      </c>
      <c r="L50" s="108" t="s">
        <v>980</v>
      </c>
      <c r="M50" s="109">
        <f>I50-K50</f>
        <v>4000</v>
      </c>
      <c r="N50" s="4">
        <f>IF(ISERROR(K50/I50),"",K50/I50)</f>
        <v>0.87878787878787878</v>
      </c>
      <c r="O50" s="105">
        <f>I50/E50</f>
        <v>942.85714285714289</v>
      </c>
      <c r="P50" s="105">
        <f>K50/E50</f>
        <v>828.57142857142856</v>
      </c>
      <c r="Q50" s="75">
        <v>3</v>
      </c>
      <c r="R50" s="75">
        <v>2</v>
      </c>
      <c r="S50" s="75" t="s">
        <v>947</v>
      </c>
      <c r="T50" s="5" t="s">
        <v>209</v>
      </c>
      <c r="U50" s="9"/>
    </row>
    <row r="51" spans="1:21" s="38" customFormat="1" ht="12" x14ac:dyDescent="0.3">
      <c r="A51" s="110" t="s">
        <v>1028</v>
      </c>
      <c r="B51" s="111" t="s">
        <v>1159</v>
      </c>
      <c r="C51" s="112">
        <v>1034</v>
      </c>
      <c r="D51" s="104">
        <v>84</v>
      </c>
      <c r="E51" s="106">
        <v>25</v>
      </c>
      <c r="F51" s="104">
        <v>60</v>
      </c>
      <c r="G51" s="17">
        <v>18</v>
      </c>
      <c r="H51" s="107">
        <v>604</v>
      </c>
      <c r="I51" s="108">
        <v>21800</v>
      </c>
      <c r="J51" s="108" t="s">
        <v>957</v>
      </c>
      <c r="K51" s="108">
        <v>19000</v>
      </c>
      <c r="L51" s="108" t="s">
        <v>957</v>
      </c>
      <c r="M51" s="109">
        <f>I51-K51</f>
        <v>2800</v>
      </c>
      <c r="N51" s="4">
        <f>IF(ISERROR(K51/I51),"",K51/I51)</f>
        <v>0.87155963302752293</v>
      </c>
      <c r="O51" s="105">
        <f>I51/E51</f>
        <v>872</v>
      </c>
      <c r="P51" s="105">
        <f>K51/E51</f>
        <v>760</v>
      </c>
      <c r="Q51" s="75">
        <v>3</v>
      </c>
      <c r="R51" s="75">
        <v>2</v>
      </c>
      <c r="S51" s="75" t="s">
        <v>947</v>
      </c>
      <c r="T51" s="5">
        <v>84</v>
      </c>
      <c r="U51" s="9"/>
    </row>
    <row r="52" spans="1:21" s="38" customFormat="1" ht="12" x14ac:dyDescent="0.3">
      <c r="A52" s="110" t="s">
        <v>1065</v>
      </c>
      <c r="B52" s="111" t="s">
        <v>1066</v>
      </c>
      <c r="C52" s="112">
        <v>836</v>
      </c>
      <c r="D52" s="104">
        <v>95.7</v>
      </c>
      <c r="E52" s="106">
        <v>29</v>
      </c>
      <c r="F52" s="104">
        <v>70.099999999999994</v>
      </c>
      <c r="G52" s="17">
        <v>21</v>
      </c>
      <c r="H52" s="107">
        <v>215</v>
      </c>
      <c r="I52" s="108">
        <v>34500</v>
      </c>
      <c r="J52" s="108" t="s">
        <v>954</v>
      </c>
      <c r="K52" s="108">
        <v>30000</v>
      </c>
      <c r="L52" s="108" t="s">
        <v>954</v>
      </c>
      <c r="M52" s="109">
        <f>I52-K52</f>
        <v>4500</v>
      </c>
      <c r="N52" s="4">
        <f>IF(ISERROR(K52/I52),"",K52/I52)</f>
        <v>0.86956521739130432</v>
      </c>
      <c r="O52" s="105">
        <f>I52/E52</f>
        <v>1189.655172413793</v>
      </c>
      <c r="P52" s="105">
        <f>K52/E52</f>
        <v>1034.4827586206898</v>
      </c>
      <c r="Q52" s="75">
        <v>3</v>
      </c>
      <c r="R52" s="75">
        <v>2</v>
      </c>
      <c r="S52" s="75" t="s">
        <v>947</v>
      </c>
      <c r="T52" s="5">
        <v>95</v>
      </c>
      <c r="U52" s="9"/>
    </row>
    <row r="53" spans="1:21" s="38" customFormat="1" ht="12" x14ac:dyDescent="0.3">
      <c r="A53" s="110" t="s">
        <v>1060</v>
      </c>
      <c r="B53" s="111" t="s">
        <v>1061</v>
      </c>
      <c r="C53" s="112">
        <v>1059</v>
      </c>
      <c r="D53" s="104">
        <v>86.7</v>
      </c>
      <c r="E53" s="106">
        <v>26</v>
      </c>
      <c r="F53" s="104">
        <v>59.3</v>
      </c>
      <c r="G53" s="17">
        <v>18</v>
      </c>
      <c r="H53" s="107">
        <v>299</v>
      </c>
      <c r="I53" s="108">
        <v>23000</v>
      </c>
      <c r="J53" s="108" t="s">
        <v>981</v>
      </c>
      <c r="K53" s="108">
        <v>20000</v>
      </c>
      <c r="L53" s="108" t="s">
        <v>957</v>
      </c>
      <c r="M53" s="109">
        <f>I53-K53</f>
        <v>3000</v>
      </c>
      <c r="N53" s="4">
        <f>IF(ISERROR(K53/I53),"",K53/I53)</f>
        <v>0.86956521739130432</v>
      </c>
      <c r="O53" s="105">
        <f>I53/E53</f>
        <v>884.61538461538464</v>
      </c>
      <c r="P53" s="105">
        <f>K53/E53</f>
        <v>769.23076923076928</v>
      </c>
      <c r="Q53" s="75">
        <v>3</v>
      </c>
      <c r="R53" s="75">
        <v>1</v>
      </c>
      <c r="S53" s="75" t="s">
        <v>943</v>
      </c>
      <c r="T53" s="5">
        <v>86</v>
      </c>
      <c r="U53" s="9"/>
    </row>
    <row r="54" spans="1:21" s="38" customFormat="1" ht="12" x14ac:dyDescent="0.3">
      <c r="A54" s="110" t="s">
        <v>1184</v>
      </c>
      <c r="B54" s="111" t="s">
        <v>1031</v>
      </c>
      <c r="C54" s="112">
        <v>697</v>
      </c>
      <c r="D54" s="104">
        <v>114.8</v>
      </c>
      <c r="E54" s="106">
        <v>35</v>
      </c>
      <c r="F54" s="104">
        <v>84.9</v>
      </c>
      <c r="G54" s="17">
        <v>26</v>
      </c>
      <c r="H54" s="107">
        <v>297</v>
      </c>
      <c r="I54" s="108">
        <v>30000</v>
      </c>
      <c r="J54" s="108" t="s">
        <v>949</v>
      </c>
      <c r="K54" s="108">
        <v>26000</v>
      </c>
      <c r="L54" s="108" t="s">
        <v>949</v>
      </c>
      <c r="M54" s="109">
        <f>I54-K54</f>
        <v>4000</v>
      </c>
      <c r="N54" s="4">
        <f>IF(ISERROR(K54/I54),"",K54/I54)</f>
        <v>0.8666666666666667</v>
      </c>
      <c r="O54" s="105">
        <f>I54/E54</f>
        <v>857.14285714285711</v>
      </c>
      <c r="P54" s="105">
        <f>K54/E54</f>
        <v>742.85714285714289</v>
      </c>
      <c r="Q54" s="75">
        <v>3</v>
      </c>
      <c r="R54" s="75">
        <v>2</v>
      </c>
      <c r="S54" s="75" t="s">
        <v>947</v>
      </c>
      <c r="T54" s="5" t="s">
        <v>210</v>
      </c>
      <c r="U54" s="9"/>
    </row>
    <row r="55" spans="1:21" s="38" customFormat="1" ht="12" x14ac:dyDescent="0.3">
      <c r="A55" s="110" t="s">
        <v>1060</v>
      </c>
      <c r="B55" s="111" t="s">
        <v>1061</v>
      </c>
      <c r="C55" s="112">
        <v>1059</v>
      </c>
      <c r="D55" s="104">
        <v>135.1</v>
      </c>
      <c r="E55" s="106">
        <v>41</v>
      </c>
      <c r="F55" s="104">
        <v>108.7</v>
      </c>
      <c r="G55" s="17">
        <v>33</v>
      </c>
      <c r="H55" s="107">
        <v>292</v>
      </c>
      <c r="I55" s="108">
        <v>36000</v>
      </c>
      <c r="J55" s="108" t="s">
        <v>954</v>
      </c>
      <c r="K55" s="108">
        <v>31000</v>
      </c>
      <c r="L55" s="108" t="s">
        <v>954</v>
      </c>
      <c r="M55" s="109">
        <f>I55-K55</f>
        <v>5000</v>
      </c>
      <c r="N55" s="4">
        <f>IF(ISERROR(K55/I55),"",K55/I55)</f>
        <v>0.86111111111111116</v>
      </c>
      <c r="O55" s="105">
        <f>I55/E55</f>
        <v>878.04878048780483</v>
      </c>
      <c r="P55" s="105">
        <f>K55/E55</f>
        <v>756.09756097560978</v>
      </c>
      <c r="Q55" s="75">
        <v>4</v>
      </c>
      <c r="R55" s="75">
        <v>2</v>
      </c>
      <c r="S55" s="75" t="s">
        <v>947</v>
      </c>
      <c r="T55" s="5">
        <v>135</v>
      </c>
      <c r="U55" s="9"/>
    </row>
    <row r="56" spans="1:21" s="38" customFormat="1" ht="12" x14ac:dyDescent="0.3">
      <c r="A56" s="110" t="s">
        <v>1171</v>
      </c>
      <c r="B56" s="111" t="s">
        <v>1034</v>
      </c>
      <c r="C56" s="112">
        <v>1665</v>
      </c>
      <c r="D56" s="104">
        <v>115.7</v>
      </c>
      <c r="E56" s="106">
        <v>35</v>
      </c>
      <c r="F56" s="104">
        <v>85</v>
      </c>
      <c r="G56" s="17">
        <v>26</v>
      </c>
      <c r="H56" s="107">
        <v>514</v>
      </c>
      <c r="I56" s="108">
        <v>35000</v>
      </c>
      <c r="J56" s="108" t="s">
        <v>957</v>
      </c>
      <c r="K56" s="108">
        <v>30000</v>
      </c>
      <c r="L56" s="108" t="s">
        <v>959</v>
      </c>
      <c r="M56" s="109">
        <f>I56-K56</f>
        <v>5000</v>
      </c>
      <c r="N56" s="4">
        <f>IF(ISERROR(K56/I56),"",K56/I56)</f>
        <v>0.8571428571428571</v>
      </c>
      <c r="O56" s="105">
        <f>I56/E56</f>
        <v>1000</v>
      </c>
      <c r="P56" s="105">
        <f>K56/E56</f>
        <v>857.14285714285711</v>
      </c>
      <c r="Q56" s="75">
        <v>3</v>
      </c>
      <c r="R56" s="75">
        <v>2</v>
      </c>
      <c r="S56" s="75" t="s">
        <v>947</v>
      </c>
      <c r="T56" s="5">
        <v>115</v>
      </c>
      <c r="U56" s="9"/>
    </row>
    <row r="57" spans="1:21" s="38" customFormat="1" ht="12" x14ac:dyDescent="0.3">
      <c r="A57" s="110" t="s">
        <v>1180</v>
      </c>
      <c r="B57" s="111" t="s">
        <v>1181</v>
      </c>
      <c r="C57" s="112">
        <v>451</v>
      </c>
      <c r="D57" s="104">
        <v>115.5</v>
      </c>
      <c r="E57" s="106">
        <v>35</v>
      </c>
      <c r="F57" s="104">
        <v>85</v>
      </c>
      <c r="G57" s="17">
        <v>26</v>
      </c>
      <c r="H57" s="107">
        <v>212</v>
      </c>
      <c r="I57" s="108">
        <v>28000</v>
      </c>
      <c r="J57" s="108" t="s">
        <v>954</v>
      </c>
      <c r="K57" s="108">
        <v>24000</v>
      </c>
      <c r="L57" s="108" t="s">
        <v>954</v>
      </c>
      <c r="M57" s="109">
        <f>I57-K57</f>
        <v>4000</v>
      </c>
      <c r="N57" s="4">
        <f>IF(ISERROR(K57/I57),"",K57/I57)</f>
        <v>0.8571428571428571</v>
      </c>
      <c r="O57" s="105">
        <f>I57/E57</f>
        <v>800</v>
      </c>
      <c r="P57" s="105">
        <f>K57/E57</f>
        <v>685.71428571428567</v>
      </c>
      <c r="Q57" s="75">
        <v>3</v>
      </c>
      <c r="R57" s="75">
        <v>2</v>
      </c>
      <c r="S57" s="75" t="s">
        <v>947</v>
      </c>
      <c r="T57" s="5" t="s">
        <v>697</v>
      </c>
      <c r="U57" s="9"/>
    </row>
    <row r="58" spans="1:21" s="38" customFormat="1" ht="12" x14ac:dyDescent="0.3">
      <c r="A58" s="110" t="s">
        <v>1028</v>
      </c>
      <c r="B58" s="111" t="s">
        <v>1029</v>
      </c>
      <c r="C58" s="112">
        <v>1034</v>
      </c>
      <c r="D58" s="104">
        <v>98.4</v>
      </c>
      <c r="E58" s="106">
        <v>30</v>
      </c>
      <c r="F58" s="104">
        <v>73</v>
      </c>
      <c r="G58" s="17">
        <v>22</v>
      </c>
      <c r="H58" s="107">
        <v>166</v>
      </c>
      <c r="I58" s="108">
        <v>27000</v>
      </c>
      <c r="J58" s="108" t="s">
        <v>957</v>
      </c>
      <c r="K58" s="108">
        <v>23000</v>
      </c>
      <c r="L58" s="108" t="s">
        <v>968</v>
      </c>
      <c r="M58" s="109">
        <f>I58-K58</f>
        <v>4000</v>
      </c>
      <c r="N58" s="4">
        <f>IF(ISERROR(K58/I58),"",K58/I58)</f>
        <v>0.85185185185185186</v>
      </c>
      <c r="O58" s="105">
        <f>I58/E58</f>
        <v>900</v>
      </c>
      <c r="P58" s="105">
        <f>K58/E58</f>
        <v>766.66666666666663</v>
      </c>
      <c r="Q58" s="75">
        <v>3</v>
      </c>
      <c r="R58" s="75">
        <v>2</v>
      </c>
      <c r="S58" s="75" t="s">
        <v>947</v>
      </c>
      <c r="T58" s="5">
        <v>98</v>
      </c>
      <c r="U58" s="9"/>
    </row>
    <row r="59" spans="1:21" s="38" customFormat="1" ht="12" x14ac:dyDescent="0.3">
      <c r="A59" s="110" t="s">
        <v>1026</v>
      </c>
      <c r="B59" s="111" t="s">
        <v>1027</v>
      </c>
      <c r="C59" s="112">
        <v>315</v>
      </c>
      <c r="D59" s="104">
        <v>113.8</v>
      </c>
      <c r="E59" s="106">
        <v>34</v>
      </c>
      <c r="F59" s="104">
        <v>85</v>
      </c>
      <c r="G59" s="17">
        <v>26</v>
      </c>
      <c r="H59" s="107">
        <v>178</v>
      </c>
      <c r="I59" s="108">
        <v>23500</v>
      </c>
      <c r="J59" s="108" t="s">
        <v>954</v>
      </c>
      <c r="K59" s="108">
        <v>20000</v>
      </c>
      <c r="L59" s="108" t="s">
        <v>954</v>
      </c>
      <c r="M59" s="109">
        <f>I59-K59</f>
        <v>3500</v>
      </c>
      <c r="N59" s="4">
        <f>IF(ISERROR(K59/I59),"",K59/I59)</f>
        <v>0.85106382978723405</v>
      </c>
      <c r="O59" s="105">
        <f>I59/E59</f>
        <v>691.17647058823525</v>
      </c>
      <c r="P59" s="105">
        <f>K59/E59</f>
        <v>588.23529411764707</v>
      </c>
      <c r="Q59" s="75">
        <v>3</v>
      </c>
      <c r="R59" s="75">
        <v>2</v>
      </c>
      <c r="S59" s="75" t="s">
        <v>947</v>
      </c>
      <c r="T59" s="5" t="s">
        <v>598</v>
      </c>
      <c r="U59" s="9"/>
    </row>
    <row r="60" spans="1:21" s="38" customFormat="1" ht="12" x14ac:dyDescent="0.3">
      <c r="A60" s="110" t="s">
        <v>1172</v>
      </c>
      <c r="B60" s="111" t="s">
        <v>1107</v>
      </c>
      <c r="C60" s="112">
        <v>812</v>
      </c>
      <c r="D60" s="104">
        <v>111.8</v>
      </c>
      <c r="E60" s="106">
        <v>34</v>
      </c>
      <c r="F60" s="104">
        <v>85</v>
      </c>
      <c r="G60" s="17">
        <v>26</v>
      </c>
      <c r="H60" s="107">
        <v>442</v>
      </c>
      <c r="I60" s="108">
        <v>32000</v>
      </c>
      <c r="J60" s="108" t="s">
        <v>957</v>
      </c>
      <c r="K60" s="108">
        <v>27000</v>
      </c>
      <c r="L60" s="108" t="s">
        <v>957</v>
      </c>
      <c r="M60" s="109">
        <f>I60-K60</f>
        <v>5000</v>
      </c>
      <c r="N60" s="4">
        <f>IF(ISERROR(K60/I60),"",K60/I60)</f>
        <v>0.84375</v>
      </c>
      <c r="O60" s="105">
        <f>I60/E60</f>
        <v>941.17647058823525</v>
      </c>
      <c r="P60" s="105">
        <f>K60/E60</f>
        <v>794.11764705882354</v>
      </c>
      <c r="Q60" s="75">
        <v>3</v>
      </c>
      <c r="R60" s="75">
        <v>2</v>
      </c>
      <c r="S60" s="75" t="s">
        <v>947</v>
      </c>
      <c r="T60" s="5" t="s">
        <v>662</v>
      </c>
      <c r="U60" s="9"/>
    </row>
    <row r="61" spans="1:21" s="38" customFormat="1" ht="12" x14ac:dyDescent="0.3">
      <c r="A61" s="110" t="s">
        <v>1021</v>
      </c>
      <c r="B61" s="111" t="s">
        <v>1155</v>
      </c>
      <c r="C61" s="112">
        <v>507</v>
      </c>
      <c r="D61" s="104">
        <v>108.4</v>
      </c>
      <c r="E61" s="106">
        <v>33</v>
      </c>
      <c r="F61" s="104">
        <v>85</v>
      </c>
      <c r="G61" s="17">
        <v>26</v>
      </c>
      <c r="H61" s="107">
        <v>150</v>
      </c>
      <c r="I61" s="108">
        <v>44000</v>
      </c>
      <c r="J61" s="108" t="s">
        <v>963</v>
      </c>
      <c r="K61" s="108">
        <v>37000</v>
      </c>
      <c r="L61" s="108" t="s">
        <v>964</v>
      </c>
      <c r="M61" s="109">
        <f>I61-K61</f>
        <v>7000</v>
      </c>
      <c r="N61" s="4">
        <f>IF(ISERROR(K61/I61),"",K61/I61)</f>
        <v>0.84090909090909094</v>
      </c>
      <c r="O61" s="105">
        <f>I61/E61</f>
        <v>1333.3333333333333</v>
      </c>
      <c r="P61" s="105">
        <f>K61/E61</f>
        <v>1121.2121212121212</v>
      </c>
      <c r="Q61" s="75">
        <v>3</v>
      </c>
      <c r="R61" s="75">
        <v>2</v>
      </c>
      <c r="S61" s="75" t="s">
        <v>947</v>
      </c>
      <c r="T61" s="5" t="s">
        <v>565</v>
      </c>
      <c r="U61" s="9"/>
    </row>
    <row r="62" spans="1:21" s="38" customFormat="1" ht="12" x14ac:dyDescent="0.3">
      <c r="A62" s="110" t="s">
        <v>1053</v>
      </c>
      <c r="B62" s="111" t="s">
        <v>1067</v>
      </c>
      <c r="C62" s="112">
        <v>672</v>
      </c>
      <c r="D62" s="104">
        <v>79.900000000000006</v>
      </c>
      <c r="E62" s="106">
        <v>24</v>
      </c>
      <c r="F62" s="104">
        <v>60</v>
      </c>
      <c r="G62" s="17">
        <v>18</v>
      </c>
      <c r="H62" s="107">
        <v>592</v>
      </c>
      <c r="I62" s="108">
        <v>30000</v>
      </c>
      <c r="J62" s="108" t="s">
        <v>949</v>
      </c>
      <c r="K62" s="108">
        <v>25000</v>
      </c>
      <c r="L62" s="108" t="s">
        <v>954</v>
      </c>
      <c r="M62" s="109">
        <f>I62-K62</f>
        <v>5000</v>
      </c>
      <c r="N62" s="4">
        <f>IF(ISERROR(K62/I62),"",K62/I62)</f>
        <v>0.83333333333333337</v>
      </c>
      <c r="O62" s="105">
        <f>I62/E62</f>
        <v>1250</v>
      </c>
      <c r="P62" s="105">
        <f>K62/E62</f>
        <v>1041.6666666666667</v>
      </c>
      <c r="Q62" s="75">
        <v>3</v>
      </c>
      <c r="R62" s="75">
        <v>1</v>
      </c>
      <c r="S62" s="75" t="s">
        <v>947</v>
      </c>
      <c r="T62" s="5">
        <v>79</v>
      </c>
      <c r="U62" s="9"/>
    </row>
    <row r="63" spans="1:21" s="38" customFormat="1" ht="12" x14ac:dyDescent="0.3">
      <c r="A63" s="110" t="s">
        <v>1156</v>
      </c>
      <c r="B63" s="111" t="s">
        <v>1157</v>
      </c>
      <c r="C63" s="112">
        <v>507</v>
      </c>
      <c r="D63" s="104">
        <v>129.69999999999999</v>
      </c>
      <c r="E63" s="106">
        <v>39</v>
      </c>
      <c r="F63" s="104">
        <v>101.6</v>
      </c>
      <c r="G63" s="17">
        <v>31</v>
      </c>
      <c r="H63" s="107">
        <v>30</v>
      </c>
      <c r="I63" s="108">
        <v>57000</v>
      </c>
      <c r="J63" s="108" t="s">
        <v>960</v>
      </c>
      <c r="K63" s="108">
        <v>45000</v>
      </c>
      <c r="L63" s="108" t="s">
        <v>954</v>
      </c>
      <c r="M63" s="109">
        <f>I63-K63</f>
        <v>12000</v>
      </c>
      <c r="N63" s="4">
        <f>IF(ISERROR(K63/I63),"",K63/I63)</f>
        <v>0.78947368421052633</v>
      </c>
      <c r="O63" s="105">
        <f>I63/E63</f>
        <v>1461.5384615384614</v>
      </c>
      <c r="P63" s="105">
        <f>K63/E63</f>
        <v>1153.8461538461538</v>
      </c>
      <c r="Q63" s="75">
        <v>3</v>
      </c>
      <c r="R63" s="75">
        <v>2</v>
      </c>
      <c r="S63" s="75" t="s">
        <v>947</v>
      </c>
      <c r="T63" s="5" t="s">
        <v>292</v>
      </c>
      <c r="U63" s="9"/>
    </row>
    <row r="64" spans="1:21" s="38" customFormat="1" ht="12" x14ac:dyDescent="0.3">
      <c r="A64" s="110" t="s">
        <v>1187</v>
      </c>
      <c r="B64" s="111" t="s">
        <v>1188</v>
      </c>
      <c r="C64" s="112">
        <v>836</v>
      </c>
      <c r="D64" s="104">
        <v>132.1</v>
      </c>
      <c r="E64" s="106">
        <v>40</v>
      </c>
      <c r="F64" s="104">
        <v>101.4</v>
      </c>
      <c r="G64" s="17">
        <v>31</v>
      </c>
      <c r="H64" s="107">
        <v>89</v>
      </c>
      <c r="I64" s="108">
        <v>49000</v>
      </c>
      <c r="J64" s="108" t="s">
        <v>957</v>
      </c>
      <c r="K64" s="108">
        <v>38000</v>
      </c>
      <c r="L64" s="108" t="s">
        <v>971</v>
      </c>
      <c r="M64" s="109">
        <f>I64-K64</f>
        <v>11000</v>
      </c>
      <c r="N64" s="4">
        <f>IF(ISERROR(K64/I64),"",K64/I64)</f>
        <v>0.77551020408163263</v>
      </c>
      <c r="O64" s="105">
        <f>I64/E64</f>
        <v>1225</v>
      </c>
      <c r="P64" s="105">
        <f>K64/E64</f>
        <v>950</v>
      </c>
      <c r="Q64" s="75">
        <v>4</v>
      </c>
      <c r="R64" s="75">
        <v>2</v>
      </c>
      <c r="S64" s="75" t="s">
        <v>947</v>
      </c>
      <c r="T64" s="5">
        <v>132</v>
      </c>
      <c r="U64" s="9"/>
    </row>
    <row r="65" spans="1:21" s="38" customFormat="1" ht="12" x14ac:dyDescent="0.3">
      <c r="A65" s="110" t="s">
        <v>1054</v>
      </c>
      <c r="B65" s="111" t="s">
        <v>1055</v>
      </c>
      <c r="C65" s="112">
        <v>1650</v>
      </c>
      <c r="D65" s="104">
        <v>79.8</v>
      </c>
      <c r="E65" s="106">
        <v>24</v>
      </c>
      <c r="F65" s="104">
        <v>60</v>
      </c>
      <c r="G65" s="17">
        <v>18</v>
      </c>
      <c r="H65" s="107">
        <v>360</v>
      </c>
      <c r="I65" s="108">
        <v>31000</v>
      </c>
      <c r="J65" s="108" t="s">
        <v>954</v>
      </c>
      <c r="K65" s="108">
        <v>24000</v>
      </c>
      <c r="L65" s="108" t="s">
        <v>954</v>
      </c>
      <c r="M65" s="109">
        <f>I65-K65</f>
        <v>7000</v>
      </c>
      <c r="N65" s="4">
        <f>IF(ISERROR(K65/I65),"",K65/I65)</f>
        <v>0.77419354838709675</v>
      </c>
      <c r="O65" s="105">
        <f>I65/E65</f>
        <v>1291.6666666666667</v>
      </c>
      <c r="P65" s="105">
        <f>K65/E65</f>
        <v>1000</v>
      </c>
      <c r="Q65" s="75">
        <v>3</v>
      </c>
      <c r="R65" s="75">
        <v>1</v>
      </c>
      <c r="S65" s="75" t="s">
        <v>947</v>
      </c>
      <c r="T65" s="5">
        <v>79</v>
      </c>
      <c r="U65" s="9"/>
    </row>
    <row r="66" spans="1:21" s="38" customFormat="1" ht="12" x14ac:dyDescent="0.3">
      <c r="A66" s="110" t="s">
        <v>1017</v>
      </c>
      <c r="B66" s="111" t="s">
        <v>1150</v>
      </c>
      <c r="C66" s="112">
        <v>1522</v>
      </c>
      <c r="D66" s="104">
        <v>128.4</v>
      </c>
      <c r="E66" s="106">
        <v>39</v>
      </c>
      <c r="F66" s="104">
        <v>103.8</v>
      </c>
      <c r="G66" s="17">
        <v>31</v>
      </c>
      <c r="H66" s="107">
        <v>120</v>
      </c>
      <c r="I66" s="108">
        <v>65000</v>
      </c>
      <c r="J66" s="108" t="s">
        <v>958</v>
      </c>
      <c r="K66" s="108">
        <v>48000</v>
      </c>
      <c r="L66" s="108" t="s">
        <v>958</v>
      </c>
      <c r="M66" s="109">
        <f>I66-K66</f>
        <v>17000</v>
      </c>
      <c r="N66" s="4">
        <f>IF(ISERROR(K66/I66),"",K66/I66)</f>
        <v>0.7384615384615385</v>
      </c>
      <c r="O66" s="105">
        <f>I66/E66</f>
        <v>1666.6666666666667</v>
      </c>
      <c r="P66" s="105">
        <f>K66/E66</f>
        <v>1230.7692307692307</v>
      </c>
      <c r="Q66" s="75">
        <v>3</v>
      </c>
      <c r="R66" s="75">
        <v>2</v>
      </c>
      <c r="S66" s="75" t="s">
        <v>943</v>
      </c>
      <c r="T66" s="5" t="s">
        <v>545</v>
      </c>
      <c r="U66" s="9"/>
    </row>
    <row r="67" spans="1:21" s="38" customFormat="1" ht="12" x14ac:dyDescent="0.3">
      <c r="A67" s="110" t="s">
        <v>1210</v>
      </c>
      <c r="B67" s="111" t="s">
        <v>1211</v>
      </c>
      <c r="C67" s="112">
        <v>1064</v>
      </c>
      <c r="D67" s="104">
        <v>85.1</v>
      </c>
      <c r="E67" s="106">
        <v>26</v>
      </c>
      <c r="F67" s="104">
        <v>60</v>
      </c>
      <c r="G67" s="17">
        <v>18</v>
      </c>
      <c r="H67" s="107">
        <v>60</v>
      </c>
      <c r="I67" s="108">
        <v>61500</v>
      </c>
      <c r="J67" s="108" t="s">
        <v>968</v>
      </c>
      <c r="K67" s="108">
        <v>43000</v>
      </c>
      <c r="L67" s="108" t="s">
        <v>988</v>
      </c>
      <c r="M67" s="109">
        <f>I67-K67</f>
        <v>18500</v>
      </c>
      <c r="N67" s="4">
        <f>IF(ISERROR(K67/I67),"",K67/I67)</f>
        <v>0.69918699186991873</v>
      </c>
      <c r="O67" s="105">
        <f>I67/E67</f>
        <v>2365.3846153846152</v>
      </c>
      <c r="P67" s="105">
        <f>K67/E67</f>
        <v>1653.8461538461538</v>
      </c>
      <c r="Q67" s="75">
        <v>3</v>
      </c>
      <c r="R67" s="75">
        <v>2</v>
      </c>
      <c r="S67" s="75" t="s">
        <v>947</v>
      </c>
      <c r="T67" s="5">
        <v>85</v>
      </c>
      <c r="U67" s="9"/>
    </row>
    <row r="68" spans="1:21" s="38" customFormat="1" ht="12" x14ac:dyDescent="0.3">
      <c r="A68" s="110" t="s">
        <v>1169</v>
      </c>
      <c r="B68" s="111" t="s">
        <v>1034</v>
      </c>
      <c r="C68" s="112">
        <v>1665</v>
      </c>
      <c r="D68" s="104">
        <v>131.80000000000001</v>
      </c>
      <c r="E68" s="106">
        <v>40</v>
      </c>
      <c r="F68" s="104">
        <v>101.9</v>
      </c>
      <c r="G68" s="17">
        <v>31</v>
      </c>
      <c r="H68" s="107">
        <v>134</v>
      </c>
      <c r="I68" s="108">
        <v>44500</v>
      </c>
      <c r="J68" s="108" t="s">
        <v>954</v>
      </c>
      <c r="K68" s="108">
        <v>30000</v>
      </c>
      <c r="L68" s="108" t="s">
        <v>957</v>
      </c>
      <c r="M68" s="109">
        <f>I68-K68</f>
        <v>14500</v>
      </c>
      <c r="N68" s="4">
        <f>IF(ISERROR(K68/I68),"",K68/I68)</f>
        <v>0.6741573033707865</v>
      </c>
      <c r="O68" s="105">
        <f>I68/E68</f>
        <v>1112.5</v>
      </c>
      <c r="P68" s="105">
        <f>K68/E68</f>
        <v>750</v>
      </c>
      <c r="Q68" s="75">
        <v>4</v>
      </c>
      <c r="R68" s="75">
        <v>2</v>
      </c>
      <c r="S68" s="75" t="s">
        <v>947</v>
      </c>
      <c r="T68" s="5">
        <v>131</v>
      </c>
      <c r="U68" s="9"/>
    </row>
    <row r="69" spans="1:21" s="38" customFormat="1" ht="12" x14ac:dyDescent="0.3">
      <c r="A69" s="110" t="s">
        <v>1207</v>
      </c>
      <c r="B69" s="111" t="s">
        <v>1208</v>
      </c>
      <c r="C69" s="112">
        <v>1465</v>
      </c>
      <c r="D69" s="104">
        <v>84</v>
      </c>
      <c r="E69" s="106">
        <v>25</v>
      </c>
      <c r="F69" s="104">
        <v>60</v>
      </c>
      <c r="G69" s="17">
        <v>18</v>
      </c>
      <c r="H69" s="107">
        <v>160</v>
      </c>
      <c r="I69" s="108">
        <v>62000</v>
      </c>
      <c r="J69" s="108" t="s">
        <v>954</v>
      </c>
      <c r="K69" s="108">
        <v>40000</v>
      </c>
      <c r="L69" s="108" t="s">
        <v>989</v>
      </c>
      <c r="M69" s="109">
        <f>I69-K69</f>
        <v>22000</v>
      </c>
      <c r="N69" s="4">
        <f>IF(ISERROR(K69/I69),"",K69/I69)</f>
        <v>0.64516129032258063</v>
      </c>
      <c r="O69" s="105">
        <f>I69/E69</f>
        <v>2480</v>
      </c>
      <c r="P69" s="105">
        <f>K69/E69</f>
        <v>1600</v>
      </c>
      <c r="Q69" s="75">
        <v>3</v>
      </c>
      <c r="R69" s="75">
        <v>2</v>
      </c>
      <c r="S69" s="75" t="s">
        <v>947</v>
      </c>
      <c r="T69" s="5">
        <v>84</v>
      </c>
      <c r="U69" s="9"/>
    </row>
    <row r="70" spans="1:21" s="38" customFormat="1" ht="12" x14ac:dyDescent="0.3">
      <c r="A70" s="110" t="s">
        <v>1210</v>
      </c>
      <c r="B70" s="111" t="s">
        <v>1048</v>
      </c>
      <c r="C70" s="112">
        <v>1064</v>
      </c>
      <c r="D70" s="104">
        <v>102.3</v>
      </c>
      <c r="E70" s="106">
        <v>31</v>
      </c>
      <c r="F70" s="104">
        <v>72.900000000000006</v>
      </c>
      <c r="G70" s="17">
        <v>22</v>
      </c>
      <c r="H70" s="107">
        <v>124</v>
      </c>
      <c r="I70" s="108">
        <v>75000</v>
      </c>
      <c r="J70" s="108" t="s">
        <v>980</v>
      </c>
      <c r="K70" s="108">
        <v>47000</v>
      </c>
      <c r="L70" s="108" t="s">
        <v>957</v>
      </c>
      <c r="M70" s="109">
        <f>I70-K70</f>
        <v>28000</v>
      </c>
      <c r="N70" s="4">
        <f>IF(ISERROR(K70/I70),"",K70/I70)</f>
        <v>0.62666666666666671</v>
      </c>
      <c r="O70" s="105">
        <f>I70/E70</f>
        <v>2419.3548387096776</v>
      </c>
      <c r="P70" s="105">
        <f>K70/E70</f>
        <v>1516.1290322580646</v>
      </c>
      <c r="Q70" s="75">
        <v>3</v>
      </c>
      <c r="R70" s="75">
        <v>2</v>
      </c>
      <c r="S70" s="75" t="s">
        <v>947</v>
      </c>
      <c r="T70" s="5">
        <v>102</v>
      </c>
      <c r="U70" s="9"/>
    </row>
    <row r="71" spans="1:21" s="38" customFormat="1" ht="12" x14ac:dyDescent="0.3">
      <c r="A71" s="110" t="s">
        <v>1051</v>
      </c>
      <c r="B71" s="111" t="s">
        <v>1050</v>
      </c>
      <c r="C71" s="112">
        <v>1465</v>
      </c>
      <c r="D71" s="104">
        <v>100.9</v>
      </c>
      <c r="E71" s="106">
        <v>31</v>
      </c>
      <c r="F71" s="104">
        <v>72.900000000000006</v>
      </c>
      <c r="G71" s="17">
        <v>22</v>
      </c>
      <c r="H71" s="107">
        <v>50</v>
      </c>
      <c r="I71" s="108">
        <v>75000</v>
      </c>
      <c r="J71" s="108" t="s">
        <v>954</v>
      </c>
      <c r="K71" s="108">
        <v>45000</v>
      </c>
      <c r="L71" s="108" t="s">
        <v>994</v>
      </c>
      <c r="M71" s="109">
        <f>I71-K71</f>
        <v>30000</v>
      </c>
      <c r="N71" s="4">
        <f>IF(ISERROR(K71/I71),"",K71/I71)</f>
        <v>0.6</v>
      </c>
      <c r="O71" s="105">
        <f>I71/E71</f>
        <v>2419.3548387096776</v>
      </c>
      <c r="P71" s="105">
        <f>K71/E71</f>
        <v>1451.6129032258063</v>
      </c>
      <c r="Q71" s="75">
        <v>3</v>
      </c>
      <c r="R71" s="75">
        <v>2</v>
      </c>
      <c r="S71" s="75" t="s">
        <v>947</v>
      </c>
      <c r="T71" s="5">
        <v>100</v>
      </c>
      <c r="U71" s="9"/>
    </row>
    <row r="72" spans="1:21" s="38" customFormat="1" ht="12" x14ac:dyDescent="0.3">
      <c r="A72" s="110" t="s">
        <v>1049</v>
      </c>
      <c r="B72" s="111" t="s">
        <v>1200</v>
      </c>
      <c r="C72" s="112">
        <v>1768</v>
      </c>
      <c r="D72" s="104">
        <v>82.7</v>
      </c>
      <c r="E72" s="106">
        <v>25</v>
      </c>
      <c r="F72" s="104">
        <v>60</v>
      </c>
      <c r="G72" s="17">
        <v>18</v>
      </c>
      <c r="H72" s="107">
        <v>104</v>
      </c>
      <c r="I72" s="108">
        <v>70000</v>
      </c>
      <c r="J72" s="108" t="s">
        <v>954</v>
      </c>
      <c r="K72" s="108">
        <v>42000</v>
      </c>
      <c r="L72" s="108" t="s">
        <v>989</v>
      </c>
      <c r="M72" s="109">
        <f>I72-K72</f>
        <v>28000</v>
      </c>
      <c r="N72" s="4">
        <f>IF(ISERROR(K72/I72),"",K72/I72)</f>
        <v>0.6</v>
      </c>
      <c r="O72" s="105">
        <f>I72/E72</f>
        <v>2800</v>
      </c>
      <c r="P72" s="105">
        <f>K72/E72</f>
        <v>1680</v>
      </c>
      <c r="Q72" s="75">
        <v>3</v>
      </c>
      <c r="R72" s="75">
        <v>2</v>
      </c>
      <c r="S72" s="75" t="s">
        <v>947</v>
      </c>
      <c r="T72" s="5">
        <v>82</v>
      </c>
      <c r="U72" s="9"/>
    </row>
    <row r="73" spans="1:21" s="38" customFormat="1" ht="12" x14ac:dyDescent="0.3">
      <c r="A73" s="110" t="s">
        <v>1210</v>
      </c>
      <c r="B73" s="111" t="s">
        <v>1048</v>
      </c>
      <c r="C73" s="112">
        <v>1064</v>
      </c>
      <c r="D73" s="104">
        <v>118.9</v>
      </c>
      <c r="E73" s="106">
        <v>36</v>
      </c>
      <c r="F73" s="104">
        <v>84.4</v>
      </c>
      <c r="G73" s="17">
        <v>26</v>
      </c>
      <c r="H73" s="107">
        <v>411</v>
      </c>
      <c r="I73" s="108">
        <v>83000</v>
      </c>
      <c r="J73" s="108" t="s">
        <v>957</v>
      </c>
      <c r="K73" s="108">
        <v>48000</v>
      </c>
      <c r="L73" s="108" t="s">
        <v>954</v>
      </c>
      <c r="M73" s="109">
        <f>I73-K73</f>
        <v>35000</v>
      </c>
      <c r="N73" s="4">
        <f>IF(ISERROR(K73/I73),"",K73/I73)</f>
        <v>0.57831325301204817</v>
      </c>
      <c r="O73" s="105">
        <f>I73/E73</f>
        <v>2305.5555555555557</v>
      </c>
      <c r="P73" s="105">
        <f>K73/E73</f>
        <v>1333.3333333333333</v>
      </c>
      <c r="Q73" s="75">
        <v>3</v>
      </c>
      <c r="R73" s="75">
        <v>2</v>
      </c>
      <c r="S73" s="75" t="s">
        <v>947</v>
      </c>
      <c r="T73" s="5" t="s">
        <v>889</v>
      </c>
      <c r="U73" s="9"/>
    </row>
    <row r="74" spans="1:21" s="38" customFormat="1" ht="12" x14ac:dyDescent="0.3">
      <c r="A74" s="110" t="s">
        <v>1196</v>
      </c>
      <c r="B74" s="111" t="s">
        <v>1197</v>
      </c>
      <c r="C74" s="112">
        <v>1803</v>
      </c>
      <c r="D74" s="104">
        <v>100.8</v>
      </c>
      <c r="E74" s="106">
        <v>30</v>
      </c>
      <c r="F74" s="104">
        <v>72.900000000000006</v>
      </c>
      <c r="G74" s="17">
        <v>22</v>
      </c>
      <c r="H74" s="107">
        <v>182</v>
      </c>
      <c r="I74" s="108">
        <v>79000</v>
      </c>
      <c r="J74" s="108" t="s">
        <v>988</v>
      </c>
      <c r="K74" s="108">
        <v>45000</v>
      </c>
      <c r="L74" s="108" t="s">
        <v>963</v>
      </c>
      <c r="M74" s="109">
        <f>I74-K74</f>
        <v>34000</v>
      </c>
      <c r="N74" s="4">
        <f>IF(ISERROR(K74/I74),"",K74/I74)</f>
        <v>0.569620253164557</v>
      </c>
      <c r="O74" s="105">
        <f>I74/E74</f>
        <v>2633.3333333333335</v>
      </c>
      <c r="P74" s="105">
        <f>K74/E74</f>
        <v>1500</v>
      </c>
      <c r="Q74" s="75">
        <v>3</v>
      </c>
      <c r="R74" s="75">
        <v>2</v>
      </c>
      <c r="S74" s="75" t="s">
        <v>947</v>
      </c>
      <c r="T74" s="5">
        <v>100</v>
      </c>
      <c r="U74" s="9"/>
    </row>
    <row r="75" spans="1:21" s="38" customFormat="1" ht="12" x14ac:dyDescent="0.3">
      <c r="A75" s="110" t="s">
        <v>1207</v>
      </c>
      <c r="B75" s="111" t="s">
        <v>1209</v>
      </c>
      <c r="C75" s="112">
        <v>1465</v>
      </c>
      <c r="D75" s="104">
        <v>117.6</v>
      </c>
      <c r="E75" s="106">
        <v>36</v>
      </c>
      <c r="F75" s="104">
        <v>84.7</v>
      </c>
      <c r="G75" s="17">
        <v>26</v>
      </c>
      <c r="H75" s="107">
        <v>658</v>
      </c>
      <c r="I75" s="108">
        <v>85000</v>
      </c>
      <c r="J75" s="108" t="s">
        <v>957</v>
      </c>
      <c r="K75" s="108">
        <v>48000</v>
      </c>
      <c r="L75" s="108" t="s">
        <v>957</v>
      </c>
      <c r="M75" s="109">
        <f>I75-K75</f>
        <v>37000</v>
      </c>
      <c r="N75" s="4">
        <f>IF(ISERROR(K75/I75),"",K75/I75)</f>
        <v>0.56470588235294117</v>
      </c>
      <c r="O75" s="105">
        <f>I75/E75</f>
        <v>2361.1111111111113</v>
      </c>
      <c r="P75" s="105">
        <f>K75/E75</f>
        <v>1333.3333333333333</v>
      </c>
      <c r="Q75" s="75">
        <v>3</v>
      </c>
      <c r="R75" s="75">
        <v>2</v>
      </c>
      <c r="S75" s="75" t="s">
        <v>947</v>
      </c>
      <c r="T75" s="5" t="s">
        <v>866</v>
      </c>
      <c r="U75" s="9"/>
    </row>
    <row r="76" spans="1:21" s="38" customFormat="1" ht="12" x14ac:dyDescent="0.3">
      <c r="A76" s="110" t="s">
        <v>1204</v>
      </c>
      <c r="B76" s="111" t="s">
        <v>1050</v>
      </c>
      <c r="C76" s="112">
        <v>1768</v>
      </c>
      <c r="D76" s="104">
        <v>158.80000000000001</v>
      </c>
      <c r="E76" s="106">
        <v>48</v>
      </c>
      <c r="F76" s="104">
        <v>117.9</v>
      </c>
      <c r="G76" s="17">
        <v>36</v>
      </c>
      <c r="H76" s="107">
        <v>112</v>
      </c>
      <c r="I76" s="108">
        <v>142000</v>
      </c>
      <c r="J76" s="108" t="s">
        <v>981</v>
      </c>
      <c r="K76" s="108">
        <v>80000</v>
      </c>
      <c r="L76" s="108" t="s">
        <v>993</v>
      </c>
      <c r="M76" s="109">
        <f>I76-K76</f>
        <v>62000</v>
      </c>
      <c r="N76" s="4">
        <f>IF(ISERROR(K76/I76),"",K76/I76)</f>
        <v>0.56338028169014087</v>
      </c>
      <c r="O76" s="105">
        <f>I76/E76</f>
        <v>2958.3333333333335</v>
      </c>
      <c r="P76" s="105">
        <f>K76/E76</f>
        <v>1666.6666666666667</v>
      </c>
      <c r="Q76" s="75">
        <v>4</v>
      </c>
      <c r="R76" s="75">
        <v>2</v>
      </c>
      <c r="S76" s="75" t="s">
        <v>947</v>
      </c>
      <c r="T76" s="5">
        <v>158</v>
      </c>
      <c r="U76" s="9"/>
    </row>
    <row r="77" spans="1:21" s="38" customFormat="1" ht="12" x14ac:dyDescent="0.3">
      <c r="A77" s="110" t="s">
        <v>1201</v>
      </c>
      <c r="B77" s="111" t="s">
        <v>1050</v>
      </c>
      <c r="C77" s="112">
        <v>1768</v>
      </c>
      <c r="D77" s="104">
        <v>115.7</v>
      </c>
      <c r="E77" s="106">
        <v>35</v>
      </c>
      <c r="F77" s="104">
        <v>84.7</v>
      </c>
      <c r="G77" s="17">
        <v>26</v>
      </c>
      <c r="H77" s="107">
        <v>686</v>
      </c>
      <c r="I77" s="108">
        <v>86000</v>
      </c>
      <c r="J77" s="108" t="s">
        <v>954</v>
      </c>
      <c r="K77" s="108">
        <v>48000</v>
      </c>
      <c r="L77" s="108" t="s">
        <v>960</v>
      </c>
      <c r="M77" s="109">
        <f>I77-K77</f>
        <v>38000</v>
      </c>
      <c r="N77" s="4">
        <f>IF(ISERROR(K77/I77),"",K77/I77)</f>
        <v>0.55813953488372092</v>
      </c>
      <c r="O77" s="105">
        <f>I77/E77</f>
        <v>2457.1428571428573</v>
      </c>
      <c r="P77" s="105">
        <f>K77/E77</f>
        <v>1371.4285714285713</v>
      </c>
      <c r="Q77" s="75">
        <v>3</v>
      </c>
      <c r="R77" s="75">
        <v>2</v>
      </c>
      <c r="S77" s="75" t="s">
        <v>947</v>
      </c>
      <c r="T77" s="5" t="s">
        <v>697</v>
      </c>
      <c r="U77" s="9"/>
    </row>
    <row r="78" spans="1:21" s="38" customFormat="1" ht="12" x14ac:dyDescent="0.3">
      <c r="A78" s="110" t="s">
        <v>1198</v>
      </c>
      <c r="B78" s="111" t="s">
        <v>1048</v>
      </c>
      <c r="C78" s="112">
        <v>1803</v>
      </c>
      <c r="D78" s="104">
        <v>136.5</v>
      </c>
      <c r="E78" s="106">
        <v>41</v>
      </c>
      <c r="F78" s="104">
        <v>99.2</v>
      </c>
      <c r="G78" s="17">
        <v>30</v>
      </c>
      <c r="H78" s="107">
        <v>474</v>
      </c>
      <c r="I78" s="108">
        <v>100000</v>
      </c>
      <c r="J78" s="108" t="s">
        <v>960</v>
      </c>
      <c r="K78" s="108">
        <v>54000</v>
      </c>
      <c r="L78" s="108" t="s">
        <v>957</v>
      </c>
      <c r="M78" s="109">
        <f>I78-K78</f>
        <v>46000</v>
      </c>
      <c r="N78" s="4">
        <f>IF(ISERROR(K78/I78),"",K78/I78)</f>
        <v>0.54</v>
      </c>
      <c r="O78" s="105">
        <f>I78/E78</f>
        <v>2439.0243902439024</v>
      </c>
      <c r="P78" s="105">
        <f>K78/E78</f>
        <v>1317.0731707317073</v>
      </c>
      <c r="Q78" s="75">
        <v>3</v>
      </c>
      <c r="R78" s="75">
        <v>2</v>
      </c>
      <c r="S78" s="75" t="s">
        <v>947</v>
      </c>
      <c r="T78" s="5">
        <v>136</v>
      </c>
      <c r="U78" s="9"/>
    </row>
    <row r="79" spans="1:21" s="38" customFormat="1" ht="12" x14ac:dyDescent="0.3">
      <c r="A79" s="110" t="s">
        <v>1127</v>
      </c>
      <c r="B79" s="111" t="s">
        <v>1048</v>
      </c>
      <c r="C79" s="112">
        <v>1803</v>
      </c>
      <c r="D79" s="104">
        <v>117.1</v>
      </c>
      <c r="E79" s="106">
        <v>35</v>
      </c>
      <c r="F79" s="104">
        <v>84.4</v>
      </c>
      <c r="G79" s="17">
        <v>26</v>
      </c>
      <c r="H79" s="107">
        <v>506</v>
      </c>
      <c r="I79" s="108">
        <v>85000</v>
      </c>
      <c r="J79" s="108" t="s">
        <v>989</v>
      </c>
      <c r="K79" s="108">
        <v>45000</v>
      </c>
      <c r="L79" s="108" t="s">
        <v>960</v>
      </c>
      <c r="M79" s="109">
        <f>I79-K79</f>
        <v>40000</v>
      </c>
      <c r="N79" s="4">
        <f>IF(ISERROR(K79/I79),"",K79/I79)</f>
        <v>0.52941176470588236</v>
      </c>
      <c r="O79" s="105">
        <f>I79/E79</f>
        <v>2428.5714285714284</v>
      </c>
      <c r="P79" s="105">
        <f>K79/E79</f>
        <v>1285.7142857142858</v>
      </c>
      <c r="Q79" s="75">
        <v>3</v>
      </c>
      <c r="R79" s="75">
        <v>2</v>
      </c>
      <c r="S79" s="75" t="s">
        <v>947</v>
      </c>
      <c r="T79" s="5" t="s">
        <v>866</v>
      </c>
      <c r="U79" s="9"/>
    </row>
    <row r="80" spans="1:21" s="38" customFormat="1" ht="12" x14ac:dyDescent="0.3">
      <c r="A80" s="110" t="s">
        <v>1202</v>
      </c>
      <c r="B80" s="111" t="s">
        <v>1203</v>
      </c>
      <c r="C80" s="112">
        <v>1768</v>
      </c>
      <c r="D80" s="104">
        <v>135.6</v>
      </c>
      <c r="E80" s="106">
        <v>41</v>
      </c>
      <c r="F80" s="104">
        <v>100.3</v>
      </c>
      <c r="G80" s="17">
        <v>30</v>
      </c>
      <c r="H80" s="107">
        <v>372</v>
      </c>
      <c r="I80" s="108">
        <v>105000</v>
      </c>
      <c r="J80" s="108" t="s">
        <v>954</v>
      </c>
      <c r="K80" s="108">
        <v>55000</v>
      </c>
      <c r="L80" s="108" t="s">
        <v>992</v>
      </c>
      <c r="M80" s="109">
        <f>I80-K80</f>
        <v>50000</v>
      </c>
      <c r="N80" s="4">
        <f>IF(ISERROR(K80/I80),"",K80/I80)</f>
        <v>0.52380952380952384</v>
      </c>
      <c r="O80" s="105">
        <f>I80/E80</f>
        <v>2560.9756097560976</v>
      </c>
      <c r="P80" s="105">
        <f>K80/E80</f>
        <v>1341.4634146341464</v>
      </c>
      <c r="Q80" s="75">
        <v>3</v>
      </c>
      <c r="R80" s="75">
        <v>2</v>
      </c>
      <c r="S80" s="75" t="s">
        <v>947</v>
      </c>
      <c r="T80" s="5">
        <v>135</v>
      </c>
      <c r="U80" s="9"/>
    </row>
    <row r="81" spans="1:21" s="38" customFormat="1" ht="12" x14ac:dyDescent="0.3">
      <c r="A81" s="110" t="s">
        <v>1205</v>
      </c>
      <c r="B81" s="111" t="s">
        <v>1206</v>
      </c>
      <c r="C81" s="112">
        <v>1768</v>
      </c>
      <c r="D81" s="104">
        <v>185.6</v>
      </c>
      <c r="E81" s="106">
        <v>56</v>
      </c>
      <c r="F81" s="104">
        <v>137.19999999999999</v>
      </c>
      <c r="G81" s="17">
        <v>41</v>
      </c>
      <c r="H81" s="107">
        <v>41</v>
      </c>
      <c r="I81" s="108">
        <v>200000</v>
      </c>
      <c r="J81" s="108" t="s">
        <v>954</v>
      </c>
      <c r="K81" s="108">
        <v>100000</v>
      </c>
      <c r="L81" s="108" t="s">
        <v>954</v>
      </c>
      <c r="M81" s="109">
        <f>I81-K81</f>
        <v>100000</v>
      </c>
      <c r="N81" s="4">
        <f>IF(ISERROR(K81/I81),"",K81/I81)</f>
        <v>0.5</v>
      </c>
      <c r="O81" s="105">
        <f>I81/E81</f>
        <v>3571.4285714285716</v>
      </c>
      <c r="P81" s="105">
        <f>K81/E81</f>
        <v>1785.7142857142858</v>
      </c>
      <c r="Q81" s="75">
        <v>4</v>
      </c>
      <c r="R81" s="75">
        <v>2</v>
      </c>
      <c r="S81" s="75" t="s">
        <v>947</v>
      </c>
      <c r="T81" s="5" t="s">
        <v>874</v>
      </c>
      <c r="U81" s="9"/>
    </row>
    <row r="82" spans="1:21" s="38" customFormat="1" ht="12" x14ac:dyDescent="0.3">
      <c r="A82" s="110" t="s">
        <v>1199</v>
      </c>
      <c r="B82" s="111" t="s">
        <v>1048</v>
      </c>
      <c r="C82" s="112">
        <v>1803</v>
      </c>
      <c r="D82" s="104">
        <v>158.6</v>
      </c>
      <c r="E82" s="106">
        <v>48</v>
      </c>
      <c r="F82" s="104">
        <v>115.7</v>
      </c>
      <c r="G82" s="17">
        <v>35</v>
      </c>
      <c r="H82" s="107">
        <v>128</v>
      </c>
      <c r="I82" s="108">
        <v>152000</v>
      </c>
      <c r="J82" s="108" t="s">
        <v>954</v>
      </c>
      <c r="K82" s="108"/>
      <c r="L82" s="108"/>
      <c r="M82" s="109">
        <f>I82-K82</f>
        <v>152000</v>
      </c>
      <c r="N82" s="4">
        <f>IF(ISERROR(K82/I82),"",K82/I82)</f>
        <v>0</v>
      </c>
      <c r="O82" s="105">
        <f>I82/E82</f>
        <v>3166.6666666666665</v>
      </c>
      <c r="P82" s="105">
        <f>K82/E82</f>
        <v>0</v>
      </c>
      <c r="Q82" s="75">
        <v>4</v>
      </c>
      <c r="R82" s="75">
        <v>2</v>
      </c>
      <c r="S82" s="75" t="s">
        <v>947</v>
      </c>
      <c r="T82" s="5">
        <v>158</v>
      </c>
      <c r="U82" s="9"/>
    </row>
    <row r="83" spans="1:21" s="38" customFormat="1" ht="12" x14ac:dyDescent="0.3">
      <c r="A83" s="110" t="s">
        <v>1052</v>
      </c>
      <c r="B83" s="111" t="s">
        <v>1048</v>
      </c>
      <c r="C83" s="112">
        <v>1064</v>
      </c>
      <c r="D83" s="104">
        <v>138.6</v>
      </c>
      <c r="E83" s="106">
        <v>42</v>
      </c>
      <c r="F83" s="104">
        <v>99.2</v>
      </c>
      <c r="G83" s="17">
        <v>30</v>
      </c>
      <c r="H83" s="107">
        <v>246</v>
      </c>
      <c r="I83" s="108">
        <v>112000</v>
      </c>
      <c r="J83" s="108" t="s">
        <v>957</v>
      </c>
      <c r="K83" s="108"/>
      <c r="L83" s="108"/>
      <c r="M83" s="109">
        <f>I83-K83</f>
        <v>112000</v>
      </c>
      <c r="N83" s="4">
        <f>IF(ISERROR(K83/I83),"",K83/I83)</f>
        <v>0</v>
      </c>
      <c r="O83" s="105">
        <f>I83/E83</f>
        <v>2666.6666666666665</v>
      </c>
      <c r="P83" s="105">
        <f>K83/E83</f>
        <v>0</v>
      </c>
      <c r="Q83" s="75">
        <v>3</v>
      </c>
      <c r="R83" s="75">
        <v>2</v>
      </c>
      <c r="S83" s="75" t="s">
        <v>947</v>
      </c>
      <c r="T83" s="5">
        <v>138</v>
      </c>
      <c r="U83" s="9"/>
    </row>
    <row r="84" spans="1:21" s="38" customFormat="1" ht="12" x14ac:dyDescent="0.3">
      <c r="A84" s="110" t="s">
        <v>1051</v>
      </c>
      <c r="B84" s="111" t="s">
        <v>1050</v>
      </c>
      <c r="C84" s="112">
        <v>1465</v>
      </c>
      <c r="D84" s="104">
        <v>137.9</v>
      </c>
      <c r="E84" s="106">
        <v>42</v>
      </c>
      <c r="F84" s="104">
        <v>100.3</v>
      </c>
      <c r="G84" s="17">
        <v>30</v>
      </c>
      <c r="H84" s="107">
        <v>324</v>
      </c>
      <c r="I84" s="108">
        <v>110000</v>
      </c>
      <c r="J84" s="108" t="s">
        <v>954</v>
      </c>
      <c r="K84" s="108"/>
      <c r="L84" s="108"/>
      <c r="M84" s="109">
        <f>I84-K84</f>
        <v>110000</v>
      </c>
      <c r="N84" s="4">
        <f>IF(ISERROR(K84/I84),"",K84/I84)</f>
        <v>0</v>
      </c>
      <c r="O84" s="105">
        <f>I84/E84</f>
        <v>2619.0476190476193</v>
      </c>
      <c r="P84" s="105">
        <f>K84/E84</f>
        <v>0</v>
      </c>
      <c r="Q84" s="75">
        <v>3</v>
      </c>
      <c r="R84" s="75">
        <v>2</v>
      </c>
      <c r="S84" s="75" t="s">
        <v>947</v>
      </c>
      <c r="T84" s="5">
        <v>137</v>
      </c>
      <c r="U84" s="9"/>
    </row>
    <row r="85" spans="1:21" s="38" customFormat="1" ht="12" x14ac:dyDescent="0.3">
      <c r="A85" s="110" t="s">
        <v>1049</v>
      </c>
      <c r="B85" s="111" t="s">
        <v>1050</v>
      </c>
      <c r="C85" s="112">
        <v>1768</v>
      </c>
      <c r="D85" s="104">
        <v>99.2</v>
      </c>
      <c r="E85" s="106">
        <v>30</v>
      </c>
      <c r="F85" s="104">
        <v>72.900000000000006</v>
      </c>
      <c r="G85" s="17">
        <v>22</v>
      </c>
      <c r="H85" s="107">
        <v>104</v>
      </c>
      <c r="I85" s="108">
        <v>72000</v>
      </c>
      <c r="J85" s="108" t="s">
        <v>960</v>
      </c>
      <c r="K85" s="108"/>
      <c r="L85" s="108"/>
      <c r="M85" s="109">
        <f>I85-K85</f>
        <v>72000</v>
      </c>
      <c r="N85" s="4">
        <f>IF(ISERROR(K85/I85),"",K85/I85)</f>
        <v>0</v>
      </c>
      <c r="O85" s="105">
        <f>I85/E85</f>
        <v>2400</v>
      </c>
      <c r="P85" s="105">
        <f>K85/E85</f>
        <v>0</v>
      </c>
      <c r="Q85" s="75">
        <v>3</v>
      </c>
      <c r="R85" s="75">
        <v>2</v>
      </c>
      <c r="S85" s="75" t="s">
        <v>947</v>
      </c>
      <c r="T85" s="5">
        <v>99</v>
      </c>
      <c r="U85" s="9"/>
    </row>
    <row r="86" spans="1:21" s="38" customFormat="1" ht="12" x14ac:dyDescent="0.3">
      <c r="A86" s="110" t="s">
        <v>1017</v>
      </c>
      <c r="B86" s="111" t="s">
        <v>1018</v>
      </c>
      <c r="C86" s="112">
        <v>1522</v>
      </c>
      <c r="D86" s="104">
        <v>151.9</v>
      </c>
      <c r="E86" s="106">
        <v>46</v>
      </c>
      <c r="F86" s="104">
        <v>126</v>
      </c>
      <c r="G86" s="17">
        <v>38</v>
      </c>
      <c r="H86" s="107">
        <v>58</v>
      </c>
      <c r="I86" s="108">
        <v>70000</v>
      </c>
      <c r="J86" s="108" t="s">
        <v>954</v>
      </c>
      <c r="K86" s="108"/>
      <c r="L86" s="108"/>
      <c r="M86" s="109">
        <f>I86-K86</f>
        <v>70000</v>
      </c>
      <c r="N86" s="4">
        <f>IF(ISERROR(K86/I86),"",K86/I86)</f>
        <v>0</v>
      </c>
      <c r="O86" s="105">
        <f>I86/E86</f>
        <v>1521.7391304347825</v>
      </c>
      <c r="P86" s="105">
        <f>K86/E86</f>
        <v>0</v>
      </c>
      <c r="Q86" s="75">
        <v>3</v>
      </c>
      <c r="R86" s="75">
        <v>2</v>
      </c>
      <c r="S86" s="75" t="s">
        <v>943</v>
      </c>
      <c r="T86" s="5" t="s">
        <v>549</v>
      </c>
      <c r="U86" s="9"/>
    </row>
    <row r="87" spans="1:21" s="38" customFormat="1" ht="12" x14ac:dyDescent="0.3">
      <c r="A87" s="110" t="s">
        <v>1021</v>
      </c>
      <c r="B87" s="111" t="s">
        <v>1158</v>
      </c>
      <c r="C87" s="112">
        <v>507</v>
      </c>
      <c r="D87" s="104">
        <v>172.2</v>
      </c>
      <c r="E87" s="106">
        <v>52</v>
      </c>
      <c r="F87" s="104">
        <v>135</v>
      </c>
      <c r="G87" s="17">
        <v>41</v>
      </c>
      <c r="H87" s="107">
        <v>48</v>
      </c>
      <c r="I87" s="108">
        <v>68000</v>
      </c>
      <c r="J87" s="108" t="s">
        <v>949</v>
      </c>
      <c r="K87" s="108"/>
      <c r="L87" s="108"/>
      <c r="M87" s="109">
        <f>I87-K87</f>
        <v>68000</v>
      </c>
      <c r="N87" s="4">
        <f>IF(ISERROR(K87/I87),"",K87/I87)</f>
        <v>0</v>
      </c>
      <c r="O87" s="105">
        <f>I87/E87</f>
        <v>1307.6923076923076</v>
      </c>
      <c r="P87" s="105">
        <f>K87/E87</f>
        <v>0</v>
      </c>
      <c r="Q87" s="75">
        <v>4</v>
      </c>
      <c r="R87" s="75">
        <v>2</v>
      </c>
      <c r="S87" s="75" t="s">
        <v>947</v>
      </c>
      <c r="T87" s="5" t="s">
        <v>577</v>
      </c>
      <c r="U87" s="9"/>
    </row>
    <row r="88" spans="1:21" s="38" customFormat="1" ht="12" x14ac:dyDescent="0.3">
      <c r="A88" s="110" t="s">
        <v>1152</v>
      </c>
      <c r="B88" s="111" t="s">
        <v>1018</v>
      </c>
      <c r="C88" s="112">
        <v>1522</v>
      </c>
      <c r="D88" s="104">
        <v>165.2</v>
      </c>
      <c r="E88" s="106">
        <v>50</v>
      </c>
      <c r="F88" s="104">
        <v>137.9</v>
      </c>
      <c r="G88" s="17">
        <v>42</v>
      </c>
      <c r="H88" s="107">
        <v>203</v>
      </c>
      <c r="I88" s="108">
        <v>67000</v>
      </c>
      <c r="J88" s="108" t="s">
        <v>954</v>
      </c>
      <c r="K88" s="108"/>
      <c r="L88" s="108"/>
      <c r="M88" s="109">
        <f>I88-K88</f>
        <v>67000</v>
      </c>
      <c r="N88" s="4">
        <f>IF(ISERROR(K88/I88),"",K88/I88)</f>
        <v>0</v>
      </c>
      <c r="O88" s="105">
        <f>I88/E88</f>
        <v>1340</v>
      </c>
      <c r="P88" s="105">
        <f>K88/E88</f>
        <v>0</v>
      </c>
      <c r="Q88" s="75">
        <v>4</v>
      </c>
      <c r="R88" s="75">
        <v>2</v>
      </c>
      <c r="S88" s="75" t="s">
        <v>947</v>
      </c>
      <c r="T88" s="5" t="s">
        <v>551</v>
      </c>
      <c r="U88" s="9"/>
    </row>
    <row r="89" spans="1:21" s="38" customFormat="1" ht="12" x14ac:dyDescent="0.3">
      <c r="A89" s="110" t="s">
        <v>1194</v>
      </c>
      <c r="B89" s="111" t="s">
        <v>1195</v>
      </c>
      <c r="C89" s="112">
        <v>1803</v>
      </c>
      <c r="D89" s="104">
        <v>83.8</v>
      </c>
      <c r="E89" s="106">
        <v>25</v>
      </c>
      <c r="F89" s="104">
        <v>60</v>
      </c>
      <c r="G89" s="17">
        <v>18</v>
      </c>
      <c r="H89" s="107">
        <v>162</v>
      </c>
      <c r="I89" s="108">
        <v>63000</v>
      </c>
      <c r="J89" s="108" t="s">
        <v>964</v>
      </c>
      <c r="K89" s="108"/>
      <c r="L89" s="108"/>
      <c r="M89" s="109">
        <f>I89-K89</f>
        <v>63000</v>
      </c>
      <c r="N89" s="4">
        <f>IF(ISERROR(K89/I89),"",K89/I89)</f>
        <v>0</v>
      </c>
      <c r="O89" s="105">
        <f>I89/E89</f>
        <v>2520</v>
      </c>
      <c r="P89" s="105">
        <f>K89/E89</f>
        <v>0</v>
      </c>
      <c r="Q89" s="75">
        <v>3</v>
      </c>
      <c r="R89" s="75">
        <v>2</v>
      </c>
      <c r="S89" s="75" t="s">
        <v>947</v>
      </c>
      <c r="T89" s="5">
        <v>83</v>
      </c>
      <c r="U89" s="9"/>
    </row>
    <row r="90" spans="1:21" s="38" customFormat="1" ht="12" x14ac:dyDescent="0.3">
      <c r="A90" s="110" t="s">
        <v>1156</v>
      </c>
      <c r="B90" s="111" t="s">
        <v>1022</v>
      </c>
      <c r="C90" s="112">
        <v>507</v>
      </c>
      <c r="D90" s="104">
        <v>155.5</v>
      </c>
      <c r="E90" s="106">
        <v>47</v>
      </c>
      <c r="F90" s="104">
        <v>121.9</v>
      </c>
      <c r="G90" s="17">
        <v>37</v>
      </c>
      <c r="H90" s="107">
        <v>48</v>
      </c>
      <c r="I90" s="108">
        <v>59000</v>
      </c>
      <c r="J90" s="108" t="s">
        <v>949</v>
      </c>
      <c r="K90" s="108"/>
      <c r="L90" s="108"/>
      <c r="M90" s="109">
        <f>I90-K90</f>
        <v>59000</v>
      </c>
      <c r="N90" s="4">
        <f>IF(ISERROR(K90/I90),"",K90/I90)</f>
        <v>0</v>
      </c>
      <c r="O90" s="105">
        <f>I90/E90</f>
        <v>1255.3191489361702</v>
      </c>
      <c r="P90" s="105">
        <f>K90/E90</f>
        <v>0</v>
      </c>
      <c r="Q90" s="75">
        <v>4</v>
      </c>
      <c r="R90" s="75">
        <v>2</v>
      </c>
      <c r="S90" s="75" t="s">
        <v>947</v>
      </c>
      <c r="T90" s="5" t="s">
        <v>572</v>
      </c>
      <c r="U90" s="9"/>
    </row>
    <row r="91" spans="1:21" s="38" customFormat="1" ht="12" x14ac:dyDescent="0.3">
      <c r="A91" s="110" t="s">
        <v>1017</v>
      </c>
      <c r="B91" s="111" t="s">
        <v>1018</v>
      </c>
      <c r="C91" s="112">
        <v>1522</v>
      </c>
      <c r="D91" s="104">
        <v>113.1</v>
      </c>
      <c r="E91" s="106">
        <v>34</v>
      </c>
      <c r="F91" s="104">
        <v>85</v>
      </c>
      <c r="G91" s="17">
        <v>26</v>
      </c>
      <c r="H91" s="107">
        <v>294</v>
      </c>
      <c r="I91" s="108">
        <v>58000</v>
      </c>
      <c r="J91" s="108" t="s">
        <v>957</v>
      </c>
      <c r="K91" s="108"/>
      <c r="L91" s="108"/>
      <c r="M91" s="109">
        <f>I91-K91</f>
        <v>58000</v>
      </c>
      <c r="N91" s="4">
        <f>IF(ISERROR(K91/I91),"",K91/I91)</f>
        <v>0</v>
      </c>
      <c r="O91" s="105">
        <f>I91/E91</f>
        <v>1705.8823529411766</v>
      </c>
      <c r="P91" s="105">
        <f>K91/E91</f>
        <v>0</v>
      </c>
      <c r="Q91" s="75">
        <v>3</v>
      </c>
      <c r="R91" s="75">
        <v>2</v>
      </c>
      <c r="S91" s="75" t="s">
        <v>947</v>
      </c>
      <c r="T91" s="5">
        <v>113</v>
      </c>
      <c r="U91" s="9"/>
    </row>
    <row r="92" spans="1:21" s="38" customFormat="1" ht="12" x14ac:dyDescent="0.3">
      <c r="A92" s="110" t="s">
        <v>1044</v>
      </c>
      <c r="B92" s="111" t="s">
        <v>1045</v>
      </c>
      <c r="C92" s="112">
        <v>630</v>
      </c>
      <c r="D92" s="104">
        <v>158</v>
      </c>
      <c r="E92" s="106">
        <v>48</v>
      </c>
      <c r="F92" s="104">
        <v>131.1</v>
      </c>
      <c r="G92" s="17">
        <v>40</v>
      </c>
      <c r="H92" s="107">
        <v>30</v>
      </c>
      <c r="I92" s="108">
        <v>55000</v>
      </c>
      <c r="J92" s="108" t="s">
        <v>958</v>
      </c>
      <c r="K92" s="108"/>
      <c r="L92" s="108"/>
      <c r="M92" s="109">
        <f>I92-K92</f>
        <v>55000</v>
      </c>
      <c r="N92" s="4">
        <f>IF(ISERROR(K92/I92),"",K92/I92)</f>
        <v>0</v>
      </c>
      <c r="O92" s="105">
        <f>I92/E92</f>
        <v>1145.8333333333333</v>
      </c>
      <c r="P92" s="105">
        <f>K92/E92</f>
        <v>0</v>
      </c>
      <c r="Q92" s="75">
        <v>4</v>
      </c>
      <c r="R92" s="75">
        <v>2</v>
      </c>
      <c r="S92" s="75" t="s">
        <v>947</v>
      </c>
      <c r="T92" s="5">
        <v>158</v>
      </c>
      <c r="U92" s="9"/>
    </row>
    <row r="93" spans="1:21" s="38" customFormat="1" ht="12" x14ac:dyDescent="0.3">
      <c r="A93" s="110" t="s">
        <v>1212</v>
      </c>
      <c r="B93" s="111" t="s">
        <v>1213</v>
      </c>
      <c r="C93" s="112">
        <v>672</v>
      </c>
      <c r="D93" s="104">
        <v>106.9</v>
      </c>
      <c r="E93" s="106">
        <v>32</v>
      </c>
      <c r="F93" s="104">
        <v>84.9</v>
      </c>
      <c r="G93" s="17">
        <v>26</v>
      </c>
      <c r="H93" s="107">
        <v>80</v>
      </c>
      <c r="I93" s="108">
        <v>47000</v>
      </c>
      <c r="J93" s="108" t="s">
        <v>957</v>
      </c>
      <c r="K93" s="108"/>
      <c r="L93" s="108"/>
      <c r="M93" s="109">
        <f>I93-K93</f>
        <v>47000</v>
      </c>
      <c r="N93" s="4">
        <f>IF(ISERROR(K93/I93),"",K93/I93)</f>
        <v>0</v>
      </c>
      <c r="O93" s="105">
        <f>I93/E93</f>
        <v>1468.75</v>
      </c>
      <c r="P93" s="105">
        <f>K93/E93</f>
        <v>0</v>
      </c>
      <c r="Q93" s="75">
        <v>3</v>
      </c>
      <c r="R93" s="75">
        <v>2</v>
      </c>
      <c r="S93" s="75" t="s">
        <v>947</v>
      </c>
      <c r="T93" s="5">
        <v>106</v>
      </c>
      <c r="U93" s="9"/>
    </row>
    <row r="94" spans="1:21" s="38" customFormat="1" ht="12" x14ac:dyDescent="0.3">
      <c r="A94" s="110" t="s">
        <v>1120</v>
      </c>
      <c r="B94" s="111" t="s">
        <v>1177</v>
      </c>
      <c r="C94" s="112">
        <v>630</v>
      </c>
      <c r="D94" s="104">
        <v>132.19999999999999</v>
      </c>
      <c r="E94" s="106">
        <v>40</v>
      </c>
      <c r="F94" s="104">
        <v>101.7</v>
      </c>
      <c r="G94" s="17">
        <v>31</v>
      </c>
      <c r="H94" s="107">
        <v>66</v>
      </c>
      <c r="I94" s="108">
        <v>45500</v>
      </c>
      <c r="J94" s="108" t="s">
        <v>981</v>
      </c>
      <c r="K94" s="108"/>
      <c r="L94" s="108"/>
      <c r="M94" s="109">
        <f>I94-K94</f>
        <v>45500</v>
      </c>
      <c r="N94" s="4">
        <f>IF(ISERROR(K94/I94),"",K94/I94)</f>
        <v>0</v>
      </c>
      <c r="O94" s="105">
        <f>I94/E94</f>
        <v>1137.5</v>
      </c>
      <c r="P94" s="105">
        <f>K94/E94</f>
        <v>0</v>
      </c>
      <c r="Q94" s="75">
        <v>4</v>
      </c>
      <c r="R94" s="75">
        <v>2</v>
      </c>
      <c r="S94" s="75" t="s">
        <v>947</v>
      </c>
      <c r="T94" s="5">
        <v>132</v>
      </c>
      <c r="U94" s="9"/>
    </row>
    <row r="95" spans="1:21" s="38" customFormat="1" ht="12" x14ac:dyDescent="0.3">
      <c r="A95" s="110" t="s">
        <v>1146</v>
      </c>
      <c r="B95" s="111" t="s">
        <v>1147</v>
      </c>
      <c r="C95" s="112">
        <v>418</v>
      </c>
      <c r="D95" s="104">
        <v>144.69999999999999</v>
      </c>
      <c r="E95" s="106">
        <v>44</v>
      </c>
      <c r="F95" s="104">
        <v>117</v>
      </c>
      <c r="G95" s="17">
        <v>35</v>
      </c>
      <c r="H95" s="107">
        <v>107</v>
      </c>
      <c r="I95" s="108">
        <v>44000</v>
      </c>
      <c r="J95" s="108" t="s">
        <v>954</v>
      </c>
      <c r="K95" s="108"/>
      <c r="L95" s="108"/>
      <c r="M95" s="109">
        <f>I95-K95</f>
        <v>44000</v>
      </c>
      <c r="N95" s="4">
        <f>IF(ISERROR(K95/I95),"",K95/I95)</f>
        <v>0</v>
      </c>
      <c r="O95" s="105">
        <f>I95/E95</f>
        <v>1000</v>
      </c>
      <c r="P95" s="105">
        <f>K95/E95</f>
        <v>0</v>
      </c>
      <c r="Q95" s="75">
        <v>4</v>
      </c>
      <c r="R95" s="75">
        <v>2</v>
      </c>
      <c r="S95" s="75" t="s">
        <v>947</v>
      </c>
      <c r="T95" s="5">
        <v>144</v>
      </c>
      <c r="U95" s="9"/>
    </row>
    <row r="96" spans="1:21" s="38" customFormat="1" ht="12" x14ac:dyDescent="0.3">
      <c r="A96" s="110" t="s">
        <v>1214</v>
      </c>
      <c r="B96" s="111" t="s">
        <v>1215</v>
      </c>
      <c r="C96" s="112">
        <v>1650</v>
      </c>
      <c r="D96" s="104">
        <v>108.1</v>
      </c>
      <c r="E96" s="106">
        <v>33</v>
      </c>
      <c r="F96" s="104">
        <v>84.9</v>
      </c>
      <c r="G96" s="17">
        <v>26</v>
      </c>
      <c r="H96" s="107">
        <v>720</v>
      </c>
      <c r="I96" s="108">
        <v>42800</v>
      </c>
      <c r="J96" s="108" t="s">
        <v>974</v>
      </c>
      <c r="K96" s="108"/>
      <c r="L96" s="108"/>
      <c r="M96" s="109">
        <f>I96-K96</f>
        <v>42800</v>
      </c>
      <c r="N96" s="4">
        <f>IF(ISERROR(K96/I96),"",K96/I96)</f>
        <v>0</v>
      </c>
      <c r="O96" s="105">
        <f>I96/E96</f>
        <v>1296.969696969697</v>
      </c>
      <c r="P96" s="105">
        <f>K96/E96</f>
        <v>0</v>
      </c>
      <c r="Q96" s="75">
        <v>3</v>
      </c>
      <c r="R96" s="75">
        <v>2</v>
      </c>
      <c r="S96" s="75" t="s">
        <v>947</v>
      </c>
      <c r="T96" s="5">
        <v>108</v>
      </c>
      <c r="U96" s="9"/>
    </row>
    <row r="97" spans="1:21" s="38" customFormat="1" ht="12" x14ac:dyDescent="0.3">
      <c r="A97" s="110" t="s">
        <v>1123</v>
      </c>
      <c r="B97" s="111" t="s">
        <v>1043</v>
      </c>
      <c r="C97" s="112">
        <v>1393</v>
      </c>
      <c r="D97" s="104">
        <v>113.1</v>
      </c>
      <c r="E97" s="106">
        <v>34</v>
      </c>
      <c r="F97" s="104">
        <v>84.9</v>
      </c>
      <c r="G97" s="17">
        <v>26</v>
      </c>
      <c r="H97" s="107">
        <v>354</v>
      </c>
      <c r="I97" s="108">
        <v>40000</v>
      </c>
      <c r="J97" s="108" t="s">
        <v>984</v>
      </c>
      <c r="K97" s="108"/>
      <c r="L97" s="108"/>
      <c r="M97" s="109">
        <f>I97-K97</f>
        <v>40000</v>
      </c>
      <c r="N97" s="4">
        <f>IF(ISERROR(K97/I97),"",K97/I97)</f>
        <v>0</v>
      </c>
      <c r="O97" s="105">
        <f>I97/E97</f>
        <v>1176.4705882352941</v>
      </c>
      <c r="P97" s="105">
        <f>K97/E97</f>
        <v>0</v>
      </c>
      <c r="Q97" s="75">
        <v>3</v>
      </c>
      <c r="R97" s="75">
        <v>2</v>
      </c>
      <c r="S97" s="75" t="s">
        <v>947</v>
      </c>
      <c r="T97" s="5" t="s">
        <v>599</v>
      </c>
      <c r="U97" s="9"/>
    </row>
    <row r="98" spans="1:21" s="38" customFormat="1" ht="12" x14ac:dyDescent="0.3">
      <c r="A98" s="110" t="s">
        <v>1191</v>
      </c>
      <c r="B98" s="111" t="s">
        <v>1192</v>
      </c>
      <c r="C98" s="112">
        <v>630</v>
      </c>
      <c r="D98" s="104">
        <v>106.9</v>
      </c>
      <c r="E98" s="106">
        <v>32</v>
      </c>
      <c r="F98" s="104">
        <v>84.9</v>
      </c>
      <c r="G98" s="17">
        <v>26</v>
      </c>
      <c r="H98" s="107">
        <v>230</v>
      </c>
      <c r="I98" s="108">
        <v>38000</v>
      </c>
      <c r="J98" s="108" t="s">
        <v>957</v>
      </c>
      <c r="K98" s="108"/>
      <c r="L98" s="108"/>
      <c r="M98" s="109">
        <f>I98-K98</f>
        <v>38000</v>
      </c>
      <c r="N98" s="4">
        <f>IF(ISERROR(K98/I98),"",K98/I98)</f>
        <v>0</v>
      </c>
      <c r="O98" s="105">
        <f>I98/E98</f>
        <v>1187.5</v>
      </c>
      <c r="P98" s="105">
        <f>K98/E98</f>
        <v>0</v>
      </c>
      <c r="Q98" s="75">
        <v>3</v>
      </c>
      <c r="R98" s="75">
        <v>2</v>
      </c>
      <c r="S98" s="75" t="s">
        <v>947</v>
      </c>
      <c r="T98" s="5">
        <v>106</v>
      </c>
      <c r="U98" s="9"/>
    </row>
    <row r="99" spans="1:21" s="38" customFormat="1" ht="12" x14ac:dyDescent="0.3">
      <c r="A99" s="110" t="s">
        <v>1037</v>
      </c>
      <c r="B99" s="111" t="s">
        <v>1175</v>
      </c>
      <c r="C99" s="112">
        <v>583</v>
      </c>
      <c r="D99" s="104">
        <v>113.4</v>
      </c>
      <c r="E99" s="106">
        <v>34</v>
      </c>
      <c r="F99" s="104">
        <v>84.9</v>
      </c>
      <c r="G99" s="17">
        <v>26</v>
      </c>
      <c r="H99" s="107">
        <v>254</v>
      </c>
      <c r="I99" s="108">
        <v>37000</v>
      </c>
      <c r="J99" s="108" t="s">
        <v>954</v>
      </c>
      <c r="K99" s="108"/>
      <c r="L99" s="108"/>
      <c r="M99" s="109">
        <f>I99-K99</f>
        <v>37000</v>
      </c>
      <c r="N99" s="4">
        <f>IF(ISERROR(K99/I99),"",K99/I99)</f>
        <v>0</v>
      </c>
      <c r="O99" s="105">
        <f>I99/E99</f>
        <v>1088.2352941176471</v>
      </c>
      <c r="P99" s="105">
        <f>K99/E99</f>
        <v>0</v>
      </c>
      <c r="Q99" s="75">
        <v>4</v>
      </c>
      <c r="R99" s="75">
        <v>2</v>
      </c>
      <c r="S99" s="75" t="s">
        <v>947</v>
      </c>
      <c r="T99" s="5">
        <v>113</v>
      </c>
      <c r="U99" s="9"/>
    </row>
    <row r="100" spans="1:21" s="38" customFormat="1" ht="12" x14ac:dyDescent="0.3">
      <c r="A100" s="110" t="s">
        <v>1190</v>
      </c>
      <c r="B100" s="111" t="s">
        <v>1043</v>
      </c>
      <c r="C100" s="112">
        <v>1393</v>
      </c>
      <c r="D100" s="104">
        <v>97.6</v>
      </c>
      <c r="E100" s="106">
        <v>30</v>
      </c>
      <c r="F100" s="104">
        <v>70.599999999999994</v>
      </c>
      <c r="G100" s="17">
        <v>21</v>
      </c>
      <c r="H100" s="107">
        <v>174</v>
      </c>
      <c r="I100" s="108">
        <v>35000</v>
      </c>
      <c r="J100" s="108" t="s">
        <v>957</v>
      </c>
      <c r="K100" s="108"/>
      <c r="L100" s="108"/>
      <c r="M100" s="109">
        <f>I100-K100</f>
        <v>35000</v>
      </c>
      <c r="N100" s="4">
        <f>IF(ISERROR(K100/I100),"",K100/I100)</f>
        <v>0</v>
      </c>
      <c r="O100" s="105">
        <f>I100/E100</f>
        <v>1166.6666666666667</v>
      </c>
      <c r="P100" s="105">
        <f>K100/E100</f>
        <v>0</v>
      </c>
      <c r="Q100" s="75">
        <v>3</v>
      </c>
      <c r="R100" s="75">
        <v>2</v>
      </c>
      <c r="S100" s="75" t="s">
        <v>947</v>
      </c>
      <c r="T100" s="5" t="s">
        <v>392</v>
      </c>
      <c r="U100" s="9"/>
    </row>
    <row r="101" spans="1:21" s="38" customFormat="1" ht="12" x14ac:dyDescent="0.3">
      <c r="A101" s="110" t="s">
        <v>1013</v>
      </c>
      <c r="B101" s="111" t="s">
        <v>1014</v>
      </c>
      <c r="C101" s="112">
        <v>418</v>
      </c>
      <c r="D101" s="104">
        <v>105</v>
      </c>
      <c r="E101" s="106">
        <v>32</v>
      </c>
      <c r="F101" s="104">
        <v>84.9</v>
      </c>
      <c r="G101" s="17">
        <v>26</v>
      </c>
      <c r="H101" s="107">
        <v>311</v>
      </c>
      <c r="I101" s="108">
        <v>33500</v>
      </c>
      <c r="J101" s="108" t="s">
        <v>954</v>
      </c>
      <c r="K101" s="108"/>
      <c r="L101" s="108"/>
      <c r="M101" s="109">
        <f>I101-K101</f>
        <v>33500</v>
      </c>
      <c r="N101" s="4">
        <f>IF(ISERROR(K101/I101),"",K101/I101)</f>
        <v>0</v>
      </c>
      <c r="O101" s="105">
        <f>I101/E101</f>
        <v>1046.875</v>
      </c>
      <c r="P101" s="105">
        <f>K101/E101</f>
        <v>0</v>
      </c>
      <c r="Q101" s="75">
        <v>3</v>
      </c>
      <c r="R101" s="75">
        <v>2</v>
      </c>
      <c r="S101" s="75" t="s">
        <v>947</v>
      </c>
      <c r="T101" s="5">
        <v>105</v>
      </c>
      <c r="U101" s="9"/>
    </row>
    <row r="102" spans="1:21" s="38" customFormat="1" ht="12" x14ac:dyDescent="0.3">
      <c r="A102" s="110" t="s">
        <v>1060</v>
      </c>
      <c r="B102" s="111" t="s">
        <v>1061</v>
      </c>
      <c r="C102" s="112">
        <v>1059</v>
      </c>
      <c r="D102" s="104">
        <v>105.5</v>
      </c>
      <c r="E102" s="106">
        <v>32</v>
      </c>
      <c r="F102" s="104">
        <v>84.9</v>
      </c>
      <c r="G102" s="17">
        <v>26</v>
      </c>
      <c r="H102" s="107">
        <v>360</v>
      </c>
      <c r="I102" s="108">
        <v>31300</v>
      </c>
      <c r="J102" s="108" t="s">
        <v>957</v>
      </c>
      <c r="K102" s="108"/>
      <c r="L102" s="108"/>
      <c r="M102" s="109">
        <f>I102-K102</f>
        <v>31300</v>
      </c>
      <c r="N102" s="4">
        <f>IF(ISERROR(K102/I102),"",K102/I102)</f>
        <v>0</v>
      </c>
      <c r="O102" s="105">
        <f>I102/E102</f>
        <v>978.125</v>
      </c>
      <c r="P102" s="105">
        <f>K102/E102</f>
        <v>0</v>
      </c>
      <c r="Q102" s="75">
        <v>3</v>
      </c>
      <c r="R102" s="75">
        <v>2</v>
      </c>
      <c r="S102" s="75" t="s">
        <v>947</v>
      </c>
      <c r="T102" s="5">
        <v>105</v>
      </c>
      <c r="U102" s="9"/>
    </row>
    <row r="103" spans="1:21" s="38" customFormat="1" ht="12" x14ac:dyDescent="0.3">
      <c r="A103" s="110" t="s">
        <v>1154</v>
      </c>
      <c r="B103" s="111" t="s">
        <v>1019</v>
      </c>
      <c r="C103" s="112">
        <v>426</v>
      </c>
      <c r="D103" s="104">
        <v>103.4</v>
      </c>
      <c r="E103" s="106">
        <v>31</v>
      </c>
      <c r="F103" s="104">
        <v>84.4</v>
      </c>
      <c r="G103" s="17">
        <v>26</v>
      </c>
      <c r="H103" s="107">
        <v>382</v>
      </c>
      <c r="I103" s="108">
        <v>31000</v>
      </c>
      <c r="J103" s="108" t="s">
        <v>957</v>
      </c>
      <c r="K103" s="108"/>
      <c r="L103" s="108"/>
      <c r="M103" s="109">
        <f>I103-K103</f>
        <v>31000</v>
      </c>
      <c r="N103" s="4">
        <f>IF(ISERROR(K103/I103),"",K103/I103)</f>
        <v>0</v>
      </c>
      <c r="O103" s="105">
        <f>I103/E103</f>
        <v>1000</v>
      </c>
      <c r="P103" s="105">
        <f>K103/E103</f>
        <v>0</v>
      </c>
      <c r="Q103" s="75">
        <v>3</v>
      </c>
      <c r="R103" s="75">
        <v>2</v>
      </c>
      <c r="S103" s="75" t="s">
        <v>947</v>
      </c>
      <c r="T103" s="5">
        <v>103</v>
      </c>
      <c r="U103" s="9"/>
    </row>
    <row r="104" spans="1:21" s="38" customFormat="1" ht="12" x14ac:dyDescent="0.3">
      <c r="A104" s="110" t="s">
        <v>1028</v>
      </c>
      <c r="B104" s="111" t="s">
        <v>1160</v>
      </c>
      <c r="C104" s="112">
        <v>1034</v>
      </c>
      <c r="D104" s="104">
        <v>113.3</v>
      </c>
      <c r="E104" s="106">
        <v>34</v>
      </c>
      <c r="F104" s="104">
        <v>85</v>
      </c>
      <c r="G104" s="17">
        <v>26</v>
      </c>
      <c r="H104" s="107">
        <v>176</v>
      </c>
      <c r="I104" s="108">
        <v>31000</v>
      </c>
      <c r="J104" s="108" t="s">
        <v>954</v>
      </c>
      <c r="K104" s="108"/>
      <c r="L104" s="108"/>
      <c r="M104" s="109">
        <f>I104-K104</f>
        <v>31000</v>
      </c>
      <c r="N104" s="4">
        <f>IF(ISERROR(K104/I104),"",K104/I104)</f>
        <v>0</v>
      </c>
      <c r="O104" s="105">
        <f>I104/E104</f>
        <v>911.76470588235293</v>
      </c>
      <c r="P104" s="105">
        <f>K104/E104</f>
        <v>0</v>
      </c>
      <c r="Q104" s="75">
        <v>3</v>
      </c>
      <c r="R104" s="75">
        <v>2</v>
      </c>
      <c r="S104" s="75" t="s">
        <v>947</v>
      </c>
      <c r="T104" s="5" t="s">
        <v>598</v>
      </c>
      <c r="U104" s="9"/>
    </row>
    <row r="105" spans="1:21" s="38" customFormat="1" ht="12" x14ac:dyDescent="0.3">
      <c r="A105" s="110" t="s">
        <v>1100</v>
      </c>
      <c r="B105" s="111" t="s">
        <v>1031</v>
      </c>
      <c r="C105" s="112">
        <v>1082</v>
      </c>
      <c r="D105" s="104">
        <v>95.6</v>
      </c>
      <c r="E105" s="106">
        <v>29</v>
      </c>
      <c r="F105" s="104">
        <v>68.8</v>
      </c>
      <c r="G105" s="17">
        <v>21</v>
      </c>
      <c r="H105" s="107">
        <v>74</v>
      </c>
      <c r="I105" s="108">
        <v>30000</v>
      </c>
      <c r="J105" s="108" t="s">
        <v>954</v>
      </c>
      <c r="K105" s="108"/>
      <c r="L105" s="108"/>
      <c r="M105" s="109">
        <f>I105-K105</f>
        <v>30000</v>
      </c>
      <c r="N105" s="4">
        <f>IF(ISERROR(K105/I105),"",K105/I105)</f>
        <v>0</v>
      </c>
      <c r="O105" s="105">
        <f>I105/E105</f>
        <v>1034.4827586206898</v>
      </c>
      <c r="P105" s="105">
        <f>K105/E105</f>
        <v>0</v>
      </c>
      <c r="Q105" s="75">
        <v>3</v>
      </c>
      <c r="R105" s="75">
        <v>2</v>
      </c>
      <c r="S105" s="75" t="s">
        <v>947</v>
      </c>
      <c r="T105" s="5" t="s">
        <v>622</v>
      </c>
      <c r="U105" s="9"/>
    </row>
    <row r="106" spans="1:21" s="38" customFormat="1" ht="12" x14ac:dyDescent="0.3">
      <c r="A106" s="110" t="s">
        <v>1216</v>
      </c>
      <c r="B106" s="111" t="s">
        <v>1217</v>
      </c>
      <c r="C106" s="112">
        <v>594</v>
      </c>
      <c r="D106" s="104">
        <v>79.599999999999994</v>
      </c>
      <c r="E106" s="106">
        <v>24</v>
      </c>
      <c r="F106" s="104">
        <v>60</v>
      </c>
      <c r="G106" s="17">
        <v>18</v>
      </c>
      <c r="H106" s="107">
        <v>231</v>
      </c>
      <c r="I106" s="108">
        <v>30000</v>
      </c>
      <c r="J106" s="108" t="s">
        <v>954</v>
      </c>
      <c r="K106" s="108"/>
      <c r="L106" s="108"/>
      <c r="M106" s="109">
        <f>I106-K106</f>
        <v>30000</v>
      </c>
      <c r="N106" s="4">
        <f>IF(ISERROR(K106/I106),"",K106/I106)</f>
        <v>0</v>
      </c>
      <c r="O106" s="105">
        <f>I106/E106</f>
        <v>1250</v>
      </c>
      <c r="P106" s="105">
        <f>K106/E106</f>
        <v>0</v>
      </c>
      <c r="Q106" s="75">
        <v>3</v>
      </c>
      <c r="R106" s="75">
        <v>1</v>
      </c>
      <c r="S106" s="75" t="s">
        <v>947</v>
      </c>
      <c r="T106" s="5">
        <v>79</v>
      </c>
      <c r="U106" s="9"/>
    </row>
    <row r="107" spans="1:21" s="38" customFormat="1" ht="12" x14ac:dyDescent="0.3">
      <c r="A107" s="110" t="s">
        <v>1174</v>
      </c>
      <c r="B107" s="111" t="s">
        <v>1175</v>
      </c>
      <c r="C107" s="112">
        <v>583</v>
      </c>
      <c r="D107" s="104">
        <v>85.8</v>
      </c>
      <c r="E107" s="106">
        <v>26</v>
      </c>
      <c r="F107" s="104">
        <v>60</v>
      </c>
      <c r="G107" s="17">
        <v>18</v>
      </c>
      <c r="H107" s="107">
        <v>67</v>
      </c>
      <c r="I107" s="108">
        <v>26500</v>
      </c>
      <c r="J107" s="108" t="s">
        <v>954</v>
      </c>
      <c r="K107" s="108"/>
      <c r="L107" s="108"/>
      <c r="M107" s="109">
        <f>I107-K107</f>
        <v>26500</v>
      </c>
      <c r="N107" s="4">
        <f>IF(ISERROR(K107/I107),"",K107/I107)</f>
        <v>0</v>
      </c>
      <c r="O107" s="105">
        <f>I107/E107</f>
        <v>1019.2307692307693</v>
      </c>
      <c r="P107" s="105">
        <f>K107/E107</f>
        <v>0</v>
      </c>
      <c r="Q107" s="75">
        <v>3</v>
      </c>
      <c r="R107" s="75">
        <v>2</v>
      </c>
      <c r="S107" s="75" t="s">
        <v>947</v>
      </c>
      <c r="T107" s="5">
        <v>85</v>
      </c>
      <c r="U107" s="9"/>
    </row>
    <row r="108" spans="1:21" s="38" customFormat="1" ht="12" x14ac:dyDescent="0.3">
      <c r="A108" s="110" t="s">
        <v>1062</v>
      </c>
      <c r="B108" s="111" t="s">
        <v>1063</v>
      </c>
      <c r="C108" s="112">
        <v>1040</v>
      </c>
      <c r="D108" s="104">
        <v>69.7</v>
      </c>
      <c r="E108" s="106">
        <v>21</v>
      </c>
      <c r="F108" s="104">
        <v>59.9</v>
      </c>
      <c r="G108" s="17">
        <v>18</v>
      </c>
      <c r="H108" s="107">
        <v>830</v>
      </c>
      <c r="I108" s="108">
        <v>24000</v>
      </c>
      <c r="J108" s="108" t="s">
        <v>964</v>
      </c>
      <c r="K108" s="108"/>
      <c r="L108" s="108"/>
      <c r="M108" s="109">
        <f>I108-K108</f>
        <v>24000</v>
      </c>
      <c r="N108" s="4">
        <f>IF(ISERROR(K108/I108),"",K108/I108)</f>
        <v>0</v>
      </c>
      <c r="O108" s="105">
        <f>I108/E108</f>
        <v>1142.8571428571429</v>
      </c>
      <c r="P108" s="105">
        <f>K108/E108</f>
        <v>0</v>
      </c>
      <c r="Q108" s="75">
        <v>3</v>
      </c>
      <c r="R108" s="75">
        <v>1</v>
      </c>
      <c r="S108" s="75" t="s">
        <v>947</v>
      </c>
      <c r="T108" s="5">
        <v>69</v>
      </c>
      <c r="U108" s="9"/>
    </row>
    <row r="109" spans="1:21" s="38" customFormat="1" ht="12" x14ac:dyDescent="0.3">
      <c r="A109" s="110" t="s">
        <v>1020</v>
      </c>
      <c r="B109" s="111" t="s">
        <v>1019</v>
      </c>
      <c r="C109" s="112">
        <v>426</v>
      </c>
      <c r="D109" s="104">
        <v>77.5</v>
      </c>
      <c r="E109" s="106">
        <v>23</v>
      </c>
      <c r="F109" s="104">
        <v>59.4</v>
      </c>
      <c r="G109" s="17">
        <v>18</v>
      </c>
      <c r="H109" s="107">
        <v>43</v>
      </c>
      <c r="I109" s="108">
        <v>23000</v>
      </c>
      <c r="J109" s="108" t="s">
        <v>957</v>
      </c>
      <c r="K109" s="108"/>
      <c r="L109" s="108"/>
      <c r="M109" s="109">
        <f>I109-K109</f>
        <v>23000</v>
      </c>
      <c r="N109" s="4">
        <f>IF(ISERROR(K109/I109),"",K109/I109)</f>
        <v>0</v>
      </c>
      <c r="O109" s="105">
        <f>I109/E109</f>
        <v>1000</v>
      </c>
      <c r="P109" s="105">
        <f>K109/E109</f>
        <v>0</v>
      </c>
      <c r="Q109" s="75">
        <v>3</v>
      </c>
      <c r="R109" s="75">
        <v>1</v>
      </c>
      <c r="S109" s="75" t="s">
        <v>947</v>
      </c>
      <c r="T109" s="5">
        <v>77</v>
      </c>
      <c r="U109" s="9"/>
    </row>
    <row r="110" spans="1:21" s="38" customFormat="1" ht="12" x14ac:dyDescent="0.3">
      <c r="A110" s="110" t="s">
        <v>1041</v>
      </c>
      <c r="B110" s="111" t="s">
        <v>1027</v>
      </c>
      <c r="C110" s="112">
        <v>546</v>
      </c>
      <c r="D110" s="104">
        <v>80.3</v>
      </c>
      <c r="E110" s="106">
        <v>24</v>
      </c>
      <c r="F110" s="104">
        <v>60</v>
      </c>
      <c r="G110" s="17">
        <v>18</v>
      </c>
      <c r="H110" s="107">
        <v>54</v>
      </c>
      <c r="I110" s="108">
        <v>19500</v>
      </c>
      <c r="J110" s="108" t="s">
        <v>954</v>
      </c>
      <c r="K110" s="108"/>
      <c r="L110" s="108"/>
      <c r="M110" s="109">
        <f>I110-K110</f>
        <v>19500</v>
      </c>
      <c r="N110" s="4">
        <f>IF(ISERROR(K110/I110),"",K110/I110)</f>
        <v>0</v>
      </c>
      <c r="O110" s="105">
        <f>I110/E110</f>
        <v>812.5</v>
      </c>
      <c r="P110" s="105">
        <f>K110/E110</f>
        <v>0</v>
      </c>
      <c r="Q110" s="75">
        <v>3</v>
      </c>
      <c r="R110" s="75">
        <v>2</v>
      </c>
      <c r="S110" s="75" t="s">
        <v>947</v>
      </c>
      <c r="T110" s="5">
        <v>80</v>
      </c>
      <c r="U110" s="9"/>
    </row>
    <row r="111" spans="1:21" s="38" customFormat="1" ht="12" x14ac:dyDescent="0.3">
      <c r="A111" s="110" t="s">
        <v>1060</v>
      </c>
      <c r="B111" s="111" t="s">
        <v>1061</v>
      </c>
      <c r="C111" s="112">
        <v>1059</v>
      </c>
      <c r="D111" s="104">
        <v>72.900000000000006</v>
      </c>
      <c r="E111" s="106">
        <v>22</v>
      </c>
      <c r="F111" s="104">
        <v>49.9</v>
      </c>
      <c r="G111" s="17">
        <v>15</v>
      </c>
      <c r="H111" s="107">
        <v>108</v>
      </c>
      <c r="I111" s="108">
        <v>17500</v>
      </c>
      <c r="J111" s="108" t="s">
        <v>954</v>
      </c>
      <c r="K111" s="108"/>
      <c r="L111" s="108"/>
      <c r="M111" s="109">
        <f>I111-K111</f>
        <v>17500</v>
      </c>
      <c r="N111" s="4">
        <f>IF(ISERROR(K111/I111),"",K111/I111)</f>
        <v>0</v>
      </c>
      <c r="O111" s="105">
        <f>I111/E111</f>
        <v>795.4545454545455</v>
      </c>
      <c r="P111" s="105">
        <f>K111/E111</f>
        <v>0</v>
      </c>
      <c r="Q111" s="75">
        <v>2</v>
      </c>
      <c r="R111" s="75">
        <v>1</v>
      </c>
      <c r="S111" s="75" t="s">
        <v>943</v>
      </c>
      <c r="T111" s="5">
        <v>72</v>
      </c>
      <c r="U111" s="9"/>
    </row>
    <row r="112" spans="1:21" s="38" customFormat="1" ht="12" x14ac:dyDescent="0.3">
      <c r="A112" s="110" t="s">
        <v>1070</v>
      </c>
      <c r="B112" s="111" t="s">
        <v>1007</v>
      </c>
      <c r="C112" s="112">
        <v>325</v>
      </c>
      <c r="D112" s="104">
        <v>55.7</v>
      </c>
      <c r="E112" s="106">
        <v>17</v>
      </c>
      <c r="F112" s="104">
        <v>49.6</v>
      </c>
      <c r="G112" s="17">
        <v>15</v>
      </c>
      <c r="H112" s="107">
        <v>70</v>
      </c>
      <c r="I112" s="108">
        <v>6500</v>
      </c>
      <c r="J112" s="108" t="s">
        <v>949</v>
      </c>
      <c r="K112" s="108"/>
      <c r="L112" s="108"/>
      <c r="M112" s="109">
        <f>I112-K112</f>
        <v>6500</v>
      </c>
      <c r="N112" s="4">
        <f>IF(ISERROR(K112/I112),"",K112/I112)</f>
        <v>0</v>
      </c>
      <c r="O112" s="105">
        <f>I112/E112</f>
        <v>382.35294117647061</v>
      </c>
      <c r="P112" s="105">
        <f>K112/E112</f>
        <v>0</v>
      </c>
      <c r="Q112" s="75">
        <v>2</v>
      </c>
      <c r="R112" s="75">
        <v>1</v>
      </c>
      <c r="S112" s="75" t="s">
        <v>947</v>
      </c>
      <c r="T112" s="5">
        <v>55</v>
      </c>
      <c r="U112" s="9"/>
    </row>
    <row r="113" spans="1:22" s="38" customFormat="1" ht="16.5" customHeight="1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</row>
    <row r="114" spans="1:22" s="38" customFormat="1" ht="16.5" customHeight="1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</row>
    <row r="115" spans="1:22" s="38" customFormat="1" ht="16.5" customHeight="1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</row>
    <row r="116" spans="1:22" s="38" customFormat="1" ht="16.5" customHeight="1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</row>
    <row r="117" spans="1:22" s="38" customFormat="1" ht="16.5" customHeight="1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</row>
    <row r="118" spans="1:22" s="38" customFormat="1" ht="16.5" customHeight="1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</row>
    <row r="119" spans="1:22" s="38" customFormat="1" ht="16.5" customHeight="1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</row>
    <row r="120" spans="1:22" s="38" customFormat="1" ht="16.5" customHeight="1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</row>
    <row r="121" spans="1:22" s="38" customFormat="1" ht="16.5" customHeight="1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</row>
    <row r="122" spans="1:22" s="38" customFormat="1" ht="16.5" customHeight="1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</row>
    <row r="123" spans="1:22" s="38" customFormat="1" ht="16.5" customHeight="1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</row>
    <row r="124" spans="1:22" s="38" customFormat="1" ht="16.5" customHeight="1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</row>
    <row r="125" spans="1:22" s="38" customFormat="1" ht="16.5" customHeight="1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</row>
    <row r="126" spans="1:22" s="38" customFormat="1" ht="16.5" customHeight="1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</row>
    <row r="127" spans="1:22" s="38" customFormat="1" ht="16.5" customHeight="1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</row>
    <row r="128" spans="1:22" s="38" customFormat="1" ht="16.5" customHeight="1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</row>
    <row r="129" spans="1:22" s="38" customFormat="1" ht="16.5" customHeight="1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</row>
    <row r="130" spans="1:22" s="38" customFormat="1" ht="16.5" customHeight="1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</row>
    <row r="131" spans="1:22" s="38" customFormat="1" ht="16.5" customHeight="1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</row>
    <row r="132" spans="1:22" s="38" customFormat="1" ht="16.5" customHeight="1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</row>
    <row r="133" spans="1:22" s="38" customFormat="1" ht="16.5" customHeight="1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1:22" s="38" customFormat="1" ht="16.5" customHeight="1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1:22" s="38" customFormat="1" ht="16.5" customHeight="1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1:22" s="38" customFormat="1" ht="16.5" customHeight="1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1:22" s="38" customFormat="1" ht="16.5" customHeight="1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1:22" s="38" customFormat="1" ht="16.5" customHeight="1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39" spans="1:22" s="38" customFormat="1" ht="16.5" customHeight="1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</row>
    <row r="140" spans="1:22" s="38" customFormat="1" ht="16.5" customHeight="1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</row>
    <row r="141" spans="1:22" s="38" customFormat="1" ht="16.5" customHeight="1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1:22" s="38" customFormat="1" ht="16.5" customHeight="1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1:22" s="38" customFormat="1" ht="16.5" customHeight="1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1:22" s="38" customFormat="1" ht="16.5" customHeight="1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1:22" s="38" customFormat="1" ht="16.5" customHeight="1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1:22" s="38" customFormat="1" ht="16.5" customHeight="1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  <row r="147" spans="1:22" s="38" customFormat="1" ht="16.5" customHeight="1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</row>
    <row r="148" spans="1:22" s="38" customFormat="1" ht="16.5" customHeight="1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</row>
    <row r="149" spans="1:22" s="38" customFormat="1" ht="16.5" customHeight="1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</row>
    <row r="150" spans="1:22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</row>
    <row r="151" spans="1:22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</row>
    <row r="152" spans="1:22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</row>
    <row r="153" spans="1:22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</row>
    <row r="154" spans="1:22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</row>
    <row r="155" spans="1:22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</row>
    <row r="156" spans="1:22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</row>
    <row r="157" spans="1:22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</row>
    <row r="158" spans="1:22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</row>
    <row r="159" spans="1:22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</row>
    <row r="160" spans="1:22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</row>
    <row r="161" spans="1:22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</row>
    <row r="162" spans="1:22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</row>
    <row r="163" spans="1:22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</row>
    <row r="164" spans="1:22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</row>
    <row r="165" spans="1:22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</row>
    <row r="166" spans="1:22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</row>
    <row r="167" spans="1:22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</row>
    <row r="168" spans="1:22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</row>
    <row r="169" spans="1:22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</row>
    <row r="170" spans="1:22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</row>
    <row r="171" spans="1:22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</row>
    <row r="172" spans="1:22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</row>
    <row r="173" spans="1:22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174" spans="1:22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</row>
    <row r="175" spans="1:22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</row>
    <row r="176" spans="1:22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</row>
    <row r="177" spans="1:22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</row>
    <row r="178" spans="1:22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</row>
    <row r="179" spans="1:22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</row>
    <row r="180" spans="1:22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</row>
    <row r="181" spans="1:22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</row>
    <row r="182" spans="1:22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</row>
    <row r="183" spans="1:22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</row>
    <row r="184" spans="1:22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</row>
    <row r="185" spans="1:22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</row>
    <row r="186" spans="1:22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</row>
    <row r="187" spans="1:22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</row>
    <row r="188" spans="1:22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</row>
    <row r="189" spans="1:22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</row>
    <row r="190" spans="1:22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</row>
    <row r="191" spans="1:22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</row>
    <row r="192" spans="1:22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</row>
    <row r="193" spans="1:22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</row>
    <row r="194" spans="1:22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</row>
    <row r="195" spans="1:22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</row>
    <row r="196" spans="1:22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</row>
    <row r="197" spans="1:22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</row>
    <row r="198" spans="1:22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</row>
    <row r="199" spans="1:22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</row>
    <row r="200" spans="1:22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</row>
    <row r="201" spans="1:22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</row>
    <row r="202" spans="1:22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</row>
    <row r="203" spans="1:22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</row>
    <row r="204" spans="1:22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</row>
    <row r="205" spans="1:22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</row>
    <row r="206" spans="1:22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</row>
    <row r="207" spans="1:22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</row>
    <row r="208" spans="1:22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</row>
    <row r="209" spans="1:22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</row>
    <row r="210" spans="1:22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</row>
    <row r="211" spans="1:22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</row>
    <row r="212" spans="1:22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</row>
    <row r="213" spans="1:22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</row>
    <row r="214" spans="1:22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</row>
    <row r="215" spans="1:22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</row>
    <row r="216" spans="1:22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</row>
    <row r="217" spans="1:22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</row>
    <row r="218" spans="1:22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</row>
    <row r="219" spans="1:22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</row>
    <row r="220" spans="1:22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</row>
    <row r="221" spans="1:22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</row>
    <row r="222" spans="1:22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</row>
    <row r="223" spans="1:22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</row>
    <row r="224" spans="1:22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</row>
    <row r="225" spans="1:22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</row>
    <row r="226" spans="1:22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1:22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</row>
    <row r="228" spans="1:22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</row>
    <row r="229" spans="1:22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</row>
    <row r="230" spans="1:22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</row>
    <row r="231" spans="1:22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</row>
    <row r="232" spans="1:22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</row>
    <row r="233" spans="1:22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</row>
    <row r="234" spans="1:22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</row>
    <row r="235" spans="1:22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</row>
    <row r="236" spans="1:22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</row>
    <row r="237" spans="1:2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</row>
    <row r="238" spans="1:2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</row>
    <row r="239" spans="1:2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</row>
    <row r="240" spans="1:2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</row>
    <row r="241" spans="1:2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</row>
    <row r="242" spans="1:2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</row>
    <row r="243" spans="1:2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</row>
    <row r="244" spans="1:2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</row>
    <row r="245" spans="1:2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</row>
    <row r="246" spans="1:2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</row>
    <row r="247" spans="1:2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</row>
    <row r="248" spans="1:2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</row>
    <row r="249" spans="1:2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</row>
    <row r="250" spans="1:2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</row>
    <row r="251" spans="1:2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</row>
    <row r="252" spans="1:2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</row>
    <row r="253" spans="1:2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</row>
    <row r="254" spans="1:2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</row>
    <row r="255" spans="1:2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</row>
    <row r="256" spans="1:2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</row>
    <row r="257" spans="1:2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</row>
    <row r="258" spans="1:2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</row>
    <row r="259" spans="1:2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</row>
    <row r="260" spans="1:2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</row>
    <row r="261" spans="1:2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</row>
    <row r="262" spans="1:2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</row>
    <row r="263" spans="1:2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</row>
    <row r="264" spans="1:2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</row>
    <row r="265" spans="1:2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</row>
    <row r="266" spans="1:2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</row>
    <row r="267" spans="1:2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</row>
    <row r="268" spans="1:2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</row>
    <row r="269" spans="1:2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</row>
    <row r="270" spans="1:2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</row>
    <row r="271" spans="1:2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</row>
    <row r="272" spans="1:2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</row>
    <row r="273" spans="1:2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</row>
    <row r="274" spans="1:2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</row>
    <row r="275" spans="1:2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</row>
    <row r="276" spans="1:2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</row>
    <row r="277" spans="1:2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</row>
    <row r="278" spans="1:2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</row>
    <row r="279" spans="1:2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</row>
    <row r="280" spans="1:2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</row>
    <row r="281" spans="1:2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</row>
    <row r="282" spans="1:2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</row>
    <row r="283" spans="1:2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</row>
    <row r="284" spans="1:2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</row>
    <row r="285" spans="1:2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</row>
    <row r="286" spans="1:2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</row>
    <row r="287" spans="1:2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</row>
    <row r="288" spans="1:2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</row>
    <row r="289" spans="1:2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</row>
    <row r="290" spans="1:2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</row>
    <row r="291" spans="1:2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</row>
    <row r="292" spans="1:2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</row>
    <row r="293" spans="1:2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</row>
    <row r="294" spans="1:2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</row>
    <row r="295" spans="1:2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</row>
    <row r="296" spans="1:2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</row>
    <row r="297" spans="1:2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</row>
    <row r="298" spans="1:2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</row>
    <row r="299" spans="1:2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</row>
    <row r="300" spans="1:2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</row>
    <row r="301" spans="1:2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</row>
    <row r="302" spans="1:2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</row>
    <row r="303" spans="1:2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</row>
    <row r="304" spans="1:2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</row>
    <row r="305" spans="1:2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</row>
    <row r="306" spans="1:2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</row>
    <row r="307" spans="1:2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</row>
    <row r="308" spans="1:2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</row>
    <row r="309" spans="1:2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</row>
    <row r="310" spans="1:2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</row>
    <row r="311" spans="1:2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</row>
    <row r="312" spans="1:2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</row>
    <row r="313" spans="1:2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</row>
    <row r="314" spans="1:2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</row>
    <row r="315" spans="1:2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</row>
    <row r="316" spans="1:2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</row>
    <row r="317" spans="1:2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</row>
    <row r="318" spans="1:2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</row>
    <row r="319" spans="1:2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</row>
    <row r="320" spans="1:2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</row>
    <row r="321" spans="1:22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</row>
    <row r="322" spans="1:22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</row>
    <row r="323" spans="1:22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</row>
    <row r="324" spans="1:22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</row>
    <row r="325" spans="1:22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</row>
    <row r="326" spans="1:22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</row>
    <row r="327" spans="1:22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</row>
    <row r="328" spans="1:22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</row>
    <row r="329" spans="1:22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</row>
    <row r="330" spans="1:22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</row>
    <row r="331" spans="1:22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</row>
    <row r="332" spans="1:22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</row>
    <row r="333" spans="1:22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</row>
    <row r="334" spans="1:22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</row>
    <row r="335" spans="1:22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</row>
    <row r="336" spans="1:22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</row>
    <row r="337" spans="1:22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</row>
    <row r="338" spans="1:22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</row>
    <row r="339" spans="1:22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</row>
    <row r="340" spans="1:22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</row>
    <row r="341" spans="1:22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</row>
    <row r="342" spans="1:22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</row>
    <row r="343" spans="1:22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</row>
    <row r="344" spans="1:22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</row>
    <row r="345" spans="1:22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</row>
    <row r="346" spans="1:22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</row>
    <row r="347" spans="1:22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</row>
    <row r="348" spans="1:22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</row>
    <row r="349" spans="1:22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</row>
    <row r="350" spans="1:22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</row>
    <row r="351" spans="1:22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</row>
    <row r="352" spans="1:22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</row>
    <row r="353" spans="1:22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</row>
    <row r="354" spans="1:22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</row>
    <row r="355" spans="1:22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</row>
    <row r="356" spans="1:22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</row>
    <row r="357" spans="1:22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</row>
    <row r="358" spans="1:22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</row>
    <row r="359" spans="1:22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</row>
    <row r="360" spans="1:22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</row>
    <row r="361" spans="1:22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</row>
    <row r="362" spans="1:22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</row>
    <row r="363" spans="1:22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</row>
    <row r="364" spans="1:22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</row>
    <row r="365" spans="1:22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</row>
    <row r="366" spans="1:22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</row>
    <row r="367" spans="1:22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</row>
    <row r="368" spans="1:22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</row>
    <row r="369" spans="1:22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</row>
    <row r="370" spans="1:22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</row>
    <row r="371" spans="1:22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</row>
    <row r="372" spans="1:22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</row>
    <row r="373" spans="1:22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</row>
    <row r="374" spans="1:22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</row>
    <row r="375" spans="1:22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</row>
    <row r="376" spans="1:22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</row>
    <row r="377" spans="1:22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</row>
    <row r="378" spans="1:22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</row>
    <row r="379" spans="1:22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</row>
    <row r="380" spans="1:22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</row>
    <row r="381" spans="1:22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</row>
    <row r="382" spans="1:22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</row>
    <row r="383" spans="1:22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</row>
    <row r="384" spans="1:22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</row>
    <row r="385" spans="1:22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</row>
    <row r="386" spans="1:22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</row>
    <row r="387" spans="1:22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</row>
    <row r="388" spans="1:22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</row>
    <row r="389" spans="1:22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</row>
    <row r="390" spans="1:22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</row>
    <row r="391" spans="1:22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</row>
    <row r="392" spans="1:22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</row>
    <row r="393" spans="1:22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</row>
    <row r="394" spans="1:22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</row>
    <row r="395" spans="1:22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</row>
    <row r="396" spans="1:22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</row>
    <row r="397" spans="1:22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</row>
    <row r="398" spans="1:22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</row>
    <row r="399" spans="1:22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</row>
    <row r="400" spans="1:22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</row>
    <row r="401" spans="1:22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</row>
    <row r="402" spans="1:22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</row>
    <row r="403" spans="1:22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</row>
    <row r="404" spans="1:22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</row>
    <row r="405" spans="1:22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</row>
    <row r="406" spans="1:22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</row>
    <row r="407" spans="1:22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</row>
    <row r="408" spans="1:22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</row>
    <row r="409" spans="1:22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</row>
    <row r="410" spans="1:22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</row>
    <row r="411" spans="1:22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</row>
    <row r="412" spans="1:22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</row>
    <row r="413" spans="1:22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</row>
    <row r="414" spans="1:22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</row>
    <row r="415" spans="1:22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</row>
    <row r="416" spans="1:22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</row>
    <row r="417" spans="1:22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</row>
    <row r="418" spans="1:22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</row>
    <row r="419" spans="1:22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</row>
    <row r="420" spans="1:22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</row>
    <row r="421" spans="1:22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</row>
    <row r="422" spans="1:22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</row>
    <row r="423" spans="1:22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</row>
    <row r="424" spans="1:22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</row>
    <row r="425" spans="1:22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</row>
    <row r="426" spans="1:22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</row>
    <row r="427" spans="1:22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</row>
    <row r="428" spans="1:22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</row>
    <row r="429" spans="1:22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</row>
    <row r="430" spans="1:22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</row>
    <row r="431" spans="1:22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</row>
    <row r="432" spans="1:22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</row>
    <row r="433" spans="1:22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</row>
    <row r="434" spans="1:22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</row>
    <row r="435" spans="1:22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</row>
    <row r="436" spans="1:22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</row>
    <row r="437" spans="1:22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</row>
    <row r="438" spans="1:22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</row>
    <row r="439" spans="1:22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</row>
    <row r="440" spans="1:22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</row>
    <row r="441" spans="1:22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</row>
    <row r="442" spans="1:22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</row>
    <row r="443" spans="1:22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</row>
    <row r="444" spans="1:22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</row>
    <row r="445" spans="1:22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</row>
    <row r="446" spans="1:22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</row>
    <row r="447" spans="1:22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</row>
    <row r="448" spans="1:22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</row>
    <row r="449" spans="1:22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</row>
    <row r="450" spans="1:22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</row>
  </sheetData>
  <autoFilter ref="A3:U112">
    <sortState ref="A4:U112">
      <sortCondition descending="1" ref="N3:N112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3573" priority="36458" operator="greaterThan">
      <formula>0.9</formula>
    </cfRule>
    <cfRule type="cellIs" dxfId="3572" priority="36459" operator="greaterThan">
      <formula>0.85</formula>
    </cfRule>
  </conditionalFormatting>
  <conditionalFormatting sqref="N4">
    <cfRule type="cellIs" dxfId="3571" priority="2119" operator="greaterThan">
      <formula>0.9</formula>
    </cfRule>
    <cfRule type="cellIs" dxfId="3570" priority="2120" operator="greaterThan">
      <formula>0.85</formula>
    </cfRule>
  </conditionalFormatting>
  <conditionalFormatting sqref="N5">
    <cfRule type="cellIs" dxfId="3569" priority="2101" operator="greaterThan">
      <formula>0.9</formula>
    </cfRule>
    <cfRule type="cellIs" dxfId="3568" priority="2102" operator="greaterThan">
      <formula>0.85</formula>
    </cfRule>
  </conditionalFormatting>
  <conditionalFormatting sqref="N6">
    <cfRule type="cellIs" dxfId="3567" priority="2083" operator="greaterThan">
      <formula>0.9</formula>
    </cfRule>
    <cfRule type="cellIs" dxfId="3566" priority="2084" operator="greaterThan">
      <formula>0.85</formula>
    </cfRule>
  </conditionalFormatting>
  <conditionalFormatting sqref="N7">
    <cfRule type="cellIs" dxfId="3565" priority="2065" operator="greaterThan">
      <formula>0.9</formula>
    </cfRule>
    <cfRule type="cellIs" dxfId="3564" priority="2066" operator="greaterThan">
      <formula>0.85</formula>
    </cfRule>
  </conditionalFormatting>
  <conditionalFormatting sqref="N8">
    <cfRule type="cellIs" dxfId="3563" priority="2047" operator="greaterThan">
      <formula>0.9</formula>
    </cfRule>
    <cfRule type="cellIs" dxfId="3562" priority="2048" operator="greaterThan">
      <formula>0.85</formula>
    </cfRule>
  </conditionalFormatting>
  <conditionalFormatting sqref="N9">
    <cfRule type="cellIs" dxfId="3561" priority="2029" operator="greaterThan">
      <formula>0.9</formula>
    </cfRule>
    <cfRule type="cellIs" dxfId="3560" priority="2030" operator="greaterThan">
      <formula>0.85</formula>
    </cfRule>
  </conditionalFormatting>
  <conditionalFormatting sqref="N10">
    <cfRule type="cellIs" dxfId="3559" priority="2011" operator="greaterThan">
      <formula>0.9</formula>
    </cfRule>
    <cfRule type="cellIs" dxfId="3558" priority="2012" operator="greaterThan">
      <formula>0.85</formula>
    </cfRule>
  </conditionalFormatting>
  <conditionalFormatting sqref="N11">
    <cfRule type="cellIs" dxfId="3557" priority="1993" operator="greaterThan">
      <formula>0.9</formula>
    </cfRule>
    <cfRule type="cellIs" dxfId="3556" priority="1994" operator="greaterThan">
      <formula>0.85</formula>
    </cfRule>
  </conditionalFormatting>
  <conditionalFormatting sqref="N12">
    <cfRule type="cellIs" dxfId="3555" priority="1975" operator="greaterThan">
      <formula>0.9</formula>
    </cfRule>
    <cfRule type="cellIs" dxfId="3554" priority="1976" operator="greaterThan">
      <formula>0.85</formula>
    </cfRule>
  </conditionalFormatting>
  <conditionalFormatting sqref="N13">
    <cfRule type="cellIs" dxfId="3553" priority="1957" operator="greaterThan">
      <formula>0.9</formula>
    </cfRule>
    <cfRule type="cellIs" dxfId="3552" priority="1958" operator="greaterThan">
      <formula>0.85</formula>
    </cfRule>
  </conditionalFormatting>
  <conditionalFormatting sqref="N14">
    <cfRule type="cellIs" dxfId="3551" priority="1939" operator="greaterThan">
      <formula>0.9</formula>
    </cfRule>
    <cfRule type="cellIs" dxfId="3550" priority="1940" operator="greaterThan">
      <formula>0.85</formula>
    </cfRule>
  </conditionalFormatting>
  <conditionalFormatting sqref="N15">
    <cfRule type="cellIs" dxfId="3549" priority="1921" operator="greaterThan">
      <formula>0.9</formula>
    </cfRule>
    <cfRule type="cellIs" dxfId="3548" priority="1922" operator="greaterThan">
      <formula>0.85</formula>
    </cfRule>
  </conditionalFormatting>
  <conditionalFormatting sqref="N16">
    <cfRule type="cellIs" dxfId="3547" priority="1903" operator="greaterThan">
      <formula>0.9</formula>
    </cfRule>
    <cfRule type="cellIs" dxfId="3546" priority="1904" operator="greaterThan">
      <formula>0.85</formula>
    </cfRule>
  </conditionalFormatting>
  <conditionalFormatting sqref="N17">
    <cfRule type="cellIs" dxfId="3545" priority="1885" operator="greaterThan">
      <formula>0.9</formula>
    </cfRule>
    <cfRule type="cellIs" dxfId="3544" priority="1886" operator="greaterThan">
      <formula>0.85</formula>
    </cfRule>
  </conditionalFormatting>
  <conditionalFormatting sqref="N18">
    <cfRule type="cellIs" dxfId="3543" priority="1867" operator="greaterThan">
      <formula>0.9</formula>
    </cfRule>
    <cfRule type="cellIs" dxfId="3542" priority="1868" operator="greaterThan">
      <formula>0.85</formula>
    </cfRule>
  </conditionalFormatting>
  <conditionalFormatting sqref="N19">
    <cfRule type="cellIs" dxfId="3541" priority="1849" operator="greaterThan">
      <formula>0.9</formula>
    </cfRule>
    <cfRule type="cellIs" dxfId="3540" priority="1850" operator="greaterThan">
      <formula>0.85</formula>
    </cfRule>
  </conditionalFormatting>
  <conditionalFormatting sqref="N20">
    <cfRule type="cellIs" dxfId="3539" priority="1831" operator="greaterThan">
      <formula>0.9</formula>
    </cfRule>
    <cfRule type="cellIs" dxfId="3538" priority="1832" operator="greaterThan">
      <formula>0.85</formula>
    </cfRule>
  </conditionalFormatting>
  <conditionalFormatting sqref="N21">
    <cfRule type="cellIs" dxfId="3537" priority="1813" operator="greaterThan">
      <formula>0.9</formula>
    </cfRule>
    <cfRule type="cellIs" dxfId="3536" priority="1814" operator="greaterThan">
      <formula>0.85</formula>
    </cfRule>
  </conditionalFormatting>
  <conditionalFormatting sqref="N22">
    <cfRule type="cellIs" dxfId="3535" priority="1795" operator="greaterThan">
      <formula>0.9</formula>
    </cfRule>
    <cfRule type="cellIs" dxfId="3534" priority="1796" operator="greaterThan">
      <formula>0.85</formula>
    </cfRule>
  </conditionalFormatting>
  <conditionalFormatting sqref="N23">
    <cfRule type="cellIs" dxfId="3533" priority="1777" operator="greaterThan">
      <formula>0.9</formula>
    </cfRule>
    <cfRule type="cellIs" dxfId="3532" priority="1778" operator="greaterThan">
      <formula>0.85</formula>
    </cfRule>
  </conditionalFormatting>
  <conditionalFormatting sqref="N24">
    <cfRule type="cellIs" dxfId="3531" priority="1759" operator="greaterThan">
      <formula>0.9</formula>
    </cfRule>
    <cfRule type="cellIs" dxfId="3530" priority="1760" operator="greaterThan">
      <formula>0.85</formula>
    </cfRule>
  </conditionalFormatting>
  <conditionalFormatting sqref="N25">
    <cfRule type="cellIs" dxfId="3529" priority="1741" operator="greaterThan">
      <formula>0.9</formula>
    </cfRule>
    <cfRule type="cellIs" dxfId="3528" priority="1742" operator="greaterThan">
      <formula>0.85</formula>
    </cfRule>
  </conditionalFormatting>
  <conditionalFormatting sqref="N26">
    <cfRule type="cellIs" dxfId="3527" priority="1723" operator="greaterThan">
      <formula>0.9</formula>
    </cfRule>
    <cfRule type="cellIs" dxfId="3526" priority="1724" operator="greaterThan">
      <formula>0.85</formula>
    </cfRule>
  </conditionalFormatting>
  <conditionalFormatting sqref="N27">
    <cfRule type="cellIs" dxfId="3525" priority="1705" operator="greaterThan">
      <formula>0.9</formula>
    </cfRule>
    <cfRule type="cellIs" dxfId="3524" priority="1706" operator="greaterThan">
      <formula>0.85</formula>
    </cfRule>
  </conditionalFormatting>
  <conditionalFormatting sqref="N28">
    <cfRule type="cellIs" dxfId="3523" priority="1687" operator="greaterThan">
      <formula>0.9</formula>
    </cfRule>
    <cfRule type="cellIs" dxfId="3522" priority="1688" operator="greaterThan">
      <formula>0.85</formula>
    </cfRule>
  </conditionalFormatting>
  <conditionalFormatting sqref="N29">
    <cfRule type="cellIs" dxfId="3521" priority="1669" operator="greaterThan">
      <formula>0.9</formula>
    </cfRule>
    <cfRule type="cellIs" dxfId="3520" priority="1670" operator="greaterThan">
      <formula>0.85</formula>
    </cfRule>
  </conditionalFormatting>
  <conditionalFormatting sqref="N30">
    <cfRule type="cellIs" dxfId="3519" priority="1651" operator="greaterThan">
      <formula>0.9</formula>
    </cfRule>
    <cfRule type="cellIs" dxfId="3518" priority="1652" operator="greaterThan">
      <formula>0.85</formula>
    </cfRule>
  </conditionalFormatting>
  <conditionalFormatting sqref="N112">
    <cfRule type="cellIs" dxfId="3517" priority="13" operator="greaterThan">
      <formula>0.9</formula>
    </cfRule>
    <cfRule type="cellIs" dxfId="3516" priority="14" operator="greaterThan">
      <formula>0.85</formula>
    </cfRule>
  </conditionalFormatting>
  <conditionalFormatting sqref="N31">
    <cfRule type="cellIs" dxfId="3515" priority="1615" operator="greaterThan">
      <formula>0.9</formula>
    </cfRule>
    <cfRule type="cellIs" dxfId="3514" priority="1616" operator="greaterThan">
      <formula>0.85</formula>
    </cfRule>
  </conditionalFormatting>
  <conditionalFormatting sqref="N32">
    <cfRule type="cellIs" dxfId="3513" priority="1597" operator="greaterThan">
      <formula>0.9</formula>
    </cfRule>
    <cfRule type="cellIs" dxfId="3512" priority="1598" operator="greaterThan">
      <formula>0.85</formula>
    </cfRule>
  </conditionalFormatting>
  <conditionalFormatting sqref="N33">
    <cfRule type="cellIs" dxfId="3511" priority="1579" operator="greaterThan">
      <formula>0.9</formula>
    </cfRule>
    <cfRule type="cellIs" dxfId="3510" priority="1580" operator="greaterThan">
      <formula>0.85</formula>
    </cfRule>
  </conditionalFormatting>
  <conditionalFormatting sqref="N34">
    <cfRule type="cellIs" dxfId="3509" priority="1543" operator="greaterThan">
      <formula>0.9</formula>
    </cfRule>
    <cfRule type="cellIs" dxfId="3508" priority="1544" operator="greaterThan">
      <formula>0.85</formula>
    </cfRule>
  </conditionalFormatting>
  <conditionalFormatting sqref="N35">
    <cfRule type="cellIs" dxfId="3507" priority="1525" operator="greaterThan">
      <formula>0.9</formula>
    </cfRule>
    <cfRule type="cellIs" dxfId="3506" priority="1526" operator="greaterThan">
      <formula>0.85</formula>
    </cfRule>
  </conditionalFormatting>
  <conditionalFormatting sqref="N36">
    <cfRule type="cellIs" dxfId="3505" priority="1507" operator="greaterThan">
      <formula>0.9</formula>
    </cfRule>
    <cfRule type="cellIs" dxfId="3504" priority="1508" operator="greaterThan">
      <formula>0.85</formula>
    </cfRule>
  </conditionalFormatting>
  <conditionalFormatting sqref="N37">
    <cfRule type="cellIs" dxfId="3503" priority="1489" operator="greaterThan">
      <formula>0.9</formula>
    </cfRule>
    <cfRule type="cellIs" dxfId="3502" priority="1490" operator="greaterThan">
      <formula>0.85</formula>
    </cfRule>
  </conditionalFormatting>
  <conditionalFormatting sqref="N38">
    <cfRule type="cellIs" dxfId="3501" priority="1471" operator="greaterThan">
      <formula>0.9</formula>
    </cfRule>
    <cfRule type="cellIs" dxfId="3500" priority="1472" operator="greaterThan">
      <formula>0.85</formula>
    </cfRule>
  </conditionalFormatting>
  <conditionalFormatting sqref="N39">
    <cfRule type="cellIs" dxfId="3499" priority="1453" operator="greaterThan">
      <formula>0.9</formula>
    </cfRule>
    <cfRule type="cellIs" dxfId="3498" priority="1454" operator="greaterThan">
      <formula>0.85</formula>
    </cfRule>
  </conditionalFormatting>
  <conditionalFormatting sqref="N40">
    <cfRule type="cellIs" dxfId="3497" priority="1435" operator="greaterThan">
      <formula>0.9</formula>
    </cfRule>
    <cfRule type="cellIs" dxfId="3496" priority="1436" operator="greaterThan">
      <formula>0.85</formula>
    </cfRule>
  </conditionalFormatting>
  <conditionalFormatting sqref="N41">
    <cfRule type="cellIs" dxfId="3495" priority="1417" operator="greaterThan">
      <formula>0.9</formula>
    </cfRule>
    <cfRule type="cellIs" dxfId="3494" priority="1418" operator="greaterThan">
      <formula>0.85</formula>
    </cfRule>
  </conditionalFormatting>
  <conditionalFormatting sqref="N42">
    <cfRule type="cellIs" dxfId="3493" priority="1399" operator="greaterThan">
      <formula>0.9</formula>
    </cfRule>
    <cfRule type="cellIs" dxfId="3492" priority="1400" operator="greaterThan">
      <formula>0.85</formula>
    </cfRule>
  </conditionalFormatting>
  <conditionalFormatting sqref="N43">
    <cfRule type="cellIs" dxfId="3491" priority="1363" operator="greaterThan">
      <formula>0.9</formula>
    </cfRule>
    <cfRule type="cellIs" dxfId="3490" priority="1364" operator="greaterThan">
      <formula>0.85</formula>
    </cfRule>
  </conditionalFormatting>
  <conditionalFormatting sqref="N44">
    <cfRule type="cellIs" dxfId="3489" priority="1345" operator="greaterThan">
      <formula>0.9</formula>
    </cfRule>
    <cfRule type="cellIs" dxfId="3488" priority="1346" operator="greaterThan">
      <formula>0.85</formula>
    </cfRule>
  </conditionalFormatting>
  <conditionalFormatting sqref="N45">
    <cfRule type="cellIs" dxfId="3487" priority="1327" operator="greaterThan">
      <formula>0.9</formula>
    </cfRule>
    <cfRule type="cellIs" dxfId="3486" priority="1328" operator="greaterThan">
      <formula>0.85</formula>
    </cfRule>
  </conditionalFormatting>
  <conditionalFormatting sqref="N46">
    <cfRule type="cellIs" dxfId="3485" priority="1309" operator="greaterThan">
      <formula>0.9</formula>
    </cfRule>
    <cfRule type="cellIs" dxfId="3484" priority="1310" operator="greaterThan">
      <formula>0.85</formula>
    </cfRule>
  </conditionalFormatting>
  <conditionalFormatting sqref="N47">
    <cfRule type="cellIs" dxfId="3483" priority="1291" operator="greaterThan">
      <formula>0.9</formula>
    </cfRule>
    <cfRule type="cellIs" dxfId="3482" priority="1292" operator="greaterThan">
      <formula>0.85</formula>
    </cfRule>
  </conditionalFormatting>
  <conditionalFormatting sqref="N48">
    <cfRule type="cellIs" dxfId="3481" priority="1273" operator="greaterThan">
      <formula>0.9</formula>
    </cfRule>
    <cfRule type="cellIs" dxfId="3480" priority="1274" operator="greaterThan">
      <formula>0.85</formula>
    </cfRule>
  </conditionalFormatting>
  <conditionalFormatting sqref="N49">
    <cfRule type="cellIs" dxfId="3479" priority="1255" operator="greaterThan">
      <formula>0.9</formula>
    </cfRule>
    <cfRule type="cellIs" dxfId="3478" priority="1256" operator="greaterThan">
      <formula>0.85</formula>
    </cfRule>
  </conditionalFormatting>
  <conditionalFormatting sqref="N50">
    <cfRule type="cellIs" dxfId="3477" priority="1237" operator="greaterThan">
      <formula>0.9</formula>
    </cfRule>
    <cfRule type="cellIs" dxfId="3476" priority="1238" operator="greaterThan">
      <formula>0.85</formula>
    </cfRule>
  </conditionalFormatting>
  <conditionalFormatting sqref="N51">
    <cfRule type="cellIs" dxfId="3475" priority="1219" operator="greaterThan">
      <formula>0.9</formula>
    </cfRule>
    <cfRule type="cellIs" dxfId="3474" priority="1220" operator="greaterThan">
      <formula>0.85</formula>
    </cfRule>
  </conditionalFormatting>
  <conditionalFormatting sqref="N52">
    <cfRule type="cellIs" dxfId="3473" priority="1201" operator="greaterThan">
      <formula>0.9</formula>
    </cfRule>
    <cfRule type="cellIs" dxfId="3472" priority="1202" operator="greaterThan">
      <formula>0.85</formula>
    </cfRule>
  </conditionalFormatting>
  <conditionalFormatting sqref="N53">
    <cfRule type="cellIs" dxfId="3471" priority="1183" operator="greaterThan">
      <formula>0.9</formula>
    </cfRule>
    <cfRule type="cellIs" dxfId="3470" priority="1184" operator="greaterThan">
      <formula>0.85</formula>
    </cfRule>
  </conditionalFormatting>
  <conditionalFormatting sqref="N54">
    <cfRule type="cellIs" dxfId="3469" priority="1165" operator="greaterThan">
      <formula>0.9</formula>
    </cfRule>
    <cfRule type="cellIs" dxfId="3468" priority="1166" operator="greaterThan">
      <formula>0.85</formula>
    </cfRule>
  </conditionalFormatting>
  <conditionalFormatting sqref="N55">
    <cfRule type="cellIs" dxfId="3467" priority="1147" operator="greaterThan">
      <formula>0.9</formula>
    </cfRule>
    <cfRule type="cellIs" dxfId="3466" priority="1148" operator="greaterThan">
      <formula>0.85</formula>
    </cfRule>
  </conditionalFormatting>
  <conditionalFormatting sqref="N56">
    <cfRule type="cellIs" dxfId="3465" priority="1129" operator="greaterThan">
      <formula>0.9</formula>
    </cfRule>
    <cfRule type="cellIs" dxfId="3464" priority="1130" operator="greaterThan">
      <formula>0.85</formula>
    </cfRule>
  </conditionalFormatting>
  <conditionalFormatting sqref="N57">
    <cfRule type="cellIs" dxfId="3463" priority="1111" operator="greaterThan">
      <formula>0.9</formula>
    </cfRule>
    <cfRule type="cellIs" dxfId="3462" priority="1112" operator="greaterThan">
      <formula>0.85</formula>
    </cfRule>
  </conditionalFormatting>
  <conditionalFormatting sqref="N58">
    <cfRule type="cellIs" dxfId="3461" priority="1093" operator="greaterThan">
      <formula>0.9</formula>
    </cfRule>
    <cfRule type="cellIs" dxfId="3460" priority="1094" operator="greaterThan">
      <formula>0.85</formula>
    </cfRule>
  </conditionalFormatting>
  <conditionalFormatting sqref="N59">
    <cfRule type="cellIs" dxfId="3459" priority="1075" operator="greaterThan">
      <formula>0.9</formula>
    </cfRule>
    <cfRule type="cellIs" dxfId="3458" priority="1076" operator="greaterThan">
      <formula>0.85</formula>
    </cfRule>
  </conditionalFormatting>
  <conditionalFormatting sqref="N60">
    <cfRule type="cellIs" dxfId="3457" priority="1057" operator="greaterThan">
      <formula>0.9</formula>
    </cfRule>
    <cfRule type="cellIs" dxfId="3456" priority="1058" operator="greaterThan">
      <formula>0.85</formula>
    </cfRule>
  </conditionalFormatting>
  <conditionalFormatting sqref="N61">
    <cfRule type="cellIs" dxfId="3455" priority="1039" operator="greaterThan">
      <formula>0.9</formula>
    </cfRule>
    <cfRule type="cellIs" dxfId="3454" priority="1040" operator="greaterThan">
      <formula>0.85</formula>
    </cfRule>
  </conditionalFormatting>
  <conditionalFormatting sqref="N62">
    <cfRule type="cellIs" dxfId="3453" priority="1021" operator="greaterThan">
      <formula>0.9</formula>
    </cfRule>
    <cfRule type="cellIs" dxfId="3452" priority="1022" operator="greaterThan">
      <formula>0.85</formula>
    </cfRule>
  </conditionalFormatting>
  <conditionalFormatting sqref="N63">
    <cfRule type="cellIs" dxfId="3451" priority="1003" operator="greaterThan">
      <formula>0.9</formula>
    </cfRule>
    <cfRule type="cellIs" dxfId="3450" priority="1004" operator="greaterThan">
      <formula>0.85</formula>
    </cfRule>
  </conditionalFormatting>
  <conditionalFormatting sqref="N64">
    <cfRule type="cellIs" dxfId="3449" priority="985" operator="greaterThan">
      <formula>0.9</formula>
    </cfRule>
    <cfRule type="cellIs" dxfId="3448" priority="986" operator="greaterThan">
      <formula>0.85</formula>
    </cfRule>
  </conditionalFormatting>
  <conditionalFormatting sqref="N65">
    <cfRule type="cellIs" dxfId="3447" priority="967" operator="greaterThan">
      <formula>0.9</formula>
    </cfRule>
    <cfRule type="cellIs" dxfId="3446" priority="968" operator="greaterThan">
      <formula>0.85</formula>
    </cfRule>
  </conditionalFormatting>
  <conditionalFormatting sqref="N66">
    <cfRule type="cellIs" dxfId="3445" priority="931" operator="greaterThan">
      <formula>0.9</formula>
    </cfRule>
    <cfRule type="cellIs" dxfId="3444" priority="932" operator="greaterThan">
      <formula>0.85</formula>
    </cfRule>
  </conditionalFormatting>
  <conditionalFormatting sqref="N67">
    <cfRule type="cellIs" dxfId="3443" priority="913" operator="greaterThan">
      <formula>0.9</formula>
    </cfRule>
    <cfRule type="cellIs" dxfId="3442" priority="914" operator="greaterThan">
      <formula>0.85</formula>
    </cfRule>
  </conditionalFormatting>
  <conditionalFormatting sqref="N68">
    <cfRule type="cellIs" dxfId="3441" priority="895" operator="greaterThan">
      <formula>0.9</formula>
    </cfRule>
    <cfRule type="cellIs" dxfId="3440" priority="896" operator="greaterThan">
      <formula>0.85</formula>
    </cfRule>
  </conditionalFormatting>
  <conditionalFormatting sqref="N69">
    <cfRule type="cellIs" dxfId="3439" priority="877" operator="greaterThan">
      <formula>0.9</formula>
    </cfRule>
    <cfRule type="cellIs" dxfId="3438" priority="878" operator="greaterThan">
      <formula>0.85</formula>
    </cfRule>
  </conditionalFormatting>
  <conditionalFormatting sqref="N70">
    <cfRule type="cellIs" dxfId="3437" priority="859" operator="greaterThan">
      <formula>0.9</formula>
    </cfRule>
    <cfRule type="cellIs" dxfId="3436" priority="860" operator="greaterThan">
      <formula>0.85</formula>
    </cfRule>
  </conditionalFormatting>
  <conditionalFormatting sqref="N71">
    <cfRule type="cellIs" dxfId="3435" priority="841" operator="greaterThan">
      <formula>0.9</formula>
    </cfRule>
    <cfRule type="cellIs" dxfId="3434" priority="842" operator="greaterThan">
      <formula>0.85</formula>
    </cfRule>
  </conditionalFormatting>
  <conditionalFormatting sqref="N72">
    <cfRule type="cellIs" dxfId="3433" priority="823" operator="greaterThan">
      <formula>0.9</formula>
    </cfRule>
    <cfRule type="cellIs" dxfId="3432" priority="824" operator="greaterThan">
      <formula>0.85</formula>
    </cfRule>
  </conditionalFormatting>
  <conditionalFormatting sqref="N73">
    <cfRule type="cellIs" dxfId="3431" priority="805" operator="greaterThan">
      <formula>0.9</formula>
    </cfRule>
    <cfRule type="cellIs" dxfId="3430" priority="806" operator="greaterThan">
      <formula>0.85</formula>
    </cfRule>
  </conditionalFormatting>
  <conditionalFormatting sqref="N74">
    <cfRule type="cellIs" dxfId="3429" priority="769" operator="greaterThan">
      <formula>0.9</formula>
    </cfRule>
    <cfRule type="cellIs" dxfId="3428" priority="770" operator="greaterThan">
      <formula>0.85</formula>
    </cfRule>
  </conditionalFormatting>
  <conditionalFormatting sqref="N75">
    <cfRule type="cellIs" dxfId="3427" priority="751" operator="greaterThan">
      <formula>0.9</formula>
    </cfRule>
    <cfRule type="cellIs" dxfId="3426" priority="752" operator="greaterThan">
      <formula>0.85</formula>
    </cfRule>
  </conditionalFormatting>
  <conditionalFormatting sqref="N76">
    <cfRule type="cellIs" dxfId="3425" priority="733" operator="greaterThan">
      <formula>0.9</formula>
    </cfRule>
    <cfRule type="cellIs" dxfId="3424" priority="734" operator="greaterThan">
      <formula>0.85</formula>
    </cfRule>
  </conditionalFormatting>
  <conditionalFormatting sqref="N77">
    <cfRule type="cellIs" dxfId="3423" priority="715" operator="greaterThan">
      <formula>0.9</formula>
    </cfRule>
    <cfRule type="cellIs" dxfId="3422" priority="716" operator="greaterThan">
      <formula>0.85</formula>
    </cfRule>
  </conditionalFormatting>
  <conditionalFormatting sqref="N78">
    <cfRule type="cellIs" dxfId="3421" priority="697" operator="greaterThan">
      <formula>0.9</formula>
    </cfRule>
    <cfRule type="cellIs" dxfId="3420" priority="698" operator="greaterThan">
      <formula>0.85</formula>
    </cfRule>
  </conditionalFormatting>
  <conditionalFormatting sqref="N79">
    <cfRule type="cellIs" dxfId="3419" priority="679" operator="greaterThan">
      <formula>0.9</formula>
    </cfRule>
    <cfRule type="cellIs" dxfId="3418" priority="680" operator="greaterThan">
      <formula>0.85</formula>
    </cfRule>
  </conditionalFormatting>
  <conditionalFormatting sqref="N80">
    <cfRule type="cellIs" dxfId="3417" priority="661" operator="greaterThan">
      <formula>0.9</formula>
    </cfRule>
    <cfRule type="cellIs" dxfId="3416" priority="662" operator="greaterThan">
      <formula>0.85</formula>
    </cfRule>
  </conditionalFormatting>
  <conditionalFormatting sqref="N81">
    <cfRule type="cellIs" dxfId="3415" priority="625" operator="greaterThan">
      <formula>0.9</formula>
    </cfRule>
    <cfRule type="cellIs" dxfId="3414" priority="626" operator="greaterThan">
      <formula>0.85</formula>
    </cfRule>
  </conditionalFormatting>
  <conditionalFormatting sqref="N82">
    <cfRule type="cellIs" dxfId="3413" priority="607" operator="greaterThan">
      <formula>0.9</formula>
    </cfRule>
    <cfRule type="cellIs" dxfId="3412" priority="608" operator="greaterThan">
      <formula>0.85</formula>
    </cfRule>
  </conditionalFormatting>
  <conditionalFormatting sqref="N83">
    <cfRule type="cellIs" dxfId="3411" priority="589" operator="greaterThan">
      <formula>0.9</formula>
    </cfRule>
    <cfRule type="cellIs" dxfId="3410" priority="590" operator="greaterThan">
      <formula>0.85</formula>
    </cfRule>
  </conditionalFormatting>
  <conditionalFormatting sqref="N84">
    <cfRule type="cellIs" dxfId="3409" priority="553" operator="greaterThan">
      <formula>0.9</formula>
    </cfRule>
    <cfRule type="cellIs" dxfId="3408" priority="554" operator="greaterThan">
      <formula>0.85</formula>
    </cfRule>
  </conditionalFormatting>
  <conditionalFormatting sqref="N85">
    <cfRule type="cellIs" dxfId="3407" priority="535" operator="greaterThan">
      <formula>0.9</formula>
    </cfRule>
    <cfRule type="cellIs" dxfId="3406" priority="536" operator="greaterThan">
      <formula>0.85</formula>
    </cfRule>
  </conditionalFormatting>
  <conditionalFormatting sqref="N86">
    <cfRule type="cellIs" dxfId="3405" priority="517" operator="greaterThan">
      <formula>0.9</formula>
    </cfRule>
    <cfRule type="cellIs" dxfId="3404" priority="518" operator="greaterThan">
      <formula>0.85</formula>
    </cfRule>
  </conditionalFormatting>
  <conditionalFormatting sqref="N87">
    <cfRule type="cellIs" dxfId="3403" priority="499" operator="greaterThan">
      <formula>0.9</formula>
    </cfRule>
    <cfRule type="cellIs" dxfId="3402" priority="500" operator="greaterThan">
      <formula>0.85</formula>
    </cfRule>
  </conditionalFormatting>
  <conditionalFormatting sqref="N88">
    <cfRule type="cellIs" dxfId="3401" priority="481" operator="greaterThan">
      <formula>0.9</formula>
    </cfRule>
    <cfRule type="cellIs" dxfId="3400" priority="482" operator="greaterThan">
      <formula>0.85</formula>
    </cfRule>
  </conditionalFormatting>
  <conditionalFormatting sqref="N89">
    <cfRule type="cellIs" dxfId="3399" priority="463" operator="greaterThan">
      <formula>0.9</formula>
    </cfRule>
    <cfRule type="cellIs" dxfId="3398" priority="464" operator="greaterThan">
      <formula>0.85</formula>
    </cfRule>
  </conditionalFormatting>
  <conditionalFormatting sqref="N90">
    <cfRule type="cellIs" dxfId="3397" priority="427" operator="greaterThan">
      <formula>0.9</formula>
    </cfRule>
    <cfRule type="cellIs" dxfId="3396" priority="428" operator="greaterThan">
      <formula>0.85</formula>
    </cfRule>
  </conditionalFormatting>
  <conditionalFormatting sqref="N91">
    <cfRule type="cellIs" dxfId="3395" priority="409" operator="greaterThan">
      <formula>0.9</formula>
    </cfRule>
    <cfRule type="cellIs" dxfId="3394" priority="410" operator="greaterThan">
      <formula>0.85</formula>
    </cfRule>
  </conditionalFormatting>
  <conditionalFormatting sqref="N92">
    <cfRule type="cellIs" dxfId="3393" priority="391" operator="greaterThan">
      <formula>0.9</formula>
    </cfRule>
    <cfRule type="cellIs" dxfId="3392" priority="392" operator="greaterThan">
      <formula>0.85</formula>
    </cfRule>
  </conditionalFormatting>
  <conditionalFormatting sqref="N93">
    <cfRule type="cellIs" dxfId="3391" priority="373" operator="greaterThan">
      <formula>0.9</formula>
    </cfRule>
    <cfRule type="cellIs" dxfId="3390" priority="374" operator="greaterThan">
      <formula>0.85</formula>
    </cfRule>
  </conditionalFormatting>
  <conditionalFormatting sqref="N94">
    <cfRule type="cellIs" dxfId="3389" priority="355" operator="greaterThan">
      <formula>0.9</formula>
    </cfRule>
    <cfRule type="cellIs" dxfId="3388" priority="356" operator="greaterThan">
      <formula>0.85</formula>
    </cfRule>
  </conditionalFormatting>
  <conditionalFormatting sqref="N95">
    <cfRule type="cellIs" dxfId="3387" priority="337" operator="greaterThan">
      <formula>0.9</formula>
    </cfRule>
    <cfRule type="cellIs" dxfId="3386" priority="338" operator="greaterThan">
      <formula>0.85</formula>
    </cfRule>
  </conditionalFormatting>
  <conditionalFormatting sqref="N96">
    <cfRule type="cellIs" dxfId="3385" priority="319" operator="greaterThan">
      <formula>0.9</formula>
    </cfRule>
    <cfRule type="cellIs" dxfId="3384" priority="320" operator="greaterThan">
      <formula>0.85</formula>
    </cfRule>
  </conditionalFormatting>
  <conditionalFormatting sqref="N97">
    <cfRule type="cellIs" dxfId="3383" priority="301" operator="greaterThan">
      <formula>0.9</formula>
    </cfRule>
    <cfRule type="cellIs" dxfId="3382" priority="302" operator="greaterThan">
      <formula>0.85</formula>
    </cfRule>
  </conditionalFormatting>
  <conditionalFormatting sqref="N98">
    <cfRule type="cellIs" dxfId="3381" priority="283" operator="greaterThan">
      <formula>0.9</formula>
    </cfRule>
    <cfRule type="cellIs" dxfId="3380" priority="284" operator="greaterThan">
      <formula>0.85</formula>
    </cfRule>
  </conditionalFormatting>
  <conditionalFormatting sqref="N99">
    <cfRule type="cellIs" dxfId="3379" priority="265" operator="greaterThan">
      <formula>0.9</formula>
    </cfRule>
    <cfRule type="cellIs" dxfId="3378" priority="266" operator="greaterThan">
      <formula>0.85</formula>
    </cfRule>
  </conditionalFormatting>
  <conditionalFormatting sqref="N100">
    <cfRule type="cellIs" dxfId="3377" priority="247" operator="greaterThan">
      <formula>0.9</formula>
    </cfRule>
    <cfRule type="cellIs" dxfId="3376" priority="248" operator="greaterThan">
      <formula>0.85</formula>
    </cfRule>
  </conditionalFormatting>
  <conditionalFormatting sqref="N101">
    <cfRule type="cellIs" dxfId="3375" priority="229" operator="greaterThan">
      <formula>0.9</formula>
    </cfRule>
    <cfRule type="cellIs" dxfId="3374" priority="230" operator="greaterThan">
      <formula>0.85</formula>
    </cfRule>
  </conditionalFormatting>
  <conditionalFormatting sqref="N102">
    <cfRule type="cellIs" dxfId="3373" priority="211" operator="greaterThan">
      <formula>0.9</formula>
    </cfRule>
    <cfRule type="cellIs" dxfId="3372" priority="212" operator="greaterThan">
      <formula>0.85</formula>
    </cfRule>
  </conditionalFormatting>
  <conditionalFormatting sqref="N103">
    <cfRule type="cellIs" dxfId="3371" priority="193" operator="greaterThan">
      <formula>0.9</formula>
    </cfRule>
    <cfRule type="cellIs" dxfId="3370" priority="194" operator="greaterThan">
      <formula>0.85</formula>
    </cfRule>
  </conditionalFormatting>
  <conditionalFormatting sqref="N104">
    <cfRule type="cellIs" dxfId="3369" priority="175" operator="greaterThan">
      <formula>0.9</formula>
    </cfRule>
    <cfRule type="cellIs" dxfId="3368" priority="176" operator="greaterThan">
      <formula>0.85</formula>
    </cfRule>
  </conditionalFormatting>
  <conditionalFormatting sqref="N105">
    <cfRule type="cellIs" dxfId="3367" priority="157" operator="greaterThan">
      <formula>0.9</formula>
    </cfRule>
    <cfRule type="cellIs" dxfId="3366" priority="158" operator="greaterThan">
      <formula>0.85</formula>
    </cfRule>
  </conditionalFormatting>
  <conditionalFormatting sqref="N106">
    <cfRule type="cellIs" dxfId="3365" priority="139" operator="greaterThan">
      <formula>0.9</formula>
    </cfRule>
    <cfRule type="cellIs" dxfId="3364" priority="140" operator="greaterThan">
      <formula>0.85</formula>
    </cfRule>
  </conditionalFormatting>
  <conditionalFormatting sqref="N107">
    <cfRule type="cellIs" dxfId="3363" priority="103" operator="greaterThan">
      <formula>0.9</formula>
    </cfRule>
    <cfRule type="cellIs" dxfId="3362" priority="104" operator="greaterThan">
      <formula>0.85</formula>
    </cfRule>
  </conditionalFormatting>
  <conditionalFormatting sqref="N108">
    <cfRule type="cellIs" dxfId="3361" priority="85" operator="greaterThan">
      <formula>0.9</formula>
    </cfRule>
    <cfRule type="cellIs" dxfId="3360" priority="86" operator="greaterThan">
      <formula>0.85</formula>
    </cfRule>
  </conditionalFormatting>
  <conditionalFormatting sqref="N109">
    <cfRule type="cellIs" dxfId="3359" priority="67" operator="greaterThan">
      <formula>0.9</formula>
    </cfRule>
    <cfRule type="cellIs" dxfId="3358" priority="68" operator="greaterThan">
      <formula>0.85</formula>
    </cfRule>
  </conditionalFormatting>
  <conditionalFormatting sqref="N110">
    <cfRule type="cellIs" dxfId="3357" priority="49" operator="greaterThan">
      <formula>0.9</formula>
    </cfRule>
    <cfRule type="cellIs" dxfId="3356" priority="50" operator="greaterThan">
      <formula>0.85</formula>
    </cfRule>
  </conditionalFormatting>
  <conditionalFormatting sqref="N111">
    <cfRule type="cellIs" dxfId="3355" priority="31" operator="greaterThan">
      <formula>0.9</formula>
    </cfRule>
    <cfRule type="cellIs" dxfId="3354" priority="32" operator="greaterThan">
      <formula>0.85</formula>
    </cfRule>
  </conditionalFormatting>
  <conditionalFormatting sqref="E4:E112">
    <cfRule type="expression" dxfId="3353" priority="76336">
      <formula>AND(IF(OR($Q4=1,$Q4=2),1,0),IF(#REF!&lt;=20,1,0))</formula>
    </cfRule>
    <cfRule type="expression" dxfId="3352" priority="76337">
      <formula>AND(IF($Q4=2,1,0),IF(#REF!&lt;30,1,0))</formula>
    </cfRule>
    <cfRule type="expression" dxfId="3351" priority="76338">
      <formula>AND(IF($Q4=3,1,0),IF(#REF!&lt;30,1,0))</formula>
    </cfRule>
    <cfRule type="expression" dxfId="3350" priority="7633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F13" sqref="F13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9" t="s">
        <v>70</v>
      </c>
      <c r="B4" s="120"/>
      <c r="C4" s="120"/>
      <c r="D4" s="51" t="s">
        <v>1218</v>
      </c>
      <c r="E4" s="51" t="s">
        <v>1219</v>
      </c>
      <c r="F4" s="51" t="s">
        <v>1220</v>
      </c>
      <c r="G4" s="51" t="s">
        <v>1221</v>
      </c>
      <c r="H4" s="51" t="s">
        <v>1222</v>
      </c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9" t="s">
        <v>71</v>
      </c>
      <c r="B5" s="120"/>
      <c r="C5" s="120"/>
    </row>
    <row r="6" spans="1:48" x14ac:dyDescent="0.3">
      <c r="A6" s="119" t="s">
        <v>72</v>
      </c>
      <c r="B6" s="120"/>
      <c r="C6" s="120"/>
    </row>
    <row r="7" spans="1:48" x14ac:dyDescent="0.3">
      <c r="A7" s="53" t="s">
        <v>73</v>
      </c>
      <c r="B7" s="54"/>
      <c r="C7" s="55"/>
      <c r="D7" s="56" t="str">
        <f t="shared" ref="D7:W7" si="0">D4&amp;IF(D5="","",","&amp;D5)&amp;IF(D6="","",","&amp;D6)</f>
        <v>중동</v>
      </c>
      <c r="E7" s="56" t="str">
        <f t="shared" si="0"/>
        <v>팔용동</v>
      </c>
      <c r="F7" s="56" t="str">
        <f t="shared" si="0"/>
        <v>명서동</v>
      </c>
      <c r="G7" s="56" t="str">
        <f t="shared" si="0"/>
        <v>도계동</v>
      </c>
      <c r="H7" s="56" t="str">
        <f t="shared" si="0"/>
        <v>북면</v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ht="48" x14ac:dyDescent="0.3">
      <c r="A8" s="89">
        <v>8</v>
      </c>
      <c r="B8" s="59" t="s">
        <v>74</v>
      </c>
      <c r="C8" s="90"/>
      <c r="D8" s="60" t="s">
        <v>1223</v>
      </c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ht="60" x14ac:dyDescent="0.3">
      <c r="A9" s="91">
        <v>7</v>
      </c>
      <c r="B9" s="61" t="s">
        <v>74</v>
      </c>
      <c r="C9" s="92">
        <v>8</v>
      </c>
      <c r="D9" s="60" t="s">
        <v>1226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ht="36" x14ac:dyDescent="0.3">
      <c r="A10" s="93">
        <v>6</v>
      </c>
      <c r="B10" s="57" t="s">
        <v>74</v>
      </c>
      <c r="C10" s="94">
        <v>7</v>
      </c>
      <c r="D10" s="58" t="s">
        <v>1228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3">
        <v>5</v>
      </c>
      <c r="B11" s="57" t="s">
        <v>74</v>
      </c>
      <c r="C11" s="94">
        <v>6</v>
      </c>
      <c r="D11" s="58"/>
      <c r="E11" s="58"/>
      <c r="F11" s="58" t="s">
        <v>1230</v>
      </c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24" x14ac:dyDescent="0.3">
      <c r="A12" s="93">
        <v>4</v>
      </c>
      <c r="B12" s="57" t="s">
        <v>74</v>
      </c>
      <c r="C12" s="94">
        <v>5</v>
      </c>
      <c r="D12" s="58"/>
      <c r="E12" s="58" t="s">
        <v>1232</v>
      </c>
      <c r="F12" s="58"/>
      <c r="G12" s="58"/>
      <c r="H12" s="58" t="s">
        <v>1234</v>
      </c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120" x14ac:dyDescent="0.3">
      <c r="A13" s="95">
        <v>3</v>
      </c>
      <c r="B13" s="62" t="s">
        <v>74</v>
      </c>
      <c r="C13" s="96">
        <v>4</v>
      </c>
      <c r="D13" s="63"/>
      <c r="E13" s="63" t="s">
        <v>1240</v>
      </c>
      <c r="F13" s="63"/>
      <c r="G13" s="63"/>
      <c r="H13" s="63" t="s">
        <v>1238</v>
      </c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60" x14ac:dyDescent="0.3">
      <c r="A14" s="95">
        <v>2.5</v>
      </c>
      <c r="B14" s="62" t="s">
        <v>74</v>
      </c>
      <c r="C14" s="96">
        <v>3</v>
      </c>
      <c r="D14" s="63"/>
      <c r="E14" s="63"/>
      <c r="F14" s="63"/>
      <c r="G14" s="63"/>
      <c r="H14" s="63" t="s">
        <v>1243</v>
      </c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60" x14ac:dyDescent="0.3">
      <c r="A15" s="95">
        <v>2</v>
      </c>
      <c r="B15" s="62" t="s">
        <v>74</v>
      </c>
      <c r="C15" s="96">
        <v>2.5</v>
      </c>
      <c r="D15" s="63"/>
      <c r="E15" s="63" t="s">
        <v>1246</v>
      </c>
      <c r="F15" s="63"/>
      <c r="G15" s="63"/>
      <c r="H15" s="63" t="s">
        <v>1248</v>
      </c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7">
        <v>1.5</v>
      </c>
      <c r="B16" s="64" t="s">
        <v>74</v>
      </c>
      <c r="C16" s="98">
        <v>2</v>
      </c>
      <c r="D16" s="65"/>
      <c r="E16" s="65" t="s">
        <v>1252</v>
      </c>
      <c r="F16" s="65"/>
      <c r="G16" s="65"/>
      <c r="H16" s="65" t="s">
        <v>1250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7">
        <v>1</v>
      </c>
      <c r="B17" s="64" t="s">
        <v>74</v>
      </c>
      <c r="C17" s="98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61</v>
      </c>
      <c r="B20" s="54"/>
      <c r="C20" s="55"/>
      <c r="D20" s="56" t="str">
        <f t="shared" ref="D20:W20" si="1">D7</f>
        <v>중동</v>
      </c>
      <c r="E20" s="56" t="str">
        <f t="shared" si="1"/>
        <v>팔용동</v>
      </c>
      <c r="F20" s="56" t="str">
        <f t="shared" si="1"/>
        <v>명서동</v>
      </c>
      <c r="G20" s="56" t="str">
        <f t="shared" si="1"/>
        <v>도계동</v>
      </c>
      <c r="H20" s="56" t="str">
        <f t="shared" si="1"/>
        <v>북면</v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ht="48" x14ac:dyDescent="0.3">
      <c r="A21" s="89">
        <f t="shared" ref="A21:C30" si="2">IF(A8="","",A8)</f>
        <v>8</v>
      </c>
      <c r="B21" s="59" t="str">
        <f t="shared" si="2"/>
        <v>~</v>
      </c>
      <c r="C21" s="90" t="str">
        <f t="shared" si="2"/>
        <v/>
      </c>
      <c r="D21" s="60" t="s">
        <v>1224</v>
      </c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ht="48" x14ac:dyDescent="0.3">
      <c r="A22" s="91">
        <f t="shared" si="2"/>
        <v>7</v>
      </c>
      <c r="B22" s="61" t="str">
        <f t="shared" si="2"/>
        <v>~</v>
      </c>
      <c r="C22" s="92">
        <f t="shared" si="2"/>
        <v>8</v>
      </c>
      <c r="D22" s="60" t="s">
        <v>1225</v>
      </c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3">
        <f t="shared" si="2"/>
        <v>6</v>
      </c>
      <c r="B23" s="57" t="str">
        <f t="shared" si="2"/>
        <v>~</v>
      </c>
      <c r="C23" s="94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3">
        <f t="shared" si="2"/>
        <v>5</v>
      </c>
      <c r="B24" s="57" t="str">
        <f t="shared" si="2"/>
        <v>~</v>
      </c>
      <c r="C24" s="94">
        <f t="shared" si="2"/>
        <v>6</v>
      </c>
      <c r="D24" s="58"/>
      <c r="E24" s="58"/>
      <c r="F24" s="58" t="s">
        <v>1231</v>
      </c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24" x14ac:dyDescent="0.3">
      <c r="A25" s="93">
        <f t="shared" si="2"/>
        <v>4</v>
      </c>
      <c r="B25" s="57" t="str">
        <f t="shared" si="2"/>
        <v>~</v>
      </c>
      <c r="C25" s="94">
        <f t="shared" si="2"/>
        <v>5</v>
      </c>
      <c r="D25" s="58"/>
      <c r="E25" s="58" t="s">
        <v>1233</v>
      </c>
      <c r="F25" s="58"/>
      <c r="G25" s="58"/>
      <c r="H25" s="58" t="s">
        <v>1235</v>
      </c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96" x14ac:dyDescent="0.3">
      <c r="A26" s="95">
        <f t="shared" si="2"/>
        <v>3</v>
      </c>
      <c r="B26" s="62" t="str">
        <f t="shared" si="2"/>
        <v>~</v>
      </c>
      <c r="C26" s="96">
        <f t="shared" si="2"/>
        <v>4</v>
      </c>
      <c r="D26" s="63"/>
      <c r="E26" s="63" t="s">
        <v>1236</v>
      </c>
      <c r="F26" s="63"/>
      <c r="G26" s="63"/>
      <c r="H26" s="63" t="s">
        <v>1239</v>
      </c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ht="24" x14ac:dyDescent="0.3">
      <c r="A27" s="95">
        <f t="shared" si="2"/>
        <v>2.5</v>
      </c>
      <c r="B27" s="62" t="str">
        <f t="shared" si="2"/>
        <v>~</v>
      </c>
      <c r="C27" s="96">
        <f t="shared" si="2"/>
        <v>3</v>
      </c>
      <c r="D27" s="63"/>
      <c r="E27" s="63"/>
      <c r="F27" s="63"/>
      <c r="G27" s="63"/>
      <c r="H27" s="63" t="s">
        <v>1242</v>
      </c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36" x14ac:dyDescent="0.3">
      <c r="A28" s="95">
        <f t="shared" si="2"/>
        <v>2</v>
      </c>
      <c r="B28" s="62" t="str">
        <f t="shared" si="2"/>
        <v>~</v>
      </c>
      <c r="C28" s="96">
        <f t="shared" si="2"/>
        <v>2.5</v>
      </c>
      <c r="D28" s="63"/>
      <c r="E28" s="63"/>
      <c r="F28" s="63"/>
      <c r="G28" s="63"/>
      <c r="H28" s="63" t="s">
        <v>1245</v>
      </c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7">
        <f t="shared" si="2"/>
        <v>1.5</v>
      </c>
      <c r="B29" s="64" t="str">
        <f t="shared" si="2"/>
        <v>~</v>
      </c>
      <c r="C29" s="98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7">
        <f t="shared" si="2"/>
        <v>1</v>
      </c>
      <c r="B30" s="64" t="str">
        <f t="shared" si="2"/>
        <v>~</v>
      </c>
      <c r="C30" s="98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75</v>
      </c>
      <c r="B33" s="54"/>
      <c r="C33" s="55"/>
      <c r="D33" s="56" t="str">
        <f t="shared" ref="D33:W33" si="3">D20</f>
        <v>중동</v>
      </c>
      <c r="E33" s="56" t="str">
        <f t="shared" si="3"/>
        <v>팔용동</v>
      </c>
      <c r="F33" s="56" t="str">
        <f t="shared" si="3"/>
        <v>명서동</v>
      </c>
      <c r="G33" s="56" t="str">
        <f t="shared" si="3"/>
        <v>도계동</v>
      </c>
      <c r="H33" s="56" t="str">
        <f t="shared" si="3"/>
        <v>북면</v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9">
        <f t="shared" ref="A34:C43" si="4">IF(A21="","",A21)</f>
        <v>8</v>
      </c>
      <c r="B34" s="59" t="str">
        <f t="shared" si="4"/>
        <v>~</v>
      </c>
      <c r="C34" s="90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1">
        <f t="shared" si="4"/>
        <v>7</v>
      </c>
      <c r="B35" s="61" t="str">
        <f t="shared" si="4"/>
        <v>~</v>
      </c>
      <c r="C35" s="92">
        <f t="shared" si="4"/>
        <v>8</v>
      </c>
      <c r="D35" s="60" t="s">
        <v>1227</v>
      </c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ht="36" x14ac:dyDescent="0.3">
      <c r="A36" s="93">
        <f t="shared" si="4"/>
        <v>6</v>
      </c>
      <c r="B36" s="57" t="str">
        <f t="shared" si="4"/>
        <v>~</v>
      </c>
      <c r="C36" s="94">
        <f t="shared" si="4"/>
        <v>7</v>
      </c>
      <c r="D36" s="58" t="s">
        <v>1229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3">
        <f t="shared" si="4"/>
        <v>5</v>
      </c>
      <c r="B37" s="57" t="str">
        <f t="shared" si="4"/>
        <v>~</v>
      </c>
      <c r="C37" s="94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3">
        <f t="shared" si="4"/>
        <v>4</v>
      </c>
      <c r="B38" s="57" t="str">
        <f t="shared" si="4"/>
        <v>~</v>
      </c>
      <c r="C38" s="94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ht="36" x14ac:dyDescent="0.3">
      <c r="A39" s="95">
        <f t="shared" si="4"/>
        <v>3</v>
      </c>
      <c r="B39" s="62" t="str">
        <f t="shared" si="4"/>
        <v>~</v>
      </c>
      <c r="C39" s="96">
        <f t="shared" si="4"/>
        <v>4</v>
      </c>
      <c r="D39" s="63"/>
      <c r="E39" s="63" t="s">
        <v>1241</v>
      </c>
      <c r="F39" s="63"/>
      <c r="G39" s="63"/>
      <c r="H39" s="63" t="s">
        <v>1237</v>
      </c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36" x14ac:dyDescent="0.3">
      <c r="A40" s="95">
        <f t="shared" si="4"/>
        <v>2.5</v>
      </c>
      <c r="B40" s="62" t="str">
        <f t="shared" si="4"/>
        <v>~</v>
      </c>
      <c r="C40" s="96">
        <f t="shared" si="4"/>
        <v>3</v>
      </c>
      <c r="D40" s="63"/>
      <c r="E40" s="63"/>
      <c r="F40" s="63"/>
      <c r="G40" s="63"/>
      <c r="H40" s="63" t="s">
        <v>1244</v>
      </c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ht="24" x14ac:dyDescent="0.3">
      <c r="A41" s="95">
        <f t="shared" si="4"/>
        <v>2</v>
      </c>
      <c r="B41" s="62" t="str">
        <f t="shared" si="4"/>
        <v>~</v>
      </c>
      <c r="C41" s="96">
        <f t="shared" si="4"/>
        <v>2.5</v>
      </c>
      <c r="D41" s="63"/>
      <c r="E41" s="63" t="s">
        <v>1247</v>
      </c>
      <c r="F41" s="63"/>
      <c r="G41" s="63"/>
      <c r="H41" s="63" t="s">
        <v>1249</v>
      </c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7">
        <f t="shared" si="4"/>
        <v>1.5</v>
      </c>
      <c r="B42" s="64" t="str">
        <f t="shared" si="4"/>
        <v>~</v>
      </c>
      <c r="C42" s="98">
        <f t="shared" si="4"/>
        <v>2</v>
      </c>
      <c r="D42" s="65"/>
      <c r="E42" s="65"/>
      <c r="F42" s="65"/>
      <c r="G42" s="65"/>
      <c r="H42" s="65" t="s">
        <v>1251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7">
        <f t="shared" si="4"/>
        <v>1</v>
      </c>
      <c r="B43" s="64" t="str">
        <f t="shared" si="4"/>
        <v>~</v>
      </c>
      <c r="C43" s="98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76</v>
      </c>
      <c r="B46" s="54"/>
      <c r="C46" s="55"/>
      <c r="D46" s="56" t="str">
        <f t="shared" ref="D46:W46" si="5">D33</f>
        <v>중동</v>
      </c>
      <c r="E46" s="56" t="str">
        <f t="shared" si="5"/>
        <v>팔용동</v>
      </c>
      <c r="F46" s="56" t="str">
        <f t="shared" si="5"/>
        <v>명서동</v>
      </c>
      <c r="G46" s="56" t="str">
        <f t="shared" si="5"/>
        <v>도계동</v>
      </c>
      <c r="H46" s="56" t="str">
        <f t="shared" si="5"/>
        <v>북면</v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9">
        <f t="shared" ref="A47:C56" si="6">IF(A34="","",A34)</f>
        <v>8</v>
      </c>
      <c r="B47" s="59" t="str">
        <f t="shared" si="6"/>
        <v>~</v>
      </c>
      <c r="C47" s="90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1">
        <f t="shared" si="6"/>
        <v>7</v>
      </c>
      <c r="B48" s="61" t="str">
        <f t="shared" si="6"/>
        <v>~</v>
      </c>
      <c r="C48" s="92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3">
        <f t="shared" si="6"/>
        <v>6</v>
      </c>
      <c r="B49" s="57" t="str">
        <f t="shared" si="6"/>
        <v>~</v>
      </c>
      <c r="C49" s="94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3">
        <f t="shared" si="6"/>
        <v>5</v>
      </c>
      <c r="B50" s="57" t="str">
        <f t="shared" si="6"/>
        <v>~</v>
      </c>
      <c r="C50" s="94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3">
        <f t="shared" si="6"/>
        <v>4</v>
      </c>
      <c r="B51" s="57" t="str">
        <f t="shared" si="6"/>
        <v>~</v>
      </c>
      <c r="C51" s="94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5">
        <f t="shared" si="6"/>
        <v>3</v>
      </c>
      <c r="B52" s="62" t="str">
        <f t="shared" si="6"/>
        <v>~</v>
      </c>
      <c r="C52" s="96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5">
        <f t="shared" si="6"/>
        <v>2.5</v>
      </c>
      <c r="B53" s="62" t="str">
        <f t="shared" si="6"/>
        <v>~</v>
      </c>
      <c r="C53" s="96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5">
        <f t="shared" si="6"/>
        <v>2</v>
      </c>
      <c r="B54" s="62" t="str">
        <f t="shared" si="6"/>
        <v>~</v>
      </c>
      <c r="C54" s="96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7">
        <f t="shared" si="6"/>
        <v>1.5</v>
      </c>
      <c r="B55" s="64" t="str">
        <f t="shared" si="6"/>
        <v>~</v>
      </c>
      <c r="C55" s="98">
        <f t="shared" si="6"/>
        <v>2</v>
      </c>
      <c r="D55" s="65"/>
      <c r="E55" s="65" t="s">
        <v>1253</v>
      </c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7">
        <f t="shared" si="6"/>
        <v>1</v>
      </c>
      <c r="B56" s="64" t="str">
        <f t="shared" si="6"/>
        <v>~</v>
      </c>
      <c r="C56" s="98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68</v>
      </c>
      <c r="B59" s="54"/>
      <c r="C59" s="55"/>
      <c r="D59" s="56" t="str">
        <f t="shared" ref="D59:W59" si="7">D46</f>
        <v>중동</v>
      </c>
      <c r="E59" s="56" t="str">
        <f t="shared" si="7"/>
        <v>팔용동</v>
      </c>
      <c r="F59" s="56" t="str">
        <f t="shared" si="7"/>
        <v>명서동</v>
      </c>
      <c r="G59" s="56" t="str">
        <f t="shared" si="7"/>
        <v>도계동</v>
      </c>
      <c r="H59" s="56" t="str">
        <f t="shared" si="7"/>
        <v>북면</v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9">
        <f t="shared" ref="A60:C69" si="8">IF(A47="","",A47)</f>
        <v>8</v>
      </c>
      <c r="B60" s="59" t="str">
        <f t="shared" si="8"/>
        <v>~</v>
      </c>
      <c r="C60" s="90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1">
        <f t="shared" si="8"/>
        <v>7</v>
      </c>
      <c r="B61" s="61" t="str">
        <f t="shared" si="8"/>
        <v>~</v>
      </c>
      <c r="C61" s="92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3">
        <f t="shared" si="8"/>
        <v>6</v>
      </c>
      <c r="B62" s="57" t="str">
        <f t="shared" si="8"/>
        <v>~</v>
      </c>
      <c r="C62" s="94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3">
        <f t="shared" si="8"/>
        <v>5</v>
      </c>
      <c r="B63" s="57" t="str">
        <f t="shared" si="8"/>
        <v>~</v>
      </c>
      <c r="C63" s="94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3">
        <f t="shared" si="8"/>
        <v>4</v>
      </c>
      <c r="B64" s="57" t="str">
        <f t="shared" si="8"/>
        <v>~</v>
      </c>
      <c r="C64" s="94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5">
        <f t="shared" si="8"/>
        <v>3</v>
      </c>
      <c r="B65" s="62" t="str">
        <f t="shared" si="8"/>
        <v>~</v>
      </c>
      <c r="C65" s="96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5">
        <f t="shared" si="8"/>
        <v>2.5</v>
      </c>
      <c r="B66" s="62" t="str">
        <f t="shared" si="8"/>
        <v>~</v>
      </c>
      <c r="C66" s="96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5">
        <f t="shared" si="8"/>
        <v>2</v>
      </c>
      <c r="B67" s="62" t="str">
        <f t="shared" si="8"/>
        <v>~</v>
      </c>
      <c r="C67" s="96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7">
        <f t="shared" si="8"/>
        <v>1.5</v>
      </c>
      <c r="B68" s="64" t="str">
        <f t="shared" si="8"/>
        <v>~</v>
      </c>
      <c r="C68" s="98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7">
        <f t="shared" si="8"/>
        <v>1</v>
      </c>
      <c r="B69" s="64" t="str">
        <f t="shared" si="8"/>
        <v>~</v>
      </c>
      <c r="C69" s="98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3" t="s">
        <v>77</v>
      </c>
      <c r="B1" s="74"/>
    </row>
    <row r="2" spans="1:2" x14ac:dyDescent="0.3">
      <c r="A2" t="s">
        <v>78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I582"/>
  <sheetViews>
    <sheetView zoomScaleNormal="100" workbookViewId="0">
      <selection activeCell="K18" sqref="K18"/>
    </sheetView>
  </sheetViews>
  <sheetFormatPr defaultRowHeight="16.5" x14ac:dyDescent="0.3"/>
  <sheetData>
    <row r="1" spans="1:35" x14ac:dyDescent="0.3">
      <c r="A1" t="s">
        <v>79</v>
      </c>
      <c r="B1">
        <v>15738</v>
      </c>
      <c r="C1">
        <v>1</v>
      </c>
      <c r="D1" t="s">
        <v>80</v>
      </c>
      <c r="E1" t="s">
        <v>81</v>
      </c>
      <c r="F1">
        <v>120</v>
      </c>
      <c r="G1">
        <v>21.32</v>
      </c>
      <c r="H1">
        <v>70.5</v>
      </c>
      <c r="I1">
        <v>17.309999999999999</v>
      </c>
      <c r="J1">
        <v>57.24</v>
      </c>
      <c r="K1">
        <v>15</v>
      </c>
      <c r="T1">
        <v>3</v>
      </c>
      <c r="U1">
        <v>1</v>
      </c>
      <c r="V1" t="s">
        <v>82</v>
      </c>
      <c r="W1" t="s">
        <v>83</v>
      </c>
      <c r="X1">
        <v>15</v>
      </c>
      <c r="Y1">
        <v>15</v>
      </c>
      <c r="Z1" t="s">
        <v>84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G1" t="s">
        <v>90</v>
      </c>
      <c r="AH1">
        <v>0</v>
      </c>
      <c r="AI1">
        <v>236</v>
      </c>
    </row>
    <row r="2" spans="1:35" x14ac:dyDescent="0.3">
      <c r="A2" t="s">
        <v>79</v>
      </c>
      <c r="B2">
        <v>15738</v>
      </c>
      <c r="C2">
        <v>2</v>
      </c>
      <c r="D2" t="s">
        <v>80</v>
      </c>
      <c r="E2" t="s">
        <v>81</v>
      </c>
      <c r="F2">
        <v>120</v>
      </c>
      <c r="G2">
        <v>21.6</v>
      </c>
      <c r="H2">
        <v>71.41</v>
      </c>
      <c r="I2">
        <v>17.53</v>
      </c>
      <c r="J2">
        <v>57.98</v>
      </c>
      <c r="K2">
        <v>15</v>
      </c>
      <c r="T2">
        <v>2</v>
      </c>
      <c r="U2">
        <v>1</v>
      </c>
      <c r="V2" t="s">
        <v>82</v>
      </c>
      <c r="W2" t="s">
        <v>91</v>
      </c>
      <c r="X2">
        <v>15</v>
      </c>
      <c r="Y2">
        <v>15</v>
      </c>
      <c r="Z2" t="s">
        <v>84</v>
      </c>
      <c r="AA2" t="s">
        <v>85</v>
      </c>
      <c r="AB2" t="s">
        <v>86</v>
      </c>
      <c r="AC2" t="s">
        <v>87</v>
      </c>
      <c r="AD2" t="s">
        <v>88</v>
      </c>
      <c r="AE2" t="s">
        <v>89</v>
      </c>
      <c r="AG2" t="s">
        <v>90</v>
      </c>
      <c r="AH2">
        <v>0</v>
      </c>
      <c r="AI2">
        <v>236</v>
      </c>
    </row>
    <row r="3" spans="1:35" x14ac:dyDescent="0.3">
      <c r="A3" t="s">
        <v>79</v>
      </c>
      <c r="B3">
        <v>15738</v>
      </c>
      <c r="C3">
        <v>3</v>
      </c>
      <c r="D3" t="s">
        <v>80</v>
      </c>
      <c r="E3" t="s">
        <v>81</v>
      </c>
      <c r="F3">
        <v>120</v>
      </c>
      <c r="G3">
        <v>21.72</v>
      </c>
      <c r="H3">
        <v>71.83</v>
      </c>
      <c r="I3">
        <v>17.64</v>
      </c>
      <c r="J3">
        <v>58.32</v>
      </c>
      <c r="K3">
        <v>14</v>
      </c>
      <c r="T3">
        <v>3</v>
      </c>
      <c r="U3">
        <v>1</v>
      </c>
      <c r="V3" t="s">
        <v>82</v>
      </c>
      <c r="W3" t="s">
        <v>92</v>
      </c>
      <c r="X3">
        <v>15</v>
      </c>
      <c r="Y3">
        <v>15</v>
      </c>
      <c r="Z3" t="s">
        <v>84</v>
      </c>
      <c r="AA3" t="s">
        <v>85</v>
      </c>
      <c r="AB3" t="s">
        <v>86</v>
      </c>
      <c r="AC3" t="s">
        <v>87</v>
      </c>
      <c r="AD3" t="s">
        <v>88</v>
      </c>
      <c r="AE3" t="s">
        <v>89</v>
      </c>
      <c r="AG3" t="s">
        <v>90</v>
      </c>
      <c r="AH3">
        <v>0</v>
      </c>
      <c r="AI3">
        <v>236</v>
      </c>
    </row>
    <row r="4" spans="1:35" x14ac:dyDescent="0.3">
      <c r="A4" t="s">
        <v>79</v>
      </c>
      <c r="B4">
        <v>15738</v>
      </c>
      <c r="C4">
        <v>4</v>
      </c>
      <c r="D4" t="s">
        <v>80</v>
      </c>
      <c r="E4" t="s">
        <v>81</v>
      </c>
      <c r="F4">
        <v>120</v>
      </c>
      <c r="G4">
        <v>21.72</v>
      </c>
      <c r="H4">
        <v>71.819999999999993</v>
      </c>
      <c r="I4">
        <v>17.64</v>
      </c>
      <c r="J4">
        <v>58.32</v>
      </c>
      <c r="K4">
        <v>1</v>
      </c>
      <c r="T4">
        <v>3</v>
      </c>
      <c r="U4">
        <v>1</v>
      </c>
      <c r="V4" t="s">
        <v>82</v>
      </c>
      <c r="W4" t="s">
        <v>93</v>
      </c>
      <c r="X4">
        <v>15</v>
      </c>
      <c r="Y4">
        <v>15</v>
      </c>
      <c r="Z4" t="s">
        <v>84</v>
      </c>
      <c r="AA4" t="s">
        <v>85</v>
      </c>
      <c r="AB4" t="s">
        <v>86</v>
      </c>
      <c r="AC4" t="s">
        <v>87</v>
      </c>
      <c r="AD4" t="s">
        <v>88</v>
      </c>
      <c r="AE4" t="s">
        <v>89</v>
      </c>
      <c r="AG4" t="s">
        <v>90</v>
      </c>
      <c r="AH4">
        <v>0</v>
      </c>
      <c r="AI4">
        <v>236</v>
      </c>
    </row>
    <row r="5" spans="1:35" x14ac:dyDescent="0.3">
      <c r="A5" t="s">
        <v>79</v>
      </c>
      <c r="B5">
        <v>15738</v>
      </c>
      <c r="C5">
        <v>5</v>
      </c>
      <c r="D5" t="s">
        <v>80</v>
      </c>
      <c r="E5" t="s">
        <v>81</v>
      </c>
      <c r="F5">
        <v>120</v>
      </c>
      <c r="G5">
        <v>31.13</v>
      </c>
      <c r="H5">
        <v>102.94</v>
      </c>
      <c r="I5">
        <v>25.28</v>
      </c>
      <c r="J5">
        <v>83.58</v>
      </c>
      <c r="K5">
        <v>15</v>
      </c>
      <c r="T5">
        <v>3</v>
      </c>
      <c r="U5">
        <v>2</v>
      </c>
      <c r="V5" t="s">
        <v>82</v>
      </c>
      <c r="W5" t="s">
        <v>94</v>
      </c>
      <c r="X5">
        <v>15</v>
      </c>
      <c r="Y5">
        <v>15</v>
      </c>
      <c r="Z5" t="s">
        <v>84</v>
      </c>
      <c r="AA5" t="s">
        <v>85</v>
      </c>
      <c r="AB5" t="s">
        <v>86</v>
      </c>
      <c r="AC5" t="s">
        <v>87</v>
      </c>
      <c r="AD5" t="s">
        <v>88</v>
      </c>
      <c r="AE5" t="s">
        <v>89</v>
      </c>
      <c r="AG5" t="s">
        <v>90</v>
      </c>
      <c r="AH5">
        <v>0</v>
      </c>
      <c r="AI5">
        <v>236</v>
      </c>
    </row>
    <row r="6" spans="1:35" x14ac:dyDescent="0.3">
      <c r="A6" t="s">
        <v>79</v>
      </c>
      <c r="B6">
        <v>15738</v>
      </c>
      <c r="C6">
        <v>6</v>
      </c>
      <c r="D6" t="s">
        <v>80</v>
      </c>
      <c r="E6" t="s">
        <v>81</v>
      </c>
      <c r="F6">
        <v>120</v>
      </c>
      <c r="G6">
        <v>31.42</v>
      </c>
      <c r="H6">
        <v>103.9</v>
      </c>
      <c r="I6">
        <v>25.51</v>
      </c>
      <c r="J6">
        <v>84.36</v>
      </c>
      <c r="K6">
        <v>60</v>
      </c>
      <c r="T6">
        <v>3</v>
      </c>
      <c r="U6">
        <v>1</v>
      </c>
      <c r="V6" t="s">
        <v>82</v>
      </c>
      <c r="W6" t="s">
        <v>95</v>
      </c>
      <c r="X6">
        <v>15</v>
      </c>
      <c r="Y6">
        <v>15</v>
      </c>
      <c r="Z6" t="s">
        <v>84</v>
      </c>
      <c r="AA6" t="s">
        <v>85</v>
      </c>
      <c r="AB6" t="s">
        <v>86</v>
      </c>
      <c r="AC6" t="s">
        <v>87</v>
      </c>
      <c r="AD6" t="s">
        <v>88</v>
      </c>
      <c r="AE6" t="s">
        <v>89</v>
      </c>
      <c r="AG6" t="s">
        <v>90</v>
      </c>
      <c r="AH6">
        <v>0</v>
      </c>
      <c r="AI6">
        <v>236</v>
      </c>
    </row>
    <row r="7" spans="1:35" x14ac:dyDescent="0.3">
      <c r="A7" t="s">
        <v>96</v>
      </c>
      <c r="B7">
        <v>15750</v>
      </c>
      <c r="C7">
        <v>1</v>
      </c>
      <c r="D7" t="s">
        <v>97</v>
      </c>
      <c r="E7" t="s">
        <v>98</v>
      </c>
      <c r="F7">
        <v>102</v>
      </c>
      <c r="G7">
        <v>19.309999999999999</v>
      </c>
      <c r="H7">
        <v>63.85</v>
      </c>
      <c r="I7">
        <v>14.95</v>
      </c>
      <c r="J7">
        <v>49.44</v>
      </c>
      <c r="K7">
        <v>102</v>
      </c>
      <c r="T7">
        <v>2</v>
      </c>
      <c r="U7">
        <v>1</v>
      </c>
      <c r="V7" t="s">
        <v>99</v>
      </c>
      <c r="W7">
        <v>63</v>
      </c>
      <c r="X7">
        <v>15</v>
      </c>
      <c r="Y7">
        <v>12</v>
      </c>
      <c r="Z7" t="s">
        <v>100</v>
      </c>
      <c r="AA7" t="s">
        <v>101</v>
      </c>
      <c r="AB7" t="s">
        <v>86</v>
      </c>
      <c r="AC7" t="s">
        <v>87</v>
      </c>
      <c r="AD7" t="s">
        <v>88</v>
      </c>
      <c r="AE7" t="s">
        <v>102</v>
      </c>
      <c r="AG7" t="s">
        <v>103</v>
      </c>
      <c r="AH7">
        <v>0</v>
      </c>
      <c r="AI7">
        <v>0</v>
      </c>
    </row>
    <row r="8" spans="1:35" x14ac:dyDescent="0.3">
      <c r="A8" t="s">
        <v>96</v>
      </c>
      <c r="B8">
        <v>142640</v>
      </c>
      <c r="C8">
        <v>1</v>
      </c>
      <c r="D8" t="s">
        <v>104</v>
      </c>
      <c r="E8" t="s">
        <v>105</v>
      </c>
      <c r="F8">
        <v>38</v>
      </c>
      <c r="G8">
        <v>13.91</v>
      </c>
      <c r="H8">
        <v>46.01</v>
      </c>
      <c r="I8">
        <v>9.66</v>
      </c>
      <c r="J8">
        <v>31.95</v>
      </c>
      <c r="K8">
        <v>2</v>
      </c>
      <c r="T8">
        <v>2</v>
      </c>
      <c r="U8">
        <v>1</v>
      </c>
      <c r="V8" t="s">
        <v>82</v>
      </c>
      <c r="W8">
        <v>46</v>
      </c>
      <c r="X8">
        <v>9</v>
      </c>
      <c r="Y8">
        <v>8</v>
      </c>
      <c r="Z8" t="s">
        <v>106</v>
      </c>
      <c r="AA8" t="s">
        <v>107</v>
      </c>
      <c r="AB8" t="s">
        <v>86</v>
      </c>
      <c r="AC8" t="s">
        <v>87</v>
      </c>
      <c r="AD8" t="s">
        <v>88</v>
      </c>
      <c r="AE8" t="s">
        <v>102</v>
      </c>
      <c r="AG8" t="s">
        <v>108</v>
      </c>
      <c r="AH8">
        <v>0</v>
      </c>
      <c r="AI8">
        <v>261</v>
      </c>
    </row>
    <row r="9" spans="1:35" x14ac:dyDescent="0.3">
      <c r="A9" t="s">
        <v>96</v>
      </c>
      <c r="B9">
        <v>142640</v>
      </c>
      <c r="C9">
        <v>2</v>
      </c>
      <c r="D9" t="s">
        <v>104</v>
      </c>
      <c r="E9" t="s">
        <v>105</v>
      </c>
      <c r="F9">
        <v>38</v>
      </c>
      <c r="G9">
        <v>22.26</v>
      </c>
      <c r="H9">
        <v>73.61</v>
      </c>
      <c r="I9">
        <v>14.88</v>
      </c>
      <c r="J9">
        <v>49.2</v>
      </c>
      <c r="K9">
        <v>3</v>
      </c>
      <c r="T9">
        <v>2</v>
      </c>
      <c r="U9">
        <v>1</v>
      </c>
      <c r="V9" t="s">
        <v>82</v>
      </c>
      <c r="W9">
        <v>73</v>
      </c>
      <c r="X9">
        <v>9</v>
      </c>
      <c r="Y9">
        <v>8</v>
      </c>
      <c r="Z9" t="s">
        <v>106</v>
      </c>
      <c r="AA9" t="s">
        <v>107</v>
      </c>
      <c r="AB9" t="s">
        <v>86</v>
      </c>
      <c r="AC9" t="s">
        <v>87</v>
      </c>
      <c r="AD9" t="s">
        <v>88</v>
      </c>
      <c r="AE9" t="s">
        <v>102</v>
      </c>
      <c r="AG9" t="s">
        <v>108</v>
      </c>
      <c r="AH9">
        <v>0</v>
      </c>
      <c r="AI9">
        <v>261</v>
      </c>
    </row>
    <row r="10" spans="1:35" x14ac:dyDescent="0.3">
      <c r="A10" t="s">
        <v>96</v>
      </c>
      <c r="B10">
        <v>142640</v>
      </c>
      <c r="C10">
        <v>3</v>
      </c>
      <c r="D10" t="s">
        <v>104</v>
      </c>
      <c r="E10" t="s">
        <v>105</v>
      </c>
      <c r="F10">
        <v>38</v>
      </c>
      <c r="G10">
        <v>24.31</v>
      </c>
      <c r="H10">
        <v>80.39</v>
      </c>
      <c r="I10">
        <v>16.87</v>
      </c>
      <c r="J10">
        <v>55.8</v>
      </c>
      <c r="K10">
        <v>3</v>
      </c>
      <c r="T10">
        <v>3</v>
      </c>
      <c r="U10">
        <v>1</v>
      </c>
      <c r="V10" t="s">
        <v>82</v>
      </c>
      <c r="W10">
        <v>80</v>
      </c>
      <c r="X10">
        <v>9</v>
      </c>
      <c r="Y10">
        <v>8</v>
      </c>
      <c r="Z10" t="s">
        <v>106</v>
      </c>
      <c r="AA10" t="s">
        <v>107</v>
      </c>
      <c r="AB10" t="s">
        <v>86</v>
      </c>
      <c r="AC10" t="s">
        <v>87</v>
      </c>
      <c r="AD10" t="s">
        <v>88</v>
      </c>
      <c r="AE10" t="s">
        <v>102</v>
      </c>
      <c r="AG10" t="s">
        <v>108</v>
      </c>
      <c r="AH10">
        <v>0</v>
      </c>
      <c r="AI10">
        <v>261</v>
      </c>
    </row>
    <row r="11" spans="1:35" x14ac:dyDescent="0.3">
      <c r="A11" t="s">
        <v>96</v>
      </c>
      <c r="B11">
        <v>142640</v>
      </c>
      <c r="C11">
        <v>4</v>
      </c>
      <c r="D11" t="s">
        <v>104</v>
      </c>
      <c r="E11" t="s">
        <v>105</v>
      </c>
      <c r="F11">
        <v>38</v>
      </c>
      <c r="G11">
        <v>25.04</v>
      </c>
      <c r="H11">
        <v>82.78</v>
      </c>
      <c r="I11">
        <v>18.07</v>
      </c>
      <c r="J11">
        <v>59.76</v>
      </c>
      <c r="K11">
        <v>30</v>
      </c>
      <c r="T11">
        <v>3</v>
      </c>
      <c r="U11">
        <v>1</v>
      </c>
      <c r="V11" t="s">
        <v>82</v>
      </c>
      <c r="W11">
        <v>82</v>
      </c>
      <c r="X11">
        <v>9</v>
      </c>
      <c r="Y11">
        <v>8</v>
      </c>
      <c r="Z11" t="s">
        <v>106</v>
      </c>
      <c r="AA11" t="s">
        <v>107</v>
      </c>
      <c r="AB11" t="s">
        <v>86</v>
      </c>
      <c r="AC11" t="s">
        <v>87</v>
      </c>
      <c r="AD11" t="s">
        <v>88</v>
      </c>
      <c r="AE11" t="s">
        <v>102</v>
      </c>
      <c r="AG11" t="s">
        <v>108</v>
      </c>
      <c r="AH11">
        <v>0</v>
      </c>
      <c r="AI11">
        <v>261</v>
      </c>
    </row>
    <row r="12" spans="1:35" x14ac:dyDescent="0.3">
      <c r="A12" t="s">
        <v>96</v>
      </c>
      <c r="B12">
        <v>16782</v>
      </c>
      <c r="C12">
        <v>1</v>
      </c>
      <c r="D12" t="s">
        <v>109</v>
      </c>
      <c r="E12" t="s">
        <v>110</v>
      </c>
      <c r="F12">
        <v>52</v>
      </c>
      <c r="G12">
        <v>22.43</v>
      </c>
      <c r="H12">
        <v>74.17</v>
      </c>
      <c r="I12">
        <v>17.96</v>
      </c>
      <c r="J12">
        <v>59.4</v>
      </c>
      <c r="K12">
        <v>26</v>
      </c>
      <c r="T12">
        <v>3</v>
      </c>
      <c r="U12">
        <v>1</v>
      </c>
      <c r="V12" t="s">
        <v>99</v>
      </c>
      <c r="W12">
        <v>74</v>
      </c>
      <c r="X12">
        <v>10</v>
      </c>
      <c r="Y12">
        <v>6</v>
      </c>
      <c r="Z12" t="s">
        <v>111</v>
      </c>
      <c r="AA12" t="s">
        <v>112</v>
      </c>
      <c r="AB12" t="s">
        <v>86</v>
      </c>
      <c r="AC12" t="s">
        <v>87</v>
      </c>
      <c r="AD12" t="s">
        <v>88</v>
      </c>
      <c r="AE12" t="s">
        <v>102</v>
      </c>
      <c r="AG12" t="s">
        <v>113</v>
      </c>
      <c r="AH12">
        <v>0</v>
      </c>
      <c r="AI12">
        <v>347</v>
      </c>
    </row>
    <row r="13" spans="1:35" x14ac:dyDescent="0.3">
      <c r="A13" t="s">
        <v>96</v>
      </c>
      <c r="B13">
        <v>16782</v>
      </c>
      <c r="C13">
        <v>2</v>
      </c>
      <c r="D13" t="s">
        <v>109</v>
      </c>
      <c r="E13" t="s">
        <v>110</v>
      </c>
      <c r="F13">
        <v>52</v>
      </c>
      <c r="G13">
        <v>23.86</v>
      </c>
      <c r="H13">
        <v>78.89</v>
      </c>
      <c r="I13">
        <v>19.11</v>
      </c>
      <c r="J13">
        <v>63.18</v>
      </c>
      <c r="K13">
        <v>20</v>
      </c>
      <c r="T13">
        <v>3</v>
      </c>
      <c r="U13">
        <v>1</v>
      </c>
      <c r="V13" t="s">
        <v>99</v>
      </c>
      <c r="W13">
        <v>78</v>
      </c>
      <c r="X13">
        <v>10</v>
      </c>
      <c r="Y13">
        <v>6</v>
      </c>
      <c r="Z13" t="s">
        <v>111</v>
      </c>
      <c r="AA13" t="s">
        <v>112</v>
      </c>
      <c r="AB13" t="s">
        <v>86</v>
      </c>
      <c r="AC13" t="s">
        <v>87</v>
      </c>
      <c r="AD13" t="s">
        <v>88</v>
      </c>
      <c r="AE13" t="s">
        <v>102</v>
      </c>
      <c r="AG13" t="s">
        <v>113</v>
      </c>
      <c r="AH13">
        <v>0</v>
      </c>
      <c r="AI13">
        <v>347</v>
      </c>
    </row>
    <row r="14" spans="1:35" x14ac:dyDescent="0.3">
      <c r="A14" t="s">
        <v>96</v>
      </c>
      <c r="B14">
        <v>16782</v>
      </c>
      <c r="C14">
        <v>3</v>
      </c>
      <c r="D14" t="s">
        <v>109</v>
      </c>
      <c r="E14" t="s">
        <v>110</v>
      </c>
      <c r="F14">
        <v>52</v>
      </c>
      <c r="G14">
        <v>28.45</v>
      </c>
      <c r="H14">
        <v>94.07</v>
      </c>
      <c r="I14">
        <v>22.78</v>
      </c>
      <c r="J14">
        <v>75.33</v>
      </c>
      <c r="K14">
        <v>6</v>
      </c>
      <c r="T14">
        <v>3</v>
      </c>
      <c r="U14">
        <v>1</v>
      </c>
      <c r="V14" t="s">
        <v>99</v>
      </c>
      <c r="W14">
        <v>94</v>
      </c>
      <c r="X14">
        <v>10</v>
      </c>
      <c r="Y14">
        <v>6</v>
      </c>
      <c r="Z14" t="s">
        <v>111</v>
      </c>
      <c r="AA14" t="s">
        <v>112</v>
      </c>
      <c r="AB14" t="s">
        <v>86</v>
      </c>
      <c r="AC14" t="s">
        <v>87</v>
      </c>
      <c r="AD14" t="s">
        <v>88</v>
      </c>
      <c r="AE14" t="s">
        <v>102</v>
      </c>
      <c r="AG14" t="s">
        <v>113</v>
      </c>
      <c r="AH14">
        <v>0</v>
      </c>
      <c r="AI14">
        <v>347</v>
      </c>
    </row>
    <row r="15" spans="1:35" x14ac:dyDescent="0.3">
      <c r="A15" t="s">
        <v>96</v>
      </c>
      <c r="B15">
        <v>140487</v>
      </c>
      <c r="C15">
        <v>1</v>
      </c>
      <c r="D15" t="s">
        <v>114</v>
      </c>
      <c r="E15" t="s">
        <v>115</v>
      </c>
      <c r="F15">
        <v>50</v>
      </c>
      <c r="G15">
        <v>21.82</v>
      </c>
      <c r="H15">
        <v>72.16</v>
      </c>
      <c r="I15">
        <v>17.059999999999999</v>
      </c>
      <c r="J15">
        <v>56.42</v>
      </c>
      <c r="K15">
        <v>48</v>
      </c>
      <c r="T15">
        <v>3</v>
      </c>
      <c r="U15">
        <v>2</v>
      </c>
      <c r="V15" t="s">
        <v>82</v>
      </c>
      <c r="W15">
        <v>72</v>
      </c>
      <c r="X15">
        <v>9</v>
      </c>
      <c r="Y15">
        <v>8</v>
      </c>
      <c r="Z15" t="s">
        <v>116</v>
      </c>
      <c r="AA15" t="s">
        <v>117</v>
      </c>
      <c r="AB15" t="s">
        <v>86</v>
      </c>
      <c r="AC15" t="s">
        <v>87</v>
      </c>
      <c r="AD15" t="s">
        <v>88</v>
      </c>
      <c r="AE15" t="s">
        <v>102</v>
      </c>
      <c r="AG15" t="s">
        <v>118</v>
      </c>
      <c r="AH15">
        <v>0</v>
      </c>
      <c r="AI15">
        <v>199</v>
      </c>
    </row>
    <row r="16" spans="1:35" x14ac:dyDescent="0.3">
      <c r="A16" t="s">
        <v>96</v>
      </c>
      <c r="B16">
        <v>140487</v>
      </c>
      <c r="C16">
        <v>2</v>
      </c>
      <c r="D16" t="s">
        <v>114</v>
      </c>
      <c r="E16" t="s">
        <v>115</v>
      </c>
      <c r="F16">
        <v>50</v>
      </c>
      <c r="G16">
        <v>24.96</v>
      </c>
      <c r="H16">
        <v>82.53</v>
      </c>
      <c r="I16">
        <v>17.059999999999999</v>
      </c>
      <c r="J16">
        <v>56.42</v>
      </c>
      <c r="K16">
        <v>2</v>
      </c>
      <c r="T16">
        <v>3</v>
      </c>
      <c r="U16">
        <v>2</v>
      </c>
      <c r="V16" t="s">
        <v>82</v>
      </c>
      <c r="W16">
        <v>82</v>
      </c>
      <c r="X16">
        <v>9</v>
      </c>
      <c r="Y16">
        <v>8</v>
      </c>
      <c r="Z16" t="s">
        <v>116</v>
      </c>
      <c r="AA16" t="s">
        <v>117</v>
      </c>
      <c r="AB16" t="s">
        <v>86</v>
      </c>
      <c r="AC16" t="s">
        <v>87</v>
      </c>
      <c r="AD16" t="s">
        <v>88</v>
      </c>
      <c r="AE16" t="s">
        <v>102</v>
      </c>
      <c r="AG16" t="s">
        <v>118</v>
      </c>
      <c r="AH16">
        <v>0</v>
      </c>
      <c r="AI16">
        <v>199</v>
      </c>
    </row>
    <row r="17" spans="1:35" x14ac:dyDescent="0.3">
      <c r="A17" t="s">
        <v>96</v>
      </c>
      <c r="B17">
        <v>100892</v>
      </c>
      <c r="C17">
        <v>1</v>
      </c>
      <c r="D17" t="s">
        <v>119</v>
      </c>
      <c r="E17" t="s">
        <v>120</v>
      </c>
      <c r="F17">
        <v>60</v>
      </c>
      <c r="G17">
        <v>27.27</v>
      </c>
      <c r="H17">
        <v>90.16</v>
      </c>
      <c r="I17">
        <v>22.6</v>
      </c>
      <c r="J17">
        <v>74.739999999999995</v>
      </c>
      <c r="K17">
        <v>3</v>
      </c>
      <c r="T17">
        <v>3</v>
      </c>
      <c r="U17">
        <v>1</v>
      </c>
      <c r="V17" t="s">
        <v>82</v>
      </c>
      <c r="W17">
        <v>90</v>
      </c>
      <c r="X17">
        <v>12</v>
      </c>
      <c r="Y17">
        <v>8</v>
      </c>
      <c r="Z17" t="s">
        <v>121</v>
      </c>
      <c r="AA17" t="s">
        <v>122</v>
      </c>
      <c r="AB17" t="s">
        <v>86</v>
      </c>
      <c r="AC17" t="s">
        <v>87</v>
      </c>
      <c r="AD17" t="s">
        <v>88</v>
      </c>
      <c r="AE17" t="s">
        <v>102</v>
      </c>
      <c r="AG17" t="s">
        <v>123</v>
      </c>
      <c r="AH17">
        <v>0</v>
      </c>
      <c r="AI17">
        <v>0</v>
      </c>
    </row>
    <row r="18" spans="1:35" x14ac:dyDescent="0.3">
      <c r="A18" t="s">
        <v>96</v>
      </c>
      <c r="B18">
        <v>100892</v>
      </c>
      <c r="C18">
        <v>2</v>
      </c>
      <c r="D18" t="s">
        <v>119</v>
      </c>
      <c r="E18" t="s">
        <v>120</v>
      </c>
      <c r="F18">
        <v>60</v>
      </c>
      <c r="G18">
        <v>30.99</v>
      </c>
      <c r="H18">
        <v>102.45</v>
      </c>
      <c r="I18">
        <v>25.68</v>
      </c>
      <c r="J18">
        <v>84.91</v>
      </c>
      <c r="K18">
        <v>57</v>
      </c>
      <c r="T18">
        <v>3</v>
      </c>
      <c r="U18">
        <v>2</v>
      </c>
      <c r="V18" t="s">
        <v>82</v>
      </c>
      <c r="W18">
        <v>102</v>
      </c>
      <c r="X18">
        <v>12</v>
      </c>
      <c r="Y18">
        <v>8</v>
      </c>
      <c r="Z18" t="s">
        <v>121</v>
      </c>
      <c r="AA18" t="s">
        <v>122</v>
      </c>
      <c r="AB18" t="s">
        <v>86</v>
      </c>
      <c r="AC18" t="s">
        <v>87</v>
      </c>
      <c r="AD18" t="s">
        <v>88</v>
      </c>
      <c r="AE18" t="s">
        <v>102</v>
      </c>
      <c r="AG18" t="s">
        <v>123</v>
      </c>
      <c r="AH18">
        <v>0</v>
      </c>
      <c r="AI18">
        <v>0</v>
      </c>
    </row>
    <row r="19" spans="1:35" x14ac:dyDescent="0.3">
      <c r="A19" t="s">
        <v>96</v>
      </c>
      <c r="B19">
        <v>126887</v>
      </c>
      <c r="C19">
        <v>1</v>
      </c>
      <c r="D19" t="s">
        <v>124</v>
      </c>
      <c r="E19" t="s">
        <v>125</v>
      </c>
      <c r="F19">
        <v>19</v>
      </c>
      <c r="G19">
        <v>18.850000000000001</v>
      </c>
      <c r="H19">
        <v>62.32</v>
      </c>
      <c r="I19">
        <v>17.39</v>
      </c>
      <c r="J19">
        <v>57.5</v>
      </c>
      <c r="K19">
        <v>2</v>
      </c>
      <c r="T19">
        <v>3</v>
      </c>
      <c r="U19">
        <v>2</v>
      </c>
      <c r="V19" t="s">
        <v>82</v>
      </c>
      <c r="W19">
        <v>62</v>
      </c>
      <c r="X19">
        <v>6</v>
      </c>
      <c r="Y19">
        <v>5</v>
      </c>
      <c r="Z19" t="s">
        <v>126</v>
      </c>
      <c r="AA19" t="s">
        <v>127</v>
      </c>
      <c r="AB19" t="s">
        <v>86</v>
      </c>
      <c r="AC19" t="s">
        <v>87</v>
      </c>
      <c r="AD19" t="s">
        <v>88</v>
      </c>
      <c r="AE19" t="s">
        <v>102</v>
      </c>
      <c r="AG19" t="s">
        <v>128</v>
      </c>
      <c r="AH19">
        <v>0</v>
      </c>
      <c r="AI19">
        <v>268</v>
      </c>
    </row>
    <row r="20" spans="1:35" x14ac:dyDescent="0.3">
      <c r="A20" t="s">
        <v>96</v>
      </c>
      <c r="B20">
        <v>126887</v>
      </c>
      <c r="C20">
        <v>2</v>
      </c>
      <c r="D20" t="s">
        <v>124</v>
      </c>
      <c r="E20" t="s">
        <v>125</v>
      </c>
      <c r="F20">
        <v>19</v>
      </c>
      <c r="G20">
        <v>25.29</v>
      </c>
      <c r="H20">
        <v>83.61</v>
      </c>
      <c r="I20">
        <v>23.33</v>
      </c>
      <c r="J20">
        <v>77.14</v>
      </c>
      <c r="K20">
        <v>4</v>
      </c>
      <c r="T20">
        <v>3</v>
      </c>
      <c r="U20">
        <v>2</v>
      </c>
      <c r="V20" t="s">
        <v>82</v>
      </c>
      <c r="W20">
        <v>83</v>
      </c>
      <c r="X20">
        <v>6</v>
      </c>
      <c r="Y20">
        <v>5</v>
      </c>
      <c r="Z20" t="s">
        <v>126</v>
      </c>
      <c r="AA20" t="s">
        <v>127</v>
      </c>
      <c r="AB20" t="s">
        <v>86</v>
      </c>
      <c r="AC20" t="s">
        <v>87</v>
      </c>
      <c r="AD20" t="s">
        <v>88</v>
      </c>
      <c r="AE20" t="s">
        <v>102</v>
      </c>
      <c r="AG20" t="s">
        <v>128</v>
      </c>
      <c r="AH20">
        <v>0</v>
      </c>
      <c r="AI20">
        <v>268</v>
      </c>
    </row>
    <row r="21" spans="1:35" x14ac:dyDescent="0.3">
      <c r="A21" t="s">
        <v>96</v>
      </c>
      <c r="B21">
        <v>126887</v>
      </c>
      <c r="C21">
        <v>3</v>
      </c>
      <c r="D21" t="s">
        <v>124</v>
      </c>
      <c r="E21" t="s">
        <v>125</v>
      </c>
      <c r="F21">
        <v>19</v>
      </c>
      <c r="G21">
        <v>27.41</v>
      </c>
      <c r="H21">
        <v>90.64</v>
      </c>
      <c r="I21">
        <v>25.29</v>
      </c>
      <c r="J21">
        <v>83.62</v>
      </c>
      <c r="K21">
        <v>12</v>
      </c>
      <c r="T21">
        <v>3</v>
      </c>
      <c r="U21">
        <v>2</v>
      </c>
      <c r="V21" t="s">
        <v>82</v>
      </c>
      <c r="W21">
        <v>90</v>
      </c>
      <c r="X21">
        <v>6</v>
      </c>
      <c r="Y21">
        <v>5</v>
      </c>
      <c r="Z21" t="s">
        <v>126</v>
      </c>
      <c r="AA21" t="s">
        <v>127</v>
      </c>
      <c r="AB21" t="s">
        <v>86</v>
      </c>
      <c r="AC21" t="s">
        <v>87</v>
      </c>
      <c r="AD21" t="s">
        <v>88</v>
      </c>
      <c r="AE21" t="s">
        <v>102</v>
      </c>
      <c r="AG21" t="s">
        <v>128</v>
      </c>
      <c r="AH21">
        <v>0</v>
      </c>
      <c r="AI21">
        <v>268</v>
      </c>
    </row>
    <row r="22" spans="1:35" x14ac:dyDescent="0.3">
      <c r="A22" t="s">
        <v>96</v>
      </c>
      <c r="B22">
        <v>126887</v>
      </c>
      <c r="C22">
        <v>4</v>
      </c>
      <c r="D22" t="s">
        <v>124</v>
      </c>
      <c r="E22" t="s">
        <v>125</v>
      </c>
      <c r="F22">
        <v>19</v>
      </c>
      <c r="G22">
        <v>35.53</v>
      </c>
      <c r="H22">
        <v>117.47</v>
      </c>
      <c r="I22">
        <v>32.799999999999997</v>
      </c>
      <c r="J22">
        <v>108.43</v>
      </c>
      <c r="K22">
        <v>1</v>
      </c>
      <c r="T22">
        <v>4</v>
      </c>
      <c r="U22">
        <v>2</v>
      </c>
      <c r="V22" t="s">
        <v>82</v>
      </c>
      <c r="W22">
        <v>117</v>
      </c>
      <c r="X22">
        <v>6</v>
      </c>
      <c r="Y22">
        <v>5</v>
      </c>
      <c r="Z22" t="s">
        <v>126</v>
      </c>
      <c r="AA22" t="s">
        <v>127</v>
      </c>
      <c r="AB22" t="s">
        <v>86</v>
      </c>
      <c r="AC22" t="s">
        <v>87</v>
      </c>
      <c r="AD22" t="s">
        <v>88</v>
      </c>
      <c r="AE22" t="s">
        <v>102</v>
      </c>
      <c r="AG22" t="s">
        <v>128</v>
      </c>
      <c r="AH22">
        <v>0</v>
      </c>
      <c r="AI22">
        <v>268</v>
      </c>
    </row>
    <row r="23" spans="1:35" x14ac:dyDescent="0.3">
      <c r="A23" t="s">
        <v>96</v>
      </c>
      <c r="B23">
        <v>127940</v>
      </c>
      <c r="C23">
        <v>1</v>
      </c>
      <c r="D23" t="s">
        <v>129</v>
      </c>
      <c r="E23" t="s">
        <v>130</v>
      </c>
      <c r="F23">
        <v>46</v>
      </c>
      <c r="G23">
        <v>21.25</v>
      </c>
      <c r="H23">
        <v>70.260000000000005</v>
      </c>
      <c r="I23">
        <v>18.13</v>
      </c>
      <c r="J23">
        <v>59.94</v>
      </c>
      <c r="K23">
        <v>46</v>
      </c>
      <c r="T23">
        <v>3</v>
      </c>
      <c r="U23">
        <v>1</v>
      </c>
      <c r="V23" t="s">
        <v>82</v>
      </c>
      <c r="W23">
        <v>70</v>
      </c>
      <c r="X23">
        <v>14</v>
      </c>
      <c r="Y23">
        <v>9</v>
      </c>
      <c r="Z23" t="s">
        <v>131</v>
      </c>
      <c r="AA23" t="s">
        <v>132</v>
      </c>
      <c r="AB23" t="s">
        <v>86</v>
      </c>
      <c r="AC23" t="s">
        <v>87</v>
      </c>
      <c r="AD23" t="s">
        <v>88</v>
      </c>
      <c r="AE23" t="s">
        <v>102</v>
      </c>
      <c r="AG23" t="s">
        <v>133</v>
      </c>
      <c r="AH23">
        <v>0</v>
      </c>
      <c r="AI23">
        <v>0</v>
      </c>
    </row>
    <row r="24" spans="1:35" x14ac:dyDescent="0.3">
      <c r="A24" t="s">
        <v>96</v>
      </c>
      <c r="B24">
        <v>130487</v>
      </c>
      <c r="C24">
        <v>1</v>
      </c>
      <c r="D24" t="s">
        <v>134</v>
      </c>
      <c r="E24" t="s">
        <v>135</v>
      </c>
      <c r="F24">
        <v>40</v>
      </c>
      <c r="G24">
        <v>22.54</v>
      </c>
      <c r="H24">
        <v>74.53</v>
      </c>
      <c r="I24">
        <v>19.03</v>
      </c>
      <c r="J24">
        <v>62.93</v>
      </c>
      <c r="K24">
        <v>30</v>
      </c>
      <c r="T24">
        <v>3</v>
      </c>
      <c r="U24">
        <v>1</v>
      </c>
      <c r="V24" t="s">
        <v>82</v>
      </c>
      <c r="W24" t="s">
        <v>136</v>
      </c>
      <c r="X24">
        <v>5</v>
      </c>
      <c r="Y24">
        <v>5</v>
      </c>
      <c r="Z24" t="s">
        <v>137</v>
      </c>
      <c r="AA24" t="s">
        <v>138</v>
      </c>
      <c r="AB24" t="s">
        <v>86</v>
      </c>
      <c r="AC24" t="s">
        <v>87</v>
      </c>
      <c r="AD24" t="s">
        <v>88</v>
      </c>
      <c r="AE24" t="s">
        <v>102</v>
      </c>
      <c r="AG24" t="s">
        <v>139</v>
      </c>
      <c r="AH24">
        <v>0</v>
      </c>
      <c r="AI24">
        <v>0</v>
      </c>
    </row>
    <row r="25" spans="1:35" x14ac:dyDescent="0.3">
      <c r="A25" t="s">
        <v>96</v>
      </c>
      <c r="B25">
        <v>130487</v>
      </c>
      <c r="C25">
        <v>2</v>
      </c>
      <c r="D25" t="s">
        <v>134</v>
      </c>
      <c r="E25" t="s">
        <v>135</v>
      </c>
      <c r="F25">
        <v>40</v>
      </c>
      <c r="G25">
        <v>23.46</v>
      </c>
      <c r="H25">
        <v>77.56</v>
      </c>
      <c r="I25">
        <v>19.88</v>
      </c>
      <c r="J25">
        <v>65.739999999999995</v>
      </c>
      <c r="K25">
        <v>5</v>
      </c>
      <c r="T25">
        <v>3</v>
      </c>
      <c r="U25">
        <v>1</v>
      </c>
      <c r="V25" t="s">
        <v>82</v>
      </c>
      <c r="W25" t="s">
        <v>140</v>
      </c>
      <c r="X25">
        <v>5</v>
      </c>
      <c r="Y25">
        <v>5</v>
      </c>
      <c r="Z25" t="s">
        <v>137</v>
      </c>
      <c r="AA25" t="s">
        <v>138</v>
      </c>
      <c r="AB25" t="s">
        <v>86</v>
      </c>
      <c r="AC25" t="s">
        <v>87</v>
      </c>
      <c r="AD25" t="s">
        <v>88</v>
      </c>
      <c r="AE25" t="s">
        <v>102</v>
      </c>
      <c r="AG25" t="s">
        <v>139</v>
      </c>
      <c r="AH25">
        <v>0</v>
      </c>
      <c r="AI25">
        <v>0</v>
      </c>
    </row>
    <row r="26" spans="1:35" x14ac:dyDescent="0.3">
      <c r="A26" t="s">
        <v>96</v>
      </c>
      <c r="B26">
        <v>130487</v>
      </c>
      <c r="C26">
        <v>3</v>
      </c>
      <c r="D26" t="s">
        <v>134</v>
      </c>
      <c r="E26" t="s">
        <v>135</v>
      </c>
      <c r="F26">
        <v>40</v>
      </c>
      <c r="G26">
        <v>26.04</v>
      </c>
      <c r="H26">
        <v>86.1</v>
      </c>
      <c r="I26">
        <v>22.27</v>
      </c>
      <c r="J26">
        <v>73.650000000000006</v>
      </c>
      <c r="K26">
        <v>5</v>
      </c>
      <c r="T26">
        <v>3</v>
      </c>
      <c r="U26">
        <v>2</v>
      </c>
      <c r="V26" t="s">
        <v>82</v>
      </c>
      <c r="W26">
        <v>86</v>
      </c>
      <c r="X26">
        <v>5</v>
      </c>
      <c r="Y26">
        <v>5</v>
      </c>
      <c r="Z26" t="s">
        <v>137</v>
      </c>
      <c r="AA26" t="s">
        <v>138</v>
      </c>
      <c r="AB26" t="s">
        <v>86</v>
      </c>
      <c r="AC26" t="s">
        <v>87</v>
      </c>
      <c r="AD26" t="s">
        <v>88</v>
      </c>
      <c r="AE26" t="s">
        <v>102</v>
      </c>
      <c r="AG26" t="s">
        <v>139</v>
      </c>
      <c r="AH26">
        <v>0</v>
      </c>
      <c r="AI26">
        <v>0</v>
      </c>
    </row>
    <row r="27" spans="1:35" x14ac:dyDescent="0.3">
      <c r="A27" t="s">
        <v>96</v>
      </c>
      <c r="B27">
        <v>7707</v>
      </c>
      <c r="C27">
        <v>1</v>
      </c>
      <c r="D27" t="s">
        <v>141</v>
      </c>
      <c r="E27" t="s">
        <v>142</v>
      </c>
      <c r="F27">
        <v>19</v>
      </c>
      <c r="G27">
        <v>23.67</v>
      </c>
      <c r="H27">
        <v>78.28</v>
      </c>
      <c r="I27">
        <v>20.29</v>
      </c>
      <c r="J27">
        <v>67.08</v>
      </c>
      <c r="K27">
        <v>4</v>
      </c>
      <c r="T27">
        <v>3</v>
      </c>
      <c r="U27">
        <v>1</v>
      </c>
      <c r="V27" t="s">
        <v>82</v>
      </c>
      <c r="W27">
        <v>78</v>
      </c>
      <c r="X27">
        <v>5</v>
      </c>
      <c r="Y27">
        <v>5</v>
      </c>
      <c r="Z27" t="s">
        <v>143</v>
      </c>
      <c r="AA27" t="s">
        <v>144</v>
      </c>
      <c r="AB27" t="s">
        <v>86</v>
      </c>
      <c r="AC27" t="s">
        <v>87</v>
      </c>
      <c r="AD27" t="s">
        <v>88</v>
      </c>
      <c r="AE27" t="s">
        <v>102</v>
      </c>
      <c r="AG27" t="s">
        <v>145</v>
      </c>
      <c r="AH27">
        <v>0</v>
      </c>
      <c r="AI27">
        <v>0</v>
      </c>
    </row>
    <row r="28" spans="1:35" x14ac:dyDescent="0.3">
      <c r="A28" t="s">
        <v>96</v>
      </c>
      <c r="B28">
        <v>7707</v>
      </c>
      <c r="C28">
        <v>2</v>
      </c>
      <c r="D28" t="s">
        <v>141</v>
      </c>
      <c r="E28" t="s">
        <v>142</v>
      </c>
      <c r="F28">
        <v>19</v>
      </c>
      <c r="G28">
        <v>25.45</v>
      </c>
      <c r="H28">
        <v>84.14</v>
      </c>
      <c r="I28">
        <v>21.94</v>
      </c>
      <c r="J28">
        <v>72.540000000000006</v>
      </c>
      <c r="K28">
        <v>15</v>
      </c>
      <c r="T28">
        <v>3</v>
      </c>
      <c r="U28">
        <v>1</v>
      </c>
      <c r="V28" t="s">
        <v>82</v>
      </c>
      <c r="W28">
        <v>84</v>
      </c>
      <c r="X28">
        <v>5</v>
      </c>
      <c r="Y28">
        <v>5</v>
      </c>
      <c r="Z28" t="s">
        <v>143</v>
      </c>
      <c r="AA28" t="s">
        <v>144</v>
      </c>
      <c r="AB28" t="s">
        <v>86</v>
      </c>
      <c r="AC28" t="s">
        <v>87</v>
      </c>
      <c r="AD28" t="s">
        <v>88</v>
      </c>
      <c r="AE28" t="s">
        <v>102</v>
      </c>
      <c r="AG28" t="s">
        <v>145</v>
      </c>
      <c r="AH28">
        <v>0</v>
      </c>
      <c r="AI28">
        <v>0</v>
      </c>
    </row>
    <row r="29" spans="1:35" x14ac:dyDescent="0.3">
      <c r="A29" t="s">
        <v>96</v>
      </c>
      <c r="B29">
        <v>125970</v>
      </c>
      <c r="C29">
        <v>1</v>
      </c>
      <c r="D29" t="s">
        <v>146</v>
      </c>
      <c r="E29" t="s">
        <v>147</v>
      </c>
      <c r="F29">
        <v>48</v>
      </c>
      <c r="G29">
        <v>19.14</v>
      </c>
      <c r="H29">
        <v>63.29</v>
      </c>
      <c r="I29">
        <v>14.91</v>
      </c>
      <c r="J29">
        <v>49.32</v>
      </c>
      <c r="K29">
        <v>18</v>
      </c>
      <c r="T29">
        <v>2</v>
      </c>
      <c r="U29">
        <v>1</v>
      </c>
      <c r="V29" t="s">
        <v>82</v>
      </c>
      <c r="W29">
        <v>63</v>
      </c>
      <c r="X29">
        <v>6</v>
      </c>
      <c r="Y29">
        <v>6</v>
      </c>
      <c r="Z29" t="s">
        <v>148</v>
      </c>
      <c r="AA29" t="s">
        <v>149</v>
      </c>
      <c r="AB29" t="s">
        <v>86</v>
      </c>
      <c r="AC29" t="s">
        <v>87</v>
      </c>
      <c r="AD29" t="s">
        <v>88</v>
      </c>
      <c r="AE29" t="s">
        <v>102</v>
      </c>
      <c r="AG29" t="s">
        <v>150</v>
      </c>
      <c r="AH29">
        <v>0</v>
      </c>
      <c r="AI29">
        <v>192</v>
      </c>
    </row>
    <row r="30" spans="1:35" x14ac:dyDescent="0.3">
      <c r="A30" t="s">
        <v>96</v>
      </c>
      <c r="B30">
        <v>125970</v>
      </c>
      <c r="C30">
        <v>2</v>
      </c>
      <c r="D30" t="s">
        <v>146</v>
      </c>
      <c r="E30" t="s">
        <v>147</v>
      </c>
      <c r="F30">
        <v>48</v>
      </c>
      <c r="G30">
        <v>27.91</v>
      </c>
      <c r="H30">
        <v>92.27</v>
      </c>
      <c r="I30">
        <v>22.49</v>
      </c>
      <c r="J30">
        <v>74.37</v>
      </c>
      <c r="K30">
        <v>30</v>
      </c>
      <c r="T30">
        <v>3</v>
      </c>
      <c r="U30">
        <v>2</v>
      </c>
      <c r="V30" t="s">
        <v>82</v>
      </c>
      <c r="W30">
        <v>92</v>
      </c>
      <c r="X30">
        <v>6</v>
      </c>
      <c r="Y30">
        <v>6</v>
      </c>
      <c r="Z30" t="s">
        <v>148</v>
      </c>
      <c r="AA30" t="s">
        <v>149</v>
      </c>
      <c r="AB30" t="s">
        <v>86</v>
      </c>
      <c r="AC30" t="s">
        <v>87</v>
      </c>
      <c r="AD30" t="s">
        <v>88</v>
      </c>
      <c r="AE30" t="s">
        <v>102</v>
      </c>
      <c r="AG30" t="s">
        <v>150</v>
      </c>
      <c r="AH30">
        <v>0</v>
      </c>
      <c r="AI30">
        <v>192</v>
      </c>
    </row>
    <row r="31" spans="1:35" x14ac:dyDescent="0.3">
      <c r="A31" t="s">
        <v>96</v>
      </c>
      <c r="B31">
        <v>16789</v>
      </c>
      <c r="C31">
        <v>1</v>
      </c>
      <c r="D31" t="s">
        <v>151</v>
      </c>
      <c r="E31" t="s">
        <v>152</v>
      </c>
      <c r="F31">
        <v>47</v>
      </c>
      <c r="G31">
        <v>23.38</v>
      </c>
      <c r="H31">
        <v>77.319999999999993</v>
      </c>
      <c r="I31">
        <v>17.03</v>
      </c>
      <c r="J31">
        <v>56.31</v>
      </c>
      <c r="K31">
        <v>4</v>
      </c>
      <c r="T31">
        <v>3</v>
      </c>
      <c r="U31">
        <v>1</v>
      </c>
      <c r="V31" t="s">
        <v>82</v>
      </c>
      <c r="W31">
        <v>77</v>
      </c>
      <c r="X31">
        <v>8</v>
      </c>
      <c r="Y31">
        <v>6</v>
      </c>
      <c r="Z31" t="s">
        <v>153</v>
      </c>
      <c r="AA31" t="s">
        <v>154</v>
      </c>
      <c r="AB31" t="s">
        <v>86</v>
      </c>
      <c r="AC31" t="s">
        <v>87</v>
      </c>
      <c r="AD31" t="s">
        <v>88</v>
      </c>
      <c r="AE31" t="s">
        <v>102</v>
      </c>
      <c r="AG31" t="s">
        <v>155</v>
      </c>
      <c r="AH31">
        <v>0</v>
      </c>
      <c r="AI31">
        <v>270</v>
      </c>
    </row>
    <row r="32" spans="1:35" x14ac:dyDescent="0.3">
      <c r="A32" t="s">
        <v>96</v>
      </c>
      <c r="B32">
        <v>16789</v>
      </c>
      <c r="C32">
        <v>2</v>
      </c>
      <c r="D32" t="s">
        <v>151</v>
      </c>
      <c r="E32" t="s">
        <v>152</v>
      </c>
      <c r="F32">
        <v>47</v>
      </c>
      <c r="G32">
        <v>23.77</v>
      </c>
      <c r="H32">
        <v>78.59</v>
      </c>
      <c r="I32">
        <v>17.309999999999999</v>
      </c>
      <c r="J32">
        <v>57.24</v>
      </c>
      <c r="K32">
        <v>5</v>
      </c>
      <c r="T32">
        <v>3</v>
      </c>
      <c r="U32">
        <v>1</v>
      </c>
      <c r="V32" t="s">
        <v>82</v>
      </c>
      <c r="W32" t="s">
        <v>156</v>
      </c>
      <c r="X32">
        <v>8</v>
      </c>
      <c r="Y32">
        <v>6</v>
      </c>
      <c r="Z32" t="s">
        <v>153</v>
      </c>
      <c r="AA32" t="s">
        <v>154</v>
      </c>
      <c r="AB32" t="s">
        <v>86</v>
      </c>
      <c r="AC32" t="s">
        <v>87</v>
      </c>
      <c r="AD32" t="s">
        <v>88</v>
      </c>
      <c r="AE32" t="s">
        <v>102</v>
      </c>
      <c r="AG32" t="s">
        <v>155</v>
      </c>
      <c r="AH32">
        <v>0</v>
      </c>
      <c r="AI32">
        <v>270</v>
      </c>
    </row>
    <row r="33" spans="1:35" x14ac:dyDescent="0.3">
      <c r="A33" t="s">
        <v>96</v>
      </c>
      <c r="B33">
        <v>16789</v>
      </c>
      <c r="C33">
        <v>3</v>
      </c>
      <c r="D33" t="s">
        <v>151</v>
      </c>
      <c r="E33" t="s">
        <v>152</v>
      </c>
      <c r="F33">
        <v>47</v>
      </c>
      <c r="G33">
        <v>24.09</v>
      </c>
      <c r="H33">
        <v>79.650000000000006</v>
      </c>
      <c r="I33">
        <v>17.54</v>
      </c>
      <c r="J33">
        <v>58.01</v>
      </c>
      <c r="K33">
        <v>1</v>
      </c>
      <c r="T33">
        <v>3</v>
      </c>
      <c r="U33">
        <v>1</v>
      </c>
      <c r="V33" t="s">
        <v>82</v>
      </c>
      <c r="W33" t="s">
        <v>157</v>
      </c>
      <c r="X33">
        <v>8</v>
      </c>
      <c r="Y33">
        <v>6</v>
      </c>
      <c r="Z33" t="s">
        <v>153</v>
      </c>
      <c r="AA33" t="s">
        <v>154</v>
      </c>
      <c r="AB33" t="s">
        <v>86</v>
      </c>
      <c r="AC33" t="s">
        <v>87</v>
      </c>
      <c r="AD33" t="s">
        <v>88</v>
      </c>
      <c r="AE33" t="s">
        <v>102</v>
      </c>
      <c r="AG33" t="s">
        <v>155</v>
      </c>
      <c r="AH33">
        <v>0</v>
      </c>
      <c r="AI33">
        <v>270</v>
      </c>
    </row>
    <row r="34" spans="1:35" x14ac:dyDescent="0.3">
      <c r="A34" t="s">
        <v>96</v>
      </c>
      <c r="B34">
        <v>16789</v>
      </c>
      <c r="C34">
        <v>4</v>
      </c>
      <c r="D34" t="s">
        <v>151</v>
      </c>
      <c r="E34" t="s">
        <v>152</v>
      </c>
      <c r="F34">
        <v>47</v>
      </c>
      <c r="G34">
        <v>24.42</v>
      </c>
      <c r="H34">
        <v>80.73</v>
      </c>
      <c r="I34">
        <v>17.78</v>
      </c>
      <c r="J34">
        <v>58.8</v>
      </c>
      <c r="K34">
        <v>7</v>
      </c>
      <c r="T34">
        <v>3</v>
      </c>
      <c r="U34">
        <v>1</v>
      </c>
      <c r="V34" t="s">
        <v>82</v>
      </c>
      <c r="W34" t="s">
        <v>158</v>
      </c>
      <c r="X34">
        <v>8</v>
      </c>
      <c r="Y34">
        <v>6</v>
      </c>
      <c r="Z34" t="s">
        <v>153</v>
      </c>
      <c r="AA34" t="s">
        <v>154</v>
      </c>
      <c r="AB34" t="s">
        <v>86</v>
      </c>
      <c r="AC34" t="s">
        <v>87</v>
      </c>
      <c r="AD34" t="s">
        <v>88</v>
      </c>
      <c r="AE34" t="s">
        <v>102</v>
      </c>
      <c r="AG34" t="s">
        <v>155</v>
      </c>
      <c r="AH34">
        <v>0</v>
      </c>
      <c r="AI34">
        <v>270</v>
      </c>
    </row>
    <row r="35" spans="1:35" x14ac:dyDescent="0.3">
      <c r="A35" t="s">
        <v>96</v>
      </c>
      <c r="B35">
        <v>16789</v>
      </c>
      <c r="C35">
        <v>5</v>
      </c>
      <c r="D35" t="s">
        <v>151</v>
      </c>
      <c r="E35" t="s">
        <v>152</v>
      </c>
      <c r="F35">
        <v>47</v>
      </c>
      <c r="G35">
        <v>24.82</v>
      </c>
      <c r="H35">
        <v>82.05</v>
      </c>
      <c r="I35">
        <v>18.07</v>
      </c>
      <c r="J35">
        <v>59.76</v>
      </c>
      <c r="K35">
        <v>24</v>
      </c>
      <c r="T35">
        <v>3</v>
      </c>
      <c r="U35">
        <v>1</v>
      </c>
      <c r="V35" t="s">
        <v>82</v>
      </c>
      <c r="W35">
        <v>82</v>
      </c>
      <c r="X35">
        <v>8</v>
      </c>
      <c r="Y35">
        <v>6</v>
      </c>
      <c r="Z35" t="s">
        <v>153</v>
      </c>
      <c r="AA35" t="s">
        <v>154</v>
      </c>
      <c r="AB35" t="s">
        <v>86</v>
      </c>
      <c r="AC35" t="s">
        <v>87</v>
      </c>
      <c r="AD35" t="s">
        <v>88</v>
      </c>
      <c r="AE35" t="s">
        <v>102</v>
      </c>
      <c r="AG35" t="s">
        <v>155</v>
      </c>
      <c r="AH35">
        <v>0</v>
      </c>
      <c r="AI35">
        <v>270</v>
      </c>
    </row>
    <row r="36" spans="1:35" x14ac:dyDescent="0.3">
      <c r="A36" t="s">
        <v>96</v>
      </c>
      <c r="B36">
        <v>16789</v>
      </c>
      <c r="C36">
        <v>6</v>
      </c>
      <c r="D36" t="s">
        <v>151</v>
      </c>
      <c r="E36" t="s">
        <v>152</v>
      </c>
      <c r="F36">
        <v>47</v>
      </c>
      <c r="G36">
        <v>30.66</v>
      </c>
      <c r="H36">
        <v>101.37</v>
      </c>
      <c r="I36">
        <v>22.33</v>
      </c>
      <c r="J36">
        <v>73.83</v>
      </c>
      <c r="K36">
        <v>1</v>
      </c>
      <c r="T36">
        <v>3</v>
      </c>
      <c r="U36">
        <v>2</v>
      </c>
      <c r="V36" t="s">
        <v>82</v>
      </c>
      <c r="W36">
        <v>101</v>
      </c>
      <c r="X36">
        <v>8</v>
      </c>
      <c r="Y36">
        <v>6</v>
      </c>
      <c r="Z36" t="s">
        <v>153</v>
      </c>
      <c r="AA36" t="s">
        <v>154</v>
      </c>
      <c r="AB36" t="s">
        <v>86</v>
      </c>
      <c r="AC36" t="s">
        <v>87</v>
      </c>
      <c r="AD36" t="s">
        <v>88</v>
      </c>
      <c r="AE36" t="s">
        <v>102</v>
      </c>
      <c r="AG36" t="s">
        <v>155</v>
      </c>
      <c r="AH36">
        <v>0</v>
      </c>
      <c r="AI36">
        <v>270</v>
      </c>
    </row>
    <row r="37" spans="1:35" x14ac:dyDescent="0.3">
      <c r="A37" t="s">
        <v>96</v>
      </c>
      <c r="B37">
        <v>16789</v>
      </c>
      <c r="C37">
        <v>7</v>
      </c>
      <c r="D37" t="s">
        <v>151</v>
      </c>
      <c r="E37" t="s">
        <v>152</v>
      </c>
      <c r="F37">
        <v>47</v>
      </c>
      <c r="G37">
        <v>32.9</v>
      </c>
      <c r="H37">
        <v>108.79</v>
      </c>
      <c r="I37">
        <v>23.96</v>
      </c>
      <c r="J37">
        <v>79.23</v>
      </c>
      <c r="K37">
        <v>5</v>
      </c>
      <c r="T37">
        <v>3</v>
      </c>
      <c r="U37">
        <v>2</v>
      </c>
      <c r="V37" t="s">
        <v>82</v>
      </c>
      <c r="W37">
        <v>108</v>
      </c>
      <c r="X37">
        <v>8</v>
      </c>
      <c r="Y37">
        <v>6</v>
      </c>
      <c r="Z37" t="s">
        <v>153</v>
      </c>
      <c r="AA37" t="s">
        <v>154</v>
      </c>
      <c r="AB37" t="s">
        <v>86</v>
      </c>
      <c r="AC37" t="s">
        <v>87</v>
      </c>
      <c r="AD37" t="s">
        <v>88</v>
      </c>
      <c r="AE37" t="s">
        <v>102</v>
      </c>
      <c r="AG37" t="s">
        <v>155</v>
      </c>
      <c r="AH37">
        <v>0</v>
      </c>
      <c r="AI37">
        <v>270</v>
      </c>
    </row>
    <row r="38" spans="1:35" x14ac:dyDescent="0.3">
      <c r="A38" t="s">
        <v>96</v>
      </c>
      <c r="B38">
        <v>137263</v>
      </c>
      <c r="C38">
        <v>1</v>
      </c>
      <c r="D38" t="s">
        <v>159</v>
      </c>
      <c r="E38" t="s">
        <v>160</v>
      </c>
      <c r="F38">
        <v>36</v>
      </c>
      <c r="G38">
        <v>22.94</v>
      </c>
      <c r="H38">
        <v>75.86</v>
      </c>
      <c r="I38">
        <v>18.13</v>
      </c>
      <c r="J38">
        <v>59.96</v>
      </c>
      <c r="K38">
        <v>18</v>
      </c>
      <c r="T38">
        <v>3</v>
      </c>
      <c r="U38">
        <v>2</v>
      </c>
      <c r="V38" t="s">
        <v>82</v>
      </c>
      <c r="W38">
        <v>75</v>
      </c>
      <c r="X38">
        <v>10</v>
      </c>
      <c r="Y38">
        <v>10</v>
      </c>
      <c r="Z38" t="s">
        <v>161</v>
      </c>
      <c r="AA38" t="s">
        <v>162</v>
      </c>
      <c r="AB38" t="s">
        <v>86</v>
      </c>
      <c r="AC38" t="s">
        <v>87</v>
      </c>
      <c r="AD38" t="s">
        <v>88</v>
      </c>
      <c r="AE38" t="s">
        <v>102</v>
      </c>
      <c r="AG38" t="s">
        <v>163</v>
      </c>
      <c r="AH38">
        <v>0</v>
      </c>
      <c r="AI38">
        <v>330</v>
      </c>
    </row>
    <row r="39" spans="1:35" x14ac:dyDescent="0.3">
      <c r="A39" t="s">
        <v>96</v>
      </c>
      <c r="B39">
        <v>137263</v>
      </c>
      <c r="C39">
        <v>2</v>
      </c>
      <c r="D39" t="s">
        <v>159</v>
      </c>
      <c r="E39" t="s">
        <v>160</v>
      </c>
      <c r="F39">
        <v>36</v>
      </c>
      <c r="G39">
        <v>29.91</v>
      </c>
      <c r="H39">
        <v>98.9</v>
      </c>
      <c r="I39">
        <v>23.64</v>
      </c>
      <c r="J39">
        <v>78.17</v>
      </c>
      <c r="K39">
        <v>9</v>
      </c>
      <c r="T39">
        <v>3</v>
      </c>
      <c r="U39">
        <v>2</v>
      </c>
      <c r="V39" t="s">
        <v>82</v>
      </c>
      <c r="W39">
        <v>98</v>
      </c>
      <c r="X39">
        <v>10</v>
      </c>
      <c r="Y39">
        <v>10</v>
      </c>
      <c r="Z39" t="s">
        <v>161</v>
      </c>
      <c r="AA39" t="s">
        <v>162</v>
      </c>
      <c r="AB39" t="s">
        <v>86</v>
      </c>
      <c r="AC39" t="s">
        <v>87</v>
      </c>
      <c r="AD39" t="s">
        <v>88</v>
      </c>
      <c r="AE39" t="s">
        <v>102</v>
      </c>
      <c r="AG39" t="s">
        <v>163</v>
      </c>
      <c r="AH39">
        <v>0</v>
      </c>
      <c r="AI39">
        <v>330</v>
      </c>
    </row>
    <row r="40" spans="1:35" x14ac:dyDescent="0.3">
      <c r="A40" t="s">
        <v>96</v>
      </c>
      <c r="B40">
        <v>137263</v>
      </c>
      <c r="C40">
        <v>3</v>
      </c>
      <c r="D40" t="s">
        <v>159</v>
      </c>
      <c r="E40" t="s">
        <v>160</v>
      </c>
      <c r="F40">
        <v>36</v>
      </c>
      <c r="G40">
        <v>31.09</v>
      </c>
      <c r="H40">
        <v>102.79</v>
      </c>
      <c r="I40">
        <v>24.57</v>
      </c>
      <c r="J40">
        <v>81.25</v>
      </c>
      <c r="K40">
        <v>9</v>
      </c>
      <c r="T40">
        <v>3</v>
      </c>
      <c r="U40">
        <v>2</v>
      </c>
      <c r="V40" t="s">
        <v>82</v>
      </c>
      <c r="W40">
        <v>102</v>
      </c>
      <c r="X40">
        <v>10</v>
      </c>
      <c r="Y40">
        <v>10</v>
      </c>
      <c r="Z40" t="s">
        <v>161</v>
      </c>
      <c r="AA40" t="s">
        <v>162</v>
      </c>
      <c r="AB40" t="s">
        <v>86</v>
      </c>
      <c r="AC40" t="s">
        <v>87</v>
      </c>
      <c r="AD40" t="s">
        <v>88</v>
      </c>
      <c r="AE40" t="s">
        <v>102</v>
      </c>
      <c r="AG40" t="s">
        <v>163</v>
      </c>
      <c r="AH40">
        <v>0</v>
      </c>
      <c r="AI40">
        <v>330</v>
      </c>
    </row>
    <row r="41" spans="1:35" x14ac:dyDescent="0.3">
      <c r="A41" t="s">
        <v>96</v>
      </c>
      <c r="B41">
        <v>142940</v>
      </c>
      <c r="C41">
        <v>1</v>
      </c>
      <c r="D41" t="s">
        <v>164</v>
      </c>
      <c r="E41" t="s">
        <v>165</v>
      </c>
      <c r="F41">
        <v>34</v>
      </c>
      <c r="G41">
        <v>22.61</v>
      </c>
      <c r="H41">
        <v>74.77</v>
      </c>
      <c r="I41">
        <v>18.13</v>
      </c>
      <c r="J41">
        <v>59.94</v>
      </c>
      <c r="K41">
        <v>14</v>
      </c>
      <c r="T41">
        <v>3</v>
      </c>
      <c r="U41">
        <v>2</v>
      </c>
      <c r="V41" t="s">
        <v>82</v>
      </c>
      <c r="W41">
        <v>74</v>
      </c>
      <c r="X41">
        <v>10</v>
      </c>
      <c r="Y41">
        <v>7</v>
      </c>
      <c r="Z41" t="s">
        <v>166</v>
      </c>
      <c r="AA41" t="s">
        <v>167</v>
      </c>
      <c r="AB41" t="s">
        <v>86</v>
      </c>
      <c r="AC41" t="s">
        <v>87</v>
      </c>
      <c r="AD41" t="s">
        <v>88</v>
      </c>
      <c r="AE41" t="s">
        <v>102</v>
      </c>
      <c r="AG41" t="s">
        <v>168</v>
      </c>
      <c r="AH41">
        <v>0</v>
      </c>
      <c r="AI41">
        <v>216</v>
      </c>
    </row>
    <row r="42" spans="1:35" x14ac:dyDescent="0.3">
      <c r="A42" t="s">
        <v>96</v>
      </c>
      <c r="B42">
        <v>142940</v>
      </c>
      <c r="C42">
        <v>2</v>
      </c>
      <c r="D42" t="s">
        <v>164</v>
      </c>
      <c r="E42" t="s">
        <v>165</v>
      </c>
      <c r="F42">
        <v>34</v>
      </c>
      <c r="G42">
        <v>22.57</v>
      </c>
      <c r="H42">
        <v>74.64</v>
      </c>
      <c r="I42">
        <v>18.09</v>
      </c>
      <c r="J42">
        <v>59.83</v>
      </c>
      <c r="K42">
        <v>2</v>
      </c>
      <c r="T42">
        <v>3</v>
      </c>
      <c r="U42">
        <v>1</v>
      </c>
      <c r="V42" t="s">
        <v>82</v>
      </c>
      <c r="W42" t="s">
        <v>136</v>
      </c>
      <c r="X42">
        <v>10</v>
      </c>
      <c r="Y42">
        <v>7</v>
      </c>
      <c r="Z42" t="s">
        <v>166</v>
      </c>
      <c r="AA42" t="s">
        <v>167</v>
      </c>
      <c r="AB42" t="s">
        <v>86</v>
      </c>
      <c r="AC42" t="s">
        <v>87</v>
      </c>
      <c r="AD42" t="s">
        <v>88</v>
      </c>
      <c r="AE42" t="s">
        <v>102</v>
      </c>
      <c r="AG42" t="s">
        <v>168</v>
      </c>
      <c r="AH42">
        <v>0</v>
      </c>
      <c r="AI42">
        <v>216</v>
      </c>
    </row>
    <row r="43" spans="1:35" x14ac:dyDescent="0.3">
      <c r="A43" t="s">
        <v>96</v>
      </c>
      <c r="B43">
        <v>142940</v>
      </c>
      <c r="C43">
        <v>3</v>
      </c>
      <c r="D43" t="s">
        <v>164</v>
      </c>
      <c r="E43" t="s">
        <v>165</v>
      </c>
      <c r="F43">
        <v>34</v>
      </c>
      <c r="G43">
        <v>27.23</v>
      </c>
      <c r="H43">
        <v>90.04</v>
      </c>
      <c r="I43">
        <v>21.83</v>
      </c>
      <c r="J43">
        <v>72.180000000000007</v>
      </c>
      <c r="K43">
        <v>18</v>
      </c>
      <c r="T43">
        <v>3</v>
      </c>
      <c r="U43">
        <v>1</v>
      </c>
      <c r="V43" t="s">
        <v>82</v>
      </c>
      <c r="W43" t="s">
        <v>169</v>
      </c>
      <c r="X43">
        <v>10</v>
      </c>
      <c r="Y43">
        <v>7</v>
      </c>
      <c r="Z43" t="s">
        <v>166</v>
      </c>
      <c r="AA43" t="s">
        <v>167</v>
      </c>
      <c r="AB43" t="s">
        <v>86</v>
      </c>
      <c r="AC43" t="s">
        <v>87</v>
      </c>
      <c r="AD43" t="s">
        <v>88</v>
      </c>
      <c r="AE43" t="s">
        <v>102</v>
      </c>
      <c r="AG43" t="s">
        <v>168</v>
      </c>
      <c r="AH43">
        <v>0</v>
      </c>
      <c r="AI43">
        <v>216</v>
      </c>
    </row>
    <row r="44" spans="1:35" x14ac:dyDescent="0.3">
      <c r="A44" t="s">
        <v>96</v>
      </c>
      <c r="B44">
        <v>16787</v>
      </c>
      <c r="C44">
        <v>1</v>
      </c>
      <c r="D44" t="s">
        <v>170</v>
      </c>
      <c r="E44" t="s">
        <v>171</v>
      </c>
      <c r="F44">
        <v>28</v>
      </c>
      <c r="G44">
        <v>22.09</v>
      </c>
      <c r="H44">
        <v>73.05</v>
      </c>
      <c r="I44">
        <v>17.86</v>
      </c>
      <c r="J44">
        <v>59.07</v>
      </c>
      <c r="K44">
        <v>14</v>
      </c>
      <c r="T44">
        <v>3</v>
      </c>
      <c r="U44">
        <v>1</v>
      </c>
      <c r="V44" t="s">
        <v>82</v>
      </c>
      <c r="W44">
        <v>73</v>
      </c>
      <c r="X44">
        <v>7</v>
      </c>
      <c r="Y44">
        <v>7</v>
      </c>
      <c r="Z44" t="s">
        <v>172</v>
      </c>
      <c r="AA44" t="s">
        <v>173</v>
      </c>
      <c r="AB44" t="s">
        <v>86</v>
      </c>
      <c r="AC44" t="s">
        <v>87</v>
      </c>
      <c r="AD44" t="s">
        <v>88</v>
      </c>
      <c r="AE44" t="s">
        <v>102</v>
      </c>
      <c r="AG44" t="s">
        <v>174</v>
      </c>
      <c r="AH44">
        <v>0</v>
      </c>
      <c r="AI44">
        <v>214</v>
      </c>
    </row>
    <row r="45" spans="1:35" x14ac:dyDescent="0.3">
      <c r="A45" t="s">
        <v>96</v>
      </c>
      <c r="B45">
        <v>16787</v>
      </c>
      <c r="C45">
        <v>2</v>
      </c>
      <c r="D45" t="s">
        <v>170</v>
      </c>
      <c r="E45" t="s">
        <v>171</v>
      </c>
      <c r="F45">
        <v>28</v>
      </c>
      <c r="G45">
        <v>23.99</v>
      </c>
      <c r="H45">
        <v>79.319999999999993</v>
      </c>
      <c r="I45">
        <v>19.399999999999999</v>
      </c>
      <c r="J45">
        <v>64.14</v>
      </c>
      <c r="K45">
        <v>2</v>
      </c>
      <c r="T45">
        <v>3</v>
      </c>
      <c r="U45">
        <v>1</v>
      </c>
      <c r="V45" t="s">
        <v>82</v>
      </c>
      <c r="W45">
        <v>79</v>
      </c>
      <c r="X45">
        <v>7</v>
      </c>
      <c r="Y45">
        <v>7</v>
      </c>
      <c r="Z45" t="s">
        <v>172</v>
      </c>
      <c r="AA45" t="s">
        <v>173</v>
      </c>
      <c r="AB45" t="s">
        <v>86</v>
      </c>
      <c r="AC45" t="s">
        <v>87</v>
      </c>
      <c r="AD45" t="s">
        <v>88</v>
      </c>
      <c r="AE45" t="s">
        <v>102</v>
      </c>
      <c r="AG45" t="s">
        <v>174</v>
      </c>
      <c r="AH45">
        <v>0</v>
      </c>
      <c r="AI45">
        <v>214</v>
      </c>
    </row>
    <row r="46" spans="1:35" x14ac:dyDescent="0.3">
      <c r="A46" t="s">
        <v>96</v>
      </c>
      <c r="B46">
        <v>16787</v>
      </c>
      <c r="C46">
        <v>3</v>
      </c>
      <c r="D46" t="s">
        <v>170</v>
      </c>
      <c r="E46" t="s">
        <v>171</v>
      </c>
      <c r="F46">
        <v>28</v>
      </c>
      <c r="G46">
        <v>28.03</v>
      </c>
      <c r="H46">
        <v>92.67</v>
      </c>
      <c r="I46">
        <v>22.66</v>
      </c>
      <c r="J46">
        <v>74.94</v>
      </c>
      <c r="K46">
        <v>12</v>
      </c>
      <c r="T46">
        <v>3</v>
      </c>
      <c r="U46">
        <v>1</v>
      </c>
      <c r="V46" t="s">
        <v>82</v>
      </c>
      <c r="W46">
        <v>92</v>
      </c>
      <c r="X46">
        <v>7</v>
      </c>
      <c r="Y46">
        <v>7</v>
      </c>
      <c r="Z46" t="s">
        <v>172</v>
      </c>
      <c r="AA46" t="s">
        <v>173</v>
      </c>
      <c r="AB46" t="s">
        <v>86</v>
      </c>
      <c r="AC46" t="s">
        <v>87</v>
      </c>
      <c r="AD46" t="s">
        <v>88</v>
      </c>
      <c r="AE46" t="s">
        <v>102</v>
      </c>
      <c r="AG46" t="s">
        <v>174</v>
      </c>
      <c r="AH46">
        <v>0</v>
      </c>
      <c r="AI46">
        <v>214</v>
      </c>
    </row>
    <row r="47" spans="1:35" x14ac:dyDescent="0.3">
      <c r="A47" t="s">
        <v>96</v>
      </c>
      <c r="B47">
        <v>124544</v>
      </c>
      <c r="C47">
        <v>1</v>
      </c>
      <c r="D47" t="s">
        <v>175</v>
      </c>
      <c r="E47" t="s">
        <v>152</v>
      </c>
      <c r="F47">
        <v>46</v>
      </c>
      <c r="G47">
        <v>17.760000000000002</v>
      </c>
      <c r="H47">
        <v>58.74</v>
      </c>
      <c r="I47">
        <v>15.69</v>
      </c>
      <c r="J47">
        <v>51.9</v>
      </c>
      <c r="K47">
        <v>2</v>
      </c>
      <c r="T47">
        <v>2</v>
      </c>
      <c r="U47">
        <v>1</v>
      </c>
      <c r="V47" t="s">
        <v>99</v>
      </c>
      <c r="W47">
        <v>58</v>
      </c>
      <c r="X47">
        <v>15</v>
      </c>
      <c r="Y47">
        <v>14</v>
      </c>
      <c r="Z47" t="s">
        <v>176</v>
      </c>
      <c r="AA47" t="s">
        <v>177</v>
      </c>
      <c r="AB47" t="s">
        <v>86</v>
      </c>
      <c r="AC47" t="s">
        <v>87</v>
      </c>
      <c r="AD47" t="s">
        <v>88</v>
      </c>
      <c r="AE47" t="s">
        <v>102</v>
      </c>
      <c r="AG47" t="s">
        <v>178</v>
      </c>
      <c r="AH47">
        <v>0</v>
      </c>
      <c r="AI47">
        <v>387</v>
      </c>
    </row>
    <row r="48" spans="1:35" x14ac:dyDescent="0.3">
      <c r="A48" t="s">
        <v>96</v>
      </c>
      <c r="B48">
        <v>124544</v>
      </c>
      <c r="C48">
        <v>2</v>
      </c>
      <c r="D48" t="s">
        <v>175</v>
      </c>
      <c r="E48" t="s">
        <v>152</v>
      </c>
      <c r="F48">
        <v>46</v>
      </c>
      <c r="G48">
        <v>20.28</v>
      </c>
      <c r="H48">
        <v>67.06</v>
      </c>
      <c r="I48">
        <v>17.95</v>
      </c>
      <c r="J48">
        <v>59.35</v>
      </c>
      <c r="K48">
        <v>15</v>
      </c>
      <c r="T48">
        <v>3</v>
      </c>
      <c r="U48">
        <v>1</v>
      </c>
      <c r="V48" t="s">
        <v>82</v>
      </c>
      <c r="W48">
        <v>67</v>
      </c>
      <c r="X48">
        <v>15</v>
      </c>
      <c r="Y48">
        <v>14</v>
      </c>
      <c r="Z48" t="s">
        <v>176</v>
      </c>
      <c r="AA48" t="s">
        <v>177</v>
      </c>
      <c r="AB48" t="s">
        <v>86</v>
      </c>
      <c r="AC48" t="s">
        <v>87</v>
      </c>
      <c r="AD48" t="s">
        <v>88</v>
      </c>
      <c r="AE48" t="s">
        <v>102</v>
      </c>
      <c r="AG48" t="s">
        <v>178</v>
      </c>
      <c r="AH48">
        <v>0</v>
      </c>
      <c r="AI48">
        <v>387</v>
      </c>
    </row>
    <row r="49" spans="1:35" x14ac:dyDescent="0.3">
      <c r="A49" t="s">
        <v>96</v>
      </c>
      <c r="B49">
        <v>124544</v>
      </c>
      <c r="C49">
        <v>3</v>
      </c>
      <c r="D49" t="s">
        <v>175</v>
      </c>
      <c r="E49" t="s">
        <v>152</v>
      </c>
      <c r="F49">
        <v>46</v>
      </c>
      <c r="G49">
        <v>25</v>
      </c>
      <c r="H49">
        <v>82.66</v>
      </c>
      <c r="I49">
        <v>22.13</v>
      </c>
      <c r="J49">
        <v>73.16</v>
      </c>
      <c r="K49">
        <v>14</v>
      </c>
      <c r="T49">
        <v>3</v>
      </c>
      <c r="U49">
        <v>2</v>
      </c>
      <c r="V49" t="s">
        <v>82</v>
      </c>
      <c r="W49">
        <v>82</v>
      </c>
      <c r="X49">
        <v>15</v>
      </c>
      <c r="Y49">
        <v>14</v>
      </c>
      <c r="Z49" t="s">
        <v>176</v>
      </c>
      <c r="AA49" t="s">
        <v>177</v>
      </c>
      <c r="AB49" t="s">
        <v>86</v>
      </c>
      <c r="AC49" t="s">
        <v>87</v>
      </c>
      <c r="AD49" t="s">
        <v>88</v>
      </c>
      <c r="AE49" t="s">
        <v>102</v>
      </c>
      <c r="AG49" t="s">
        <v>178</v>
      </c>
      <c r="AH49">
        <v>0</v>
      </c>
      <c r="AI49">
        <v>387</v>
      </c>
    </row>
    <row r="50" spans="1:35" x14ac:dyDescent="0.3">
      <c r="A50" t="s">
        <v>96</v>
      </c>
      <c r="B50">
        <v>124544</v>
      </c>
      <c r="C50">
        <v>4</v>
      </c>
      <c r="D50" t="s">
        <v>175</v>
      </c>
      <c r="E50" t="s">
        <v>152</v>
      </c>
      <c r="F50">
        <v>46</v>
      </c>
      <c r="G50">
        <v>28.12</v>
      </c>
      <c r="H50">
        <v>92.96</v>
      </c>
      <c r="I50">
        <v>24.88</v>
      </c>
      <c r="J50">
        <v>82.27</v>
      </c>
      <c r="K50">
        <v>12</v>
      </c>
      <c r="T50">
        <v>3</v>
      </c>
      <c r="U50">
        <v>2</v>
      </c>
      <c r="V50" t="s">
        <v>82</v>
      </c>
      <c r="W50">
        <v>92</v>
      </c>
      <c r="X50">
        <v>15</v>
      </c>
      <c r="Y50">
        <v>14</v>
      </c>
      <c r="Z50" t="s">
        <v>176</v>
      </c>
      <c r="AA50" t="s">
        <v>177</v>
      </c>
      <c r="AB50" t="s">
        <v>86</v>
      </c>
      <c r="AC50" t="s">
        <v>87</v>
      </c>
      <c r="AD50" t="s">
        <v>88</v>
      </c>
      <c r="AE50" t="s">
        <v>102</v>
      </c>
      <c r="AG50" t="s">
        <v>178</v>
      </c>
      <c r="AH50">
        <v>0</v>
      </c>
      <c r="AI50">
        <v>387</v>
      </c>
    </row>
    <row r="51" spans="1:35" x14ac:dyDescent="0.3">
      <c r="A51" t="s">
        <v>96</v>
      </c>
      <c r="B51">
        <v>132291</v>
      </c>
      <c r="C51">
        <v>1</v>
      </c>
      <c r="D51" t="s">
        <v>179</v>
      </c>
      <c r="E51" t="s">
        <v>180</v>
      </c>
      <c r="F51">
        <v>50</v>
      </c>
      <c r="G51">
        <v>23.98</v>
      </c>
      <c r="H51">
        <v>79.290000000000006</v>
      </c>
      <c r="I51">
        <v>20.52</v>
      </c>
      <c r="J51">
        <v>67.86</v>
      </c>
      <c r="K51">
        <v>5</v>
      </c>
      <c r="T51">
        <v>3</v>
      </c>
      <c r="U51">
        <v>1</v>
      </c>
      <c r="V51" t="s">
        <v>82</v>
      </c>
      <c r="W51">
        <v>79</v>
      </c>
      <c r="X51">
        <v>5</v>
      </c>
      <c r="Y51">
        <v>5</v>
      </c>
      <c r="Z51" t="s">
        <v>181</v>
      </c>
      <c r="AA51" t="s">
        <v>182</v>
      </c>
      <c r="AB51" t="s">
        <v>86</v>
      </c>
      <c r="AC51" t="s">
        <v>87</v>
      </c>
      <c r="AD51" t="s">
        <v>88</v>
      </c>
      <c r="AE51" t="s">
        <v>102</v>
      </c>
      <c r="AG51" t="s">
        <v>183</v>
      </c>
      <c r="AH51">
        <v>0</v>
      </c>
      <c r="AI51">
        <v>0</v>
      </c>
    </row>
    <row r="52" spans="1:35" x14ac:dyDescent="0.3">
      <c r="A52" t="s">
        <v>96</v>
      </c>
      <c r="B52">
        <v>132291</v>
      </c>
      <c r="C52">
        <v>2</v>
      </c>
      <c r="D52" t="s">
        <v>179</v>
      </c>
      <c r="E52" t="s">
        <v>180</v>
      </c>
      <c r="F52">
        <v>50</v>
      </c>
      <c r="G52">
        <v>24.8</v>
      </c>
      <c r="H52">
        <v>82</v>
      </c>
      <c r="I52">
        <v>21.28</v>
      </c>
      <c r="J52">
        <v>70.38</v>
      </c>
      <c r="K52">
        <v>10</v>
      </c>
      <c r="T52">
        <v>3</v>
      </c>
      <c r="U52">
        <v>1</v>
      </c>
      <c r="V52" t="s">
        <v>82</v>
      </c>
      <c r="W52" t="s">
        <v>184</v>
      </c>
      <c r="X52">
        <v>5</v>
      </c>
      <c r="Y52">
        <v>5</v>
      </c>
      <c r="Z52" t="s">
        <v>181</v>
      </c>
      <c r="AA52" t="s">
        <v>182</v>
      </c>
      <c r="AB52" t="s">
        <v>86</v>
      </c>
      <c r="AC52" t="s">
        <v>87</v>
      </c>
      <c r="AD52" t="s">
        <v>88</v>
      </c>
      <c r="AE52" t="s">
        <v>102</v>
      </c>
      <c r="AG52" t="s">
        <v>183</v>
      </c>
      <c r="AH52">
        <v>0</v>
      </c>
      <c r="AI52">
        <v>0</v>
      </c>
    </row>
    <row r="53" spans="1:35" x14ac:dyDescent="0.3">
      <c r="A53" t="s">
        <v>96</v>
      </c>
      <c r="B53">
        <v>132291</v>
      </c>
      <c r="C53">
        <v>3</v>
      </c>
      <c r="D53" t="s">
        <v>179</v>
      </c>
      <c r="E53" t="s">
        <v>180</v>
      </c>
      <c r="F53">
        <v>50</v>
      </c>
      <c r="G53">
        <v>25.17</v>
      </c>
      <c r="H53">
        <v>83.22</v>
      </c>
      <c r="I53">
        <v>21.63</v>
      </c>
      <c r="J53">
        <v>71.510000000000005</v>
      </c>
      <c r="K53">
        <v>10</v>
      </c>
      <c r="T53">
        <v>3</v>
      </c>
      <c r="U53">
        <v>2</v>
      </c>
      <c r="V53" t="s">
        <v>82</v>
      </c>
      <c r="W53" t="s">
        <v>185</v>
      </c>
      <c r="X53">
        <v>5</v>
      </c>
      <c r="Y53">
        <v>5</v>
      </c>
      <c r="Z53" t="s">
        <v>181</v>
      </c>
      <c r="AA53" t="s">
        <v>182</v>
      </c>
      <c r="AB53" t="s">
        <v>86</v>
      </c>
      <c r="AC53" t="s">
        <v>87</v>
      </c>
      <c r="AD53" t="s">
        <v>88</v>
      </c>
      <c r="AE53" t="s">
        <v>102</v>
      </c>
      <c r="AG53" t="s">
        <v>183</v>
      </c>
      <c r="AH53">
        <v>0</v>
      </c>
      <c r="AI53">
        <v>0</v>
      </c>
    </row>
    <row r="54" spans="1:35" x14ac:dyDescent="0.3">
      <c r="A54" t="s">
        <v>96</v>
      </c>
      <c r="B54">
        <v>132291</v>
      </c>
      <c r="C54">
        <v>4</v>
      </c>
      <c r="D54" t="s">
        <v>179</v>
      </c>
      <c r="E54" t="s">
        <v>180</v>
      </c>
      <c r="F54">
        <v>50</v>
      </c>
      <c r="G54">
        <v>25.29</v>
      </c>
      <c r="H54">
        <v>83.63</v>
      </c>
      <c r="I54">
        <v>21.74</v>
      </c>
      <c r="J54">
        <v>71.89</v>
      </c>
      <c r="K54">
        <v>5</v>
      </c>
      <c r="T54">
        <v>3</v>
      </c>
      <c r="U54">
        <v>2</v>
      </c>
      <c r="V54" t="s">
        <v>82</v>
      </c>
      <c r="W54" t="s">
        <v>186</v>
      </c>
      <c r="X54">
        <v>5</v>
      </c>
      <c r="Y54">
        <v>5</v>
      </c>
      <c r="Z54" t="s">
        <v>181</v>
      </c>
      <c r="AA54" t="s">
        <v>182</v>
      </c>
      <c r="AB54" t="s">
        <v>86</v>
      </c>
      <c r="AC54" t="s">
        <v>87</v>
      </c>
      <c r="AD54" t="s">
        <v>88</v>
      </c>
      <c r="AE54" t="s">
        <v>102</v>
      </c>
      <c r="AG54" t="s">
        <v>183</v>
      </c>
      <c r="AH54">
        <v>0</v>
      </c>
      <c r="AI54">
        <v>0</v>
      </c>
    </row>
    <row r="55" spans="1:35" x14ac:dyDescent="0.3">
      <c r="A55" t="s">
        <v>96</v>
      </c>
      <c r="B55">
        <v>132291</v>
      </c>
      <c r="C55">
        <v>5</v>
      </c>
      <c r="D55" t="s">
        <v>179</v>
      </c>
      <c r="E55" t="s">
        <v>180</v>
      </c>
      <c r="F55">
        <v>50</v>
      </c>
      <c r="G55">
        <v>25.54</v>
      </c>
      <c r="H55">
        <v>84.45</v>
      </c>
      <c r="I55">
        <v>21.91</v>
      </c>
      <c r="J55">
        <v>72.430000000000007</v>
      </c>
      <c r="K55">
        <v>5</v>
      </c>
      <c r="T55">
        <v>3</v>
      </c>
      <c r="U55">
        <v>2</v>
      </c>
      <c r="V55" t="s">
        <v>82</v>
      </c>
      <c r="W55" t="s">
        <v>187</v>
      </c>
      <c r="X55">
        <v>5</v>
      </c>
      <c r="Y55">
        <v>5</v>
      </c>
      <c r="Z55" t="s">
        <v>181</v>
      </c>
      <c r="AA55" t="s">
        <v>182</v>
      </c>
      <c r="AB55" t="s">
        <v>86</v>
      </c>
      <c r="AC55" t="s">
        <v>87</v>
      </c>
      <c r="AD55" t="s">
        <v>88</v>
      </c>
      <c r="AE55" t="s">
        <v>102</v>
      </c>
      <c r="AG55" t="s">
        <v>183</v>
      </c>
      <c r="AH55">
        <v>0</v>
      </c>
      <c r="AI55">
        <v>0</v>
      </c>
    </row>
    <row r="56" spans="1:35" x14ac:dyDescent="0.3">
      <c r="A56" t="s">
        <v>96</v>
      </c>
      <c r="B56">
        <v>132291</v>
      </c>
      <c r="C56">
        <v>6</v>
      </c>
      <c r="D56" t="s">
        <v>179</v>
      </c>
      <c r="E56" t="s">
        <v>180</v>
      </c>
      <c r="F56">
        <v>50</v>
      </c>
      <c r="G56">
        <v>25.84</v>
      </c>
      <c r="H56">
        <v>85.43</v>
      </c>
      <c r="I56">
        <v>22.23</v>
      </c>
      <c r="J56">
        <v>73.5</v>
      </c>
      <c r="K56">
        <v>5</v>
      </c>
      <c r="T56">
        <v>3</v>
      </c>
      <c r="U56">
        <v>2</v>
      </c>
      <c r="V56" t="s">
        <v>82</v>
      </c>
      <c r="W56" t="s">
        <v>188</v>
      </c>
      <c r="X56">
        <v>5</v>
      </c>
      <c r="Y56">
        <v>5</v>
      </c>
      <c r="Z56" t="s">
        <v>181</v>
      </c>
      <c r="AA56" t="s">
        <v>182</v>
      </c>
      <c r="AB56" t="s">
        <v>86</v>
      </c>
      <c r="AC56" t="s">
        <v>87</v>
      </c>
      <c r="AD56" t="s">
        <v>88</v>
      </c>
      <c r="AE56" t="s">
        <v>102</v>
      </c>
      <c r="AG56" t="s">
        <v>183</v>
      </c>
      <c r="AH56">
        <v>0</v>
      </c>
      <c r="AI56">
        <v>0</v>
      </c>
    </row>
    <row r="57" spans="1:35" x14ac:dyDescent="0.3">
      <c r="A57" t="s">
        <v>96</v>
      </c>
      <c r="B57">
        <v>132291</v>
      </c>
      <c r="C57">
        <v>7</v>
      </c>
      <c r="D57" t="s">
        <v>179</v>
      </c>
      <c r="E57" t="s">
        <v>180</v>
      </c>
      <c r="F57">
        <v>50</v>
      </c>
      <c r="G57">
        <v>25.87</v>
      </c>
      <c r="H57">
        <v>85.54</v>
      </c>
      <c r="I57">
        <v>22.28</v>
      </c>
      <c r="J57">
        <v>73.66</v>
      </c>
      <c r="K57">
        <v>5</v>
      </c>
      <c r="T57">
        <v>3</v>
      </c>
      <c r="U57">
        <v>2</v>
      </c>
      <c r="V57" t="s">
        <v>82</v>
      </c>
      <c r="W57" t="s">
        <v>189</v>
      </c>
      <c r="X57">
        <v>5</v>
      </c>
      <c r="Y57">
        <v>5</v>
      </c>
      <c r="Z57" t="s">
        <v>181</v>
      </c>
      <c r="AA57" t="s">
        <v>182</v>
      </c>
      <c r="AB57" t="s">
        <v>86</v>
      </c>
      <c r="AC57" t="s">
        <v>87</v>
      </c>
      <c r="AD57" t="s">
        <v>88</v>
      </c>
      <c r="AE57" t="s">
        <v>102</v>
      </c>
      <c r="AG57" t="s">
        <v>183</v>
      </c>
      <c r="AH57">
        <v>0</v>
      </c>
      <c r="AI57">
        <v>0</v>
      </c>
    </row>
    <row r="58" spans="1:35" x14ac:dyDescent="0.3">
      <c r="A58" t="s">
        <v>96</v>
      </c>
      <c r="B58">
        <v>132291</v>
      </c>
      <c r="C58">
        <v>8</v>
      </c>
      <c r="D58" t="s">
        <v>179</v>
      </c>
      <c r="E58" t="s">
        <v>180</v>
      </c>
      <c r="F58">
        <v>50</v>
      </c>
      <c r="G58">
        <v>26.38</v>
      </c>
      <c r="H58">
        <v>87.22</v>
      </c>
      <c r="I58">
        <v>22.68</v>
      </c>
      <c r="J58">
        <v>75</v>
      </c>
      <c r="K58">
        <v>5</v>
      </c>
      <c r="T58">
        <v>3</v>
      </c>
      <c r="U58">
        <v>2</v>
      </c>
      <c r="V58" t="s">
        <v>82</v>
      </c>
      <c r="W58" t="s">
        <v>190</v>
      </c>
      <c r="X58">
        <v>5</v>
      </c>
      <c r="Y58">
        <v>5</v>
      </c>
      <c r="Z58" t="s">
        <v>181</v>
      </c>
      <c r="AA58" t="s">
        <v>182</v>
      </c>
      <c r="AB58" t="s">
        <v>86</v>
      </c>
      <c r="AC58" t="s">
        <v>87</v>
      </c>
      <c r="AD58" t="s">
        <v>88</v>
      </c>
      <c r="AE58" t="s">
        <v>102</v>
      </c>
      <c r="AG58" t="s">
        <v>183</v>
      </c>
      <c r="AH58">
        <v>0</v>
      </c>
      <c r="AI58">
        <v>0</v>
      </c>
    </row>
    <row r="59" spans="1:35" x14ac:dyDescent="0.3">
      <c r="A59" t="s">
        <v>96</v>
      </c>
      <c r="B59">
        <v>105386</v>
      </c>
      <c r="C59">
        <v>1</v>
      </c>
      <c r="D59" t="s">
        <v>191</v>
      </c>
      <c r="E59" t="s">
        <v>192</v>
      </c>
      <c r="F59">
        <v>80</v>
      </c>
      <c r="G59">
        <v>17.95</v>
      </c>
      <c r="H59">
        <v>59.35</v>
      </c>
      <c r="I59">
        <v>15.68</v>
      </c>
      <c r="J59">
        <v>51.86</v>
      </c>
      <c r="K59">
        <v>1</v>
      </c>
      <c r="T59">
        <v>3</v>
      </c>
      <c r="U59">
        <v>1</v>
      </c>
      <c r="V59" t="s">
        <v>82</v>
      </c>
      <c r="W59">
        <v>59</v>
      </c>
      <c r="X59">
        <v>15</v>
      </c>
      <c r="Y59">
        <v>10</v>
      </c>
      <c r="Z59" t="s">
        <v>193</v>
      </c>
      <c r="AA59" t="s">
        <v>194</v>
      </c>
      <c r="AB59" t="s">
        <v>86</v>
      </c>
      <c r="AC59" t="s">
        <v>87</v>
      </c>
      <c r="AD59" t="s">
        <v>88</v>
      </c>
      <c r="AE59" t="s">
        <v>102</v>
      </c>
      <c r="AG59" t="s">
        <v>195</v>
      </c>
      <c r="AH59">
        <v>0</v>
      </c>
      <c r="AI59">
        <v>383</v>
      </c>
    </row>
    <row r="60" spans="1:35" x14ac:dyDescent="0.3">
      <c r="A60" t="s">
        <v>96</v>
      </c>
      <c r="B60">
        <v>105386</v>
      </c>
      <c r="C60">
        <v>2</v>
      </c>
      <c r="D60" t="s">
        <v>191</v>
      </c>
      <c r="E60" t="s">
        <v>192</v>
      </c>
      <c r="F60">
        <v>80</v>
      </c>
      <c r="G60">
        <v>20.75</v>
      </c>
      <c r="H60">
        <v>68.62</v>
      </c>
      <c r="I60">
        <v>18.13</v>
      </c>
      <c r="J60">
        <v>59.96</v>
      </c>
      <c r="K60">
        <v>14</v>
      </c>
      <c r="T60">
        <v>3</v>
      </c>
      <c r="U60">
        <v>1</v>
      </c>
      <c r="V60" t="s">
        <v>82</v>
      </c>
      <c r="W60" t="s">
        <v>196</v>
      </c>
      <c r="X60">
        <v>15</v>
      </c>
      <c r="Y60">
        <v>10</v>
      </c>
      <c r="Z60" t="s">
        <v>193</v>
      </c>
      <c r="AA60" t="s">
        <v>194</v>
      </c>
      <c r="AB60" t="s">
        <v>86</v>
      </c>
      <c r="AC60" t="s">
        <v>87</v>
      </c>
      <c r="AD60" t="s">
        <v>88</v>
      </c>
      <c r="AE60" t="s">
        <v>102</v>
      </c>
      <c r="AG60" t="s">
        <v>195</v>
      </c>
      <c r="AH60">
        <v>0</v>
      </c>
      <c r="AI60">
        <v>383</v>
      </c>
    </row>
    <row r="61" spans="1:35" x14ac:dyDescent="0.3">
      <c r="A61" t="s">
        <v>96</v>
      </c>
      <c r="B61">
        <v>105386</v>
      </c>
      <c r="C61">
        <v>3</v>
      </c>
      <c r="D61" t="s">
        <v>191</v>
      </c>
      <c r="E61" t="s">
        <v>192</v>
      </c>
      <c r="F61">
        <v>80</v>
      </c>
      <c r="G61">
        <v>20.74</v>
      </c>
      <c r="H61">
        <v>68.59</v>
      </c>
      <c r="I61">
        <v>18.13</v>
      </c>
      <c r="J61">
        <v>59.94</v>
      </c>
      <c r="K61">
        <v>10</v>
      </c>
      <c r="T61">
        <v>3</v>
      </c>
      <c r="U61">
        <v>1</v>
      </c>
      <c r="V61" t="s">
        <v>82</v>
      </c>
      <c r="W61" t="s">
        <v>197</v>
      </c>
      <c r="X61">
        <v>15</v>
      </c>
      <c r="Y61">
        <v>10</v>
      </c>
      <c r="Z61" t="s">
        <v>193</v>
      </c>
      <c r="AA61" t="s">
        <v>194</v>
      </c>
      <c r="AB61" t="s">
        <v>86</v>
      </c>
      <c r="AC61" t="s">
        <v>87</v>
      </c>
      <c r="AD61" t="s">
        <v>88</v>
      </c>
      <c r="AE61" t="s">
        <v>102</v>
      </c>
      <c r="AG61" t="s">
        <v>195</v>
      </c>
      <c r="AH61">
        <v>0</v>
      </c>
      <c r="AI61">
        <v>383</v>
      </c>
    </row>
    <row r="62" spans="1:35" x14ac:dyDescent="0.3">
      <c r="A62" t="s">
        <v>96</v>
      </c>
      <c r="B62">
        <v>105386</v>
      </c>
      <c r="C62">
        <v>4</v>
      </c>
      <c r="D62" t="s">
        <v>191</v>
      </c>
      <c r="E62" t="s">
        <v>192</v>
      </c>
      <c r="F62">
        <v>80</v>
      </c>
      <c r="G62">
        <v>20.75</v>
      </c>
      <c r="H62">
        <v>68.62</v>
      </c>
      <c r="I62">
        <v>18.13</v>
      </c>
      <c r="J62">
        <v>59.96</v>
      </c>
      <c r="K62">
        <v>4</v>
      </c>
      <c r="T62">
        <v>3</v>
      </c>
      <c r="U62">
        <v>1</v>
      </c>
      <c r="V62" t="s">
        <v>82</v>
      </c>
      <c r="W62" t="s">
        <v>198</v>
      </c>
      <c r="X62">
        <v>15</v>
      </c>
      <c r="Y62">
        <v>10</v>
      </c>
      <c r="Z62" t="s">
        <v>193</v>
      </c>
      <c r="AA62" t="s">
        <v>194</v>
      </c>
      <c r="AB62" t="s">
        <v>86</v>
      </c>
      <c r="AC62" t="s">
        <v>87</v>
      </c>
      <c r="AD62" t="s">
        <v>88</v>
      </c>
      <c r="AE62" t="s">
        <v>102</v>
      </c>
      <c r="AG62" t="s">
        <v>195</v>
      </c>
      <c r="AH62">
        <v>0</v>
      </c>
      <c r="AI62">
        <v>383</v>
      </c>
    </row>
    <row r="63" spans="1:35" x14ac:dyDescent="0.3">
      <c r="A63" t="s">
        <v>96</v>
      </c>
      <c r="B63">
        <v>105386</v>
      </c>
      <c r="C63">
        <v>5</v>
      </c>
      <c r="D63" t="s">
        <v>191</v>
      </c>
      <c r="E63" t="s">
        <v>192</v>
      </c>
      <c r="F63">
        <v>80</v>
      </c>
      <c r="G63">
        <v>26.01</v>
      </c>
      <c r="H63">
        <v>86</v>
      </c>
      <c r="I63">
        <v>22.73</v>
      </c>
      <c r="J63">
        <v>75.150000000000006</v>
      </c>
      <c r="K63">
        <v>21</v>
      </c>
      <c r="T63">
        <v>3</v>
      </c>
      <c r="U63">
        <v>1</v>
      </c>
      <c r="V63" t="s">
        <v>82</v>
      </c>
      <c r="W63">
        <v>86</v>
      </c>
      <c r="X63">
        <v>15</v>
      </c>
      <c r="Y63">
        <v>10</v>
      </c>
      <c r="Z63" t="s">
        <v>193</v>
      </c>
      <c r="AA63" t="s">
        <v>194</v>
      </c>
      <c r="AB63" t="s">
        <v>86</v>
      </c>
      <c r="AC63" t="s">
        <v>87</v>
      </c>
      <c r="AD63" t="s">
        <v>88</v>
      </c>
      <c r="AE63" t="s">
        <v>102</v>
      </c>
      <c r="AG63" t="s">
        <v>195</v>
      </c>
      <c r="AH63">
        <v>0</v>
      </c>
      <c r="AI63">
        <v>383</v>
      </c>
    </row>
    <row r="64" spans="1:35" x14ac:dyDescent="0.3">
      <c r="A64" t="s">
        <v>96</v>
      </c>
      <c r="B64">
        <v>105386</v>
      </c>
      <c r="C64">
        <v>6</v>
      </c>
      <c r="D64" t="s">
        <v>191</v>
      </c>
      <c r="E64" t="s">
        <v>192</v>
      </c>
      <c r="F64">
        <v>80</v>
      </c>
      <c r="G64">
        <v>28.99</v>
      </c>
      <c r="H64">
        <v>95.84</v>
      </c>
      <c r="I64">
        <v>25.33</v>
      </c>
      <c r="J64">
        <v>83.74</v>
      </c>
      <c r="K64">
        <v>30</v>
      </c>
      <c r="T64">
        <v>3</v>
      </c>
      <c r="U64">
        <v>2</v>
      </c>
      <c r="V64" t="s">
        <v>82</v>
      </c>
      <c r="W64">
        <v>95</v>
      </c>
      <c r="X64">
        <v>15</v>
      </c>
      <c r="Y64">
        <v>10</v>
      </c>
      <c r="Z64" t="s">
        <v>193</v>
      </c>
      <c r="AA64" t="s">
        <v>194</v>
      </c>
      <c r="AB64" t="s">
        <v>86</v>
      </c>
      <c r="AC64" t="s">
        <v>87</v>
      </c>
      <c r="AD64" t="s">
        <v>88</v>
      </c>
      <c r="AE64" t="s">
        <v>102</v>
      </c>
      <c r="AG64" t="s">
        <v>195</v>
      </c>
      <c r="AH64">
        <v>0</v>
      </c>
      <c r="AI64">
        <v>383</v>
      </c>
    </row>
    <row r="65" spans="1:35" x14ac:dyDescent="0.3">
      <c r="A65" t="s">
        <v>96</v>
      </c>
      <c r="B65">
        <v>15751</v>
      </c>
      <c r="C65">
        <v>1</v>
      </c>
      <c r="D65" t="s">
        <v>199</v>
      </c>
      <c r="E65" t="s">
        <v>200</v>
      </c>
      <c r="F65">
        <v>123</v>
      </c>
      <c r="G65">
        <v>20.28</v>
      </c>
      <c r="H65">
        <v>67.06</v>
      </c>
      <c r="I65">
        <v>17.39</v>
      </c>
      <c r="J65">
        <v>57.52</v>
      </c>
      <c r="K65">
        <v>45</v>
      </c>
      <c r="T65">
        <v>2</v>
      </c>
      <c r="U65">
        <v>1</v>
      </c>
      <c r="V65" t="s">
        <v>82</v>
      </c>
      <c r="W65">
        <v>67</v>
      </c>
      <c r="X65">
        <v>15</v>
      </c>
      <c r="Y65">
        <v>8</v>
      </c>
      <c r="Z65" t="s">
        <v>201</v>
      </c>
      <c r="AA65" t="s">
        <v>202</v>
      </c>
      <c r="AB65" t="s">
        <v>86</v>
      </c>
      <c r="AC65" t="s">
        <v>87</v>
      </c>
      <c r="AD65" t="s">
        <v>88</v>
      </c>
      <c r="AE65" t="s">
        <v>102</v>
      </c>
      <c r="AG65" t="s">
        <v>203</v>
      </c>
      <c r="AH65">
        <v>0</v>
      </c>
      <c r="AI65">
        <v>287</v>
      </c>
    </row>
    <row r="66" spans="1:35" x14ac:dyDescent="0.3">
      <c r="A66" t="s">
        <v>96</v>
      </c>
      <c r="B66">
        <v>15751</v>
      </c>
      <c r="C66">
        <v>2</v>
      </c>
      <c r="D66" t="s">
        <v>199</v>
      </c>
      <c r="E66" t="s">
        <v>200</v>
      </c>
      <c r="F66">
        <v>123</v>
      </c>
      <c r="G66">
        <v>21.95</v>
      </c>
      <c r="H66">
        <v>72.58</v>
      </c>
      <c r="I66">
        <v>18.829999999999998</v>
      </c>
      <c r="J66">
        <v>62.26</v>
      </c>
      <c r="K66">
        <v>21</v>
      </c>
      <c r="T66">
        <v>2</v>
      </c>
      <c r="U66">
        <v>1</v>
      </c>
      <c r="V66" t="s">
        <v>82</v>
      </c>
      <c r="W66">
        <v>72</v>
      </c>
      <c r="X66">
        <v>15</v>
      </c>
      <c r="Y66">
        <v>8</v>
      </c>
      <c r="Z66" t="s">
        <v>201</v>
      </c>
      <c r="AA66" t="s">
        <v>202</v>
      </c>
      <c r="AB66" t="s">
        <v>86</v>
      </c>
      <c r="AC66" t="s">
        <v>87</v>
      </c>
      <c r="AD66" t="s">
        <v>88</v>
      </c>
      <c r="AE66" t="s">
        <v>102</v>
      </c>
      <c r="AG66" t="s">
        <v>203</v>
      </c>
      <c r="AH66">
        <v>0</v>
      </c>
      <c r="AI66">
        <v>287</v>
      </c>
    </row>
    <row r="67" spans="1:35" x14ac:dyDescent="0.3">
      <c r="A67" t="s">
        <v>96</v>
      </c>
      <c r="B67">
        <v>15751</v>
      </c>
      <c r="C67">
        <v>3</v>
      </c>
      <c r="D67" t="s">
        <v>199</v>
      </c>
      <c r="E67" t="s">
        <v>200</v>
      </c>
      <c r="F67">
        <v>123</v>
      </c>
      <c r="G67">
        <v>23.89</v>
      </c>
      <c r="H67">
        <v>79</v>
      </c>
      <c r="I67">
        <v>20.49</v>
      </c>
      <c r="J67">
        <v>67.760000000000005</v>
      </c>
      <c r="K67">
        <v>7</v>
      </c>
      <c r="T67">
        <v>3</v>
      </c>
      <c r="U67">
        <v>1</v>
      </c>
      <c r="V67" t="s">
        <v>82</v>
      </c>
      <c r="W67">
        <v>79</v>
      </c>
      <c r="X67">
        <v>15</v>
      </c>
      <c r="Y67">
        <v>8</v>
      </c>
      <c r="Z67" t="s">
        <v>201</v>
      </c>
      <c r="AA67" t="s">
        <v>202</v>
      </c>
      <c r="AB67" t="s">
        <v>86</v>
      </c>
      <c r="AC67" t="s">
        <v>87</v>
      </c>
      <c r="AD67" t="s">
        <v>88</v>
      </c>
      <c r="AE67" t="s">
        <v>102</v>
      </c>
      <c r="AG67" t="s">
        <v>203</v>
      </c>
      <c r="AH67">
        <v>0</v>
      </c>
      <c r="AI67">
        <v>287</v>
      </c>
    </row>
    <row r="68" spans="1:35" x14ac:dyDescent="0.3">
      <c r="A68" t="s">
        <v>96</v>
      </c>
      <c r="B68">
        <v>15751</v>
      </c>
      <c r="C68">
        <v>4</v>
      </c>
      <c r="D68" t="s">
        <v>199</v>
      </c>
      <c r="E68" t="s">
        <v>200</v>
      </c>
      <c r="F68">
        <v>123</v>
      </c>
      <c r="G68">
        <v>25.96</v>
      </c>
      <c r="H68">
        <v>85.82</v>
      </c>
      <c r="I68">
        <v>22.26</v>
      </c>
      <c r="J68">
        <v>73.61</v>
      </c>
      <c r="K68">
        <v>7</v>
      </c>
      <c r="T68">
        <v>3</v>
      </c>
      <c r="U68">
        <v>1</v>
      </c>
      <c r="V68" t="s">
        <v>82</v>
      </c>
      <c r="W68">
        <v>85</v>
      </c>
      <c r="X68">
        <v>15</v>
      </c>
      <c r="Y68">
        <v>8</v>
      </c>
      <c r="Z68" t="s">
        <v>201</v>
      </c>
      <c r="AA68" t="s">
        <v>202</v>
      </c>
      <c r="AB68" t="s">
        <v>86</v>
      </c>
      <c r="AC68" t="s">
        <v>87</v>
      </c>
      <c r="AD68" t="s">
        <v>88</v>
      </c>
      <c r="AE68" t="s">
        <v>102</v>
      </c>
      <c r="AG68" t="s">
        <v>203</v>
      </c>
      <c r="AH68">
        <v>0</v>
      </c>
      <c r="AI68">
        <v>287</v>
      </c>
    </row>
    <row r="69" spans="1:35" x14ac:dyDescent="0.3">
      <c r="A69" t="s">
        <v>96</v>
      </c>
      <c r="B69">
        <v>15751</v>
      </c>
      <c r="C69">
        <v>5</v>
      </c>
      <c r="D69" t="s">
        <v>199</v>
      </c>
      <c r="E69" t="s">
        <v>200</v>
      </c>
      <c r="F69">
        <v>123</v>
      </c>
      <c r="G69">
        <v>27.28</v>
      </c>
      <c r="H69">
        <v>90.2</v>
      </c>
      <c r="I69">
        <v>23.4</v>
      </c>
      <c r="J69">
        <v>77.37</v>
      </c>
      <c r="K69">
        <v>14</v>
      </c>
      <c r="T69">
        <v>3</v>
      </c>
      <c r="U69">
        <v>1</v>
      </c>
      <c r="V69" t="s">
        <v>82</v>
      </c>
      <c r="W69">
        <v>90</v>
      </c>
      <c r="X69">
        <v>15</v>
      </c>
      <c r="Y69">
        <v>8</v>
      </c>
      <c r="Z69" t="s">
        <v>201</v>
      </c>
      <c r="AA69" t="s">
        <v>202</v>
      </c>
      <c r="AB69" t="s">
        <v>86</v>
      </c>
      <c r="AC69" t="s">
        <v>87</v>
      </c>
      <c r="AD69" t="s">
        <v>88</v>
      </c>
      <c r="AE69" t="s">
        <v>102</v>
      </c>
      <c r="AG69" t="s">
        <v>203</v>
      </c>
      <c r="AH69">
        <v>0</v>
      </c>
      <c r="AI69">
        <v>287</v>
      </c>
    </row>
    <row r="70" spans="1:35" x14ac:dyDescent="0.3">
      <c r="A70" t="s">
        <v>96</v>
      </c>
      <c r="B70">
        <v>15751</v>
      </c>
      <c r="C70">
        <v>6</v>
      </c>
      <c r="D70" t="s">
        <v>199</v>
      </c>
      <c r="E70" t="s">
        <v>200</v>
      </c>
      <c r="F70">
        <v>123</v>
      </c>
      <c r="G70">
        <v>29.94</v>
      </c>
      <c r="H70">
        <v>98.98</v>
      </c>
      <c r="I70">
        <v>25.68</v>
      </c>
      <c r="J70">
        <v>84.9</v>
      </c>
      <c r="K70">
        <v>29</v>
      </c>
      <c r="T70">
        <v>3</v>
      </c>
      <c r="U70">
        <v>2</v>
      </c>
      <c r="V70" t="s">
        <v>82</v>
      </c>
      <c r="W70">
        <v>98</v>
      </c>
      <c r="X70">
        <v>15</v>
      </c>
      <c r="Y70">
        <v>8</v>
      </c>
      <c r="Z70" t="s">
        <v>201</v>
      </c>
      <c r="AA70" t="s">
        <v>202</v>
      </c>
      <c r="AB70" t="s">
        <v>86</v>
      </c>
      <c r="AC70" t="s">
        <v>87</v>
      </c>
      <c r="AD70" t="s">
        <v>88</v>
      </c>
      <c r="AE70" t="s">
        <v>102</v>
      </c>
      <c r="AG70" t="s">
        <v>203</v>
      </c>
      <c r="AH70">
        <v>0</v>
      </c>
      <c r="AI70">
        <v>287</v>
      </c>
    </row>
    <row r="71" spans="1:35" x14ac:dyDescent="0.3">
      <c r="A71" t="s">
        <v>96</v>
      </c>
      <c r="B71">
        <v>109386</v>
      </c>
      <c r="C71">
        <v>1</v>
      </c>
      <c r="D71" t="s">
        <v>204</v>
      </c>
      <c r="E71" t="s">
        <v>205</v>
      </c>
      <c r="F71">
        <v>79</v>
      </c>
      <c r="G71">
        <v>28.48</v>
      </c>
      <c r="H71">
        <v>94.16</v>
      </c>
      <c r="I71">
        <v>22.03</v>
      </c>
      <c r="J71">
        <v>72.84</v>
      </c>
      <c r="K71">
        <v>19</v>
      </c>
      <c r="T71">
        <v>3</v>
      </c>
      <c r="U71">
        <v>2</v>
      </c>
      <c r="V71" t="s">
        <v>82</v>
      </c>
      <c r="W71">
        <v>94</v>
      </c>
      <c r="X71">
        <v>5</v>
      </c>
      <c r="Y71">
        <v>5</v>
      </c>
      <c r="Z71" t="s">
        <v>206</v>
      </c>
      <c r="AA71" t="s">
        <v>207</v>
      </c>
      <c r="AB71" t="s">
        <v>86</v>
      </c>
      <c r="AC71" t="s">
        <v>87</v>
      </c>
      <c r="AD71" t="s">
        <v>88</v>
      </c>
      <c r="AE71" t="s">
        <v>102</v>
      </c>
      <c r="AG71" t="s">
        <v>208</v>
      </c>
      <c r="AH71">
        <v>0</v>
      </c>
      <c r="AI71">
        <v>124</v>
      </c>
    </row>
    <row r="72" spans="1:35" x14ac:dyDescent="0.3">
      <c r="A72" t="s">
        <v>96</v>
      </c>
      <c r="B72">
        <v>109386</v>
      </c>
      <c r="C72">
        <v>2</v>
      </c>
      <c r="D72" t="s">
        <v>204</v>
      </c>
      <c r="E72" t="s">
        <v>205</v>
      </c>
      <c r="F72">
        <v>79</v>
      </c>
      <c r="G72">
        <v>34.68</v>
      </c>
      <c r="H72">
        <v>114.65</v>
      </c>
      <c r="I72">
        <v>25.67</v>
      </c>
      <c r="J72">
        <v>84.88</v>
      </c>
      <c r="K72">
        <v>50</v>
      </c>
      <c r="T72">
        <v>3</v>
      </c>
      <c r="U72">
        <v>2</v>
      </c>
      <c r="V72" t="s">
        <v>82</v>
      </c>
      <c r="W72" t="s">
        <v>209</v>
      </c>
      <c r="X72">
        <v>5</v>
      </c>
      <c r="Y72">
        <v>5</v>
      </c>
      <c r="Z72" t="s">
        <v>206</v>
      </c>
      <c r="AA72" t="s">
        <v>207</v>
      </c>
      <c r="AB72" t="s">
        <v>86</v>
      </c>
      <c r="AC72" t="s">
        <v>87</v>
      </c>
      <c r="AD72" t="s">
        <v>88</v>
      </c>
      <c r="AE72" t="s">
        <v>102</v>
      </c>
      <c r="AG72" t="s">
        <v>208</v>
      </c>
      <c r="AH72">
        <v>0</v>
      </c>
      <c r="AI72">
        <v>124</v>
      </c>
    </row>
    <row r="73" spans="1:35" x14ac:dyDescent="0.3">
      <c r="A73" t="s">
        <v>96</v>
      </c>
      <c r="B73">
        <v>109386</v>
      </c>
      <c r="C73">
        <v>3</v>
      </c>
      <c r="D73" t="s">
        <v>204</v>
      </c>
      <c r="E73" t="s">
        <v>205</v>
      </c>
      <c r="F73">
        <v>79</v>
      </c>
      <c r="G73">
        <v>34.659999999999997</v>
      </c>
      <c r="H73">
        <v>114.6</v>
      </c>
      <c r="I73">
        <v>25.7</v>
      </c>
      <c r="J73">
        <v>84.98</v>
      </c>
      <c r="K73">
        <v>10</v>
      </c>
      <c r="T73">
        <v>3</v>
      </c>
      <c r="U73">
        <v>2</v>
      </c>
      <c r="V73" t="s">
        <v>82</v>
      </c>
      <c r="W73" t="s">
        <v>210</v>
      </c>
      <c r="X73">
        <v>5</v>
      </c>
      <c r="Y73">
        <v>5</v>
      </c>
      <c r="Z73" t="s">
        <v>206</v>
      </c>
      <c r="AA73" t="s">
        <v>207</v>
      </c>
      <c r="AB73" t="s">
        <v>86</v>
      </c>
      <c r="AC73" t="s">
        <v>87</v>
      </c>
      <c r="AD73" t="s">
        <v>88</v>
      </c>
      <c r="AE73" t="s">
        <v>102</v>
      </c>
      <c r="AG73" t="s">
        <v>208</v>
      </c>
      <c r="AH73">
        <v>0</v>
      </c>
      <c r="AI73">
        <v>124</v>
      </c>
    </row>
    <row r="74" spans="1:35" x14ac:dyDescent="0.3">
      <c r="A74" t="s">
        <v>96</v>
      </c>
      <c r="B74">
        <v>16786</v>
      </c>
      <c r="C74">
        <v>1</v>
      </c>
      <c r="D74" t="s">
        <v>211</v>
      </c>
      <c r="E74" t="s">
        <v>212</v>
      </c>
      <c r="F74">
        <v>77</v>
      </c>
      <c r="G74">
        <v>22.4</v>
      </c>
      <c r="H74">
        <v>74.06</v>
      </c>
      <c r="I74">
        <v>15.6</v>
      </c>
      <c r="J74">
        <v>51.59</v>
      </c>
      <c r="K74">
        <v>4</v>
      </c>
      <c r="T74">
        <v>3</v>
      </c>
      <c r="U74">
        <v>1</v>
      </c>
      <c r="V74" t="s">
        <v>99</v>
      </c>
      <c r="W74">
        <v>74</v>
      </c>
      <c r="X74">
        <v>15</v>
      </c>
      <c r="Y74">
        <v>5</v>
      </c>
      <c r="Z74" t="s">
        <v>213</v>
      </c>
      <c r="AA74" t="s">
        <v>214</v>
      </c>
      <c r="AB74" t="s">
        <v>86</v>
      </c>
      <c r="AC74" t="s">
        <v>87</v>
      </c>
      <c r="AD74" t="s">
        <v>88</v>
      </c>
      <c r="AE74" t="s">
        <v>102</v>
      </c>
      <c r="AG74" t="s">
        <v>215</v>
      </c>
      <c r="AH74">
        <v>0</v>
      </c>
      <c r="AI74">
        <v>386</v>
      </c>
    </row>
    <row r="75" spans="1:35" x14ac:dyDescent="0.3">
      <c r="A75" t="s">
        <v>96</v>
      </c>
      <c r="B75">
        <v>16786</v>
      </c>
      <c r="C75">
        <v>2</v>
      </c>
      <c r="D75" t="s">
        <v>211</v>
      </c>
      <c r="E75" t="s">
        <v>212</v>
      </c>
      <c r="F75">
        <v>77</v>
      </c>
      <c r="G75">
        <v>25.77</v>
      </c>
      <c r="H75">
        <v>85.2</v>
      </c>
      <c r="I75">
        <v>17.95</v>
      </c>
      <c r="J75">
        <v>59.36</v>
      </c>
      <c r="K75">
        <v>24</v>
      </c>
      <c r="T75">
        <v>3</v>
      </c>
      <c r="U75">
        <v>1</v>
      </c>
      <c r="V75" t="s">
        <v>99</v>
      </c>
      <c r="W75" t="s">
        <v>216</v>
      </c>
      <c r="X75">
        <v>15</v>
      </c>
      <c r="Y75">
        <v>5</v>
      </c>
      <c r="Z75" t="s">
        <v>213</v>
      </c>
      <c r="AA75" t="s">
        <v>214</v>
      </c>
      <c r="AB75" t="s">
        <v>86</v>
      </c>
      <c r="AC75" t="s">
        <v>87</v>
      </c>
      <c r="AD75" t="s">
        <v>88</v>
      </c>
      <c r="AE75" t="s">
        <v>102</v>
      </c>
      <c r="AG75" t="s">
        <v>215</v>
      </c>
      <c r="AH75">
        <v>0</v>
      </c>
      <c r="AI75">
        <v>386</v>
      </c>
    </row>
    <row r="76" spans="1:35" x14ac:dyDescent="0.3">
      <c r="A76" t="s">
        <v>96</v>
      </c>
      <c r="B76">
        <v>16786</v>
      </c>
      <c r="C76">
        <v>3</v>
      </c>
      <c r="D76" t="s">
        <v>211</v>
      </c>
      <c r="E76" t="s">
        <v>212</v>
      </c>
      <c r="F76">
        <v>77</v>
      </c>
      <c r="G76">
        <v>26.04</v>
      </c>
      <c r="H76">
        <v>86.09</v>
      </c>
      <c r="I76">
        <v>18.14</v>
      </c>
      <c r="J76">
        <v>59.98</v>
      </c>
      <c r="K76">
        <v>11</v>
      </c>
      <c r="T76">
        <v>3</v>
      </c>
      <c r="U76">
        <v>1</v>
      </c>
      <c r="V76" t="s">
        <v>82</v>
      </c>
      <c r="W76" t="s">
        <v>217</v>
      </c>
      <c r="X76">
        <v>15</v>
      </c>
      <c r="Y76">
        <v>5</v>
      </c>
      <c r="Z76" t="s">
        <v>213</v>
      </c>
      <c r="AA76" t="s">
        <v>214</v>
      </c>
      <c r="AB76" t="s">
        <v>86</v>
      </c>
      <c r="AC76" t="s">
        <v>87</v>
      </c>
      <c r="AD76" t="s">
        <v>88</v>
      </c>
      <c r="AE76" t="s">
        <v>102</v>
      </c>
      <c r="AG76" t="s">
        <v>215</v>
      </c>
      <c r="AH76">
        <v>0</v>
      </c>
      <c r="AI76">
        <v>386</v>
      </c>
    </row>
    <row r="77" spans="1:35" x14ac:dyDescent="0.3">
      <c r="A77" t="s">
        <v>96</v>
      </c>
      <c r="B77">
        <v>16786</v>
      </c>
      <c r="C77">
        <v>4</v>
      </c>
      <c r="D77" t="s">
        <v>211</v>
      </c>
      <c r="E77" t="s">
        <v>212</v>
      </c>
      <c r="F77">
        <v>77</v>
      </c>
      <c r="G77">
        <v>27.96</v>
      </c>
      <c r="H77">
        <v>92.44</v>
      </c>
      <c r="I77">
        <v>19.48</v>
      </c>
      <c r="J77">
        <v>64.400000000000006</v>
      </c>
      <c r="K77">
        <v>15</v>
      </c>
      <c r="T77">
        <v>3</v>
      </c>
      <c r="U77">
        <v>1</v>
      </c>
      <c r="V77" t="s">
        <v>99</v>
      </c>
      <c r="W77">
        <v>92</v>
      </c>
      <c r="X77">
        <v>15</v>
      </c>
      <c r="Y77">
        <v>5</v>
      </c>
      <c r="Z77" t="s">
        <v>213</v>
      </c>
      <c r="AA77" t="s">
        <v>214</v>
      </c>
      <c r="AB77" t="s">
        <v>86</v>
      </c>
      <c r="AC77" t="s">
        <v>87</v>
      </c>
      <c r="AD77" t="s">
        <v>88</v>
      </c>
      <c r="AE77" t="s">
        <v>102</v>
      </c>
      <c r="AG77" t="s">
        <v>215</v>
      </c>
      <c r="AH77">
        <v>0</v>
      </c>
      <c r="AI77">
        <v>386</v>
      </c>
    </row>
    <row r="78" spans="1:35" x14ac:dyDescent="0.3">
      <c r="A78" t="s">
        <v>96</v>
      </c>
      <c r="B78">
        <v>16786</v>
      </c>
      <c r="C78">
        <v>5</v>
      </c>
      <c r="D78" t="s">
        <v>211</v>
      </c>
      <c r="E78" t="s">
        <v>212</v>
      </c>
      <c r="F78">
        <v>77</v>
      </c>
      <c r="G78">
        <v>29.09</v>
      </c>
      <c r="H78">
        <v>96.19</v>
      </c>
      <c r="I78">
        <v>20.27</v>
      </c>
      <c r="J78">
        <v>67.010000000000005</v>
      </c>
      <c r="K78">
        <v>15</v>
      </c>
      <c r="T78">
        <v>3</v>
      </c>
      <c r="U78">
        <v>1</v>
      </c>
      <c r="V78" t="s">
        <v>99</v>
      </c>
      <c r="W78">
        <v>96</v>
      </c>
      <c r="X78">
        <v>15</v>
      </c>
      <c r="Y78">
        <v>5</v>
      </c>
      <c r="Z78" t="s">
        <v>213</v>
      </c>
      <c r="AA78" t="s">
        <v>214</v>
      </c>
      <c r="AB78" t="s">
        <v>86</v>
      </c>
      <c r="AC78" t="s">
        <v>87</v>
      </c>
      <c r="AD78" t="s">
        <v>88</v>
      </c>
      <c r="AE78" t="s">
        <v>102</v>
      </c>
      <c r="AG78" t="s">
        <v>215</v>
      </c>
      <c r="AH78">
        <v>0</v>
      </c>
      <c r="AI78">
        <v>386</v>
      </c>
    </row>
    <row r="79" spans="1:35" x14ac:dyDescent="0.3">
      <c r="A79" t="s">
        <v>96</v>
      </c>
      <c r="B79">
        <v>16786</v>
      </c>
      <c r="C79">
        <v>6</v>
      </c>
      <c r="D79" t="s">
        <v>211</v>
      </c>
      <c r="E79" t="s">
        <v>212</v>
      </c>
      <c r="F79">
        <v>77</v>
      </c>
      <c r="G79">
        <v>32.020000000000003</v>
      </c>
      <c r="H79">
        <v>105.87</v>
      </c>
      <c r="I79">
        <v>22.31</v>
      </c>
      <c r="J79">
        <v>73.760000000000005</v>
      </c>
      <c r="K79">
        <v>8</v>
      </c>
      <c r="T79">
        <v>3</v>
      </c>
      <c r="U79">
        <v>1</v>
      </c>
      <c r="V79" t="s">
        <v>99</v>
      </c>
      <c r="W79">
        <v>105</v>
      </c>
      <c r="X79">
        <v>15</v>
      </c>
      <c r="Y79">
        <v>5</v>
      </c>
      <c r="Z79" t="s">
        <v>213</v>
      </c>
      <c r="AA79" t="s">
        <v>214</v>
      </c>
      <c r="AB79" t="s">
        <v>86</v>
      </c>
      <c r="AC79" t="s">
        <v>87</v>
      </c>
      <c r="AD79" t="s">
        <v>88</v>
      </c>
      <c r="AE79" t="s">
        <v>102</v>
      </c>
      <c r="AG79" t="s">
        <v>215</v>
      </c>
      <c r="AH79">
        <v>0</v>
      </c>
      <c r="AI79">
        <v>386</v>
      </c>
    </row>
    <row r="80" spans="1:35" x14ac:dyDescent="0.3">
      <c r="A80" t="s">
        <v>96</v>
      </c>
      <c r="B80">
        <v>138727</v>
      </c>
      <c r="C80">
        <v>1</v>
      </c>
      <c r="D80" t="s">
        <v>218</v>
      </c>
      <c r="E80" t="s">
        <v>219</v>
      </c>
      <c r="F80">
        <v>64</v>
      </c>
      <c r="G80">
        <v>23.27</v>
      </c>
      <c r="H80">
        <v>76.95</v>
      </c>
      <c r="I80">
        <v>19.75</v>
      </c>
      <c r="J80">
        <v>65.290000000000006</v>
      </c>
      <c r="K80">
        <v>6</v>
      </c>
      <c r="T80">
        <v>3</v>
      </c>
      <c r="U80">
        <v>1</v>
      </c>
      <c r="V80" t="s">
        <v>99</v>
      </c>
      <c r="W80" t="s">
        <v>220</v>
      </c>
      <c r="X80">
        <v>6</v>
      </c>
      <c r="Y80">
        <v>6</v>
      </c>
      <c r="Z80" t="s">
        <v>221</v>
      </c>
      <c r="AA80" t="s">
        <v>222</v>
      </c>
      <c r="AB80" t="s">
        <v>86</v>
      </c>
      <c r="AC80" t="s">
        <v>87</v>
      </c>
      <c r="AD80" t="s">
        <v>88</v>
      </c>
      <c r="AE80" t="s">
        <v>102</v>
      </c>
      <c r="AG80" t="s">
        <v>223</v>
      </c>
      <c r="AH80">
        <v>0</v>
      </c>
      <c r="AI80">
        <v>0</v>
      </c>
    </row>
    <row r="81" spans="1:35" x14ac:dyDescent="0.3">
      <c r="A81" t="s">
        <v>96</v>
      </c>
      <c r="B81">
        <v>138727</v>
      </c>
      <c r="C81">
        <v>2</v>
      </c>
      <c r="D81" t="s">
        <v>218</v>
      </c>
      <c r="E81" t="s">
        <v>219</v>
      </c>
      <c r="F81">
        <v>64</v>
      </c>
      <c r="G81">
        <v>23.3</v>
      </c>
      <c r="H81">
        <v>77.03</v>
      </c>
      <c r="I81">
        <v>19.77</v>
      </c>
      <c r="J81">
        <v>65.36</v>
      </c>
      <c r="K81">
        <v>6</v>
      </c>
      <c r="T81">
        <v>3</v>
      </c>
      <c r="U81">
        <v>1</v>
      </c>
      <c r="V81" t="s">
        <v>99</v>
      </c>
      <c r="W81" t="s">
        <v>140</v>
      </c>
      <c r="X81">
        <v>6</v>
      </c>
      <c r="Y81">
        <v>6</v>
      </c>
      <c r="Z81" t="s">
        <v>221</v>
      </c>
      <c r="AA81" t="s">
        <v>222</v>
      </c>
      <c r="AB81" t="s">
        <v>86</v>
      </c>
      <c r="AC81" t="s">
        <v>87</v>
      </c>
      <c r="AD81" t="s">
        <v>88</v>
      </c>
      <c r="AE81" t="s">
        <v>102</v>
      </c>
      <c r="AG81" t="s">
        <v>223</v>
      </c>
      <c r="AH81">
        <v>0</v>
      </c>
      <c r="AI81">
        <v>0</v>
      </c>
    </row>
    <row r="82" spans="1:35" x14ac:dyDescent="0.3">
      <c r="A82" t="s">
        <v>96</v>
      </c>
      <c r="B82">
        <v>138727</v>
      </c>
      <c r="C82">
        <v>3</v>
      </c>
      <c r="D82" t="s">
        <v>218</v>
      </c>
      <c r="E82" t="s">
        <v>219</v>
      </c>
      <c r="F82">
        <v>64</v>
      </c>
      <c r="G82">
        <v>24.76</v>
      </c>
      <c r="H82">
        <v>81.86</v>
      </c>
      <c r="I82">
        <v>21.15</v>
      </c>
      <c r="J82">
        <v>69.930000000000007</v>
      </c>
      <c r="K82">
        <v>6</v>
      </c>
      <c r="T82">
        <v>3</v>
      </c>
      <c r="U82">
        <v>1</v>
      </c>
      <c r="V82" t="s">
        <v>99</v>
      </c>
      <c r="W82" t="s">
        <v>224</v>
      </c>
      <c r="X82">
        <v>6</v>
      </c>
      <c r="Y82">
        <v>6</v>
      </c>
      <c r="Z82" t="s">
        <v>221</v>
      </c>
      <c r="AA82" t="s">
        <v>222</v>
      </c>
      <c r="AB82" t="s">
        <v>86</v>
      </c>
      <c r="AC82" t="s">
        <v>87</v>
      </c>
      <c r="AD82" t="s">
        <v>88</v>
      </c>
      <c r="AE82" t="s">
        <v>102</v>
      </c>
      <c r="AG82" t="s">
        <v>223</v>
      </c>
      <c r="AH82">
        <v>0</v>
      </c>
      <c r="AI82">
        <v>0</v>
      </c>
    </row>
    <row r="83" spans="1:35" x14ac:dyDescent="0.3">
      <c r="A83" t="s">
        <v>96</v>
      </c>
      <c r="B83">
        <v>138727</v>
      </c>
      <c r="C83">
        <v>4</v>
      </c>
      <c r="D83" t="s">
        <v>218</v>
      </c>
      <c r="E83" t="s">
        <v>219</v>
      </c>
      <c r="F83">
        <v>64</v>
      </c>
      <c r="G83">
        <v>25.15</v>
      </c>
      <c r="H83">
        <v>83.16</v>
      </c>
      <c r="I83">
        <v>21.48</v>
      </c>
      <c r="J83">
        <v>71.010000000000005</v>
      </c>
      <c r="K83">
        <v>6</v>
      </c>
      <c r="T83">
        <v>3</v>
      </c>
      <c r="U83">
        <v>2</v>
      </c>
      <c r="V83" t="s">
        <v>99</v>
      </c>
      <c r="W83" t="s">
        <v>185</v>
      </c>
      <c r="X83">
        <v>6</v>
      </c>
      <c r="Y83">
        <v>6</v>
      </c>
      <c r="Z83" t="s">
        <v>221</v>
      </c>
      <c r="AA83" t="s">
        <v>222</v>
      </c>
      <c r="AB83" t="s">
        <v>86</v>
      </c>
      <c r="AC83" t="s">
        <v>87</v>
      </c>
      <c r="AD83" t="s">
        <v>88</v>
      </c>
      <c r="AE83" t="s">
        <v>102</v>
      </c>
      <c r="AG83" t="s">
        <v>223</v>
      </c>
      <c r="AH83">
        <v>0</v>
      </c>
      <c r="AI83">
        <v>0</v>
      </c>
    </row>
    <row r="84" spans="1:35" x14ac:dyDescent="0.3">
      <c r="A84" t="s">
        <v>96</v>
      </c>
      <c r="B84">
        <v>138727</v>
      </c>
      <c r="C84">
        <v>5</v>
      </c>
      <c r="D84" t="s">
        <v>218</v>
      </c>
      <c r="E84" t="s">
        <v>219</v>
      </c>
      <c r="F84">
        <v>64</v>
      </c>
      <c r="G84">
        <v>25.66</v>
      </c>
      <c r="H84">
        <v>84.85</v>
      </c>
      <c r="I84">
        <v>21.97</v>
      </c>
      <c r="J84">
        <v>72.63</v>
      </c>
      <c r="K84">
        <v>18</v>
      </c>
      <c r="T84">
        <v>3</v>
      </c>
      <c r="U84">
        <v>2</v>
      </c>
      <c r="V84" t="s">
        <v>99</v>
      </c>
      <c r="W84" t="s">
        <v>225</v>
      </c>
      <c r="X84">
        <v>6</v>
      </c>
      <c r="Y84">
        <v>6</v>
      </c>
      <c r="Z84" t="s">
        <v>221</v>
      </c>
      <c r="AA84" t="s">
        <v>222</v>
      </c>
      <c r="AB84" t="s">
        <v>86</v>
      </c>
      <c r="AC84" t="s">
        <v>87</v>
      </c>
      <c r="AD84" t="s">
        <v>88</v>
      </c>
      <c r="AE84" t="s">
        <v>102</v>
      </c>
      <c r="AG84" t="s">
        <v>223</v>
      </c>
      <c r="AH84">
        <v>0</v>
      </c>
      <c r="AI84">
        <v>0</v>
      </c>
    </row>
    <row r="85" spans="1:35" x14ac:dyDescent="0.3">
      <c r="A85" t="s">
        <v>96</v>
      </c>
      <c r="B85">
        <v>138727</v>
      </c>
      <c r="C85">
        <v>6</v>
      </c>
      <c r="D85" t="s">
        <v>218</v>
      </c>
      <c r="E85" t="s">
        <v>219</v>
      </c>
      <c r="F85">
        <v>64</v>
      </c>
      <c r="G85">
        <v>25.54</v>
      </c>
      <c r="H85">
        <v>84.44</v>
      </c>
      <c r="I85">
        <v>21.87</v>
      </c>
      <c r="J85">
        <v>72.33</v>
      </c>
      <c r="K85">
        <v>6</v>
      </c>
      <c r="T85">
        <v>3</v>
      </c>
      <c r="U85">
        <v>2</v>
      </c>
      <c r="V85" t="s">
        <v>82</v>
      </c>
      <c r="W85" t="s">
        <v>187</v>
      </c>
      <c r="X85">
        <v>6</v>
      </c>
      <c r="Y85">
        <v>6</v>
      </c>
      <c r="Z85" t="s">
        <v>221</v>
      </c>
      <c r="AA85" t="s">
        <v>222</v>
      </c>
      <c r="AB85" t="s">
        <v>86</v>
      </c>
      <c r="AC85" t="s">
        <v>87</v>
      </c>
      <c r="AD85" t="s">
        <v>88</v>
      </c>
      <c r="AE85" t="s">
        <v>102</v>
      </c>
      <c r="AG85" t="s">
        <v>223</v>
      </c>
      <c r="AH85">
        <v>0</v>
      </c>
      <c r="AI85">
        <v>0</v>
      </c>
    </row>
    <row r="86" spans="1:35" x14ac:dyDescent="0.3">
      <c r="A86" t="s">
        <v>96</v>
      </c>
      <c r="B86">
        <v>138727</v>
      </c>
      <c r="C86">
        <v>7</v>
      </c>
      <c r="D86" t="s">
        <v>218</v>
      </c>
      <c r="E86" t="s">
        <v>219</v>
      </c>
      <c r="F86">
        <v>64</v>
      </c>
      <c r="G86">
        <v>25.47</v>
      </c>
      <c r="H86">
        <v>84.22</v>
      </c>
      <c r="I86">
        <v>21.81</v>
      </c>
      <c r="J86">
        <v>72.12</v>
      </c>
      <c r="K86">
        <v>1</v>
      </c>
      <c r="T86">
        <v>3</v>
      </c>
      <c r="U86">
        <v>2</v>
      </c>
      <c r="V86" t="s">
        <v>99</v>
      </c>
      <c r="W86" t="s">
        <v>226</v>
      </c>
      <c r="X86">
        <v>6</v>
      </c>
      <c r="Y86">
        <v>6</v>
      </c>
      <c r="Z86" t="s">
        <v>221</v>
      </c>
      <c r="AA86" t="s">
        <v>222</v>
      </c>
      <c r="AB86" t="s">
        <v>86</v>
      </c>
      <c r="AC86" t="s">
        <v>87</v>
      </c>
      <c r="AD86" t="s">
        <v>88</v>
      </c>
      <c r="AE86" t="s">
        <v>102</v>
      </c>
      <c r="AG86" t="s">
        <v>223</v>
      </c>
      <c r="AH86">
        <v>0</v>
      </c>
      <c r="AI86">
        <v>0</v>
      </c>
    </row>
    <row r="87" spans="1:35" x14ac:dyDescent="0.3">
      <c r="A87" t="s">
        <v>96</v>
      </c>
      <c r="B87">
        <v>138727</v>
      </c>
      <c r="C87">
        <v>8</v>
      </c>
      <c r="D87" t="s">
        <v>218</v>
      </c>
      <c r="E87" t="s">
        <v>219</v>
      </c>
      <c r="F87">
        <v>64</v>
      </c>
      <c r="G87">
        <v>26.22</v>
      </c>
      <c r="H87">
        <v>86.71</v>
      </c>
      <c r="I87">
        <v>22.46</v>
      </c>
      <c r="J87">
        <v>74.28</v>
      </c>
      <c r="K87">
        <v>6</v>
      </c>
      <c r="T87">
        <v>3</v>
      </c>
      <c r="U87">
        <v>2</v>
      </c>
      <c r="V87" t="s">
        <v>99</v>
      </c>
      <c r="W87" t="s">
        <v>227</v>
      </c>
      <c r="X87">
        <v>6</v>
      </c>
      <c r="Y87">
        <v>6</v>
      </c>
      <c r="Z87" t="s">
        <v>221</v>
      </c>
      <c r="AA87" t="s">
        <v>222</v>
      </c>
      <c r="AB87" t="s">
        <v>86</v>
      </c>
      <c r="AC87" t="s">
        <v>87</v>
      </c>
      <c r="AD87" t="s">
        <v>88</v>
      </c>
      <c r="AE87" t="s">
        <v>102</v>
      </c>
      <c r="AG87" t="s">
        <v>223</v>
      </c>
      <c r="AH87">
        <v>0</v>
      </c>
      <c r="AI87">
        <v>0</v>
      </c>
    </row>
    <row r="88" spans="1:35" x14ac:dyDescent="0.3">
      <c r="A88" t="s">
        <v>96</v>
      </c>
      <c r="B88">
        <v>138727</v>
      </c>
      <c r="C88">
        <v>9</v>
      </c>
      <c r="D88" t="s">
        <v>218</v>
      </c>
      <c r="E88" t="s">
        <v>219</v>
      </c>
      <c r="F88">
        <v>64</v>
      </c>
      <c r="G88">
        <v>26.05</v>
      </c>
      <c r="H88">
        <v>86.13</v>
      </c>
      <c r="I88">
        <v>22.3</v>
      </c>
      <c r="J88">
        <v>73.75</v>
      </c>
      <c r="K88">
        <v>1</v>
      </c>
      <c r="T88">
        <v>3</v>
      </c>
      <c r="U88">
        <v>2</v>
      </c>
      <c r="V88" t="s">
        <v>99</v>
      </c>
      <c r="W88" t="s">
        <v>228</v>
      </c>
      <c r="X88">
        <v>6</v>
      </c>
      <c r="Y88">
        <v>6</v>
      </c>
      <c r="Z88" t="s">
        <v>221</v>
      </c>
      <c r="AA88" t="s">
        <v>222</v>
      </c>
      <c r="AB88" t="s">
        <v>86</v>
      </c>
      <c r="AC88" t="s">
        <v>87</v>
      </c>
      <c r="AD88" t="s">
        <v>88</v>
      </c>
      <c r="AE88" t="s">
        <v>102</v>
      </c>
      <c r="AG88" t="s">
        <v>223</v>
      </c>
      <c r="AH88">
        <v>0</v>
      </c>
      <c r="AI88">
        <v>0</v>
      </c>
    </row>
    <row r="89" spans="1:35" x14ac:dyDescent="0.3">
      <c r="A89" t="s">
        <v>96</v>
      </c>
      <c r="B89">
        <v>138727</v>
      </c>
      <c r="C89">
        <v>10</v>
      </c>
      <c r="D89" t="s">
        <v>218</v>
      </c>
      <c r="E89" t="s">
        <v>219</v>
      </c>
      <c r="F89">
        <v>64</v>
      </c>
      <c r="G89">
        <v>28.71</v>
      </c>
      <c r="H89">
        <v>94.94</v>
      </c>
      <c r="I89">
        <v>24.59</v>
      </c>
      <c r="J89">
        <v>81.3</v>
      </c>
      <c r="K89">
        <v>4</v>
      </c>
      <c r="T89">
        <v>3</v>
      </c>
      <c r="U89">
        <v>2</v>
      </c>
      <c r="V89" t="s">
        <v>99</v>
      </c>
      <c r="W89" t="s">
        <v>229</v>
      </c>
      <c r="X89">
        <v>6</v>
      </c>
      <c r="Y89">
        <v>6</v>
      </c>
      <c r="Z89" t="s">
        <v>221</v>
      </c>
      <c r="AA89" t="s">
        <v>222</v>
      </c>
      <c r="AB89" t="s">
        <v>86</v>
      </c>
      <c r="AC89" t="s">
        <v>87</v>
      </c>
      <c r="AD89" t="s">
        <v>88</v>
      </c>
      <c r="AE89" t="s">
        <v>102</v>
      </c>
      <c r="AG89" t="s">
        <v>223</v>
      </c>
      <c r="AH89">
        <v>0</v>
      </c>
      <c r="AI89">
        <v>0</v>
      </c>
    </row>
    <row r="90" spans="1:35" x14ac:dyDescent="0.3">
      <c r="A90" t="s">
        <v>96</v>
      </c>
      <c r="B90">
        <v>138727</v>
      </c>
      <c r="C90">
        <v>11</v>
      </c>
      <c r="D90" t="s">
        <v>218</v>
      </c>
      <c r="E90" t="s">
        <v>219</v>
      </c>
      <c r="F90">
        <v>64</v>
      </c>
      <c r="G90">
        <v>29.05</v>
      </c>
      <c r="H90">
        <v>96.06</v>
      </c>
      <c r="I90">
        <v>24.88</v>
      </c>
      <c r="J90">
        <v>82.25</v>
      </c>
      <c r="K90">
        <v>4</v>
      </c>
      <c r="T90">
        <v>3</v>
      </c>
      <c r="U90">
        <v>2</v>
      </c>
      <c r="V90" t="s">
        <v>99</v>
      </c>
      <c r="W90" t="s">
        <v>230</v>
      </c>
      <c r="X90">
        <v>6</v>
      </c>
      <c r="Y90">
        <v>6</v>
      </c>
      <c r="Z90" t="s">
        <v>221</v>
      </c>
      <c r="AA90" t="s">
        <v>222</v>
      </c>
      <c r="AB90" t="s">
        <v>86</v>
      </c>
      <c r="AC90" t="s">
        <v>87</v>
      </c>
      <c r="AD90" t="s">
        <v>88</v>
      </c>
      <c r="AE90" t="s">
        <v>102</v>
      </c>
      <c r="AG90" t="s">
        <v>223</v>
      </c>
      <c r="AH90">
        <v>0</v>
      </c>
      <c r="AI90">
        <v>0</v>
      </c>
    </row>
    <row r="91" spans="1:35" x14ac:dyDescent="0.3">
      <c r="A91" t="s">
        <v>96</v>
      </c>
      <c r="B91">
        <v>101217</v>
      </c>
      <c r="C91">
        <v>1</v>
      </c>
      <c r="D91" t="s">
        <v>231</v>
      </c>
      <c r="E91" t="s">
        <v>232</v>
      </c>
      <c r="F91">
        <v>100</v>
      </c>
      <c r="G91">
        <v>29.75</v>
      </c>
      <c r="H91">
        <v>98.35</v>
      </c>
      <c r="I91">
        <v>25.68</v>
      </c>
      <c r="J91">
        <v>84.9</v>
      </c>
      <c r="K91">
        <v>100</v>
      </c>
      <c r="T91">
        <v>3</v>
      </c>
      <c r="U91">
        <v>2</v>
      </c>
      <c r="V91" t="s">
        <v>82</v>
      </c>
      <c r="W91">
        <v>98</v>
      </c>
      <c r="X91">
        <v>5</v>
      </c>
      <c r="Y91">
        <v>5</v>
      </c>
      <c r="Z91" t="s">
        <v>233</v>
      </c>
      <c r="AA91" t="s">
        <v>234</v>
      </c>
      <c r="AB91" t="s">
        <v>86</v>
      </c>
      <c r="AC91" t="s">
        <v>87</v>
      </c>
      <c r="AD91" t="s">
        <v>88</v>
      </c>
      <c r="AE91" t="s">
        <v>102</v>
      </c>
      <c r="AG91" t="s">
        <v>235</v>
      </c>
      <c r="AH91">
        <v>0</v>
      </c>
      <c r="AI91">
        <v>191</v>
      </c>
    </row>
    <row r="92" spans="1:35" x14ac:dyDescent="0.3">
      <c r="A92" t="s">
        <v>96</v>
      </c>
      <c r="B92">
        <v>100896</v>
      </c>
      <c r="C92">
        <v>1</v>
      </c>
      <c r="D92" t="s">
        <v>236</v>
      </c>
      <c r="E92" t="s">
        <v>98</v>
      </c>
      <c r="F92">
        <v>48</v>
      </c>
      <c r="G92">
        <v>21.06</v>
      </c>
      <c r="H92">
        <v>69.650000000000006</v>
      </c>
      <c r="I92">
        <v>18.11</v>
      </c>
      <c r="J92">
        <v>59.9</v>
      </c>
      <c r="K92">
        <v>24</v>
      </c>
      <c r="T92">
        <v>3</v>
      </c>
      <c r="U92">
        <v>1</v>
      </c>
      <c r="V92" t="s">
        <v>82</v>
      </c>
      <c r="W92">
        <v>69</v>
      </c>
      <c r="X92">
        <v>13</v>
      </c>
      <c r="Y92">
        <v>13</v>
      </c>
      <c r="Z92" t="s">
        <v>237</v>
      </c>
      <c r="AA92" t="s">
        <v>238</v>
      </c>
      <c r="AB92" t="s">
        <v>86</v>
      </c>
      <c r="AC92" t="s">
        <v>87</v>
      </c>
      <c r="AD92" t="s">
        <v>88</v>
      </c>
      <c r="AE92" t="s">
        <v>102</v>
      </c>
      <c r="AG92" t="s">
        <v>239</v>
      </c>
      <c r="AH92">
        <v>0</v>
      </c>
      <c r="AI92">
        <v>389</v>
      </c>
    </row>
    <row r="93" spans="1:35" x14ac:dyDescent="0.3">
      <c r="A93" t="s">
        <v>96</v>
      </c>
      <c r="B93">
        <v>100896</v>
      </c>
      <c r="C93">
        <v>2</v>
      </c>
      <c r="D93" t="s">
        <v>236</v>
      </c>
      <c r="E93" t="s">
        <v>98</v>
      </c>
      <c r="F93">
        <v>48</v>
      </c>
      <c r="G93">
        <v>28.42</v>
      </c>
      <c r="H93">
        <v>93.98</v>
      </c>
      <c r="I93">
        <v>24.44</v>
      </c>
      <c r="J93">
        <v>80.819999999999993</v>
      </c>
      <c r="K93">
        <v>24</v>
      </c>
      <c r="T93">
        <v>3</v>
      </c>
      <c r="U93">
        <v>1</v>
      </c>
      <c r="V93" t="s">
        <v>82</v>
      </c>
      <c r="W93">
        <v>93</v>
      </c>
      <c r="X93">
        <v>13</v>
      </c>
      <c r="Y93">
        <v>13</v>
      </c>
      <c r="Z93" t="s">
        <v>237</v>
      </c>
      <c r="AA93" t="s">
        <v>238</v>
      </c>
      <c r="AB93" t="s">
        <v>86</v>
      </c>
      <c r="AC93" t="s">
        <v>87</v>
      </c>
      <c r="AD93" t="s">
        <v>88</v>
      </c>
      <c r="AE93" t="s">
        <v>102</v>
      </c>
      <c r="AG93" t="s">
        <v>239</v>
      </c>
      <c r="AH93">
        <v>0</v>
      </c>
      <c r="AI93">
        <v>389</v>
      </c>
    </row>
    <row r="94" spans="1:35" x14ac:dyDescent="0.3">
      <c r="A94" t="s">
        <v>96</v>
      </c>
      <c r="B94">
        <v>127945</v>
      </c>
      <c r="C94">
        <v>1</v>
      </c>
      <c r="D94" t="s">
        <v>240</v>
      </c>
      <c r="E94" t="s">
        <v>241</v>
      </c>
      <c r="F94">
        <v>49</v>
      </c>
      <c r="G94">
        <v>23.87</v>
      </c>
      <c r="H94">
        <v>78.92</v>
      </c>
      <c r="I94">
        <v>17.96</v>
      </c>
      <c r="J94">
        <v>59.4</v>
      </c>
      <c r="K94">
        <v>18</v>
      </c>
      <c r="T94">
        <v>3</v>
      </c>
      <c r="U94">
        <v>1</v>
      </c>
      <c r="V94" t="s">
        <v>82</v>
      </c>
      <c r="W94">
        <v>78</v>
      </c>
      <c r="X94">
        <v>9</v>
      </c>
      <c r="Y94">
        <v>7</v>
      </c>
      <c r="Z94" t="s">
        <v>242</v>
      </c>
      <c r="AA94" t="s">
        <v>243</v>
      </c>
      <c r="AB94" t="s">
        <v>86</v>
      </c>
      <c r="AC94" t="s">
        <v>87</v>
      </c>
      <c r="AD94" t="s">
        <v>88</v>
      </c>
      <c r="AE94" t="s">
        <v>102</v>
      </c>
      <c r="AG94" t="s">
        <v>244</v>
      </c>
      <c r="AH94">
        <v>0</v>
      </c>
      <c r="AI94">
        <v>309</v>
      </c>
    </row>
    <row r="95" spans="1:35" x14ac:dyDescent="0.3">
      <c r="A95" t="s">
        <v>96</v>
      </c>
      <c r="B95">
        <v>127945</v>
      </c>
      <c r="C95">
        <v>2</v>
      </c>
      <c r="D95" t="s">
        <v>240</v>
      </c>
      <c r="E95" t="s">
        <v>241</v>
      </c>
      <c r="F95">
        <v>49</v>
      </c>
      <c r="G95">
        <v>34.049999999999997</v>
      </c>
      <c r="H95">
        <v>112.59</v>
      </c>
      <c r="I95">
        <v>25.63</v>
      </c>
      <c r="J95">
        <v>84.74</v>
      </c>
      <c r="K95">
        <v>25</v>
      </c>
      <c r="T95">
        <v>3</v>
      </c>
      <c r="U95">
        <v>2</v>
      </c>
      <c r="V95" t="s">
        <v>82</v>
      </c>
      <c r="W95" t="s">
        <v>245</v>
      </c>
      <c r="X95">
        <v>9</v>
      </c>
      <c r="Y95">
        <v>7</v>
      </c>
      <c r="Z95" t="s">
        <v>242</v>
      </c>
      <c r="AA95" t="s">
        <v>243</v>
      </c>
      <c r="AB95" t="s">
        <v>86</v>
      </c>
      <c r="AC95" t="s">
        <v>87</v>
      </c>
      <c r="AD95" t="s">
        <v>88</v>
      </c>
      <c r="AE95" t="s">
        <v>102</v>
      </c>
      <c r="AG95" t="s">
        <v>244</v>
      </c>
      <c r="AH95">
        <v>0</v>
      </c>
      <c r="AI95">
        <v>309</v>
      </c>
    </row>
    <row r="96" spans="1:35" x14ac:dyDescent="0.3">
      <c r="A96" t="s">
        <v>96</v>
      </c>
      <c r="B96">
        <v>127945</v>
      </c>
      <c r="C96">
        <v>3</v>
      </c>
      <c r="D96" t="s">
        <v>240</v>
      </c>
      <c r="E96" t="s">
        <v>241</v>
      </c>
      <c r="F96">
        <v>49</v>
      </c>
      <c r="G96">
        <v>34.1</v>
      </c>
      <c r="H96">
        <v>112.75</v>
      </c>
      <c r="I96">
        <v>25.67</v>
      </c>
      <c r="J96">
        <v>84.86</v>
      </c>
      <c r="K96">
        <v>6</v>
      </c>
      <c r="T96">
        <v>3</v>
      </c>
      <c r="U96">
        <v>2</v>
      </c>
      <c r="V96" t="s">
        <v>82</v>
      </c>
      <c r="W96" t="s">
        <v>246</v>
      </c>
      <c r="X96">
        <v>9</v>
      </c>
      <c r="Y96">
        <v>7</v>
      </c>
      <c r="Z96" t="s">
        <v>242</v>
      </c>
      <c r="AA96" t="s">
        <v>243</v>
      </c>
      <c r="AB96" t="s">
        <v>86</v>
      </c>
      <c r="AC96" t="s">
        <v>87</v>
      </c>
      <c r="AD96" t="s">
        <v>88</v>
      </c>
      <c r="AE96" t="s">
        <v>102</v>
      </c>
      <c r="AG96" t="s">
        <v>244</v>
      </c>
      <c r="AH96">
        <v>0</v>
      </c>
      <c r="AI96">
        <v>309</v>
      </c>
    </row>
    <row r="97" spans="1:35" x14ac:dyDescent="0.3">
      <c r="A97" t="s">
        <v>96</v>
      </c>
      <c r="B97">
        <v>101105</v>
      </c>
      <c r="C97">
        <v>1</v>
      </c>
      <c r="D97" t="s">
        <v>247</v>
      </c>
      <c r="E97" t="s">
        <v>248</v>
      </c>
      <c r="F97">
        <v>62</v>
      </c>
      <c r="G97">
        <v>19.5</v>
      </c>
      <c r="H97">
        <v>64.489999999999995</v>
      </c>
      <c r="I97">
        <v>16.489999999999998</v>
      </c>
      <c r="J97">
        <v>54.53</v>
      </c>
      <c r="K97">
        <v>2</v>
      </c>
      <c r="T97">
        <v>3</v>
      </c>
      <c r="U97">
        <v>1</v>
      </c>
      <c r="V97" t="s">
        <v>82</v>
      </c>
      <c r="W97">
        <v>64</v>
      </c>
      <c r="X97">
        <v>11</v>
      </c>
      <c r="Y97">
        <v>8</v>
      </c>
      <c r="Z97" t="s">
        <v>249</v>
      </c>
      <c r="AA97" t="s">
        <v>250</v>
      </c>
      <c r="AB97" t="s">
        <v>86</v>
      </c>
      <c r="AC97" t="s">
        <v>87</v>
      </c>
      <c r="AD97" t="s">
        <v>88</v>
      </c>
      <c r="AE97" t="s">
        <v>102</v>
      </c>
      <c r="AG97" t="s">
        <v>251</v>
      </c>
      <c r="AH97">
        <v>0</v>
      </c>
      <c r="AI97">
        <v>328</v>
      </c>
    </row>
    <row r="98" spans="1:35" x14ac:dyDescent="0.3">
      <c r="A98" t="s">
        <v>96</v>
      </c>
      <c r="B98">
        <v>101105</v>
      </c>
      <c r="C98">
        <v>2</v>
      </c>
      <c r="D98" t="s">
        <v>247</v>
      </c>
      <c r="E98" t="s">
        <v>248</v>
      </c>
      <c r="F98">
        <v>62</v>
      </c>
      <c r="G98">
        <v>20.77</v>
      </c>
      <c r="H98">
        <v>68.69</v>
      </c>
      <c r="I98">
        <v>17.989999999999998</v>
      </c>
      <c r="J98">
        <v>59.5</v>
      </c>
      <c r="K98">
        <v>1</v>
      </c>
      <c r="T98">
        <v>3</v>
      </c>
      <c r="U98">
        <v>1</v>
      </c>
      <c r="V98" t="s">
        <v>82</v>
      </c>
      <c r="W98" t="s">
        <v>196</v>
      </c>
      <c r="X98">
        <v>11</v>
      </c>
      <c r="Y98">
        <v>8</v>
      </c>
      <c r="Z98" t="s">
        <v>249</v>
      </c>
      <c r="AA98" t="s">
        <v>250</v>
      </c>
      <c r="AB98" t="s">
        <v>86</v>
      </c>
      <c r="AC98" t="s">
        <v>87</v>
      </c>
      <c r="AD98" t="s">
        <v>88</v>
      </c>
      <c r="AE98" t="s">
        <v>102</v>
      </c>
      <c r="AG98" t="s">
        <v>251</v>
      </c>
      <c r="AH98">
        <v>0</v>
      </c>
      <c r="AI98">
        <v>328</v>
      </c>
    </row>
    <row r="99" spans="1:35" x14ac:dyDescent="0.3">
      <c r="A99" t="s">
        <v>96</v>
      </c>
      <c r="B99">
        <v>101105</v>
      </c>
      <c r="C99">
        <v>3</v>
      </c>
      <c r="D99" t="s">
        <v>247</v>
      </c>
      <c r="E99" t="s">
        <v>248</v>
      </c>
      <c r="F99">
        <v>62</v>
      </c>
      <c r="G99">
        <v>21.22</v>
      </c>
      <c r="H99">
        <v>70.17</v>
      </c>
      <c r="I99">
        <v>17.940000000000001</v>
      </c>
      <c r="J99">
        <v>59.33</v>
      </c>
      <c r="K99">
        <v>19</v>
      </c>
      <c r="T99">
        <v>3</v>
      </c>
      <c r="U99">
        <v>1</v>
      </c>
      <c r="V99" t="s">
        <v>82</v>
      </c>
      <c r="W99" t="s">
        <v>83</v>
      </c>
      <c r="X99">
        <v>11</v>
      </c>
      <c r="Y99">
        <v>8</v>
      </c>
      <c r="Z99" t="s">
        <v>249</v>
      </c>
      <c r="AA99" t="s">
        <v>250</v>
      </c>
      <c r="AB99" t="s">
        <v>86</v>
      </c>
      <c r="AC99" t="s">
        <v>87</v>
      </c>
      <c r="AD99" t="s">
        <v>88</v>
      </c>
      <c r="AE99" t="s">
        <v>102</v>
      </c>
      <c r="AG99" t="s">
        <v>251</v>
      </c>
      <c r="AH99">
        <v>0</v>
      </c>
      <c r="AI99">
        <v>328</v>
      </c>
    </row>
    <row r="100" spans="1:35" x14ac:dyDescent="0.3">
      <c r="A100" t="s">
        <v>96</v>
      </c>
      <c r="B100">
        <v>101105</v>
      </c>
      <c r="C100">
        <v>4</v>
      </c>
      <c r="D100" t="s">
        <v>247</v>
      </c>
      <c r="E100" t="s">
        <v>248</v>
      </c>
      <c r="F100">
        <v>62</v>
      </c>
      <c r="G100">
        <v>21.51</v>
      </c>
      <c r="H100">
        <v>71.13</v>
      </c>
      <c r="I100">
        <v>18.71</v>
      </c>
      <c r="J100">
        <v>61.88</v>
      </c>
      <c r="K100">
        <v>2</v>
      </c>
      <c r="T100">
        <v>3</v>
      </c>
      <c r="U100">
        <v>1</v>
      </c>
      <c r="V100" t="s">
        <v>82</v>
      </c>
      <c r="W100" t="s">
        <v>93</v>
      </c>
      <c r="X100">
        <v>11</v>
      </c>
      <c r="Y100">
        <v>8</v>
      </c>
      <c r="Z100" t="s">
        <v>249</v>
      </c>
      <c r="AA100" t="s">
        <v>250</v>
      </c>
      <c r="AB100" t="s">
        <v>86</v>
      </c>
      <c r="AC100" t="s">
        <v>87</v>
      </c>
      <c r="AD100" t="s">
        <v>88</v>
      </c>
      <c r="AE100" t="s">
        <v>102</v>
      </c>
      <c r="AG100" t="s">
        <v>251</v>
      </c>
      <c r="AH100">
        <v>0</v>
      </c>
      <c r="AI100">
        <v>328</v>
      </c>
    </row>
    <row r="101" spans="1:35" x14ac:dyDescent="0.3">
      <c r="A101" t="s">
        <v>96</v>
      </c>
      <c r="B101">
        <v>101105</v>
      </c>
      <c r="C101">
        <v>5</v>
      </c>
      <c r="D101" t="s">
        <v>247</v>
      </c>
      <c r="E101" t="s">
        <v>248</v>
      </c>
      <c r="F101">
        <v>62</v>
      </c>
      <c r="G101">
        <v>23.64</v>
      </c>
      <c r="H101">
        <v>78.16</v>
      </c>
      <c r="I101">
        <v>20.57</v>
      </c>
      <c r="J101">
        <v>68</v>
      </c>
      <c r="K101">
        <v>2</v>
      </c>
      <c r="T101">
        <v>3</v>
      </c>
      <c r="U101">
        <v>1</v>
      </c>
      <c r="V101" t="s">
        <v>82</v>
      </c>
      <c r="W101" t="s">
        <v>156</v>
      </c>
      <c r="X101">
        <v>11</v>
      </c>
      <c r="Y101">
        <v>8</v>
      </c>
      <c r="Z101" t="s">
        <v>249</v>
      </c>
      <c r="AA101" t="s">
        <v>250</v>
      </c>
      <c r="AB101" t="s">
        <v>86</v>
      </c>
      <c r="AC101" t="s">
        <v>87</v>
      </c>
      <c r="AD101" t="s">
        <v>88</v>
      </c>
      <c r="AE101" t="s">
        <v>102</v>
      </c>
      <c r="AG101" t="s">
        <v>251</v>
      </c>
      <c r="AH101">
        <v>0</v>
      </c>
      <c r="AI101">
        <v>328</v>
      </c>
    </row>
    <row r="102" spans="1:35" x14ac:dyDescent="0.3">
      <c r="A102" t="s">
        <v>96</v>
      </c>
      <c r="B102">
        <v>101105</v>
      </c>
      <c r="C102">
        <v>6</v>
      </c>
      <c r="D102" t="s">
        <v>247</v>
      </c>
      <c r="E102" t="s">
        <v>248</v>
      </c>
      <c r="F102">
        <v>62</v>
      </c>
      <c r="G102">
        <v>24.17</v>
      </c>
      <c r="H102">
        <v>79.92</v>
      </c>
      <c r="I102">
        <v>21.03</v>
      </c>
      <c r="J102">
        <v>69.53</v>
      </c>
      <c r="K102">
        <v>18</v>
      </c>
      <c r="T102">
        <v>3</v>
      </c>
      <c r="U102">
        <v>1</v>
      </c>
      <c r="V102" t="s">
        <v>82</v>
      </c>
      <c r="W102">
        <v>79</v>
      </c>
      <c r="X102">
        <v>11</v>
      </c>
      <c r="Y102">
        <v>8</v>
      </c>
      <c r="Z102" t="s">
        <v>249</v>
      </c>
      <c r="AA102" t="s">
        <v>250</v>
      </c>
      <c r="AB102" t="s">
        <v>86</v>
      </c>
      <c r="AC102" t="s">
        <v>87</v>
      </c>
      <c r="AD102" t="s">
        <v>88</v>
      </c>
      <c r="AE102" t="s">
        <v>102</v>
      </c>
      <c r="AG102" t="s">
        <v>251</v>
      </c>
      <c r="AH102">
        <v>0</v>
      </c>
      <c r="AI102">
        <v>328</v>
      </c>
    </row>
    <row r="103" spans="1:35" x14ac:dyDescent="0.3">
      <c r="A103" t="s">
        <v>96</v>
      </c>
      <c r="B103">
        <v>101105</v>
      </c>
      <c r="C103">
        <v>7</v>
      </c>
      <c r="D103" t="s">
        <v>247</v>
      </c>
      <c r="E103" t="s">
        <v>248</v>
      </c>
      <c r="F103">
        <v>62</v>
      </c>
      <c r="G103">
        <v>24</v>
      </c>
      <c r="H103">
        <v>79.37</v>
      </c>
      <c r="I103">
        <v>20.79</v>
      </c>
      <c r="J103">
        <v>68.75</v>
      </c>
      <c r="K103">
        <v>8</v>
      </c>
      <c r="T103">
        <v>3</v>
      </c>
      <c r="U103">
        <v>1</v>
      </c>
      <c r="V103" t="s">
        <v>82</v>
      </c>
      <c r="W103" t="s">
        <v>157</v>
      </c>
      <c r="X103">
        <v>11</v>
      </c>
      <c r="Y103">
        <v>8</v>
      </c>
      <c r="Z103" t="s">
        <v>249</v>
      </c>
      <c r="AA103" t="s">
        <v>250</v>
      </c>
      <c r="AB103" t="s">
        <v>86</v>
      </c>
      <c r="AC103" t="s">
        <v>87</v>
      </c>
      <c r="AD103" t="s">
        <v>88</v>
      </c>
      <c r="AE103" t="s">
        <v>102</v>
      </c>
      <c r="AG103" t="s">
        <v>251</v>
      </c>
      <c r="AH103">
        <v>0</v>
      </c>
      <c r="AI103">
        <v>328</v>
      </c>
    </row>
    <row r="104" spans="1:35" x14ac:dyDescent="0.3">
      <c r="A104" t="s">
        <v>96</v>
      </c>
      <c r="B104">
        <v>101105</v>
      </c>
      <c r="C104">
        <v>8</v>
      </c>
      <c r="D104" t="s">
        <v>247</v>
      </c>
      <c r="E104" t="s">
        <v>248</v>
      </c>
      <c r="F104">
        <v>62</v>
      </c>
      <c r="G104">
        <v>26.09</v>
      </c>
      <c r="H104">
        <v>86.26</v>
      </c>
      <c r="I104">
        <v>22.6</v>
      </c>
      <c r="J104">
        <v>74.72</v>
      </c>
      <c r="K104">
        <v>1</v>
      </c>
      <c r="T104">
        <v>3</v>
      </c>
      <c r="U104">
        <v>1</v>
      </c>
      <c r="V104" t="s">
        <v>82</v>
      </c>
      <c r="W104">
        <v>86</v>
      </c>
      <c r="X104">
        <v>11</v>
      </c>
      <c r="Y104">
        <v>8</v>
      </c>
      <c r="Z104" t="s">
        <v>249</v>
      </c>
      <c r="AA104" t="s">
        <v>250</v>
      </c>
      <c r="AB104" t="s">
        <v>86</v>
      </c>
      <c r="AC104" t="s">
        <v>87</v>
      </c>
      <c r="AD104" t="s">
        <v>88</v>
      </c>
      <c r="AE104" t="s">
        <v>102</v>
      </c>
      <c r="AG104" t="s">
        <v>251</v>
      </c>
      <c r="AH104">
        <v>0</v>
      </c>
      <c r="AI104">
        <v>328</v>
      </c>
    </row>
    <row r="105" spans="1:35" x14ac:dyDescent="0.3">
      <c r="A105" t="s">
        <v>96</v>
      </c>
      <c r="B105">
        <v>101105</v>
      </c>
      <c r="C105">
        <v>9</v>
      </c>
      <c r="D105" t="s">
        <v>247</v>
      </c>
      <c r="E105" t="s">
        <v>248</v>
      </c>
      <c r="F105">
        <v>62</v>
      </c>
      <c r="G105">
        <v>27.56</v>
      </c>
      <c r="H105">
        <v>91.11</v>
      </c>
      <c r="I105">
        <v>23.87</v>
      </c>
      <c r="J105">
        <v>78.92</v>
      </c>
      <c r="K105">
        <v>9</v>
      </c>
      <c r="T105">
        <v>3</v>
      </c>
      <c r="U105">
        <v>1</v>
      </c>
      <c r="V105" t="s">
        <v>82</v>
      </c>
      <c r="W105">
        <v>91</v>
      </c>
      <c r="X105">
        <v>11</v>
      </c>
      <c r="Y105">
        <v>8</v>
      </c>
      <c r="Z105" t="s">
        <v>249</v>
      </c>
      <c r="AA105" t="s">
        <v>250</v>
      </c>
      <c r="AB105" t="s">
        <v>86</v>
      </c>
      <c r="AC105" t="s">
        <v>87</v>
      </c>
      <c r="AD105" t="s">
        <v>88</v>
      </c>
      <c r="AE105" t="s">
        <v>102</v>
      </c>
      <c r="AG105" t="s">
        <v>251</v>
      </c>
      <c r="AH105">
        <v>0</v>
      </c>
      <c r="AI105">
        <v>328</v>
      </c>
    </row>
    <row r="106" spans="1:35" x14ac:dyDescent="0.3">
      <c r="A106" t="s">
        <v>96</v>
      </c>
      <c r="B106">
        <v>16784</v>
      </c>
      <c r="C106">
        <v>1</v>
      </c>
      <c r="D106" t="s">
        <v>252</v>
      </c>
      <c r="E106" t="s">
        <v>253</v>
      </c>
      <c r="F106">
        <v>78</v>
      </c>
      <c r="G106">
        <v>25.97</v>
      </c>
      <c r="H106">
        <v>85.86</v>
      </c>
      <c r="I106">
        <v>17.829999999999998</v>
      </c>
      <c r="J106">
        <v>58.97</v>
      </c>
      <c r="K106">
        <v>78</v>
      </c>
      <c r="T106">
        <v>3</v>
      </c>
      <c r="U106">
        <v>1</v>
      </c>
      <c r="V106" t="s">
        <v>99</v>
      </c>
      <c r="W106">
        <v>85</v>
      </c>
      <c r="X106">
        <v>14</v>
      </c>
      <c r="Y106">
        <v>13</v>
      </c>
      <c r="Z106" t="s">
        <v>254</v>
      </c>
      <c r="AA106" t="s">
        <v>255</v>
      </c>
      <c r="AB106" t="s">
        <v>86</v>
      </c>
      <c r="AC106" t="s">
        <v>87</v>
      </c>
      <c r="AD106" t="s">
        <v>88</v>
      </c>
      <c r="AE106" t="s">
        <v>102</v>
      </c>
      <c r="AG106" t="s">
        <v>256</v>
      </c>
      <c r="AH106">
        <v>0</v>
      </c>
      <c r="AI106">
        <v>397</v>
      </c>
    </row>
    <row r="107" spans="1:35" x14ac:dyDescent="0.3">
      <c r="A107" t="s">
        <v>96</v>
      </c>
      <c r="B107">
        <v>130188</v>
      </c>
      <c r="C107">
        <v>1</v>
      </c>
      <c r="D107" t="s">
        <v>257</v>
      </c>
      <c r="E107" t="s">
        <v>258</v>
      </c>
      <c r="F107">
        <v>32</v>
      </c>
      <c r="G107">
        <v>15.76</v>
      </c>
      <c r="H107">
        <v>52.1</v>
      </c>
      <c r="I107">
        <v>11.84</v>
      </c>
      <c r="J107">
        <v>39.15</v>
      </c>
      <c r="K107">
        <v>21</v>
      </c>
      <c r="T107">
        <v>2</v>
      </c>
      <c r="U107">
        <v>1</v>
      </c>
      <c r="V107" t="s">
        <v>82</v>
      </c>
      <c r="W107" t="s">
        <v>259</v>
      </c>
      <c r="X107">
        <v>7</v>
      </c>
      <c r="Y107">
        <v>6</v>
      </c>
      <c r="Z107" t="s">
        <v>260</v>
      </c>
      <c r="AA107" t="s">
        <v>261</v>
      </c>
      <c r="AB107" t="s">
        <v>86</v>
      </c>
      <c r="AC107" t="s">
        <v>87</v>
      </c>
      <c r="AD107" t="s">
        <v>88</v>
      </c>
      <c r="AE107" t="s">
        <v>102</v>
      </c>
      <c r="AG107" t="s">
        <v>262</v>
      </c>
      <c r="AH107">
        <v>0</v>
      </c>
      <c r="AI107">
        <v>164</v>
      </c>
    </row>
    <row r="108" spans="1:35" x14ac:dyDescent="0.3">
      <c r="A108" t="s">
        <v>96</v>
      </c>
      <c r="B108">
        <v>130188</v>
      </c>
      <c r="C108">
        <v>2</v>
      </c>
      <c r="D108" t="s">
        <v>257</v>
      </c>
      <c r="E108" t="s">
        <v>258</v>
      </c>
      <c r="F108">
        <v>32</v>
      </c>
      <c r="G108">
        <v>15.93</v>
      </c>
      <c r="H108">
        <v>52.69</v>
      </c>
      <c r="I108">
        <v>11.97</v>
      </c>
      <c r="J108">
        <v>39.590000000000003</v>
      </c>
      <c r="K108">
        <v>11</v>
      </c>
      <c r="T108">
        <v>2</v>
      </c>
      <c r="U108">
        <v>1</v>
      </c>
      <c r="V108" t="s">
        <v>82</v>
      </c>
      <c r="W108" t="s">
        <v>263</v>
      </c>
      <c r="X108">
        <v>7</v>
      </c>
      <c r="Y108">
        <v>6</v>
      </c>
      <c r="Z108" t="s">
        <v>260</v>
      </c>
      <c r="AA108" t="s">
        <v>261</v>
      </c>
      <c r="AB108" t="s">
        <v>86</v>
      </c>
      <c r="AC108" t="s">
        <v>87</v>
      </c>
      <c r="AD108" t="s">
        <v>88</v>
      </c>
      <c r="AE108" t="s">
        <v>102</v>
      </c>
      <c r="AG108" t="s">
        <v>262</v>
      </c>
      <c r="AH108">
        <v>0</v>
      </c>
      <c r="AI108">
        <v>164</v>
      </c>
    </row>
    <row r="109" spans="1:35" x14ac:dyDescent="0.3">
      <c r="A109" t="s">
        <v>96</v>
      </c>
      <c r="B109">
        <v>104824</v>
      </c>
      <c r="C109">
        <v>1</v>
      </c>
      <c r="D109" t="s">
        <v>264</v>
      </c>
      <c r="E109" t="s">
        <v>98</v>
      </c>
      <c r="F109">
        <v>73</v>
      </c>
      <c r="G109">
        <v>21.37</v>
      </c>
      <c r="H109">
        <v>70.67</v>
      </c>
      <c r="I109">
        <v>18.11</v>
      </c>
      <c r="J109">
        <v>59.9</v>
      </c>
      <c r="K109">
        <v>43</v>
      </c>
      <c r="T109">
        <v>2</v>
      </c>
      <c r="U109">
        <v>1</v>
      </c>
      <c r="V109" t="s">
        <v>82</v>
      </c>
      <c r="W109">
        <v>70</v>
      </c>
      <c r="X109">
        <v>15</v>
      </c>
      <c r="Y109">
        <v>14</v>
      </c>
      <c r="Z109" t="s">
        <v>265</v>
      </c>
      <c r="AA109" t="s">
        <v>266</v>
      </c>
      <c r="AB109" t="s">
        <v>86</v>
      </c>
      <c r="AC109" t="s">
        <v>87</v>
      </c>
      <c r="AD109" t="s">
        <v>88</v>
      </c>
      <c r="AE109" t="s">
        <v>102</v>
      </c>
      <c r="AG109" t="s">
        <v>267</v>
      </c>
      <c r="AH109">
        <v>0</v>
      </c>
      <c r="AI109">
        <v>348</v>
      </c>
    </row>
    <row r="110" spans="1:35" x14ac:dyDescent="0.3">
      <c r="A110" t="s">
        <v>96</v>
      </c>
      <c r="B110">
        <v>104824</v>
      </c>
      <c r="C110">
        <v>2</v>
      </c>
      <c r="D110" t="s">
        <v>264</v>
      </c>
      <c r="E110" t="s">
        <v>98</v>
      </c>
      <c r="F110">
        <v>73</v>
      </c>
      <c r="G110">
        <v>21.91</v>
      </c>
      <c r="H110">
        <v>72.430000000000007</v>
      </c>
      <c r="I110">
        <v>18.57</v>
      </c>
      <c r="J110">
        <v>61.4</v>
      </c>
      <c r="K110">
        <v>15</v>
      </c>
      <c r="T110">
        <v>2</v>
      </c>
      <c r="U110">
        <v>1</v>
      </c>
      <c r="V110" t="s">
        <v>99</v>
      </c>
      <c r="W110">
        <v>72</v>
      </c>
      <c r="X110">
        <v>15</v>
      </c>
      <c r="Y110">
        <v>14</v>
      </c>
      <c r="Z110" t="s">
        <v>265</v>
      </c>
      <c r="AA110" t="s">
        <v>266</v>
      </c>
      <c r="AB110" t="s">
        <v>86</v>
      </c>
      <c r="AC110" t="s">
        <v>87</v>
      </c>
      <c r="AD110" t="s">
        <v>88</v>
      </c>
      <c r="AE110" t="s">
        <v>102</v>
      </c>
      <c r="AG110" t="s">
        <v>267</v>
      </c>
      <c r="AH110">
        <v>0</v>
      </c>
      <c r="AI110">
        <v>348</v>
      </c>
    </row>
    <row r="111" spans="1:35" x14ac:dyDescent="0.3">
      <c r="A111" t="s">
        <v>96</v>
      </c>
      <c r="B111">
        <v>104824</v>
      </c>
      <c r="C111">
        <v>3</v>
      </c>
      <c r="D111" t="s">
        <v>264</v>
      </c>
      <c r="E111" t="s">
        <v>98</v>
      </c>
      <c r="F111">
        <v>73</v>
      </c>
      <c r="G111">
        <v>27.52</v>
      </c>
      <c r="H111">
        <v>91</v>
      </c>
      <c r="I111">
        <v>21.42</v>
      </c>
      <c r="J111">
        <v>70.83</v>
      </c>
      <c r="K111">
        <v>15</v>
      </c>
      <c r="T111">
        <v>3</v>
      </c>
      <c r="U111">
        <v>1</v>
      </c>
      <c r="V111" t="s">
        <v>82</v>
      </c>
      <c r="W111">
        <v>91</v>
      </c>
      <c r="X111">
        <v>15</v>
      </c>
      <c r="Y111">
        <v>14</v>
      </c>
      <c r="Z111" t="s">
        <v>265</v>
      </c>
      <c r="AA111" t="s">
        <v>266</v>
      </c>
      <c r="AB111" t="s">
        <v>86</v>
      </c>
      <c r="AC111" t="s">
        <v>87</v>
      </c>
      <c r="AD111" t="s">
        <v>88</v>
      </c>
      <c r="AE111" t="s">
        <v>102</v>
      </c>
      <c r="AG111" t="s">
        <v>267</v>
      </c>
      <c r="AH111">
        <v>0</v>
      </c>
      <c r="AI111">
        <v>348</v>
      </c>
    </row>
    <row r="112" spans="1:35" x14ac:dyDescent="0.3">
      <c r="A112" t="s">
        <v>96</v>
      </c>
      <c r="B112">
        <v>128633</v>
      </c>
      <c r="C112">
        <v>1</v>
      </c>
      <c r="D112" t="s">
        <v>268</v>
      </c>
      <c r="E112" t="s">
        <v>110</v>
      </c>
      <c r="F112">
        <v>49</v>
      </c>
      <c r="G112">
        <v>19.21</v>
      </c>
      <c r="H112">
        <v>63.51</v>
      </c>
      <c r="I112">
        <v>16.78</v>
      </c>
      <c r="J112">
        <v>55.48</v>
      </c>
      <c r="K112">
        <v>2</v>
      </c>
      <c r="T112">
        <v>3</v>
      </c>
      <c r="U112">
        <v>1</v>
      </c>
      <c r="V112" t="s">
        <v>82</v>
      </c>
      <c r="W112">
        <v>63</v>
      </c>
      <c r="X112">
        <v>9</v>
      </c>
      <c r="Y112">
        <v>8</v>
      </c>
      <c r="Z112" t="s">
        <v>269</v>
      </c>
      <c r="AA112" t="s">
        <v>270</v>
      </c>
      <c r="AB112" t="s">
        <v>86</v>
      </c>
      <c r="AC112" t="s">
        <v>87</v>
      </c>
      <c r="AD112" t="s">
        <v>88</v>
      </c>
      <c r="AE112" t="s">
        <v>102</v>
      </c>
      <c r="AG112" t="s">
        <v>271</v>
      </c>
      <c r="AH112">
        <v>0</v>
      </c>
      <c r="AI112">
        <v>290</v>
      </c>
    </row>
    <row r="113" spans="1:35" x14ac:dyDescent="0.3">
      <c r="A113" t="s">
        <v>96</v>
      </c>
      <c r="B113">
        <v>128633</v>
      </c>
      <c r="C113">
        <v>2</v>
      </c>
      <c r="D113" t="s">
        <v>268</v>
      </c>
      <c r="E113" t="s">
        <v>110</v>
      </c>
      <c r="F113">
        <v>49</v>
      </c>
      <c r="G113">
        <v>20.079999999999998</v>
      </c>
      <c r="H113">
        <v>66.41</v>
      </c>
      <c r="I113">
        <v>17.54</v>
      </c>
      <c r="J113">
        <v>58</v>
      </c>
      <c r="K113">
        <v>4</v>
      </c>
      <c r="T113">
        <v>3</v>
      </c>
      <c r="U113">
        <v>1</v>
      </c>
      <c r="V113" t="s">
        <v>82</v>
      </c>
      <c r="W113" t="s">
        <v>272</v>
      </c>
      <c r="X113">
        <v>9</v>
      </c>
      <c r="Y113">
        <v>8</v>
      </c>
      <c r="Z113" t="s">
        <v>269</v>
      </c>
      <c r="AA113" t="s">
        <v>270</v>
      </c>
      <c r="AB113" t="s">
        <v>86</v>
      </c>
      <c r="AC113" t="s">
        <v>87</v>
      </c>
      <c r="AD113" t="s">
        <v>88</v>
      </c>
      <c r="AE113" t="s">
        <v>102</v>
      </c>
      <c r="AG113" t="s">
        <v>271</v>
      </c>
      <c r="AH113">
        <v>0</v>
      </c>
      <c r="AI113">
        <v>290</v>
      </c>
    </row>
    <row r="114" spans="1:35" x14ac:dyDescent="0.3">
      <c r="A114" t="s">
        <v>96</v>
      </c>
      <c r="B114">
        <v>128633</v>
      </c>
      <c r="C114">
        <v>3</v>
      </c>
      <c r="D114" t="s">
        <v>268</v>
      </c>
      <c r="E114" t="s">
        <v>110</v>
      </c>
      <c r="F114">
        <v>49</v>
      </c>
      <c r="G114">
        <v>20.3</v>
      </c>
      <c r="H114">
        <v>67.12</v>
      </c>
      <c r="I114">
        <v>17.73</v>
      </c>
      <c r="J114">
        <v>58.63</v>
      </c>
      <c r="K114">
        <v>14</v>
      </c>
      <c r="T114">
        <v>3</v>
      </c>
      <c r="U114">
        <v>1</v>
      </c>
      <c r="V114" t="s">
        <v>82</v>
      </c>
      <c r="W114" t="s">
        <v>273</v>
      </c>
      <c r="X114">
        <v>9</v>
      </c>
      <c r="Y114">
        <v>8</v>
      </c>
      <c r="Z114" t="s">
        <v>269</v>
      </c>
      <c r="AA114" t="s">
        <v>270</v>
      </c>
      <c r="AB114" t="s">
        <v>86</v>
      </c>
      <c r="AC114" t="s">
        <v>87</v>
      </c>
      <c r="AD114" t="s">
        <v>88</v>
      </c>
      <c r="AE114" t="s">
        <v>102</v>
      </c>
      <c r="AG114" t="s">
        <v>271</v>
      </c>
      <c r="AH114">
        <v>0</v>
      </c>
      <c r="AI114">
        <v>290</v>
      </c>
    </row>
    <row r="115" spans="1:35" x14ac:dyDescent="0.3">
      <c r="A115" t="s">
        <v>96</v>
      </c>
      <c r="B115">
        <v>128633</v>
      </c>
      <c r="C115">
        <v>4</v>
      </c>
      <c r="D115" t="s">
        <v>268</v>
      </c>
      <c r="E115" t="s">
        <v>110</v>
      </c>
      <c r="F115">
        <v>49</v>
      </c>
      <c r="G115">
        <v>22.51</v>
      </c>
      <c r="H115">
        <v>74.42</v>
      </c>
      <c r="I115">
        <v>19.66</v>
      </c>
      <c r="J115">
        <v>65</v>
      </c>
      <c r="K115">
        <v>2</v>
      </c>
      <c r="T115">
        <v>3</v>
      </c>
      <c r="U115">
        <v>2</v>
      </c>
      <c r="V115" t="s">
        <v>82</v>
      </c>
      <c r="W115" t="s">
        <v>136</v>
      </c>
      <c r="X115">
        <v>9</v>
      </c>
      <c r="Y115">
        <v>8</v>
      </c>
      <c r="Z115" t="s">
        <v>269</v>
      </c>
      <c r="AA115" t="s">
        <v>270</v>
      </c>
      <c r="AB115" t="s">
        <v>86</v>
      </c>
      <c r="AC115" t="s">
        <v>87</v>
      </c>
      <c r="AD115" t="s">
        <v>88</v>
      </c>
      <c r="AE115" t="s">
        <v>102</v>
      </c>
      <c r="AG115" t="s">
        <v>271</v>
      </c>
      <c r="AH115">
        <v>0</v>
      </c>
      <c r="AI115">
        <v>290</v>
      </c>
    </row>
    <row r="116" spans="1:35" x14ac:dyDescent="0.3">
      <c r="A116" t="s">
        <v>96</v>
      </c>
      <c r="B116">
        <v>128633</v>
      </c>
      <c r="C116">
        <v>5</v>
      </c>
      <c r="D116" t="s">
        <v>268</v>
      </c>
      <c r="E116" t="s">
        <v>110</v>
      </c>
      <c r="F116">
        <v>49</v>
      </c>
      <c r="G116">
        <v>23.05</v>
      </c>
      <c r="H116">
        <v>76.2</v>
      </c>
      <c r="I116">
        <v>20.13</v>
      </c>
      <c r="J116">
        <v>66.56</v>
      </c>
      <c r="K116">
        <v>14</v>
      </c>
      <c r="T116">
        <v>3</v>
      </c>
      <c r="U116">
        <v>2</v>
      </c>
      <c r="V116" t="s">
        <v>82</v>
      </c>
      <c r="W116" t="s">
        <v>274</v>
      </c>
      <c r="X116">
        <v>9</v>
      </c>
      <c r="Y116">
        <v>8</v>
      </c>
      <c r="Z116" t="s">
        <v>269</v>
      </c>
      <c r="AA116" t="s">
        <v>270</v>
      </c>
      <c r="AB116" t="s">
        <v>86</v>
      </c>
      <c r="AC116" t="s">
        <v>87</v>
      </c>
      <c r="AD116" t="s">
        <v>88</v>
      </c>
      <c r="AE116" t="s">
        <v>102</v>
      </c>
      <c r="AG116" t="s">
        <v>271</v>
      </c>
      <c r="AH116">
        <v>0</v>
      </c>
      <c r="AI116">
        <v>290</v>
      </c>
    </row>
    <row r="117" spans="1:35" x14ac:dyDescent="0.3">
      <c r="A117" t="s">
        <v>96</v>
      </c>
      <c r="B117">
        <v>128633</v>
      </c>
      <c r="C117">
        <v>6</v>
      </c>
      <c r="D117" t="s">
        <v>268</v>
      </c>
      <c r="E117" t="s">
        <v>110</v>
      </c>
      <c r="F117">
        <v>49</v>
      </c>
      <c r="G117">
        <v>24.1</v>
      </c>
      <c r="H117">
        <v>79.67</v>
      </c>
      <c r="I117">
        <v>21.05</v>
      </c>
      <c r="J117">
        <v>69.59</v>
      </c>
      <c r="K117">
        <v>13</v>
      </c>
      <c r="T117">
        <v>3</v>
      </c>
      <c r="U117">
        <v>2</v>
      </c>
      <c r="V117" t="s">
        <v>82</v>
      </c>
      <c r="W117">
        <v>79</v>
      </c>
      <c r="X117">
        <v>9</v>
      </c>
      <c r="Y117">
        <v>8</v>
      </c>
      <c r="Z117" t="s">
        <v>269</v>
      </c>
      <c r="AA117" t="s">
        <v>270</v>
      </c>
      <c r="AB117" t="s">
        <v>86</v>
      </c>
      <c r="AC117" t="s">
        <v>87</v>
      </c>
      <c r="AD117" t="s">
        <v>88</v>
      </c>
      <c r="AE117" t="s">
        <v>102</v>
      </c>
      <c r="AG117" t="s">
        <v>271</v>
      </c>
      <c r="AH117">
        <v>0</v>
      </c>
      <c r="AI117">
        <v>290</v>
      </c>
    </row>
    <row r="118" spans="1:35" x14ac:dyDescent="0.3">
      <c r="A118" t="s">
        <v>96</v>
      </c>
      <c r="B118">
        <v>7706</v>
      </c>
      <c r="C118">
        <v>1</v>
      </c>
      <c r="D118" t="s">
        <v>275</v>
      </c>
      <c r="E118" t="s">
        <v>98</v>
      </c>
      <c r="F118">
        <v>225</v>
      </c>
      <c r="G118">
        <v>19.34</v>
      </c>
      <c r="H118">
        <v>63.95</v>
      </c>
      <c r="I118">
        <v>14.95</v>
      </c>
      <c r="J118">
        <v>49.44</v>
      </c>
      <c r="K118">
        <v>225</v>
      </c>
      <c r="T118">
        <v>3</v>
      </c>
      <c r="U118">
        <v>1</v>
      </c>
      <c r="V118" t="s">
        <v>99</v>
      </c>
      <c r="W118">
        <v>63</v>
      </c>
      <c r="X118">
        <v>15</v>
      </c>
      <c r="Y118">
        <v>15</v>
      </c>
      <c r="Z118" t="s">
        <v>276</v>
      </c>
      <c r="AA118" t="s">
        <v>277</v>
      </c>
      <c r="AB118" t="s">
        <v>86</v>
      </c>
      <c r="AC118" t="s">
        <v>87</v>
      </c>
      <c r="AD118" t="s">
        <v>88</v>
      </c>
      <c r="AE118" t="s">
        <v>102</v>
      </c>
      <c r="AG118" t="s">
        <v>278</v>
      </c>
      <c r="AH118">
        <v>0</v>
      </c>
      <c r="AI118">
        <v>295</v>
      </c>
    </row>
    <row r="119" spans="1:35" x14ac:dyDescent="0.3">
      <c r="A119" t="s">
        <v>96</v>
      </c>
      <c r="B119">
        <v>127938</v>
      </c>
      <c r="C119">
        <v>1</v>
      </c>
      <c r="D119" t="s">
        <v>279</v>
      </c>
      <c r="E119" t="s">
        <v>280</v>
      </c>
      <c r="F119">
        <v>15</v>
      </c>
      <c r="G119">
        <v>21.47</v>
      </c>
      <c r="H119">
        <v>70.98</v>
      </c>
      <c r="I119">
        <v>18.670000000000002</v>
      </c>
      <c r="J119">
        <v>61.74</v>
      </c>
      <c r="K119">
        <v>1</v>
      </c>
      <c r="T119">
        <v>3</v>
      </c>
      <c r="U119">
        <v>1</v>
      </c>
      <c r="V119" t="s">
        <v>82</v>
      </c>
      <c r="W119">
        <v>70</v>
      </c>
      <c r="X119">
        <v>6</v>
      </c>
      <c r="Y119">
        <v>6</v>
      </c>
      <c r="Z119" t="s">
        <v>281</v>
      </c>
      <c r="AA119" t="s">
        <v>282</v>
      </c>
      <c r="AB119" t="s">
        <v>86</v>
      </c>
      <c r="AC119" t="s">
        <v>87</v>
      </c>
      <c r="AD119" t="s">
        <v>88</v>
      </c>
      <c r="AE119" t="s">
        <v>102</v>
      </c>
      <c r="AG119" t="s">
        <v>283</v>
      </c>
      <c r="AH119">
        <v>0</v>
      </c>
      <c r="AI119">
        <v>262</v>
      </c>
    </row>
    <row r="120" spans="1:35" x14ac:dyDescent="0.3">
      <c r="A120" t="s">
        <v>96</v>
      </c>
      <c r="B120">
        <v>127938</v>
      </c>
      <c r="C120">
        <v>2</v>
      </c>
      <c r="D120" t="s">
        <v>279</v>
      </c>
      <c r="E120" t="s">
        <v>280</v>
      </c>
      <c r="F120">
        <v>15</v>
      </c>
      <c r="G120">
        <v>22.94</v>
      </c>
      <c r="H120">
        <v>75.849999999999994</v>
      </c>
      <c r="I120">
        <v>19.95</v>
      </c>
      <c r="J120">
        <v>65.97</v>
      </c>
      <c r="K120">
        <v>1</v>
      </c>
      <c r="T120">
        <v>3</v>
      </c>
      <c r="U120">
        <v>1</v>
      </c>
      <c r="V120" t="s">
        <v>82</v>
      </c>
      <c r="W120">
        <v>75</v>
      </c>
      <c r="X120">
        <v>6</v>
      </c>
      <c r="Y120">
        <v>6</v>
      </c>
      <c r="Z120" t="s">
        <v>281</v>
      </c>
      <c r="AA120" t="s">
        <v>282</v>
      </c>
      <c r="AB120" t="s">
        <v>86</v>
      </c>
      <c r="AC120" t="s">
        <v>87</v>
      </c>
      <c r="AD120" t="s">
        <v>88</v>
      </c>
      <c r="AE120" t="s">
        <v>102</v>
      </c>
      <c r="AG120" t="s">
        <v>283</v>
      </c>
      <c r="AH120">
        <v>0</v>
      </c>
      <c r="AI120">
        <v>262</v>
      </c>
    </row>
    <row r="121" spans="1:35" x14ac:dyDescent="0.3">
      <c r="A121" t="s">
        <v>96</v>
      </c>
      <c r="B121">
        <v>127938</v>
      </c>
      <c r="C121">
        <v>3</v>
      </c>
      <c r="D121" t="s">
        <v>279</v>
      </c>
      <c r="E121" t="s">
        <v>280</v>
      </c>
      <c r="F121">
        <v>15</v>
      </c>
      <c r="G121">
        <v>24.19</v>
      </c>
      <c r="H121">
        <v>79.989999999999995</v>
      </c>
      <c r="I121">
        <v>21.04</v>
      </c>
      <c r="J121">
        <v>69.569999999999993</v>
      </c>
      <c r="K121">
        <v>1</v>
      </c>
      <c r="T121">
        <v>3</v>
      </c>
      <c r="U121">
        <v>1</v>
      </c>
      <c r="V121" t="s">
        <v>82</v>
      </c>
      <c r="W121">
        <v>79</v>
      </c>
      <c r="X121">
        <v>6</v>
      </c>
      <c r="Y121">
        <v>6</v>
      </c>
      <c r="Z121" t="s">
        <v>281</v>
      </c>
      <c r="AA121" t="s">
        <v>282</v>
      </c>
      <c r="AB121" t="s">
        <v>86</v>
      </c>
      <c r="AC121" t="s">
        <v>87</v>
      </c>
      <c r="AD121" t="s">
        <v>88</v>
      </c>
      <c r="AE121" t="s">
        <v>102</v>
      </c>
      <c r="AG121" t="s">
        <v>283</v>
      </c>
      <c r="AH121">
        <v>0</v>
      </c>
      <c r="AI121">
        <v>262</v>
      </c>
    </row>
    <row r="122" spans="1:35" x14ac:dyDescent="0.3">
      <c r="A122" t="s">
        <v>96</v>
      </c>
      <c r="B122">
        <v>127938</v>
      </c>
      <c r="C122">
        <v>4</v>
      </c>
      <c r="D122" t="s">
        <v>279</v>
      </c>
      <c r="E122" t="s">
        <v>280</v>
      </c>
      <c r="F122">
        <v>15</v>
      </c>
      <c r="G122">
        <v>24.63</v>
      </c>
      <c r="H122">
        <v>81.44</v>
      </c>
      <c r="I122">
        <v>21.42</v>
      </c>
      <c r="J122">
        <v>70.83</v>
      </c>
      <c r="K122">
        <v>4</v>
      </c>
      <c r="T122">
        <v>3</v>
      </c>
      <c r="U122">
        <v>1</v>
      </c>
      <c r="V122" t="s">
        <v>82</v>
      </c>
      <c r="W122">
        <v>81</v>
      </c>
      <c r="X122">
        <v>6</v>
      </c>
      <c r="Y122">
        <v>6</v>
      </c>
      <c r="Z122" t="s">
        <v>281</v>
      </c>
      <c r="AA122" t="s">
        <v>282</v>
      </c>
      <c r="AB122" t="s">
        <v>86</v>
      </c>
      <c r="AC122" t="s">
        <v>87</v>
      </c>
      <c r="AD122" t="s">
        <v>88</v>
      </c>
      <c r="AE122" t="s">
        <v>102</v>
      </c>
      <c r="AG122" t="s">
        <v>283</v>
      </c>
      <c r="AH122">
        <v>0</v>
      </c>
      <c r="AI122">
        <v>262</v>
      </c>
    </row>
    <row r="123" spans="1:35" x14ac:dyDescent="0.3">
      <c r="A123" t="s">
        <v>96</v>
      </c>
      <c r="B123">
        <v>127938</v>
      </c>
      <c r="C123">
        <v>5</v>
      </c>
      <c r="D123" t="s">
        <v>279</v>
      </c>
      <c r="E123" t="s">
        <v>280</v>
      </c>
      <c r="F123">
        <v>15</v>
      </c>
      <c r="G123">
        <v>26.01</v>
      </c>
      <c r="H123">
        <v>85.99</v>
      </c>
      <c r="I123">
        <v>22.62</v>
      </c>
      <c r="J123">
        <v>74.790000000000006</v>
      </c>
      <c r="K123">
        <v>8</v>
      </c>
      <c r="T123">
        <v>3</v>
      </c>
      <c r="U123">
        <v>1</v>
      </c>
      <c r="V123" t="s">
        <v>82</v>
      </c>
      <c r="W123">
        <v>85</v>
      </c>
      <c r="X123">
        <v>6</v>
      </c>
      <c r="Y123">
        <v>6</v>
      </c>
      <c r="Z123" t="s">
        <v>281</v>
      </c>
      <c r="AA123" t="s">
        <v>282</v>
      </c>
      <c r="AB123" t="s">
        <v>86</v>
      </c>
      <c r="AC123" t="s">
        <v>87</v>
      </c>
      <c r="AD123" t="s">
        <v>88</v>
      </c>
      <c r="AE123" t="s">
        <v>102</v>
      </c>
      <c r="AG123" t="s">
        <v>283</v>
      </c>
      <c r="AH123">
        <v>0</v>
      </c>
      <c r="AI123">
        <v>262</v>
      </c>
    </row>
    <row r="124" spans="1:35" x14ac:dyDescent="0.3">
      <c r="A124" t="s">
        <v>96</v>
      </c>
      <c r="B124">
        <v>139272</v>
      </c>
      <c r="C124">
        <v>1</v>
      </c>
      <c r="D124" t="s">
        <v>284</v>
      </c>
      <c r="E124" t="s">
        <v>285</v>
      </c>
      <c r="F124">
        <v>14</v>
      </c>
      <c r="G124">
        <v>32.979999999999997</v>
      </c>
      <c r="H124">
        <v>109.03</v>
      </c>
      <c r="I124">
        <v>24.27</v>
      </c>
      <c r="J124">
        <v>80.25</v>
      </c>
      <c r="K124">
        <v>1</v>
      </c>
      <c r="T124">
        <v>3</v>
      </c>
      <c r="U124">
        <v>2</v>
      </c>
      <c r="V124" t="s">
        <v>82</v>
      </c>
      <c r="W124" t="s">
        <v>286</v>
      </c>
      <c r="X124">
        <v>7</v>
      </c>
      <c r="Y124">
        <v>7</v>
      </c>
      <c r="Z124" t="s">
        <v>287</v>
      </c>
      <c r="AA124" t="s">
        <v>288</v>
      </c>
      <c r="AB124" t="s">
        <v>86</v>
      </c>
      <c r="AC124" t="s">
        <v>87</v>
      </c>
      <c r="AD124" t="s">
        <v>88</v>
      </c>
      <c r="AE124" t="s">
        <v>102</v>
      </c>
      <c r="AG124" t="s">
        <v>289</v>
      </c>
      <c r="AH124">
        <v>0</v>
      </c>
      <c r="AI124">
        <v>253</v>
      </c>
    </row>
    <row r="125" spans="1:35" x14ac:dyDescent="0.3">
      <c r="A125" t="s">
        <v>96</v>
      </c>
      <c r="B125">
        <v>139272</v>
      </c>
      <c r="C125">
        <v>2</v>
      </c>
      <c r="D125" t="s">
        <v>284</v>
      </c>
      <c r="E125" t="s">
        <v>285</v>
      </c>
      <c r="F125">
        <v>14</v>
      </c>
      <c r="G125">
        <v>33.380000000000003</v>
      </c>
      <c r="H125">
        <v>110.38</v>
      </c>
      <c r="I125">
        <v>24.57</v>
      </c>
      <c r="J125">
        <v>81.23</v>
      </c>
      <c r="K125">
        <v>1</v>
      </c>
      <c r="T125">
        <v>3</v>
      </c>
      <c r="U125">
        <v>2</v>
      </c>
      <c r="V125" t="s">
        <v>82</v>
      </c>
      <c r="W125" t="s">
        <v>290</v>
      </c>
      <c r="X125">
        <v>7</v>
      </c>
      <c r="Y125">
        <v>7</v>
      </c>
      <c r="Z125" t="s">
        <v>287</v>
      </c>
      <c r="AA125" t="s">
        <v>288</v>
      </c>
      <c r="AB125" t="s">
        <v>86</v>
      </c>
      <c r="AC125" t="s">
        <v>87</v>
      </c>
      <c r="AD125" t="s">
        <v>88</v>
      </c>
      <c r="AE125" t="s">
        <v>102</v>
      </c>
      <c r="AG125" t="s">
        <v>289</v>
      </c>
      <c r="AH125">
        <v>0</v>
      </c>
      <c r="AI125">
        <v>253</v>
      </c>
    </row>
    <row r="126" spans="1:35" x14ac:dyDescent="0.3">
      <c r="A126" t="s">
        <v>96</v>
      </c>
      <c r="B126">
        <v>139272</v>
      </c>
      <c r="C126">
        <v>3</v>
      </c>
      <c r="D126" t="s">
        <v>284</v>
      </c>
      <c r="E126" t="s">
        <v>285</v>
      </c>
      <c r="F126">
        <v>14</v>
      </c>
      <c r="G126">
        <v>38.94</v>
      </c>
      <c r="H126">
        <v>128.75</v>
      </c>
      <c r="I126">
        <v>28.24</v>
      </c>
      <c r="J126">
        <v>93.37</v>
      </c>
      <c r="K126">
        <v>6</v>
      </c>
      <c r="T126">
        <v>3</v>
      </c>
      <c r="U126">
        <v>2</v>
      </c>
      <c r="V126" t="s">
        <v>82</v>
      </c>
      <c r="W126" t="s">
        <v>291</v>
      </c>
      <c r="X126">
        <v>7</v>
      </c>
      <c r="Y126">
        <v>7</v>
      </c>
      <c r="Z126" t="s">
        <v>287</v>
      </c>
      <c r="AA126" t="s">
        <v>288</v>
      </c>
      <c r="AB126" t="s">
        <v>86</v>
      </c>
      <c r="AC126" t="s">
        <v>87</v>
      </c>
      <c r="AD126" t="s">
        <v>88</v>
      </c>
      <c r="AE126" t="s">
        <v>102</v>
      </c>
      <c r="AG126" t="s">
        <v>289</v>
      </c>
      <c r="AH126">
        <v>0</v>
      </c>
      <c r="AI126">
        <v>253</v>
      </c>
    </row>
    <row r="127" spans="1:35" x14ac:dyDescent="0.3">
      <c r="A127" t="s">
        <v>96</v>
      </c>
      <c r="B127">
        <v>139272</v>
      </c>
      <c r="C127">
        <v>4</v>
      </c>
      <c r="D127" t="s">
        <v>284</v>
      </c>
      <c r="E127" t="s">
        <v>285</v>
      </c>
      <c r="F127">
        <v>14</v>
      </c>
      <c r="G127">
        <v>39.25</v>
      </c>
      <c r="H127">
        <v>129.76</v>
      </c>
      <c r="I127">
        <v>28.46</v>
      </c>
      <c r="J127">
        <v>94.1</v>
      </c>
      <c r="K127">
        <v>6</v>
      </c>
      <c r="T127">
        <v>3</v>
      </c>
      <c r="U127">
        <v>2</v>
      </c>
      <c r="V127" t="s">
        <v>82</v>
      </c>
      <c r="W127" t="s">
        <v>292</v>
      </c>
      <c r="X127">
        <v>7</v>
      </c>
      <c r="Y127">
        <v>7</v>
      </c>
      <c r="Z127" t="s">
        <v>287</v>
      </c>
      <c r="AA127" t="s">
        <v>288</v>
      </c>
      <c r="AB127" t="s">
        <v>86</v>
      </c>
      <c r="AC127" t="s">
        <v>87</v>
      </c>
      <c r="AD127" t="s">
        <v>88</v>
      </c>
      <c r="AE127" t="s">
        <v>102</v>
      </c>
      <c r="AG127" t="s">
        <v>289</v>
      </c>
      <c r="AH127">
        <v>0</v>
      </c>
      <c r="AI127">
        <v>253</v>
      </c>
    </row>
    <row r="128" spans="1:35" x14ac:dyDescent="0.3">
      <c r="A128" t="s">
        <v>96</v>
      </c>
      <c r="B128">
        <v>16780</v>
      </c>
      <c r="C128">
        <v>1</v>
      </c>
      <c r="D128" t="s">
        <v>293</v>
      </c>
      <c r="E128" t="s">
        <v>105</v>
      </c>
      <c r="F128">
        <v>74</v>
      </c>
      <c r="G128">
        <v>30.93</v>
      </c>
      <c r="H128">
        <v>102.28</v>
      </c>
      <c r="I128">
        <v>17.96</v>
      </c>
      <c r="J128">
        <v>59.4</v>
      </c>
      <c r="K128">
        <v>57</v>
      </c>
      <c r="T128">
        <v>3</v>
      </c>
      <c r="U128">
        <v>1</v>
      </c>
      <c r="V128" t="s">
        <v>99</v>
      </c>
      <c r="W128">
        <v>102</v>
      </c>
      <c r="X128">
        <v>11</v>
      </c>
      <c r="Y128">
        <v>5</v>
      </c>
      <c r="Z128" t="s">
        <v>294</v>
      </c>
      <c r="AA128" t="s">
        <v>295</v>
      </c>
      <c r="AB128" t="s">
        <v>86</v>
      </c>
      <c r="AC128" t="s">
        <v>87</v>
      </c>
      <c r="AD128" t="s">
        <v>88</v>
      </c>
      <c r="AE128" t="s">
        <v>102</v>
      </c>
      <c r="AG128" t="s">
        <v>296</v>
      </c>
      <c r="AH128">
        <v>0</v>
      </c>
      <c r="AI128">
        <v>335</v>
      </c>
    </row>
    <row r="129" spans="1:35" x14ac:dyDescent="0.3">
      <c r="A129" t="s">
        <v>96</v>
      </c>
      <c r="B129">
        <v>16780</v>
      </c>
      <c r="C129">
        <v>2</v>
      </c>
      <c r="D129" t="s">
        <v>293</v>
      </c>
      <c r="E129" t="s">
        <v>105</v>
      </c>
      <c r="F129">
        <v>74</v>
      </c>
      <c r="G129">
        <v>38.29</v>
      </c>
      <c r="H129">
        <v>126.61</v>
      </c>
      <c r="I129">
        <v>22.24</v>
      </c>
      <c r="J129">
        <v>73.53</v>
      </c>
      <c r="K129">
        <v>7</v>
      </c>
      <c r="T129">
        <v>3</v>
      </c>
      <c r="U129">
        <v>1</v>
      </c>
      <c r="V129" t="s">
        <v>99</v>
      </c>
      <c r="W129">
        <v>126</v>
      </c>
      <c r="X129">
        <v>11</v>
      </c>
      <c r="Y129">
        <v>5</v>
      </c>
      <c r="Z129" t="s">
        <v>294</v>
      </c>
      <c r="AA129" t="s">
        <v>295</v>
      </c>
      <c r="AB129" t="s">
        <v>86</v>
      </c>
      <c r="AC129" t="s">
        <v>87</v>
      </c>
      <c r="AD129" t="s">
        <v>88</v>
      </c>
      <c r="AE129" t="s">
        <v>102</v>
      </c>
      <c r="AG129" t="s">
        <v>296</v>
      </c>
      <c r="AH129">
        <v>0</v>
      </c>
      <c r="AI129">
        <v>335</v>
      </c>
    </row>
    <row r="130" spans="1:35" x14ac:dyDescent="0.3">
      <c r="A130" t="s">
        <v>96</v>
      </c>
      <c r="B130">
        <v>16780</v>
      </c>
      <c r="C130">
        <v>3</v>
      </c>
      <c r="D130" t="s">
        <v>293</v>
      </c>
      <c r="E130" t="s">
        <v>105</v>
      </c>
      <c r="F130">
        <v>74</v>
      </c>
      <c r="G130">
        <v>39.200000000000003</v>
      </c>
      <c r="H130">
        <v>129.61000000000001</v>
      </c>
      <c r="I130">
        <v>22.76</v>
      </c>
      <c r="J130">
        <v>75.27</v>
      </c>
      <c r="K130">
        <v>10</v>
      </c>
      <c r="T130">
        <v>3</v>
      </c>
      <c r="U130">
        <v>1</v>
      </c>
      <c r="V130" t="s">
        <v>99</v>
      </c>
      <c r="W130">
        <v>129</v>
      </c>
      <c r="X130">
        <v>11</v>
      </c>
      <c r="Y130">
        <v>5</v>
      </c>
      <c r="Z130" t="s">
        <v>294</v>
      </c>
      <c r="AA130" t="s">
        <v>295</v>
      </c>
      <c r="AB130" t="s">
        <v>86</v>
      </c>
      <c r="AC130" t="s">
        <v>87</v>
      </c>
      <c r="AD130" t="s">
        <v>88</v>
      </c>
      <c r="AE130" t="s">
        <v>102</v>
      </c>
      <c r="AG130" t="s">
        <v>296</v>
      </c>
      <c r="AH130">
        <v>0</v>
      </c>
      <c r="AI130">
        <v>335</v>
      </c>
    </row>
    <row r="131" spans="1:35" x14ac:dyDescent="0.3">
      <c r="A131" t="s">
        <v>96</v>
      </c>
      <c r="B131">
        <v>126532</v>
      </c>
      <c r="C131">
        <v>1</v>
      </c>
      <c r="D131" t="s">
        <v>297</v>
      </c>
      <c r="E131" t="s">
        <v>120</v>
      </c>
      <c r="F131">
        <v>44</v>
      </c>
      <c r="G131">
        <v>29.4</v>
      </c>
      <c r="H131">
        <v>97.22</v>
      </c>
      <c r="I131">
        <v>21.92</v>
      </c>
      <c r="J131">
        <v>72.489999999999995</v>
      </c>
      <c r="K131">
        <v>26</v>
      </c>
      <c r="T131">
        <v>3</v>
      </c>
      <c r="U131">
        <v>2</v>
      </c>
      <c r="V131" t="s">
        <v>99</v>
      </c>
      <c r="W131">
        <v>97</v>
      </c>
      <c r="X131">
        <v>9</v>
      </c>
      <c r="Y131">
        <v>9</v>
      </c>
      <c r="Z131" t="s">
        <v>298</v>
      </c>
      <c r="AA131" t="s">
        <v>299</v>
      </c>
      <c r="AB131" t="s">
        <v>86</v>
      </c>
      <c r="AC131" t="s">
        <v>87</v>
      </c>
      <c r="AD131" t="s">
        <v>88</v>
      </c>
      <c r="AE131" t="s">
        <v>102</v>
      </c>
      <c r="AG131" t="s">
        <v>300</v>
      </c>
      <c r="AH131">
        <v>0</v>
      </c>
      <c r="AI131">
        <v>371</v>
      </c>
    </row>
    <row r="132" spans="1:35" x14ac:dyDescent="0.3">
      <c r="A132" t="s">
        <v>96</v>
      </c>
      <c r="B132">
        <v>126532</v>
      </c>
      <c r="C132">
        <v>2</v>
      </c>
      <c r="D132" t="s">
        <v>297</v>
      </c>
      <c r="E132" t="s">
        <v>120</v>
      </c>
      <c r="F132">
        <v>44</v>
      </c>
      <c r="G132">
        <v>30.72</v>
      </c>
      <c r="H132">
        <v>101.57</v>
      </c>
      <c r="I132">
        <v>22.9</v>
      </c>
      <c r="J132">
        <v>75.73</v>
      </c>
      <c r="K132">
        <v>18</v>
      </c>
      <c r="T132">
        <v>3</v>
      </c>
      <c r="U132">
        <v>2</v>
      </c>
      <c r="V132" t="s">
        <v>99</v>
      </c>
      <c r="W132">
        <v>101</v>
      </c>
      <c r="X132">
        <v>9</v>
      </c>
      <c r="Y132">
        <v>9</v>
      </c>
      <c r="Z132" t="s">
        <v>298</v>
      </c>
      <c r="AA132" t="s">
        <v>299</v>
      </c>
      <c r="AB132" t="s">
        <v>86</v>
      </c>
      <c r="AC132" t="s">
        <v>87</v>
      </c>
      <c r="AD132" t="s">
        <v>88</v>
      </c>
      <c r="AE132" t="s">
        <v>102</v>
      </c>
      <c r="AG132" t="s">
        <v>300</v>
      </c>
      <c r="AH132">
        <v>0</v>
      </c>
      <c r="AI132">
        <v>371</v>
      </c>
    </row>
    <row r="133" spans="1:35" x14ac:dyDescent="0.3">
      <c r="A133" t="s">
        <v>96</v>
      </c>
      <c r="B133">
        <v>101216</v>
      </c>
      <c r="C133">
        <v>1</v>
      </c>
      <c r="D133" t="s">
        <v>301</v>
      </c>
      <c r="E133" t="s">
        <v>302</v>
      </c>
      <c r="F133">
        <v>100</v>
      </c>
      <c r="G133">
        <v>17.22</v>
      </c>
      <c r="H133">
        <v>56.94</v>
      </c>
      <c r="I133">
        <v>15.21</v>
      </c>
      <c r="J133">
        <v>50.31</v>
      </c>
      <c r="K133">
        <v>20</v>
      </c>
      <c r="T133">
        <v>2</v>
      </c>
      <c r="U133">
        <v>1</v>
      </c>
      <c r="V133" t="s">
        <v>82</v>
      </c>
      <c r="W133">
        <v>56</v>
      </c>
      <c r="X133">
        <v>5</v>
      </c>
      <c r="Y133">
        <v>5</v>
      </c>
      <c r="Z133" t="s">
        <v>303</v>
      </c>
      <c r="AA133" t="s">
        <v>304</v>
      </c>
      <c r="AB133" t="s">
        <v>86</v>
      </c>
      <c r="AC133" t="s">
        <v>87</v>
      </c>
      <c r="AD133" t="s">
        <v>88</v>
      </c>
      <c r="AE133" t="s">
        <v>102</v>
      </c>
      <c r="AG133" t="s">
        <v>305</v>
      </c>
      <c r="AH133">
        <v>0</v>
      </c>
      <c r="AI133">
        <v>212</v>
      </c>
    </row>
    <row r="134" spans="1:35" x14ac:dyDescent="0.3">
      <c r="A134" t="s">
        <v>96</v>
      </c>
      <c r="B134">
        <v>101216</v>
      </c>
      <c r="C134">
        <v>2</v>
      </c>
      <c r="D134" t="s">
        <v>301</v>
      </c>
      <c r="E134" t="s">
        <v>302</v>
      </c>
      <c r="F134">
        <v>100</v>
      </c>
      <c r="G134">
        <v>19.71</v>
      </c>
      <c r="H134">
        <v>65.19</v>
      </c>
      <c r="I134">
        <v>17.71</v>
      </c>
      <c r="J134">
        <v>58.56</v>
      </c>
      <c r="K134">
        <v>50</v>
      </c>
      <c r="T134">
        <v>3</v>
      </c>
      <c r="U134">
        <v>1</v>
      </c>
      <c r="V134" t="s">
        <v>82</v>
      </c>
      <c r="W134">
        <v>65</v>
      </c>
      <c r="X134">
        <v>5</v>
      </c>
      <c r="Y134">
        <v>5</v>
      </c>
      <c r="Z134" t="s">
        <v>303</v>
      </c>
      <c r="AA134" t="s">
        <v>304</v>
      </c>
      <c r="AB134" t="s">
        <v>86</v>
      </c>
      <c r="AC134" t="s">
        <v>87</v>
      </c>
      <c r="AD134" t="s">
        <v>88</v>
      </c>
      <c r="AE134" t="s">
        <v>102</v>
      </c>
      <c r="AG134" t="s">
        <v>305</v>
      </c>
      <c r="AH134">
        <v>0</v>
      </c>
      <c r="AI134">
        <v>212</v>
      </c>
    </row>
    <row r="135" spans="1:35" x14ac:dyDescent="0.3">
      <c r="A135" t="s">
        <v>96</v>
      </c>
      <c r="B135">
        <v>101216</v>
      </c>
      <c r="C135">
        <v>3</v>
      </c>
      <c r="D135" t="s">
        <v>301</v>
      </c>
      <c r="E135" t="s">
        <v>302</v>
      </c>
      <c r="F135">
        <v>100</v>
      </c>
      <c r="G135">
        <v>26.04</v>
      </c>
      <c r="H135">
        <v>86.1</v>
      </c>
      <c r="I135">
        <v>24.03</v>
      </c>
      <c r="J135">
        <v>79.47</v>
      </c>
      <c r="K135">
        <v>30</v>
      </c>
      <c r="T135">
        <v>3</v>
      </c>
      <c r="U135">
        <v>1</v>
      </c>
      <c r="V135" t="s">
        <v>82</v>
      </c>
      <c r="W135">
        <v>86</v>
      </c>
      <c r="X135">
        <v>5</v>
      </c>
      <c r="Y135">
        <v>5</v>
      </c>
      <c r="Z135" t="s">
        <v>303</v>
      </c>
      <c r="AA135" t="s">
        <v>304</v>
      </c>
      <c r="AB135" t="s">
        <v>86</v>
      </c>
      <c r="AC135" t="s">
        <v>87</v>
      </c>
      <c r="AD135" t="s">
        <v>88</v>
      </c>
      <c r="AE135" t="s">
        <v>102</v>
      </c>
      <c r="AG135" t="s">
        <v>305</v>
      </c>
      <c r="AH135">
        <v>0</v>
      </c>
      <c r="AI135">
        <v>212</v>
      </c>
    </row>
    <row r="136" spans="1:35" x14ac:dyDescent="0.3">
      <c r="A136" t="s">
        <v>96</v>
      </c>
      <c r="B136">
        <v>135017</v>
      </c>
      <c r="C136">
        <v>1</v>
      </c>
      <c r="D136" t="s">
        <v>306</v>
      </c>
      <c r="E136" t="s">
        <v>307</v>
      </c>
      <c r="F136">
        <v>21</v>
      </c>
      <c r="G136">
        <v>33.270000000000003</v>
      </c>
      <c r="H136">
        <v>110.01</v>
      </c>
      <c r="I136">
        <v>23.59</v>
      </c>
      <c r="J136">
        <v>78</v>
      </c>
      <c r="K136">
        <v>18</v>
      </c>
      <c r="T136">
        <v>3</v>
      </c>
      <c r="U136">
        <v>2</v>
      </c>
      <c r="V136" t="s">
        <v>82</v>
      </c>
      <c r="W136">
        <v>110</v>
      </c>
      <c r="X136">
        <v>6</v>
      </c>
      <c r="Y136">
        <v>6</v>
      </c>
      <c r="Z136" t="s">
        <v>308</v>
      </c>
      <c r="AA136" t="s">
        <v>309</v>
      </c>
      <c r="AB136" t="s">
        <v>86</v>
      </c>
      <c r="AC136" t="s">
        <v>87</v>
      </c>
      <c r="AD136" t="s">
        <v>88</v>
      </c>
      <c r="AE136" t="s">
        <v>102</v>
      </c>
      <c r="AG136" t="s">
        <v>310</v>
      </c>
      <c r="AH136">
        <v>0</v>
      </c>
      <c r="AI136">
        <v>297</v>
      </c>
    </row>
    <row r="137" spans="1:35" x14ac:dyDescent="0.3">
      <c r="A137" t="s">
        <v>96</v>
      </c>
      <c r="B137">
        <v>135017</v>
      </c>
      <c r="C137">
        <v>2</v>
      </c>
      <c r="D137" t="s">
        <v>306</v>
      </c>
      <c r="E137" t="s">
        <v>307</v>
      </c>
      <c r="F137">
        <v>21</v>
      </c>
      <c r="G137">
        <v>34.4</v>
      </c>
      <c r="H137">
        <v>113.75</v>
      </c>
      <c r="I137">
        <v>23.59</v>
      </c>
      <c r="J137">
        <v>78</v>
      </c>
      <c r="K137">
        <v>3</v>
      </c>
      <c r="T137">
        <v>3</v>
      </c>
      <c r="U137">
        <v>2</v>
      </c>
      <c r="V137" t="s">
        <v>82</v>
      </c>
      <c r="W137">
        <v>113</v>
      </c>
      <c r="X137">
        <v>6</v>
      </c>
      <c r="Y137">
        <v>6</v>
      </c>
      <c r="Z137" t="s">
        <v>308</v>
      </c>
      <c r="AA137" t="s">
        <v>309</v>
      </c>
      <c r="AB137" t="s">
        <v>86</v>
      </c>
      <c r="AC137" t="s">
        <v>87</v>
      </c>
      <c r="AD137" t="s">
        <v>88</v>
      </c>
      <c r="AE137" t="s">
        <v>102</v>
      </c>
      <c r="AG137" t="s">
        <v>310</v>
      </c>
      <c r="AH137">
        <v>0</v>
      </c>
      <c r="AI137">
        <v>297</v>
      </c>
    </row>
    <row r="138" spans="1:35" x14ac:dyDescent="0.3">
      <c r="A138" t="s">
        <v>311</v>
      </c>
      <c r="B138">
        <v>125919</v>
      </c>
      <c r="C138">
        <v>1</v>
      </c>
      <c r="D138" t="s">
        <v>312</v>
      </c>
      <c r="E138" t="s">
        <v>313</v>
      </c>
      <c r="F138">
        <v>29</v>
      </c>
      <c r="G138">
        <v>30.17</v>
      </c>
      <c r="H138">
        <v>99.75</v>
      </c>
      <c r="I138">
        <v>25.6</v>
      </c>
      <c r="J138">
        <v>84.64</v>
      </c>
      <c r="K138">
        <v>20</v>
      </c>
      <c r="T138">
        <v>3</v>
      </c>
      <c r="U138">
        <v>2</v>
      </c>
      <c r="V138" t="s">
        <v>82</v>
      </c>
      <c r="W138">
        <v>99</v>
      </c>
      <c r="X138">
        <v>10</v>
      </c>
      <c r="Y138">
        <v>10</v>
      </c>
      <c r="Z138" t="s">
        <v>314</v>
      </c>
      <c r="AA138" t="s">
        <v>315</v>
      </c>
      <c r="AB138" t="s">
        <v>86</v>
      </c>
      <c r="AC138" t="s">
        <v>87</v>
      </c>
      <c r="AD138" t="s">
        <v>88</v>
      </c>
      <c r="AE138" t="s">
        <v>316</v>
      </c>
      <c r="AG138" t="s">
        <v>317</v>
      </c>
      <c r="AH138">
        <v>0</v>
      </c>
      <c r="AI138">
        <v>197</v>
      </c>
    </row>
    <row r="139" spans="1:35" x14ac:dyDescent="0.3">
      <c r="A139" t="s">
        <v>311</v>
      </c>
      <c r="B139">
        <v>125919</v>
      </c>
      <c r="C139">
        <v>2</v>
      </c>
      <c r="D139" t="s">
        <v>312</v>
      </c>
      <c r="E139" t="s">
        <v>313</v>
      </c>
      <c r="F139">
        <v>29</v>
      </c>
      <c r="G139">
        <v>33.67</v>
      </c>
      <c r="H139">
        <v>111.32</v>
      </c>
      <c r="I139">
        <v>25.03</v>
      </c>
      <c r="J139">
        <v>82.77</v>
      </c>
      <c r="K139">
        <v>9</v>
      </c>
      <c r="T139">
        <v>3</v>
      </c>
      <c r="U139">
        <v>2</v>
      </c>
      <c r="V139" t="s">
        <v>82</v>
      </c>
      <c r="W139">
        <v>111</v>
      </c>
      <c r="X139">
        <v>10</v>
      </c>
      <c r="Y139">
        <v>10</v>
      </c>
      <c r="Z139" t="s">
        <v>314</v>
      </c>
      <c r="AA139" t="s">
        <v>315</v>
      </c>
      <c r="AB139" t="s">
        <v>86</v>
      </c>
      <c r="AC139" t="s">
        <v>87</v>
      </c>
      <c r="AD139" t="s">
        <v>88</v>
      </c>
      <c r="AE139" t="s">
        <v>316</v>
      </c>
      <c r="AG139" t="s">
        <v>317</v>
      </c>
      <c r="AH139">
        <v>0</v>
      </c>
      <c r="AI139">
        <v>197</v>
      </c>
    </row>
    <row r="140" spans="1:35" x14ac:dyDescent="0.3">
      <c r="A140" t="s">
        <v>311</v>
      </c>
      <c r="B140">
        <v>15753</v>
      </c>
      <c r="C140">
        <v>1</v>
      </c>
      <c r="D140" t="s">
        <v>318</v>
      </c>
      <c r="E140" t="s">
        <v>105</v>
      </c>
      <c r="F140">
        <v>133</v>
      </c>
      <c r="G140">
        <v>21.32</v>
      </c>
      <c r="H140">
        <v>70.48</v>
      </c>
      <c r="I140">
        <v>16.920000000000002</v>
      </c>
      <c r="J140">
        <v>55.94</v>
      </c>
      <c r="K140">
        <v>74</v>
      </c>
      <c r="T140">
        <v>2</v>
      </c>
      <c r="U140">
        <v>1</v>
      </c>
      <c r="V140" t="s">
        <v>99</v>
      </c>
      <c r="W140">
        <v>70</v>
      </c>
      <c r="X140">
        <v>15</v>
      </c>
      <c r="Y140">
        <v>15</v>
      </c>
      <c r="Z140" t="s">
        <v>319</v>
      </c>
      <c r="AA140" t="s">
        <v>320</v>
      </c>
      <c r="AB140" t="s">
        <v>86</v>
      </c>
      <c r="AC140" t="s">
        <v>87</v>
      </c>
      <c r="AD140" t="s">
        <v>88</v>
      </c>
      <c r="AE140" t="s">
        <v>316</v>
      </c>
      <c r="AG140" t="s">
        <v>321</v>
      </c>
      <c r="AH140">
        <v>0</v>
      </c>
      <c r="AI140">
        <v>383</v>
      </c>
    </row>
    <row r="141" spans="1:35" x14ac:dyDescent="0.3">
      <c r="A141" t="s">
        <v>311</v>
      </c>
      <c r="B141">
        <v>15753</v>
      </c>
      <c r="C141">
        <v>2</v>
      </c>
      <c r="D141" t="s">
        <v>318</v>
      </c>
      <c r="E141" t="s">
        <v>105</v>
      </c>
      <c r="F141">
        <v>133</v>
      </c>
      <c r="G141">
        <v>21.44</v>
      </c>
      <c r="H141">
        <v>70.88</v>
      </c>
      <c r="I141">
        <v>18.14</v>
      </c>
      <c r="J141">
        <v>59.97</v>
      </c>
      <c r="K141">
        <v>29</v>
      </c>
      <c r="T141">
        <v>3</v>
      </c>
      <c r="U141">
        <v>1</v>
      </c>
      <c r="V141" t="s">
        <v>82</v>
      </c>
      <c r="W141">
        <v>70</v>
      </c>
      <c r="X141">
        <v>15</v>
      </c>
      <c r="Y141">
        <v>15</v>
      </c>
      <c r="Z141" t="s">
        <v>319</v>
      </c>
      <c r="AA141" t="s">
        <v>320</v>
      </c>
      <c r="AB141" t="s">
        <v>86</v>
      </c>
      <c r="AC141" t="s">
        <v>87</v>
      </c>
      <c r="AD141" t="s">
        <v>88</v>
      </c>
      <c r="AE141" t="s">
        <v>316</v>
      </c>
      <c r="AG141" t="s">
        <v>321</v>
      </c>
      <c r="AH141">
        <v>0</v>
      </c>
      <c r="AI141">
        <v>383</v>
      </c>
    </row>
    <row r="142" spans="1:35" x14ac:dyDescent="0.3">
      <c r="A142" t="s">
        <v>311</v>
      </c>
      <c r="B142">
        <v>15753</v>
      </c>
      <c r="C142">
        <v>3</v>
      </c>
      <c r="D142" t="s">
        <v>318</v>
      </c>
      <c r="E142" t="s">
        <v>105</v>
      </c>
      <c r="F142">
        <v>133</v>
      </c>
      <c r="G142">
        <v>23.95</v>
      </c>
      <c r="H142">
        <v>79.180000000000007</v>
      </c>
      <c r="I142">
        <v>20.52</v>
      </c>
      <c r="J142">
        <v>67.849999999999994</v>
      </c>
      <c r="K142">
        <v>30</v>
      </c>
      <c r="T142">
        <v>3</v>
      </c>
      <c r="U142">
        <v>1</v>
      </c>
      <c r="V142" t="s">
        <v>82</v>
      </c>
      <c r="W142">
        <v>79</v>
      </c>
      <c r="X142">
        <v>15</v>
      </c>
      <c r="Y142">
        <v>15</v>
      </c>
      <c r="Z142" t="s">
        <v>319</v>
      </c>
      <c r="AA142" t="s">
        <v>320</v>
      </c>
      <c r="AB142" t="s">
        <v>86</v>
      </c>
      <c r="AC142" t="s">
        <v>87</v>
      </c>
      <c r="AD142" t="s">
        <v>88</v>
      </c>
      <c r="AE142" t="s">
        <v>316</v>
      </c>
      <c r="AG142" t="s">
        <v>321</v>
      </c>
      <c r="AH142">
        <v>0</v>
      </c>
      <c r="AI142">
        <v>383</v>
      </c>
    </row>
    <row r="143" spans="1:35" x14ac:dyDescent="0.3">
      <c r="A143" t="s">
        <v>311</v>
      </c>
      <c r="B143">
        <v>15754</v>
      </c>
      <c r="C143">
        <v>1</v>
      </c>
      <c r="D143" t="s">
        <v>322</v>
      </c>
      <c r="E143" t="s">
        <v>323</v>
      </c>
      <c r="F143">
        <v>148</v>
      </c>
      <c r="G143">
        <v>16.22</v>
      </c>
      <c r="H143">
        <v>53.62</v>
      </c>
      <c r="I143">
        <v>13.8</v>
      </c>
      <c r="J143">
        <v>45.65</v>
      </c>
      <c r="K143">
        <v>24</v>
      </c>
      <c r="T143">
        <v>2</v>
      </c>
      <c r="U143">
        <v>1</v>
      </c>
      <c r="V143" t="s">
        <v>82</v>
      </c>
      <c r="W143">
        <v>53</v>
      </c>
      <c r="X143">
        <v>13</v>
      </c>
      <c r="Y143">
        <v>12</v>
      </c>
      <c r="Z143" t="s">
        <v>324</v>
      </c>
      <c r="AA143" t="s">
        <v>325</v>
      </c>
      <c r="AB143" t="s">
        <v>86</v>
      </c>
      <c r="AC143" t="s">
        <v>87</v>
      </c>
      <c r="AD143" t="s">
        <v>88</v>
      </c>
      <c r="AE143" t="s">
        <v>316</v>
      </c>
      <c r="AG143" t="s">
        <v>326</v>
      </c>
      <c r="AH143">
        <v>0</v>
      </c>
      <c r="AI143">
        <v>253</v>
      </c>
    </row>
    <row r="144" spans="1:35" x14ac:dyDescent="0.3">
      <c r="A144" t="s">
        <v>311</v>
      </c>
      <c r="B144">
        <v>15754</v>
      </c>
      <c r="C144">
        <v>2</v>
      </c>
      <c r="D144" t="s">
        <v>322</v>
      </c>
      <c r="E144" t="s">
        <v>323</v>
      </c>
      <c r="F144">
        <v>148</v>
      </c>
      <c r="G144">
        <v>24.29</v>
      </c>
      <c r="H144">
        <v>80.31</v>
      </c>
      <c r="I144">
        <v>20.67</v>
      </c>
      <c r="J144">
        <v>68.36</v>
      </c>
      <c r="K144">
        <v>68</v>
      </c>
      <c r="T144">
        <v>3</v>
      </c>
      <c r="U144">
        <v>1</v>
      </c>
      <c r="V144" t="s">
        <v>82</v>
      </c>
      <c r="W144">
        <v>80</v>
      </c>
      <c r="X144">
        <v>13</v>
      </c>
      <c r="Y144">
        <v>12</v>
      </c>
      <c r="Z144" t="s">
        <v>324</v>
      </c>
      <c r="AA144" t="s">
        <v>325</v>
      </c>
      <c r="AB144" t="s">
        <v>86</v>
      </c>
      <c r="AC144" t="s">
        <v>87</v>
      </c>
      <c r="AD144" t="s">
        <v>88</v>
      </c>
      <c r="AE144" t="s">
        <v>316</v>
      </c>
      <c r="AG144" t="s">
        <v>326</v>
      </c>
      <c r="AH144">
        <v>0</v>
      </c>
      <c r="AI144">
        <v>253</v>
      </c>
    </row>
    <row r="145" spans="1:35" x14ac:dyDescent="0.3">
      <c r="A145" t="s">
        <v>311</v>
      </c>
      <c r="B145">
        <v>15754</v>
      </c>
      <c r="C145">
        <v>3</v>
      </c>
      <c r="D145" t="s">
        <v>322</v>
      </c>
      <c r="E145" t="s">
        <v>323</v>
      </c>
      <c r="F145">
        <v>148</v>
      </c>
      <c r="G145">
        <v>27.72</v>
      </c>
      <c r="H145">
        <v>91.66</v>
      </c>
      <c r="I145">
        <v>23.6</v>
      </c>
      <c r="J145">
        <v>78.03</v>
      </c>
      <c r="K145">
        <v>46</v>
      </c>
      <c r="T145">
        <v>3</v>
      </c>
      <c r="U145">
        <v>1</v>
      </c>
      <c r="V145" t="s">
        <v>82</v>
      </c>
      <c r="W145">
        <v>91</v>
      </c>
      <c r="X145">
        <v>13</v>
      </c>
      <c r="Y145">
        <v>12</v>
      </c>
      <c r="Z145" t="s">
        <v>324</v>
      </c>
      <c r="AA145" t="s">
        <v>325</v>
      </c>
      <c r="AB145" t="s">
        <v>86</v>
      </c>
      <c r="AC145" t="s">
        <v>87</v>
      </c>
      <c r="AD145" t="s">
        <v>88</v>
      </c>
      <c r="AE145" t="s">
        <v>316</v>
      </c>
      <c r="AG145" t="s">
        <v>326</v>
      </c>
      <c r="AH145">
        <v>0</v>
      </c>
      <c r="AI145">
        <v>253</v>
      </c>
    </row>
    <row r="146" spans="1:35" x14ac:dyDescent="0.3">
      <c r="A146" t="s">
        <v>311</v>
      </c>
      <c r="B146">
        <v>15754</v>
      </c>
      <c r="C146">
        <v>4</v>
      </c>
      <c r="D146" t="s">
        <v>322</v>
      </c>
      <c r="E146" t="s">
        <v>323</v>
      </c>
      <c r="F146">
        <v>148</v>
      </c>
      <c r="G146">
        <v>38.200000000000003</v>
      </c>
      <c r="H146">
        <v>126.29</v>
      </c>
      <c r="I146">
        <v>32.51</v>
      </c>
      <c r="J146">
        <v>107.5</v>
      </c>
      <c r="K146">
        <v>6</v>
      </c>
      <c r="T146">
        <v>4</v>
      </c>
      <c r="U146">
        <v>2</v>
      </c>
      <c r="V146" t="s">
        <v>82</v>
      </c>
      <c r="W146">
        <v>126</v>
      </c>
      <c r="X146">
        <v>13</v>
      </c>
      <c r="Y146">
        <v>12</v>
      </c>
      <c r="Z146" t="s">
        <v>324</v>
      </c>
      <c r="AA146" t="s">
        <v>325</v>
      </c>
      <c r="AB146" t="s">
        <v>86</v>
      </c>
      <c r="AC146" t="s">
        <v>87</v>
      </c>
      <c r="AD146" t="s">
        <v>88</v>
      </c>
      <c r="AE146" t="s">
        <v>316</v>
      </c>
      <c r="AG146" t="s">
        <v>326</v>
      </c>
      <c r="AH146">
        <v>0</v>
      </c>
      <c r="AI146">
        <v>253</v>
      </c>
    </row>
    <row r="147" spans="1:35" x14ac:dyDescent="0.3">
      <c r="A147" t="s">
        <v>311</v>
      </c>
      <c r="B147">
        <v>15754</v>
      </c>
      <c r="C147">
        <v>5</v>
      </c>
      <c r="D147" t="s">
        <v>322</v>
      </c>
      <c r="E147" t="s">
        <v>323</v>
      </c>
      <c r="F147">
        <v>148</v>
      </c>
      <c r="G147">
        <v>44.06</v>
      </c>
      <c r="H147">
        <v>145.66999999999999</v>
      </c>
      <c r="I147">
        <v>37.51</v>
      </c>
      <c r="J147">
        <v>124.01</v>
      </c>
      <c r="K147">
        <v>4</v>
      </c>
      <c r="T147">
        <v>4</v>
      </c>
      <c r="U147">
        <v>2</v>
      </c>
      <c r="V147" t="s">
        <v>82</v>
      </c>
      <c r="W147">
        <v>145</v>
      </c>
      <c r="X147">
        <v>13</v>
      </c>
      <c r="Y147">
        <v>12</v>
      </c>
      <c r="Z147" t="s">
        <v>324</v>
      </c>
      <c r="AA147" t="s">
        <v>325</v>
      </c>
      <c r="AB147" t="s">
        <v>86</v>
      </c>
      <c r="AC147" t="s">
        <v>87</v>
      </c>
      <c r="AD147" t="s">
        <v>88</v>
      </c>
      <c r="AE147" t="s">
        <v>316</v>
      </c>
      <c r="AG147" t="s">
        <v>326</v>
      </c>
      <c r="AH147">
        <v>0</v>
      </c>
      <c r="AI147">
        <v>253</v>
      </c>
    </row>
    <row r="148" spans="1:35" x14ac:dyDescent="0.3">
      <c r="A148" t="s">
        <v>311</v>
      </c>
      <c r="B148">
        <v>128436</v>
      </c>
      <c r="C148">
        <v>1</v>
      </c>
      <c r="D148" t="s">
        <v>327</v>
      </c>
      <c r="E148" t="s">
        <v>328</v>
      </c>
      <c r="F148">
        <v>20</v>
      </c>
      <c r="G148">
        <v>27.57</v>
      </c>
      <c r="H148">
        <v>91.17</v>
      </c>
      <c r="I148">
        <v>20.63</v>
      </c>
      <c r="J148">
        <v>68.209999999999994</v>
      </c>
      <c r="K148">
        <v>17</v>
      </c>
      <c r="T148">
        <v>3</v>
      </c>
      <c r="U148">
        <v>2</v>
      </c>
      <c r="V148" t="s">
        <v>82</v>
      </c>
      <c r="W148" t="s">
        <v>329</v>
      </c>
      <c r="X148">
        <v>11</v>
      </c>
      <c r="Y148">
        <v>11</v>
      </c>
      <c r="Z148" t="s">
        <v>330</v>
      </c>
      <c r="AA148" t="s">
        <v>331</v>
      </c>
      <c r="AB148" t="s">
        <v>86</v>
      </c>
      <c r="AC148" t="s">
        <v>87</v>
      </c>
      <c r="AD148" t="s">
        <v>88</v>
      </c>
      <c r="AE148" t="s">
        <v>316</v>
      </c>
      <c r="AG148" t="s">
        <v>332</v>
      </c>
      <c r="AH148">
        <v>0</v>
      </c>
      <c r="AI148">
        <v>345</v>
      </c>
    </row>
    <row r="149" spans="1:35" x14ac:dyDescent="0.3">
      <c r="A149" t="s">
        <v>311</v>
      </c>
      <c r="B149">
        <v>128436</v>
      </c>
      <c r="C149">
        <v>2</v>
      </c>
      <c r="D149" t="s">
        <v>327</v>
      </c>
      <c r="E149" t="s">
        <v>328</v>
      </c>
      <c r="F149">
        <v>20</v>
      </c>
      <c r="G149">
        <v>27.59</v>
      </c>
      <c r="H149">
        <v>91.23</v>
      </c>
      <c r="I149">
        <v>20.58</v>
      </c>
      <c r="J149">
        <v>68.06</v>
      </c>
      <c r="K149">
        <v>3</v>
      </c>
      <c r="T149">
        <v>3</v>
      </c>
      <c r="U149">
        <v>2</v>
      </c>
      <c r="V149" t="s">
        <v>82</v>
      </c>
      <c r="W149" t="s">
        <v>333</v>
      </c>
      <c r="X149">
        <v>11</v>
      </c>
      <c r="Y149">
        <v>11</v>
      </c>
      <c r="Z149" t="s">
        <v>330</v>
      </c>
      <c r="AA149" t="s">
        <v>331</v>
      </c>
      <c r="AB149" t="s">
        <v>86</v>
      </c>
      <c r="AC149" t="s">
        <v>87</v>
      </c>
      <c r="AD149" t="s">
        <v>88</v>
      </c>
      <c r="AE149" t="s">
        <v>316</v>
      </c>
      <c r="AG149" t="s">
        <v>332</v>
      </c>
      <c r="AH149">
        <v>0</v>
      </c>
      <c r="AI149">
        <v>345</v>
      </c>
    </row>
    <row r="150" spans="1:35" x14ac:dyDescent="0.3">
      <c r="A150" t="s">
        <v>311</v>
      </c>
      <c r="B150">
        <v>104830</v>
      </c>
      <c r="C150">
        <v>1</v>
      </c>
      <c r="D150" t="s">
        <v>334</v>
      </c>
      <c r="E150" t="s">
        <v>335</v>
      </c>
      <c r="F150">
        <v>81</v>
      </c>
      <c r="G150">
        <v>32.39</v>
      </c>
      <c r="H150">
        <v>107.08</v>
      </c>
      <c r="I150">
        <v>25.63</v>
      </c>
      <c r="J150">
        <v>84.75</v>
      </c>
      <c r="K150">
        <v>81</v>
      </c>
      <c r="T150">
        <v>3</v>
      </c>
      <c r="U150">
        <v>2</v>
      </c>
      <c r="V150" t="s">
        <v>82</v>
      </c>
      <c r="W150">
        <v>107</v>
      </c>
      <c r="X150">
        <v>14</v>
      </c>
      <c r="Y150">
        <v>11</v>
      </c>
      <c r="Z150" t="s">
        <v>336</v>
      </c>
      <c r="AA150" t="s">
        <v>337</v>
      </c>
      <c r="AB150" t="s">
        <v>86</v>
      </c>
      <c r="AC150" t="s">
        <v>87</v>
      </c>
      <c r="AD150" t="s">
        <v>88</v>
      </c>
      <c r="AE150" t="s">
        <v>316</v>
      </c>
      <c r="AG150" t="s">
        <v>338</v>
      </c>
      <c r="AH150">
        <v>0</v>
      </c>
      <c r="AI150">
        <v>259</v>
      </c>
    </row>
    <row r="151" spans="1:35" x14ac:dyDescent="0.3">
      <c r="A151" t="s">
        <v>311</v>
      </c>
      <c r="B151">
        <v>16800</v>
      </c>
      <c r="C151">
        <v>1</v>
      </c>
      <c r="D151" t="s">
        <v>339</v>
      </c>
      <c r="E151" t="s">
        <v>340</v>
      </c>
      <c r="F151">
        <v>165</v>
      </c>
      <c r="G151">
        <v>19.3</v>
      </c>
      <c r="H151">
        <v>63.81</v>
      </c>
      <c r="I151">
        <v>16.53</v>
      </c>
      <c r="J151">
        <v>54.65</v>
      </c>
      <c r="K151">
        <v>15</v>
      </c>
      <c r="T151">
        <v>2</v>
      </c>
      <c r="U151">
        <v>1</v>
      </c>
      <c r="V151" t="s">
        <v>82</v>
      </c>
      <c r="W151">
        <v>63</v>
      </c>
      <c r="X151">
        <v>15</v>
      </c>
      <c r="Y151">
        <v>15</v>
      </c>
      <c r="Z151" t="s">
        <v>341</v>
      </c>
      <c r="AA151" t="s">
        <v>342</v>
      </c>
      <c r="AB151" t="s">
        <v>86</v>
      </c>
      <c r="AC151" t="s">
        <v>87</v>
      </c>
      <c r="AD151" t="s">
        <v>88</v>
      </c>
      <c r="AE151" t="s">
        <v>316</v>
      </c>
      <c r="AG151" t="s">
        <v>343</v>
      </c>
      <c r="AH151">
        <v>0</v>
      </c>
      <c r="AI151">
        <v>751</v>
      </c>
    </row>
    <row r="152" spans="1:35" x14ac:dyDescent="0.3">
      <c r="A152" t="s">
        <v>311</v>
      </c>
      <c r="B152">
        <v>16800</v>
      </c>
      <c r="C152">
        <v>2</v>
      </c>
      <c r="D152" t="s">
        <v>339</v>
      </c>
      <c r="E152" t="s">
        <v>340</v>
      </c>
      <c r="F152">
        <v>165</v>
      </c>
      <c r="G152">
        <v>20.7</v>
      </c>
      <c r="H152">
        <v>68.44</v>
      </c>
      <c r="I152">
        <v>17.72</v>
      </c>
      <c r="J152">
        <v>58.61</v>
      </c>
      <c r="K152">
        <v>45</v>
      </c>
      <c r="T152">
        <v>3</v>
      </c>
      <c r="U152">
        <v>1</v>
      </c>
      <c r="V152" t="s">
        <v>82</v>
      </c>
      <c r="W152">
        <v>68</v>
      </c>
      <c r="X152">
        <v>15</v>
      </c>
      <c r="Y152">
        <v>15</v>
      </c>
      <c r="Z152" t="s">
        <v>341</v>
      </c>
      <c r="AA152" t="s">
        <v>342</v>
      </c>
      <c r="AB152" t="s">
        <v>86</v>
      </c>
      <c r="AC152" t="s">
        <v>87</v>
      </c>
      <c r="AD152" t="s">
        <v>88</v>
      </c>
      <c r="AE152" t="s">
        <v>316</v>
      </c>
      <c r="AG152" t="s">
        <v>343</v>
      </c>
      <c r="AH152">
        <v>0</v>
      </c>
      <c r="AI152">
        <v>751</v>
      </c>
    </row>
    <row r="153" spans="1:35" x14ac:dyDescent="0.3">
      <c r="A153" t="s">
        <v>311</v>
      </c>
      <c r="B153">
        <v>16800</v>
      </c>
      <c r="C153">
        <v>3</v>
      </c>
      <c r="D153" t="s">
        <v>339</v>
      </c>
      <c r="E153" t="s">
        <v>340</v>
      </c>
      <c r="F153">
        <v>165</v>
      </c>
      <c r="G153">
        <v>24.01</v>
      </c>
      <c r="H153">
        <v>79.38</v>
      </c>
      <c r="I153">
        <v>18.04</v>
      </c>
      <c r="J153">
        <v>59.66</v>
      </c>
      <c r="K153">
        <v>45</v>
      </c>
      <c r="T153">
        <v>3</v>
      </c>
      <c r="U153">
        <v>1</v>
      </c>
      <c r="V153" t="s">
        <v>82</v>
      </c>
      <c r="W153">
        <v>79</v>
      </c>
      <c r="X153">
        <v>15</v>
      </c>
      <c r="Y153">
        <v>15</v>
      </c>
      <c r="Z153" t="s">
        <v>341</v>
      </c>
      <c r="AA153" t="s">
        <v>342</v>
      </c>
      <c r="AB153" t="s">
        <v>86</v>
      </c>
      <c r="AC153" t="s">
        <v>87</v>
      </c>
      <c r="AD153" t="s">
        <v>88</v>
      </c>
      <c r="AE153" t="s">
        <v>316</v>
      </c>
      <c r="AG153" t="s">
        <v>343</v>
      </c>
      <c r="AH153">
        <v>0</v>
      </c>
      <c r="AI153">
        <v>751</v>
      </c>
    </row>
    <row r="154" spans="1:35" x14ac:dyDescent="0.3">
      <c r="A154" t="s">
        <v>311</v>
      </c>
      <c r="B154">
        <v>16800</v>
      </c>
      <c r="C154">
        <v>4</v>
      </c>
      <c r="D154" t="s">
        <v>339</v>
      </c>
      <c r="E154" t="s">
        <v>340</v>
      </c>
      <c r="F154">
        <v>165</v>
      </c>
      <c r="G154">
        <v>29.31</v>
      </c>
      <c r="H154">
        <v>96.91</v>
      </c>
      <c r="I154">
        <v>25.1</v>
      </c>
      <c r="J154">
        <v>82.99</v>
      </c>
      <c r="K154">
        <v>60</v>
      </c>
      <c r="T154">
        <v>3</v>
      </c>
      <c r="U154">
        <v>2</v>
      </c>
      <c r="V154" t="s">
        <v>82</v>
      </c>
      <c r="W154">
        <v>96</v>
      </c>
      <c r="X154">
        <v>15</v>
      </c>
      <c r="Y154">
        <v>15</v>
      </c>
      <c r="Z154" t="s">
        <v>341</v>
      </c>
      <c r="AA154" t="s">
        <v>342</v>
      </c>
      <c r="AB154" t="s">
        <v>86</v>
      </c>
      <c r="AC154" t="s">
        <v>87</v>
      </c>
      <c r="AD154" t="s">
        <v>88</v>
      </c>
      <c r="AE154" t="s">
        <v>316</v>
      </c>
      <c r="AG154" t="s">
        <v>343</v>
      </c>
      <c r="AH154">
        <v>0</v>
      </c>
      <c r="AI154">
        <v>751</v>
      </c>
    </row>
    <row r="155" spans="1:35" x14ac:dyDescent="0.3">
      <c r="A155" t="s">
        <v>311</v>
      </c>
      <c r="B155">
        <v>15769</v>
      </c>
      <c r="C155">
        <v>1</v>
      </c>
      <c r="D155" t="s">
        <v>344</v>
      </c>
      <c r="E155" t="s">
        <v>105</v>
      </c>
      <c r="F155">
        <v>180</v>
      </c>
      <c r="G155">
        <v>20.97</v>
      </c>
      <c r="H155">
        <v>69.33</v>
      </c>
      <c r="I155">
        <v>16.170000000000002</v>
      </c>
      <c r="J155">
        <v>53.46</v>
      </c>
      <c r="K155">
        <v>60</v>
      </c>
      <c r="T155">
        <v>2</v>
      </c>
      <c r="U155">
        <v>1</v>
      </c>
      <c r="V155" t="s">
        <v>99</v>
      </c>
      <c r="W155" t="s">
        <v>345</v>
      </c>
      <c r="X155">
        <v>15</v>
      </c>
      <c r="Y155">
        <v>15</v>
      </c>
      <c r="Z155" t="s">
        <v>346</v>
      </c>
      <c r="AA155" t="s">
        <v>347</v>
      </c>
      <c r="AB155" t="s">
        <v>86</v>
      </c>
      <c r="AC155" t="s">
        <v>87</v>
      </c>
      <c r="AD155" t="s">
        <v>88</v>
      </c>
      <c r="AE155" t="s">
        <v>316</v>
      </c>
      <c r="AG155" t="s">
        <v>348</v>
      </c>
      <c r="AH155">
        <v>0</v>
      </c>
      <c r="AI155">
        <v>0</v>
      </c>
    </row>
    <row r="156" spans="1:35" x14ac:dyDescent="0.3">
      <c r="A156" t="s">
        <v>311</v>
      </c>
      <c r="B156">
        <v>15769</v>
      </c>
      <c r="C156">
        <v>2</v>
      </c>
      <c r="D156" t="s">
        <v>344</v>
      </c>
      <c r="E156" t="s">
        <v>105</v>
      </c>
      <c r="F156">
        <v>180</v>
      </c>
      <c r="G156">
        <v>20.97</v>
      </c>
      <c r="H156">
        <v>69.349999999999994</v>
      </c>
      <c r="I156">
        <v>17.309999999999999</v>
      </c>
      <c r="J156">
        <v>57.23</v>
      </c>
      <c r="K156">
        <v>30</v>
      </c>
      <c r="T156">
        <v>2</v>
      </c>
      <c r="U156">
        <v>1</v>
      </c>
      <c r="V156" t="s">
        <v>82</v>
      </c>
      <c r="W156" t="s">
        <v>349</v>
      </c>
      <c r="X156">
        <v>15</v>
      </c>
      <c r="Y156">
        <v>15</v>
      </c>
      <c r="Z156" t="s">
        <v>346</v>
      </c>
      <c r="AA156" t="s">
        <v>347</v>
      </c>
      <c r="AB156" t="s">
        <v>86</v>
      </c>
      <c r="AC156" t="s">
        <v>87</v>
      </c>
      <c r="AD156" t="s">
        <v>88</v>
      </c>
      <c r="AE156" t="s">
        <v>316</v>
      </c>
      <c r="AG156" t="s">
        <v>348</v>
      </c>
      <c r="AH156">
        <v>0</v>
      </c>
      <c r="AI156">
        <v>0</v>
      </c>
    </row>
    <row r="157" spans="1:35" x14ac:dyDescent="0.3">
      <c r="A157" t="s">
        <v>311</v>
      </c>
      <c r="B157">
        <v>15769</v>
      </c>
      <c r="C157">
        <v>3</v>
      </c>
      <c r="D157" t="s">
        <v>344</v>
      </c>
      <c r="E157" t="s">
        <v>105</v>
      </c>
      <c r="F157">
        <v>180</v>
      </c>
      <c r="G157">
        <v>21.72</v>
      </c>
      <c r="H157">
        <v>71.81</v>
      </c>
      <c r="I157">
        <v>18.05</v>
      </c>
      <c r="J157">
        <v>59.69</v>
      </c>
      <c r="K157">
        <v>30</v>
      </c>
      <c r="T157">
        <v>2</v>
      </c>
      <c r="U157">
        <v>1</v>
      </c>
      <c r="V157" t="s">
        <v>82</v>
      </c>
      <c r="W157">
        <v>71</v>
      </c>
      <c r="X157">
        <v>15</v>
      </c>
      <c r="Y157">
        <v>15</v>
      </c>
      <c r="Z157" t="s">
        <v>346</v>
      </c>
      <c r="AA157" t="s">
        <v>347</v>
      </c>
      <c r="AB157" t="s">
        <v>86</v>
      </c>
      <c r="AC157" t="s">
        <v>87</v>
      </c>
      <c r="AD157" t="s">
        <v>88</v>
      </c>
      <c r="AE157" t="s">
        <v>316</v>
      </c>
      <c r="AG157" t="s">
        <v>348</v>
      </c>
      <c r="AH157">
        <v>0</v>
      </c>
      <c r="AI157">
        <v>0</v>
      </c>
    </row>
    <row r="158" spans="1:35" x14ac:dyDescent="0.3">
      <c r="A158" t="s">
        <v>311</v>
      </c>
      <c r="B158">
        <v>15769</v>
      </c>
      <c r="C158">
        <v>4</v>
      </c>
      <c r="D158" t="s">
        <v>344</v>
      </c>
      <c r="E158" t="s">
        <v>105</v>
      </c>
      <c r="F158">
        <v>180</v>
      </c>
      <c r="G158">
        <v>28.23</v>
      </c>
      <c r="H158">
        <v>93.35</v>
      </c>
      <c r="I158">
        <v>24.47</v>
      </c>
      <c r="J158">
        <v>80.91</v>
      </c>
      <c r="K158">
        <v>30</v>
      </c>
      <c r="T158">
        <v>3</v>
      </c>
      <c r="U158">
        <v>2</v>
      </c>
      <c r="V158" t="s">
        <v>82</v>
      </c>
      <c r="W158">
        <v>93</v>
      </c>
      <c r="X158">
        <v>15</v>
      </c>
      <c r="Y158">
        <v>15</v>
      </c>
      <c r="Z158" t="s">
        <v>346</v>
      </c>
      <c r="AA158" t="s">
        <v>347</v>
      </c>
      <c r="AB158" t="s">
        <v>86</v>
      </c>
      <c r="AC158" t="s">
        <v>87</v>
      </c>
      <c r="AD158" t="s">
        <v>88</v>
      </c>
      <c r="AE158" t="s">
        <v>316</v>
      </c>
      <c r="AG158" t="s">
        <v>348</v>
      </c>
      <c r="AH158">
        <v>0</v>
      </c>
      <c r="AI158">
        <v>0</v>
      </c>
    </row>
    <row r="159" spans="1:35" x14ac:dyDescent="0.3">
      <c r="A159" t="s">
        <v>311</v>
      </c>
      <c r="B159">
        <v>15769</v>
      </c>
      <c r="C159">
        <v>5</v>
      </c>
      <c r="D159" t="s">
        <v>344</v>
      </c>
      <c r="E159" t="s">
        <v>105</v>
      </c>
      <c r="F159">
        <v>180</v>
      </c>
      <c r="G159">
        <v>28.86</v>
      </c>
      <c r="H159">
        <v>95.42</v>
      </c>
      <c r="I159">
        <v>25.1</v>
      </c>
      <c r="J159">
        <v>82.98</v>
      </c>
      <c r="K159">
        <v>30</v>
      </c>
      <c r="T159">
        <v>3</v>
      </c>
      <c r="U159">
        <v>2</v>
      </c>
      <c r="V159" t="s">
        <v>82</v>
      </c>
      <c r="W159">
        <v>95</v>
      </c>
      <c r="X159">
        <v>15</v>
      </c>
      <c r="Y159">
        <v>15</v>
      </c>
      <c r="Z159" t="s">
        <v>346</v>
      </c>
      <c r="AA159" t="s">
        <v>347</v>
      </c>
      <c r="AB159" t="s">
        <v>86</v>
      </c>
      <c r="AC159" t="s">
        <v>87</v>
      </c>
      <c r="AD159" t="s">
        <v>88</v>
      </c>
      <c r="AE159" t="s">
        <v>316</v>
      </c>
      <c r="AG159" t="s">
        <v>348</v>
      </c>
      <c r="AH159">
        <v>0</v>
      </c>
      <c r="AI159">
        <v>0</v>
      </c>
    </row>
    <row r="160" spans="1:35" x14ac:dyDescent="0.3">
      <c r="A160" t="s">
        <v>311</v>
      </c>
      <c r="B160">
        <v>15760</v>
      </c>
      <c r="C160">
        <v>1</v>
      </c>
      <c r="D160" t="s">
        <v>350</v>
      </c>
      <c r="E160" t="s">
        <v>351</v>
      </c>
      <c r="F160">
        <v>86</v>
      </c>
      <c r="G160">
        <v>29.12</v>
      </c>
      <c r="H160">
        <v>96.27</v>
      </c>
      <c r="I160">
        <v>21.68</v>
      </c>
      <c r="J160">
        <v>71.69</v>
      </c>
      <c r="K160">
        <v>26</v>
      </c>
      <c r="T160">
        <v>3</v>
      </c>
      <c r="U160">
        <v>1</v>
      </c>
      <c r="V160" t="s">
        <v>82</v>
      </c>
      <c r="W160">
        <v>96</v>
      </c>
      <c r="X160">
        <v>15</v>
      </c>
      <c r="Y160">
        <v>11</v>
      </c>
      <c r="Z160" t="s">
        <v>352</v>
      </c>
      <c r="AA160" t="s">
        <v>353</v>
      </c>
      <c r="AB160" t="s">
        <v>86</v>
      </c>
      <c r="AC160" t="s">
        <v>87</v>
      </c>
      <c r="AD160" t="s">
        <v>88</v>
      </c>
      <c r="AE160" t="s">
        <v>316</v>
      </c>
      <c r="AG160" t="s">
        <v>354</v>
      </c>
      <c r="AH160">
        <v>0</v>
      </c>
      <c r="AI160">
        <v>242</v>
      </c>
    </row>
    <row r="161" spans="1:35" x14ac:dyDescent="0.3">
      <c r="A161" t="s">
        <v>311</v>
      </c>
      <c r="B161">
        <v>15760</v>
      </c>
      <c r="C161">
        <v>2</v>
      </c>
      <c r="D161" t="s">
        <v>350</v>
      </c>
      <c r="E161" t="s">
        <v>351</v>
      </c>
      <c r="F161">
        <v>86</v>
      </c>
      <c r="G161">
        <v>32.020000000000003</v>
      </c>
      <c r="H161">
        <v>105.88</v>
      </c>
      <c r="I161">
        <v>23.85</v>
      </c>
      <c r="J161">
        <v>78.849999999999994</v>
      </c>
      <c r="K161">
        <v>60</v>
      </c>
      <c r="T161">
        <v>3</v>
      </c>
      <c r="U161">
        <v>1</v>
      </c>
      <c r="V161" t="s">
        <v>82</v>
      </c>
      <c r="W161">
        <v>105</v>
      </c>
      <c r="X161">
        <v>15</v>
      </c>
      <c r="Y161">
        <v>11</v>
      </c>
      <c r="Z161" t="s">
        <v>352</v>
      </c>
      <c r="AA161" t="s">
        <v>353</v>
      </c>
      <c r="AB161" t="s">
        <v>86</v>
      </c>
      <c r="AC161" t="s">
        <v>87</v>
      </c>
      <c r="AD161" t="s">
        <v>88</v>
      </c>
      <c r="AE161" t="s">
        <v>316</v>
      </c>
      <c r="AG161" t="s">
        <v>354</v>
      </c>
      <c r="AH161">
        <v>0</v>
      </c>
      <c r="AI161">
        <v>242</v>
      </c>
    </row>
    <row r="162" spans="1:35" x14ac:dyDescent="0.3">
      <c r="A162" t="s">
        <v>311</v>
      </c>
      <c r="B162">
        <v>120126</v>
      </c>
      <c r="C162">
        <v>1</v>
      </c>
      <c r="D162" t="s">
        <v>355</v>
      </c>
      <c r="E162" t="s">
        <v>356</v>
      </c>
      <c r="F162">
        <v>515</v>
      </c>
      <c r="G162">
        <v>28.6</v>
      </c>
      <c r="H162">
        <v>94.55</v>
      </c>
      <c r="I162">
        <v>20.8</v>
      </c>
      <c r="J162">
        <v>68.77</v>
      </c>
      <c r="K162">
        <v>263</v>
      </c>
      <c r="T162">
        <v>3</v>
      </c>
      <c r="U162">
        <v>2</v>
      </c>
      <c r="V162" t="s">
        <v>82</v>
      </c>
      <c r="W162">
        <v>94</v>
      </c>
      <c r="X162">
        <v>28</v>
      </c>
      <c r="Y162">
        <v>18</v>
      </c>
      <c r="Z162" t="s">
        <v>357</v>
      </c>
      <c r="AA162" t="s">
        <v>358</v>
      </c>
      <c r="AB162" t="s">
        <v>86</v>
      </c>
      <c r="AC162" t="s">
        <v>87</v>
      </c>
      <c r="AD162" t="s">
        <v>88</v>
      </c>
      <c r="AE162" t="s">
        <v>316</v>
      </c>
      <c r="AG162" t="s">
        <v>359</v>
      </c>
      <c r="AH162">
        <v>0</v>
      </c>
      <c r="AI162">
        <v>0</v>
      </c>
    </row>
    <row r="163" spans="1:35" x14ac:dyDescent="0.3">
      <c r="A163" t="s">
        <v>311</v>
      </c>
      <c r="B163">
        <v>120126</v>
      </c>
      <c r="C163">
        <v>2</v>
      </c>
      <c r="D163" t="s">
        <v>355</v>
      </c>
      <c r="E163" t="s">
        <v>356</v>
      </c>
      <c r="F163">
        <v>515</v>
      </c>
      <c r="G163">
        <v>29.93</v>
      </c>
      <c r="H163">
        <v>98.97</v>
      </c>
      <c r="I163">
        <v>21.44</v>
      </c>
      <c r="J163">
        <v>70.89</v>
      </c>
      <c r="K163">
        <v>146</v>
      </c>
      <c r="T163">
        <v>3</v>
      </c>
      <c r="U163">
        <v>2</v>
      </c>
      <c r="V163" t="s">
        <v>82</v>
      </c>
      <c r="W163">
        <v>98</v>
      </c>
      <c r="X163">
        <v>28</v>
      </c>
      <c r="Y163">
        <v>18</v>
      </c>
      <c r="Z163" t="s">
        <v>357</v>
      </c>
      <c r="AA163" t="s">
        <v>358</v>
      </c>
      <c r="AB163" t="s">
        <v>86</v>
      </c>
      <c r="AC163" t="s">
        <v>87</v>
      </c>
      <c r="AD163" t="s">
        <v>88</v>
      </c>
      <c r="AE163" t="s">
        <v>316</v>
      </c>
      <c r="AG163" t="s">
        <v>359</v>
      </c>
      <c r="AH163">
        <v>0</v>
      </c>
      <c r="AI163">
        <v>0</v>
      </c>
    </row>
    <row r="164" spans="1:35" x14ac:dyDescent="0.3">
      <c r="A164" t="s">
        <v>311</v>
      </c>
      <c r="B164">
        <v>120126</v>
      </c>
      <c r="C164">
        <v>3</v>
      </c>
      <c r="D164" t="s">
        <v>355</v>
      </c>
      <c r="E164" t="s">
        <v>356</v>
      </c>
      <c r="F164">
        <v>515</v>
      </c>
      <c r="G164">
        <v>35.18</v>
      </c>
      <c r="H164">
        <v>116.31</v>
      </c>
      <c r="I164">
        <v>25.67</v>
      </c>
      <c r="J164">
        <v>84.89</v>
      </c>
      <c r="K164">
        <v>106</v>
      </c>
      <c r="T164">
        <v>4</v>
      </c>
      <c r="U164">
        <v>2</v>
      </c>
      <c r="V164" t="s">
        <v>82</v>
      </c>
      <c r="W164">
        <v>116</v>
      </c>
      <c r="X164">
        <v>28</v>
      </c>
      <c r="Y164">
        <v>18</v>
      </c>
      <c r="Z164" t="s">
        <v>357</v>
      </c>
      <c r="AA164" t="s">
        <v>358</v>
      </c>
      <c r="AB164" t="s">
        <v>86</v>
      </c>
      <c r="AC164" t="s">
        <v>87</v>
      </c>
      <c r="AD164" t="s">
        <v>88</v>
      </c>
      <c r="AE164" t="s">
        <v>316</v>
      </c>
      <c r="AG164" t="s">
        <v>359</v>
      </c>
      <c r="AH164">
        <v>0</v>
      </c>
      <c r="AI164">
        <v>0</v>
      </c>
    </row>
    <row r="165" spans="1:35" x14ac:dyDescent="0.3">
      <c r="A165" t="s">
        <v>311</v>
      </c>
      <c r="B165">
        <v>125058</v>
      </c>
      <c r="C165">
        <v>1</v>
      </c>
      <c r="D165" t="s">
        <v>360</v>
      </c>
      <c r="E165" t="s">
        <v>361</v>
      </c>
      <c r="F165">
        <v>26</v>
      </c>
      <c r="G165">
        <v>26.96</v>
      </c>
      <c r="H165">
        <v>89.13</v>
      </c>
      <c r="I165">
        <v>20.52</v>
      </c>
      <c r="J165">
        <v>67.849999999999994</v>
      </c>
      <c r="K165">
        <v>2</v>
      </c>
      <c r="T165">
        <v>3</v>
      </c>
      <c r="U165">
        <v>2</v>
      </c>
      <c r="V165" t="s">
        <v>82</v>
      </c>
      <c r="W165">
        <v>89</v>
      </c>
      <c r="X165">
        <v>15</v>
      </c>
      <c r="Y165">
        <v>15</v>
      </c>
      <c r="Z165" t="s">
        <v>362</v>
      </c>
      <c r="AA165" t="s">
        <v>363</v>
      </c>
      <c r="AB165" t="s">
        <v>86</v>
      </c>
      <c r="AC165" t="s">
        <v>87</v>
      </c>
      <c r="AD165" t="s">
        <v>88</v>
      </c>
      <c r="AE165" t="s">
        <v>316</v>
      </c>
      <c r="AG165" t="s">
        <v>364</v>
      </c>
      <c r="AH165">
        <v>0</v>
      </c>
      <c r="AI165">
        <v>357</v>
      </c>
    </row>
    <row r="166" spans="1:35" x14ac:dyDescent="0.3">
      <c r="A166" t="s">
        <v>311</v>
      </c>
      <c r="B166">
        <v>125058</v>
      </c>
      <c r="C166">
        <v>2</v>
      </c>
      <c r="D166" t="s">
        <v>360</v>
      </c>
      <c r="E166" t="s">
        <v>361</v>
      </c>
      <c r="F166">
        <v>26</v>
      </c>
      <c r="G166">
        <v>28.59</v>
      </c>
      <c r="H166">
        <v>94.54</v>
      </c>
      <c r="I166">
        <v>21.75</v>
      </c>
      <c r="J166">
        <v>71.930000000000007</v>
      </c>
      <c r="K166">
        <v>11</v>
      </c>
      <c r="T166">
        <v>3</v>
      </c>
      <c r="U166">
        <v>2</v>
      </c>
      <c r="V166" t="s">
        <v>82</v>
      </c>
      <c r="W166">
        <v>94</v>
      </c>
      <c r="X166">
        <v>15</v>
      </c>
      <c r="Y166">
        <v>15</v>
      </c>
      <c r="Z166" t="s">
        <v>362</v>
      </c>
      <c r="AA166" t="s">
        <v>363</v>
      </c>
      <c r="AB166" t="s">
        <v>86</v>
      </c>
      <c r="AC166" t="s">
        <v>87</v>
      </c>
      <c r="AD166" t="s">
        <v>88</v>
      </c>
      <c r="AE166" t="s">
        <v>316</v>
      </c>
      <c r="AG166" t="s">
        <v>364</v>
      </c>
      <c r="AH166">
        <v>0</v>
      </c>
      <c r="AI166">
        <v>357</v>
      </c>
    </row>
    <row r="167" spans="1:35" x14ac:dyDescent="0.3">
      <c r="A167" t="s">
        <v>311</v>
      </c>
      <c r="B167">
        <v>125058</v>
      </c>
      <c r="C167">
        <v>3</v>
      </c>
      <c r="D167" t="s">
        <v>360</v>
      </c>
      <c r="E167" t="s">
        <v>361</v>
      </c>
      <c r="F167">
        <v>26</v>
      </c>
      <c r="G167">
        <v>29.65</v>
      </c>
      <c r="H167">
        <v>98.03</v>
      </c>
      <c r="I167">
        <v>22.7</v>
      </c>
      <c r="J167">
        <v>75.069999999999993</v>
      </c>
      <c r="K167">
        <v>13</v>
      </c>
      <c r="T167">
        <v>3</v>
      </c>
      <c r="U167">
        <v>2</v>
      </c>
      <c r="V167" t="s">
        <v>82</v>
      </c>
      <c r="W167">
        <v>98</v>
      </c>
      <c r="X167">
        <v>15</v>
      </c>
      <c r="Y167">
        <v>15</v>
      </c>
      <c r="Z167" t="s">
        <v>362</v>
      </c>
      <c r="AA167" t="s">
        <v>363</v>
      </c>
      <c r="AB167" t="s">
        <v>86</v>
      </c>
      <c r="AC167" t="s">
        <v>87</v>
      </c>
      <c r="AD167" t="s">
        <v>88</v>
      </c>
      <c r="AE167" t="s">
        <v>316</v>
      </c>
      <c r="AG167" t="s">
        <v>364</v>
      </c>
      <c r="AH167">
        <v>0</v>
      </c>
      <c r="AI167">
        <v>357</v>
      </c>
    </row>
    <row r="168" spans="1:35" x14ac:dyDescent="0.3">
      <c r="A168" t="s">
        <v>311</v>
      </c>
      <c r="B168">
        <v>16798</v>
      </c>
      <c r="C168">
        <v>1</v>
      </c>
      <c r="D168" t="s">
        <v>365</v>
      </c>
      <c r="E168" t="s">
        <v>366</v>
      </c>
      <c r="F168">
        <v>131</v>
      </c>
      <c r="G168">
        <v>26.13</v>
      </c>
      <c r="H168">
        <v>86.39</v>
      </c>
      <c r="I168">
        <v>17.55</v>
      </c>
      <c r="J168">
        <v>58.02</v>
      </c>
      <c r="K168">
        <v>75</v>
      </c>
      <c r="T168">
        <v>3</v>
      </c>
      <c r="U168">
        <v>1</v>
      </c>
      <c r="V168" t="s">
        <v>99</v>
      </c>
      <c r="W168">
        <v>86</v>
      </c>
      <c r="X168">
        <v>15</v>
      </c>
      <c r="Y168">
        <v>14</v>
      </c>
      <c r="Z168" t="s">
        <v>367</v>
      </c>
      <c r="AA168" t="s">
        <v>368</v>
      </c>
      <c r="AB168" t="s">
        <v>86</v>
      </c>
      <c r="AC168" t="s">
        <v>87</v>
      </c>
      <c r="AD168" t="s">
        <v>88</v>
      </c>
      <c r="AE168" t="s">
        <v>316</v>
      </c>
      <c r="AG168" t="s">
        <v>369</v>
      </c>
      <c r="AH168">
        <v>0</v>
      </c>
      <c r="AI168">
        <v>387</v>
      </c>
    </row>
    <row r="169" spans="1:35" x14ac:dyDescent="0.3">
      <c r="A169" t="s">
        <v>311</v>
      </c>
      <c r="B169">
        <v>16798</v>
      </c>
      <c r="C169">
        <v>2</v>
      </c>
      <c r="D169" t="s">
        <v>365</v>
      </c>
      <c r="E169" t="s">
        <v>366</v>
      </c>
      <c r="F169">
        <v>131</v>
      </c>
      <c r="G169">
        <v>33.700000000000003</v>
      </c>
      <c r="H169">
        <v>111.43</v>
      </c>
      <c r="I169">
        <v>24.61</v>
      </c>
      <c r="J169">
        <v>81.37</v>
      </c>
      <c r="K169">
        <v>56</v>
      </c>
      <c r="T169">
        <v>3</v>
      </c>
      <c r="U169">
        <v>1</v>
      </c>
      <c r="V169" t="s">
        <v>82</v>
      </c>
      <c r="W169">
        <v>111</v>
      </c>
      <c r="X169">
        <v>15</v>
      </c>
      <c r="Y169">
        <v>14</v>
      </c>
      <c r="Z169" t="s">
        <v>367</v>
      </c>
      <c r="AA169" t="s">
        <v>368</v>
      </c>
      <c r="AB169" t="s">
        <v>86</v>
      </c>
      <c r="AC169" t="s">
        <v>87</v>
      </c>
      <c r="AD169" t="s">
        <v>88</v>
      </c>
      <c r="AE169" t="s">
        <v>316</v>
      </c>
      <c r="AG169" t="s">
        <v>369</v>
      </c>
      <c r="AH169">
        <v>0</v>
      </c>
      <c r="AI169">
        <v>387</v>
      </c>
    </row>
    <row r="170" spans="1:35" x14ac:dyDescent="0.3">
      <c r="A170" t="s">
        <v>311</v>
      </c>
      <c r="B170">
        <v>131043</v>
      </c>
      <c r="C170">
        <v>1</v>
      </c>
      <c r="D170" t="s">
        <v>370</v>
      </c>
      <c r="E170" t="s">
        <v>371</v>
      </c>
      <c r="F170">
        <v>67</v>
      </c>
      <c r="G170">
        <v>21.28</v>
      </c>
      <c r="H170">
        <v>70.349999999999994</v>
      </c>
      <c r="I170">
        <v>17.82</v>
      </c>
      <c r="J170">
        <v>58.92</v>
      </c>
      <c r="K170">
        <v>25</v>
      </c>
      <c r="T170">
        <v>3</v>
      </c>
      <c r="U170">
        <v>1</v>
      </c>
      <c r="V170" t="s">
        <v>82</v>
      </c>
      <c r="W170">
        <v>70</v>
      </c>
      <c r="X170">
        <v>15</v>
      </c>
      <c r="Y170">
        <v>10</v>
      </c>
      <c r="Z170" t="s">
        <v>372</v>
      </c>
      <c r="AA170" t="s">
        <v>373</v>
      </c>
      <c r="AB170" t="s">
        <v>86</v>
      </c>
      <c r="AC170" t="s">
        <v>87</v>
      </c>
      <c r="AD170" t="s">
        <v>88</v>
      </c>
      <c r="AE170" t="s">
        <v>316</v>
      </c>
      <c r="AG170" t="s">
        <v>374</v>
      </c>
      <c r="AH170">
        <v>0</v>
      </c>
      <c r="AI170">
        <v>332</v>
      </c>
    </row>
    <row r="171" spans="1:35" x14ac:dyDescent="0.3">
      <c r="A171" t="s">
        <v>311</v>
      </c>
      <c r="B171">
        <v>131043</v>
      </c>
      <c r="C171">
        <v>2</v>
      </c>
      <c r="D171" t="s">
        <v>370</v>
      </c>
      <c r="E171" t="s">
        <v>371</v>
      </c>
      <c r="F171">
        <v>67</v>
      </c>
      <c r="G171">
        <v>25.99</v>
      </c>
      <c r="H171">
        <v>85.93</v>
      </c>
      <c r="I171">
        <v>21.77</v>
      </c>
      <c r="J171">
        <v>71.97</v>
      </c>
      <c r="K171">
        <v>4</v>
      </c>
      <c r="T171">
        <v>3</v>
      </c>
      <c r="U171">
        <v>2</v>
      </c>
      <c r="V171" t="s">
        <v>82</v>
      </c>
      <c r="W171">
        <v>85</v>
      </c>
      <c r="X171">
        <v>15</v>
      </c>
      <c r="Y171">
        <v>10</v>
      </c>
      <c r="Z171" t="s">
        <v>372</v>
      </c>
      <c r="AA171" t="s">
        <v>373</v>
      </c>
      <c r="AB171" t="s">
        <v>86</v>
      </c>
      <c r="AC171" t="s">
        <v>87</v>
      </c>
      <c r="AD171" t="s">
        <v>88</v>
      </c>
      <c r="AE171" t="s">
        <v>316</v>
      </c>
      <c r="AG171" t="s">
        <v>374</v>
      </c>
      <c r="AH171">
        <v>0</v>
      </c>
      <c r="AI171">
        <v>332</v>
      </c>
    </row>
    <row r="172" spans="1:35" x14ac:dyDescent="0.3">
      <c r="A172" t="s">
        <v>311</v>
      </c>
      <c r="B172">
        <v>131043</v>
      </c>
      <c r="C172">
        <v>3</v>
      </c>
      <c r="D172" t="s">
        <v>370</v>
      </c>
      <c r="E172" t="s">
        <v>371</v>
      </c>
      <c r="F172">
        <v>67</v>
      </c>
      <c r="G172">
        <v>27.42</v>
      </c>
      <c r="H172">
        <v>90.66</v>
      </c>
      <c r="I172">
        <v>23.99</v>
      </c>
      <c r="J172">
        <v>79.319999999999993</v>
      </c>
      <c r="K172">
        <v>14</v>
      </c>
      <c r="T172">
        <v>3</v>
      </c>
      <c r="U172">
        <v>2</v>
      </c>
      <c r="V172" t="s">
        <v>82</v>
      </c>
      <c r="W172">
        <v>90</v>
      </c>
      <c r="X172">
        <v>15</v>
      </c>
      <c r="Y172">
        <v>10</v>
      </c>
      <c r="Z172" t="s">
        <v>372</v>
      </c>
      <c r="AA172" t="s">
        <v>373</v>
      </c>
      <c r="AB172" t="s">
        <v>86</v>
      </c>
      <c r="AC172" t="s">
        <v>87</v>
      </c>
      <c r="AD172" t="s">
        <v>88</v>
      </c>
      <c r="AE172" t="s">
        <v>316</v>
      </c>
      <c r="AG172" t="s">
        <v>374</v>
      </c>
      <c r="AH172">
        <v>0</v>
      </c>
      <c r="AI172">
        <v>332</v>
      </c>
    </row>
    <row r="173" spans="1:35" x14ac:dyDescent="0.3">
      <c r="A173" t="s">
        <v>311</v>
      </c>
      <c r="B173">
        <v>131043</v>
      </c>
      <c r="C173">
        <v>4</v>
      </c>
      <c r="D173" t="s">
        <v>370</v>
      </c>
      <c r="E173" t="s">
        <v>371</v>
      </c>
      <c r="F173">
        <v>67</v>
      </c>
      <c r="G173">
        <v>28.15</v>
      </c>
      <c r="H173">
        <v>93.09</v>
      </c>
      <c r="I173">
        <v>24.72</v>
      </c>
      <c r="J173">
        <v>81.75</v>
      </c>
      <c r="K173">
        <v>14</v>
      </c>
      <c r="T173">
        <v>3</v>
      </c>
      <c r="U173">
        <v>2</v>
      </c>
      <c r="V173" t="s">
        <v>82</v>
      </c>
      <c r="W173">
        <v>93</v>
      </c>
      <c r="X173">
        <v>15</v>
      </c>
      <c r="Y173">
        <v>10</v>
      </c>
      <c r="Z173" t="s">
        <v>372</v>
      </c>
      <c r="AA173" t="s">
        <v>373</v>
      </c>
      <c r="AB173" t="s">
        <v>86</v>
      </c>
      <c r="AC173" t="s">
        <v>87</v>
      </c>
      <c r="AD173" t="s">
        <v>88</v>
      </c>
      <c r="AE173" t="s">
        <v>316</v>
      </c>
      <c r="AG173" t="s">
        <v>374</v>
      </c>
      <c r="AH173">
        <v>0</v>
      </c>
      <c r="AI173">
        <v>332</v>
      </c>
    </row>
    <row r="174" spans="1:35" x14ac:dyDescent="0.3">
      <c r="A174" t="s">
        <v>311</v>
      </c>
      <c r="B174">
        <v>131043</v>
      </c>
      <c r="C174">
        <v>5</v>
      </c>
      <c r="D174" t="s">
        <v>370</v>
      </c>
      <c r="E174" t="s">
        <v>371</v>
      </c>
      <c r="F174">
        <v>67</v>
      </c>
      <c r="G174">
        <v>38.409999999999997</v>
      </c>
      <c r="H174">
        <v>126.98</v>
      </c>
      <c r="I174">
        <v>32.17</v>
      </c>
      <c r="J174">
        <v>106.35</v>
      </c>
      <c r="K174">
        <v>10</v>
      </c>
      <c r="T174">
        <v>4</v>
      </c>
      <c r="U174">
        <v>2</v>
      </c>
      <c r="V174" t="s">
        <v>82</v>
      </c>
      <c r="W174">
        <v>126</v>
      </c>
      <c r="X174">
        <v>15</v>
      </c>
      <c r="Y174">
        <v>10</v>
      </c>
      <c r="Z174" t="s">
        <v>372</v>
      </c>
      <c r="AA174" t="s">
        <v>373</v>
      </c>
      <c r="AB174" t="s">
        <v>86</v>
      </c>
      <c r="AC174" t="s">
        <v>87</v>
      </c>
      <c r="AD174" t="s">
        <v>88</v>
      </c>
      <c r="AE174" t="s">
        <v>316</v>
      </c>
      <c r="AG174" t="s">
        <v>374</v>
      </c>
      <c r="AH174">
        <v>0</v>
      </c>
      <c r="AI174">
        <v>332</v>
      </c>
    </row>
    <row r="175" spans="1:35" x14ac:dyDescent="0.3">
      <c r="A175" t="s">
        <v>311</v>
      </c>
      <c r="B175">
        <v>136962</v>
      </c>
      <c r="C175">
        <v>1</v>
      </c>
      <c r="D175" t="s">
        <v>375</v>
      </c>
      <c r="E175" t="s">
        <v>376</v>
      </c>
      <c r="F175">
        <v>70</v>
      </c>
      <c r="G175">
        <v>16.899999999999999</v>
      </c>
      <c r="H175">
        <v>55.9</v>
      </c>
      <c r="I175">
        <v>15.05</v>
      </c>
      <c r="J175">
        <v>49.77</v>
      </c>
      <c r="K175">
        <v>4</v>
      </c>
      <c r="T175">
        <v>2</v>
      </c>
      <c r="U175">
        <v>1</v>
      </c>
      <c r="V175" t="s">
        <v>82</v>
      </c>
      <c r="W175" t="s">
        <v>377</v>
      </c>
      <c r="X175">
        <v>6</v>
      </c>
      <c r="Y175">
        <v>3</v>
      </c>
      <c r="Z175" t="s">
        <v>378</v>
      </c>
      <c r="AA175" t="s">
        <v>379</v>
      </c>
      <c r="AB175" t="s">
        <v>86</v>
      </c>
      <c r="AC175" t="s">
        <v>87</v>
      </c>
      <c r="AD175" t="s">
        <v>88</v>
      </c>
      <c r="AE175" t="s">
        <v>316</v>
      </c>
      <c r="AG175" t="s">
        <v>380</v>
      </c>
      <c r="AH175">
        <v>0</v>
      </c>
      <c r="AI175">
        <v>0</v>
      </c>
    </row>
    <row r="176" spans="1:35" x14ac:dyDescent="0.3">
      <c r="A176" t="s">
        <v>311</v>
      </c>
      <c r="B176">
        <v>136962</v>
      </c>
      <c r="C176">
        <v>2</v>
      </c>
      <c r="D176" t="s">
        <v>375</v>
      </c>
      <c r="E176" t="s">
        <v>376</v>
      </c>
      <c r="F176">
        <v>70</v>
      </c>
      <c r="G176">
        <v>17.36</v>
      </c>
      <c r="H176">
        <v>57.42</v>
      </c>
      <c r="I176">
        <v>15.26</v>
      </c>
      <c r="J176">
        <v>50.46</v>
      </c>
      <c r="K176">
        <v>2</v>
      </c>
      <c r="T176">
        <v>2</v>
      </c>
      <c r="U176">
        <v>1</v>
      </c>
      <c r="V176" t="s">
        <v>82</v>
      </c>
      <c r="W176" t="s">
        <v>381</v>
      </c>
      <c r="X176">
        <v>6</v>
      </c>
      <c r="Y176">
        <v>3</v>
      </c>
      <c r="Z176" t="s">
        <v>378</v>
      </c>
      <c r="AA176" t="s">
        <v>379</v>
      </c>
      <c r="AB176" t="s">
        <v>86</v>
      </c>
      <c r="AC176" t="s">
        <v>87</v>
      </c>
      <c r="AD176" t="s">
        <v>88</v>
      </c>
      <c r="AE176" t="s">
        <v>316</v>
      </c>
      <c r="AG176" t="s">
        <v>380</v>
      </c>
      <c r="AH176">
        <v>0</v>
      </c>
      <c r="AI176">
        <v>0</v>
      </c>
    </row>
    <row r="177" spans="1:35" x14ac:dyDescent="0.3">
      <c r="A177" t="s">
        <v>311</v>
      </c>
      <c r="B177">
        <v>136962</v>
      </c>
      <c r="C177">
        <v>3</v>
      </c>
      <c r="D177" t="s">
        <v>375</v>
      </c>
      <c r="E177" t="s">
        <v>376</v>
      </c>
      <c r="F177">
        <v>70</v>
      </c>
      <c r="G177">
        <v>17.579999999999998</v>
      </c>
      <c r="H177">
        <v>58.14</v>
      </c>
      <c r="I177">
        <v>15.48</v>
      </c>
      <c r="J177">
        <v>51.18</v>
      </c>
      <c r="K177">
        <v>2</v>
      </c>
      <c r="T177">
        <v>2</v>
      </c>
      <c r="U177">
        <v>1</v>
      </c>
      <c r="V177" t="s">
        <v>82</v>
      </c>
      <c r="W177" t="s">
        <v>382</v>
      </c>
      <c r="X177">
        <v>6</v>
      </c>
      <c r="Y177">
        <v>3</v>
      </c>
      <c r="Z177" t="s">
        <v>378</v>
      </c>
      <c r="AA177" t="s">
        <v>379</v>
      </c>
      <c r="AB177" t="s">
        <v>86</v>
      </c>
      <c r="AC177" t="s">
        <v>87</v>
      </c>
      <c r="AD177" t="s">
        <v>88</v>
      </c>
      <c r="AE177" t="s">
        <v>316</v>
      </c>
      <c r="AG177" t="s">
        <v>380</v>
      </c>
      <c r="AH177">
        <v>0</v>
      </c>
      <c r="AI177">
        <v>0</v>
      </c>
    </row>
    <row r="178" spans="1:35" x14ac:dyDescent="0.3">
      <c r="A178" t="s">
        <v>311</v>
      </c>
      <c r="B178">
        <v>136962</v>
      </c>
      <c r="C178">
        <v>4</v>
      </c>
      <c r="D178" t="s">
        <v>375</v>
      </c>
      <c r="E178" t="s">
        <v>376</v>
      </c>
      <c r="F178">
        <v>70</v>
      </c>
      <c r="G178">
        <v>18.14</v>
      </c>
      <c r="H178">
        <v>59.97</v>
      </c>
      <c r="I178">
        <v>16.03</v>
      </c>
      <c r="J178">
        <v>53.01</v>
      </c>
      <c r="K178">
        <v>2</v>
      </c>
      <c r="T178">
        <v>3</v>
      </c>
      <c r="U178">
        <v>1</v>
      </c>
      <c r="V178" t="s">
        <v>82</v>
      </c>
      <c r="W178" t="s">
        <v>383</v>
      </c>
      <c r="X178">
        <v>6</v>
      </c>
      <c r="Y178">
        <v>3</v>
      </c>
      <c r="Z178" t="s">
        <v>378</v>
      </c>
      <c r="AA178" t="s">
        <v>379</v>
      </c>
      <c r="AB178" t="s">
        <v>86</v>
      </c>
      <c r="AC178" t="s">
        <v>87</v>
      </c>
      <c r="AD178" t="s">
        <v>88</v>
      </c>
      <c r="AE178" t="s">
        <v>316</v>
      </c>
      <c r="AG178" t="s">
        <v>380</v>
      </c>
      <c r="AH178">
        <v>0</v>
      </c>
      <c r="AI178">
        <v>0</v>
      </c>
    </row>
    <row r="179" spans="1:35" x14ac:dyDescent="0.3">
      <c r="A179" t="s">
        <v>311</v>
      </c>
      <c r="B179">
        <v>136962</v>
      </c>
      <c r="C179">
        <v>5</v>
      </c>
      <c r="D179" t="s">
        <v>375</v>
      </c>
      <c r="E179" t="s">
        <v>376</v>
      </c>
      <c r="F179">
        <v>70</v>
      </c>
      <c r="G179">
        <v>17.95</v>
      </c>
      <c r="H179">
        <v>59.37</v>
      </c>
      <c r="I179">
        <v>15.48</v>
      </c>
      <c r="J179">
        <v>51.18</v>
      </c>
      <c r="K179">
        <v>1</v>
      </c>
      <c r="T179">
        <v>2</v>
      </c>
      <c r="U179">
        <v>1</v>
      </c>
      <c r="V179" t="s">
        <v>82</v>
      </c>
      <c r="W179" t="s">
        <v>384</v>
      </c>
      <c r="X179">
        <v>6</v>
      </c>
      <c r="Y179">
        <v>3</v>
      </c>
      <c r="Z179" t="s">
        <v>378</v>
      </c>
      <c r="AA179" t="s">
        <v>379</v>
      </c>
      <c r="AB179" t="s">
        <v>86</v>
      </c>
      <c r="AC179" t="s">
        <v>87</v>
      </c>
      <c r="AD179" t="s">
        <v>88</v>
      </c>
      <c r="AE179" t="s">
        <v>316</v>
      </c>
      <c r="AG179" t="s">
        <v>380</v>
      </c>
      <c r="AH179">
        <v>0</v>
      </c>
      <c r="AI179">
        <v>0</v>
      </c>
    </row>
    <row r="180" spans="1:35" x14ac:dyDescent="0.3">
      <c r="A180" t="s">
        <v>311</v>
      </c>
      <c r="B180">
        <v>136962</v>
      </c>
      <c r="C180">
        <v>6</v>
      </c>
      <c r="D180" t="s">
        <v>375</v>
      </c>
      <c r="E180" t="s">
        <v>376</v>
      </c>
      <c r="F180">
        <v>70</v>
      </c>
      <c r="G180">
        <v>18.420000000000002</v>
      </c>
      <c r="H180">
        <v>60.9</v>
      </c>
      <c r="I180">
        <v>15.26</v>
      </c>
      <c r="J180">
        <v>50.46</v>
      </c>
      <c r="K180">
        <v>1</v>
      </c>
      <c r="T180">
        <v>2</v>
      </c>
      <c r="U180">
        <v>1</v>
      </c>
      <c r="V180" t="s">
        <v>82</v>
      </c>
      <c r="W180" t="s">
        <v>385</v>
      </c>
      <c r="X180">
        <v>6</v>
      </c>
      <c r="Y180">
        <v>3</v>
      </c>
      <c r="Z180" t="s">
        <v>378</v>
      </c>
      <c r="AA180" t="s">
        <v>379</v>
      </c>
      <c r="AB180" t="s">
        <v>86</v>
      </c>
      <c r="AC180" t="s">
        <v>87</v>
      </c>
      <c r="AD180" t="s">
        <v>88</v>
      </c>
      <c r="AE180" t="s">
        <v>316</v>
      </c>
      <c r="AG180" t="s">
        <v>380</v>
      </c>
      <c r="AH180">
        <v>0</v>
      </c>
      <c r="AI180">
        <v>0</v>
      </c>
    </row>
    <row r="181" spans="1:35" x14ac:dyDescent="0.3">
      <c r="A181" t="s">
        <v>311</v>
      </c>
      <c r="B181">
        <v>136962</v>
      </c>
      <c r="C181">
        <v>7</v>
      </c>
      <c r="D181" t="s">
        <v>375</v>
      </c>
      <c r="E181" t="s">
        <v>376</v>
      </c>
      <c r="F181">
        <v>70</v>
      </c>
      <c r="G181">
        <v>19.07</v>
      </c>
      <c r="H181">
        <v>63.07</v>
      </c>
      <c r="I181">
        <v>16.98</v>
      </c>
      <c r="J181">
        <v>56.16</v>
      </c>
      <c r="K181">
        <v>4</v>
      </c>
      <c r="T181">
        <v>3</v>
      </c>
      <c r="U181">
        <v>2</v>
      </c>
      <c r="V181" t="s">
        <v>82</v>
      </c>
      <c r="W181" t="s">
        <v>386</v>
      </c>
      <c r="X181">
        <v>6</v>
      </c>
      <c r="Y181">
        <v>3</v>
      </c>
      <c r="Z181" t="s">
        <v>378</v>
      </c>
      <c r="AA181" t="s">
        <v>379</v>
      </c>
      <c r="AB181" t="s">
        <v>86</v>
      </c>
      <c r="AC181" t="s">
        <v>87</v>
      </c>
      <c r="AD181" t="s">
        <v>88</v>
      </c>
      <c r="AE181" t="s">
        <v>316</v>
      </c>
      <c r="AG181" t="s">
        <v>380</v>
      </c>
      <c r="AH181">
        <v>0</v>
      </c>
      <c r="AI181">
        <v>0</v>
      </c>
    </row>
    <row r="182" spans="1:35" x14ac:dyDescent="0.3">
      <c r="A182" t="s">
        <v>311</v>
      </c>
      <c r="B182">
        <v>136962</v>
      </c>
      <c r="C182">
        <v>8</v>
      </c>
      <c r="D182" t="s">
        <v>375</v>
      </c>
      <c r="E182" t="s">
        <v>376</v>
      </c>
      <c r="F182">
        <v>70</v>
      </c>
      <c r="G182">
        <v>19.190000000000001</v>
      </c>
      <c r="H182">
        <v>63.45</v>
      </c>
      <c r="I182">
        <v>16.03</v>
      </c>
      <c r="J182">
        <v>53.01</v>
      </c>
      <c r="K182">
        <v>1</v>
      </c>
      <c r="T182">
        <v>3</v>
      </c>
      <c r="U182">
        <v>1</v>
      </c>
      <c r="V182" t="s">
        <v>82</v>
      </c>
      <c r="W182" t="s">
        <v>387</v>
      </c>
      <c r="X182">
        <v>6</v>
      </c>
      <c r="Y182">
        <v>3</v>
      </c>
      <c r="Z182" t="s">
        <v>378</v>
      </c>
      <c r="AA182" t="s">
        <v>379</v>
      </c>
      <c r="AB182" t="s">
        <v>86</v>
      </c>
      <c r="AC182" t="s">
        <v>87</v>
      </c>
      <c r="AD182" t="s">
        <v>88</v>
      </c>
      <c r="AE182" t="s">
        <v>316</v>
      </c>
      <c r="AG182" t="s">
        <v>380</v>
      </c>
      <c r="AH182">
        <v>0</v>
      </c>
      <c r="AI182">
        <v>0</v>
      </c>
    </row>
    <row r="183" spans="1:35" x14ac:dyDescent="0.3">
      <c r="A183" t="s">
        <v>311</v>
      </c>
      <c r="B183">
        <v>136962</v>
      </c>
      <c r="C183">
        <v>9</v>
      </c>
      <c r="D183" t="s">
        <v>375</v>
      </c>
      <c r="E183" t="s">
        <v>376</v>
      </c>
      <c r="F183">
        <v>70</v>
      </c>
      <c r="G183">
        <v>19.100000000000001</v>
      </c>
      <c r="H183">
        <v>63.15</v>
      </c>
      <c r="I183">
        <v>16.62</v>
      </c>
      <c r="J183">
        <v>54.96</v>
      </c>
      <c r="K183">
        <v>1</v>
      </c>
      <c r="T183">
        <v>3</v>
      </c>
      <c r="U183">
        <v>1</v>
      </c>
      <c r="V183" t="s">
        <v>82</v>
      </c>
      <c r="W183" t="s">
        <v>388</v>
      </c>
      <c r="X183">
        <v>6</v>
      </c>
      <c r="Y183">
        <v>3</v>
      </c>
      <c r="Z183" t="s">
        <v>378</v>
      </c>
      <c r="AA183" t="s">
        <v>379</v>
      </c>
      <c r="AB183" t="s">
        <v>86</v>
      </c>
      <c r="AC183" t="s">
        <v>87</v>
      </c>
      <c r="AD183" t="s">
        <v>88</v>
      </c>
      <c r="AE183" t="s">
        <v>316</v>
      </c>
      <c r="AG183" t="s">
        <v>380</v>
      </c>
      <c r="AH183">
        <v>0</v>
      </c>
      <c r="AI183">
        <v>0</v>
      </c>
    </row>
    <row r="184" spans="1:35" x14ac:dyDescent="0.3">
      <c r="A184" t="s">
        <v>311</v>
      </c>
      <c r="B184">
        <v>136962</v>
      </c>
      <c r="C184">
        <v>10</v>
      </c>
      <c r="D184" t="s">
        <v>375</v>
      </c>
      <c r="E184" t="s">
        <v>376</v>
      </c>
      <c r="F184">
        <v>70</v>
      </c>
      <c r="G184">
        <v>23.78</v>
      </c>
      <c r="H184">
        <v>78.62</v>
      </c>
      <c r="I184">
        <v>18.670000000000002</v>
      </c>
      <c r="J184">
        <v>61.73</v>
      </c>
      <c r="K184">
        <v>6</v>
      </c>
      <c r="T184">
        <v>3</v>
      </c>
      <c r="U184">
        <v>2</v>
      </c>
      <c r="V184" t="s">
        <v>82</v>
      </c>
      <c r="W184" t="s">
        <v>389</v>
      </c>
      <c r="X184">
        <v>6</v>
      </c>
      <c r="Y184">
        <v>3</v>
      </c>
      <c r="Z184" t="s">
        <v>378</v>
      </c>
      <c r="AA184" t="s">
        <v>379</v>
      </c>
      <c r="AB184" t="s">
        <v>86</v>
      </c>
      <c r="AC184" t="s">
        <v>87</v>
      </c>
      <c r="AD184" t="s">
        <v>88</v>
      </c>
      <c r="AE184" t="s">
        <v>316</v>
      </c>
      <c r="AG184" t="s">
        <v>380</v>
      </c>
      <c r="AH184">
        <v>0</v>
      </c>
      <c r="AI184">
        <v>0</v>
      </c>
    </row>
    <row r="185" spans="1:35" x14ac:dyDescent="0.3">
      <c r="A185" t="s">
        <v>311</v>
      </c>
      <c r="B185">
        <v>136962</v>
      </c>
      <c r="C185">
        <v>11</v>
      </c>
      <c r="D185" t="s">
        <v>375</v>
      </c>
      <c r="E185" t="s">
        <v>376</v>
      </c>
      <c r="F185">
        <v>70</v>
      </c>
      <c r="G185">
        <v>23.97</v>
      </c>
      <c r="H185">
        <v>79.239999999999995</v>
      </c>
      <c r="I185">
        <v>18.61</v>
      </c>
      <c r="J185">
        <v>61.53</v>
      </c>
      <c r="K185">
        <v>6</v>
      </c>
      <c r="T185">
        <v>3</v>
      </c>
      <c r="U185">
        <v>2</v>
      </c>
      <c r="V185" t="s">
        <v>82</v>
      </c>
      <c r="W185" t="s">
        <v>390</v>
      </c>
      <c r="X185">
        <v>6</v>
      </c>
      <c r="Y185">
        <v>3</v>
      </c>
      <c r="Z185" t="s">
        <v>378</v>
      </c>
      <c r="AA185" t="s">
        <v>379</v>
      </c>
      <c r="AB185" t="s">
        <v>86</v>
      </c>
      <c r="AC185" t="s">
        <v>87</v>
      </c>
      <c r="AD185" t="s">
        <v>88</v>
      </c>
      <c r="AE185" t="s">
        <v>316</v>
      </c>
      <c r="AG185" t="s">
        <v>380</v>
      </c>
      <c r="AH185">
        <v>0</v>
      </c>
      <c r="AI185">
        <v>0</v>
      </c>
    </row>
    <row r="186" spans="1:35" x14ac:dyDescent="0.3">
      <c r="A186" t="s">
        <v>311</v>
      </c>
      <c r="B186">
        <v>136962</v>
      </c>
      <c r="C186">
        <v>12</v>
      </c>
      <c r="D186" t="s">
        <v>375</v>
      </c>
      <c r="E186" t="s">
        <v>376</v>
      </c>
      <c r="F186">
        <v>70</v>
      </c>
      <c r="G186">
        <v>25.2</v>
      </c>
      <c r="H186">
        <v>83.31</v>
      </c>
      <c r="I186">
        <v>19.649999999999999</v>
      </c>
      <c r="J186">
        <v>64.97</v>
      </c>
      <c r="K186">
        <v>6</v>
      </c>
      <c r="T186">
        <v>3</v>
      </c>
      <c r="U186">
        <v>2</v>
      </c>
      <c r="V186" t="s">
        <v>82</v>
      </c>
      <c r="W186" t="s">
        <v>391</v>
      </c>
      <c r="X186">
        <v>6</v>
      </c>
      <c r="Y186">
        <v>3</v>
      </c>
      <c r="Z186" t="s">
        <v>378</v>
      </c>
      <c r="AA186" t="s">
        <v>379</v>
      </c>
      <c r="AB186" t="s">
        <v>86</v>
      </c>
      <c r="AC186" t="s">
        <v>87</v>
      </c>
      <c r="AD186" t="s">
        <v>88</v>
      </c>
      <c r="AE186" t="s">
        <v>316</v>
      </c>
      <c r="AG186" t="s">
        <v>380</v>
      </c>
      <c r="AH186">
        <v>0</v>
      </c>
      <c r="AI186">
        <v>0</v>
      </c>
    </row>
    <row r="187" spans="1:35" x14ac:dyDescent="0.3">
      <c r="A187" t="s">
        <v>311</v>
      </c>
      <c r="B187">
        <v>136962</v>
      </c>
      <c r="C187">
        <v>13</v>
      </c>
      <c r="D187" t="s">
        <v>375</v>
      </c>
      <c r="E187" t="s">
        <v>376</v>
      </c>
      <c r="F187">
        <v>70</v>
      </c>
      <c r="G187">
        <v>25.24</v>
      </c>
      <c r="H187">
        <v>83.44</v>
      </c>
      <c r="I187">
        <v>19.68</v>
      </c>
      <c r="J187">
        <v>65.069999999999993</v>
      </c>
      <c r="K187">
        <v>6</v>
      </c>
      <c r="T187">
        <v>3</v>
      </c>
      <c r="U187">
        <v>2</v>
      </c>
      <c r="V187" t="s">
        <v>82</v>
      </c>
      <c r="W187" t="s">
        <v>185</v>
      </c>
      <c r="X187">
        <v>6</v>
      </c>
      <c r="Y187">
        <v>3</v>
      </c>
      <c r="Z187" t="s">
        <v>378</v>
      </c>
      <c r="AA187" t="s">
        <v>379</v>
      </c>
      <c r="AB187" t="s">
        <v>86</v>
      </c>
      <c r="AC187" t="s">
        <v>87</v>
      </c>
      <c r="AD187" t="s">
        <v>88</v>
      </c>
      <c r="AE187" t="s">
        <v>316</v>
      </c>
      <c r="AG187" t="s">
        <v>380</v>
      </c>
      <c r="AH187">
        <v>0</v>
      </c>
      <c r="AI187">
        <v>0</v>
      </c>
    </row>
    <row r="188" spans="1:35" x14ac:dyDescent="0.3">
      <c r="A188" t="s">
        <v>311</v>
      </c>
      <c r="B188">
        <v>136962</v>
      </c>
      <c r="C188">
        <v>14</v>
      </c>
      <c r="D188" t="s">
        <v>375</v>
      </c>
      <c r="E188" t="s">
        <v>376</v>
      </c>
      <c r="F188">
        <v>70</v>
      </c>
      <c r="G188">
        <v>26.53</v>
      </c>
      <c r="H188">
        <v>87.71</v>
      </c>
      <c r="I188">
        <v>20.76</v>
      </c>
      <c r="J188">
        <v>68.66</v>
      </c>
      <c r="K188">
        <v>5</v>
      </c>
      <c r="T188">
        <v>3</v>
      </c>
      <c r="U188">
        <v>2</v>
      </c>
      <c r="V188" t="s">
        <v>82</v>
      </c>
      <c r="W188">
        <v>87</v>
      </c>
      <c r="X188">
        <v>6</v>
      </c>
      <c r="Y188">
        <v>3</v>
      </c>
      <c r="Z188" t="s">
        <v>378</v>
      </c>
      <c r="AA188" t="s">
        <v>379</v>
      </c>
      <c r="AB188" t="s">
        <v>86</v>
      </c>
      <c r="AC188" t="s">
        <v>87</v>
      </c>
      <c r="AD188" t="s">
        <v>88</v>
      </c>
      <c r="AE188" t="s">
        <v>316</v>
      </c>
      <c r="AG188" t="s">
        <v>380</v>
      </c>
      <c r="AH188">
        <v>0</v>
      </c>
      <c r="AI188">
        <v>0</v>
      </c>
    </row>
    <row r="189" spans="1:35" x14ac:dyDescent="0.3">
      <c r="A189" t="s">
        <v>311</v>
      </c>
      <c r="B189">
        <v>136962</v>
      </c>
      <c r="C189">
        <v>15</v>
      </c>
      <c r="D189" t="s">
        <v>375</v>
      </c>
      <c r="E189" t="s">
        <v>376</v>
      </c>
      <c r="F189">
        <v>70</v>
      </c>
      <c r="G189">
        <v>27.81</v>
      </c>
      <c r="H189">
        <v>91.96</v>
      </c>
      <c r="I189">
        <v>22.07</v>
      </c>
      <c r="J189">
        <v>72.959999999999994</v>
      </c>
      <c r="K189">
        <v>6</v>
      </c>
      <c r="T189">
        <v>3</v>
      </c>
      <c r="U189">
        <v>2</v>
      </c>
      <c r="V189" t="s">
        <v>82</v>
      </c>
      <c r="W189">
        <v>91</v>
      </c>
      <c r="X189">
        <v>6</v>
      </c>
      <c r="Y189">
        <v>3</v>
      </c>
      <c r="Z189" t="s">
        <v>378</v>
      </c>
      <c r="AA189" t="s">
        <v>379</v>
      </c>
      <c r="AB189" t="s">
        <v>86</v>
      </c>
      <c r="AC189" t="s">
        <v>87</v>
      </c>
      <c r="AD189" t="s">
        <v>88</v>
      </c>
      <c r="AE189" t="s">
        <v>316</v>
      </c>
      <c r="AG189" t="s">
        <v>380</v>
      </c>
      <c r="AH189">
        <v>0</v>
      </c>
      <c r="AI189">
        <v>0</v>
      </c>
    </row>
    <row r="190" spans="1:35" x14ac:dyDescent="0.3">
      <c r="A190" t="s">
        <v>311</v>
      </c>
      <c r="B190">
        <v>136962</v>
      </c>
      <c r="C190">
        <v>16</v>
      </c>
      <c r="D190" t="s">
        <v>375</v>
      </c>
      <c r="E190" t="s">
        <v>376</v>
      </c>
      <c r="F190">
        <v>70</v>
      </c>
      <c r="G190">
        <v>28.88</v>
      </c>
      <c r="H190">
        <v>95.5</v>
      </c>
      <c r="I190">
        <v>22.75</v>
      </c>
      <c r="J190">
        <v>75.23</v>
      </c>
      <c r="K190">
        <v>5</v>
      </c>
      <c r="T190">
        <v>3</v>
      </c>
      <c r="U190">
        <v>2</v>
      </c>
      <c r="V190" t="s">
        <v>82</v>
      </c>
      <c r="W190">
        <v>95</v>
      </c>
      <c r="X190">
        <v>6</v>
      </c>
      <c r="Y190">
        <v>3</v>
      </c>
      <c r="Z190" t="s">
        <v>378</v>
      </c>
      <c r="AA190" t="s">
        <v>379</v>
      </c>
      <c r="AB190" t="s">
        <v>86</v>
      </c>
      <c r="AC190" t="s">
        <v>87</v>
      </c>
      <c r="AD190" t="s">
        <v>88</v>
      </c>
      <c r="AE190" t="s">
        <v>316</v>
      </c>
      <c r="AG190" t="s">
        <v>380</v>
      </c>
      <c r="AH190">
        <v>0</v>
      </c>
      <c r="AI190">
        <v>0</v>
      </c>
    </row>
    <row r="191" spans="1:35" x14ac:dyDescent="0.3">
      <c r="A191" t="s">
        <v>311</v>
      </c>
      <c r="B191">
        <v>136962</v>
      </c>
      <c r="C191">
        <v>17</v>
      </c>
      <c r="D191" t="s">
        <v>375</v>
      </c>
      <c r="E191" t="s">
        <v>376</v>
      </c>
      <c r="F191">
        <v>70</v>
      </c>
      <c r="G191">
        <v>29.6</v>
      </c>
      <c r="H191">
        <v>97.86</v>
      </c>
      <c r="I191">
        <v>23.57</v>
      </c>
      <c r="J191">
        <v>77.94</v>
      </c>
      <c r="K191">
        <v>6</v>
      </c>
      <c r="T191">
        <v>3</v>
      </c>
      <c r="U191">
        <v>2</v>
      </c>
      <c r="V191" t="s">
        <v>82</v>
      </c>
      <c r="W191" t="s">
        <v>392</v>
      </c>
      <c r="X191">
        <v>6</v>
      </c>
      <c r="Y191">
        <v>3</v>
      </c>
      <c r="Z191" t="s">
        <v>378</v>
      </c>
      <c r="AA191" t="s">
        <v>379</v>
      </c>
      <c r="AB191" t="s">
        <v>86</v>
      </c>
      <c r="AC191" t="s">
        <v>87</v>
      </c>
      <c r="AD191" t="s">
        <v>88</v>
      </c>
      <c r="AE191" t="s">
        <v>316</v>
      </c>
      <c r="AG191" t="s">
        <v>380</v>
      </c>
      <c r="AH191">
        <v>0</v>
      </c>
      <c r="AI191">
        <v>0</v>
      </c>
    </row>
    <row r="192" spans="1:35" x14ac:dyDescent="0.3">
      <c r="A192" t="s">
        <v>311</v>
      </c>
      <c r="B192">
        <v>136962</v>
      </c>
      <c r="C192">
        <v>18</v>
      </c>
      <c r="D192" t="s">
        <v>375</v>
      </c>
      <c r="E192" t="s">
        <v>376</v>
      </c>
      <c r="F192">
        <v>70</v>
      </c>
      <c r="G192">
        <v>30.29</v>
      </c>
      <c r="H192">
        <v>100.14</v>
      </c>
      <c r="I192">
        <v>23.94</v>
      </c>
      <c r="J192">
        <v>79.150000000000006</v>
      </c>
      <c r="K192">
        <v>6</v>
      </c>
      <c r="T192">
        <v>3</v>
      </c>
      <c r="U192">
        <v>2</v>
      </c>
      <c r="V192" t="s">
        <v>82</v>
      </c>
      <c r="W192" t="s">
        <v>393</v>
      </c>
      <c r="X192">
        <v>6</v>
      </c>
      <c r="Y192">
        <v>3</v>
      </c>
      <c r="Z192" t="s">
        <v>378</v>
      </c>
      <c r="AA192" t="s">
        <v>379</v>
      </c>
      <c r="AB192" t="s">
        <v>86</v>
      </c>
      <c r="AC192" t="s">
        <v>87</v>
      </c>
      <c r="AD192" t="s">
        <v>88</v>
      </c>
      <c r="AE192" t="s">
        <v>316</v>
      </c>
      <c r="AG192" t="s">
        <v>380</v>
      </c>
      <c r="AH192">
        <v>0</v>
      </c>
      <c r="AI192">
        <v>0</v>
      </c>
    </row>
    <row r="193" spans="1:35" x14ac:dyDescent="0.3">
      <c r="A193" t="s">
        <v>311</v>
      </c>
      <c r="B193">
        <v>100900</v>
      </c>
      <c r="C193">
        <v>1</v>
      </c>
      <c r="D193" t="s">
        <v>394</v>
      </c>
      <c r="E193" t="s">
        <v>376</v>
      </c>
      <c r="F193">
        <v>70</v>
      </c>
      <c r="G193">
        <v>26.6</v>
      </c>
      <c r="H193">
        <v>87.96</v>
      </c>
      <c r="I193">
        <v>23.86</v>
      </c>
      <c r="J193">
        <v>78.88</v>
      </c>
      <c r="K193">
        <v>10</v>
      </c>
      <c r="T193">
        <v>3</v>
      </c>
      <c r="U193">
        <v>1</v>
      </c>
      <c r="V193" t="s">
        <v>82</v>
      </c>
      <c r="W193" t="s">
        <v>395</v>
      </c>
      <c r="X193">
        <v>15</v>
      </c>
      <c r="Y193">
        <v>10</v>
      </c>
      <c r="Z193" t="s">
        <v>396</v>
      </c>
      <c r="AA193" t="s">
        <v>397</v>
      </c>
      <c r="AB193" t="s">
        <v>86</v>
      </c>
      <c r="AC193" t="s">
        <v>87</v>
      </c>
      <c r="AD193" t="s">
        <v>88</v>
      </c>
      <c r="AE193" t="s">
        <v>316</v>
      </c>
      <c r="AG193" t="s">
        <v>398</v>
      </c>
      <c r="AH193">
        <v>0</v>
      </c>
      <c r="AI193">
        <v>227</v>
      </c>
    </row>
    <row r="194" spans="1:35" x14ac:dyDescent="0.3">
      <c r="A194" t="s">
        <v>311</v>
      </c>
      <c r="B194">
        <v>100900</v>
      </c>
      <c r="C194">
        <v>2</v>
      </c>
      <c r="D194" t="s">
        <v>394</v>
      </c>
      <c r="E194" t="s">
        <v>376</v>
      </c>
      <c r="F194">
        <v>70</v>
      </c>
      <c r="G194">
        <v>27.06</v>
      </c>
      <c r="H194">
        <v>89.48</v>
      </c>
      <c r="I194">
        <v>23.76</v>
      </c>
      <c r="J194">
        <v>78.569999999999993</v>
      </c>
      <c r="K194">
        <v>15</v>
      </c>
      <c r="T194">
        <v>3</v>
      </c>
      <c r="U194">
        <v>1</v>
      </c>
      <c r="V194" t="s">
        <v>82</v>
      </c>
      <c r="W194" t="s">
        <v>399</v>
      </c>
      <c r="X194">
        <v>15</v>
      </c>
      <c r="Y194">
        <v>10</v>
      </c>
      <c r="Z194" t="s">
        <v>396</v>
      </c>
      <c r="AA194" t="s">
        <v>397</v>
      </c>
      <c r="AB194" t="s">
        <v>86</v>
      </c>
      <c r="AC194" t="s">
        <v>87</v>
      </c>
      <c r="AD194" t="s">
        <v>88</v>
      </c>
      <c r="AE194" t="s">
        <v>316</v>
      </c>
      <c r="AG194" t="s">
        <v>398</v>
      </c>
      <c r="AH194">
        <v>0</v>
      </c>
      <c r="AI194">
        <v>227</v>
      </c>
    </row>
    <row r="195" spans="1:35" x14ac:dyDescent="0.3">
      <c r="A195" t="s">
        <v>311</v>
      </c>
      <c r="B195">
        <v>100900</v>
      </c>
      <c r="C195">
        <v>3</v>
      </c>
      <c r="D195" t="s">
        <v>394</v>
      </c>
      <c r="E195" t="s">
        <v>376</v>
      </c>
      <c r="F195">
        <v>70</v>
      </c>
      <c r="G195">
        <v>26.97</v>
      </c>
      <c r="H195">
        <v>89.19</v>
      </c>
      <c r="I195">
        <v>24.19</v>
      </c>
      <c r="J195">
        <v>79.989999999999995</v>
      </c>
      <c r="K195">
        <v>10</v>
      </c>
      <c r="T195">
        <v>3</v>
      </c>
      <c r="U195">
        <v>1</v>
      </c>
      <c r="V195" t="s">
        <v>82</v>
      </c>
      <c r="W195" t="s">
        <v>400</v>
      </c>
      <c r="X195">
        <v>15</v>
      </c>
      <c r="Y195">
        <v>10</v>
      </c>
      <c r="Z195" t="s">
        <v>396</v>
      </c>
      <c r="AA195" t="s">
        <v>397</v>
      </c>
      <c r="AB195" t="s">
        <v>86</v>
      </c>
      <c r="AC195" t="s">
        <v>87</v>
      </c>
      <c r="AD195" t="s">
        <v>88</v>
      </c>
      <c r="AE195" t="s">
        <v>316</v>
      </c>
      <c r="AG195" t="s">
        <v>398</v>
      </c>
      <c r="AH195">
        <v>0</v>
      </c>
      <c r="AI195">
        <v>227</v>
      </c>
    </row>
    <row r="196" spans="1:35" x14ac:dyDescent="0.3">
      <c r="A196" t="s">
        <v>311</v>
      </c>
      <c r="B196">
        <v>100900</v>
      </c>
      <c r="C196">
        <v>4</v>
      </c>
      <c r="D196" t="s">
        <v>394</v>
      </c>
      <c r="E196" t="s">
        <v>376</v>
      </c>
      <c r="F196">
        <v>70</v>
      </c>
      <c r="G196">
        <v>27.61</v>
      </c>
      <c r="H196">
        <v>91.29</v>
      </c>
      <c r="I196">
        <v>24.24</v>
      </c>
      <c r="J196">
        <v>80.16</v>
      </c>
      <c r="K196">
        <v>11</v>
      </c>
      <c r="T196">
        <v>3</v>
      </c>
      <c r="U196">
        <v>1</v>
      </c>
      <c r="V196" t="s">
        <v>82</v>
      </c>
      <c r="W196" t="s">
        <v>401</v>
      </c>
      <c r="X196">
        <v>15</v>
      </c>
      <c r="Y196">
        <v>10</v>
      </c>
      <c r="Z196" t="s">
        <v>396</v>
      </c>
      <c r="AA196" t="s">
        <v>397</v>
      </c>
      <c r="AB196" t="s">
        <v>86</v>
      </c>
      <c r="AC196" t="s">
        <v>87</v>
      </c>
      <c r="AD196" t="s">
        <v>88</v>
      </c>
      <c r="AE196" t="s">
        <v>316</v>
      </c>
      <c r="AG196" t="s">
        <v>398</v>
      </c>
      <c r="AH196">
        <v>0</v>
      </c>
      <c r="AI196">
        <v>227</v>
      </c>
    </row>
    <row r="197" spans="1:35" x14ac:dyDescent="0.3">
      <c r="A197" t="s">
        <v>311</v>
      </c>
      <c r="B197">
        <v>100900</v>
      </c>
      <c r="C197">
        <v>5</v>
      </c>
      <c r="D197" t="s">
        <v>394</v>
      </c>
      <c r="E197" t="s">
        <v>376</v>
      </c>
      <c r="F197">
        <v>70</v>
      </c>
      <c r="G197">
        <v>27.89</v>
      </c>
      <c r="H197">
        <v>92.23</v>
      </c>
      <c r="I197">
        <v>24.79</v>
      </c>
      <c r="J197">
        <v>81.96</v>
      </c>
      <c r="K197">
        <v>13</v>
      </c>
      <c r="T197">
        <v>3</v>
      </c>
      <c r="U197">
        <v>1</v>
      </c>
      <c r="V197" t="s">
        <v>82</v>
      </c>
      <c r="W197" t="s">
        <v>402</v>
      </c>
      <c r="X197">
        <v>15</v>
      </c>
      <c r="Y197">
        <v>10</v>
      </c>
      <c r="Z197" t="s">
        <v>396</v>
      </c>
      <c r="AA197" t="s">
        <v>397</v>
      </c>
      <c r="AB197" t="s">
        <v>86</v>
      </c>
      <c r="AC197" t="s">
        <v>87</v>
      </c>
      <c r="AD197" t="s">
        <v>88</v>
      </c>
      <c r="AE197" t="s">
        <v>316</v>
      </c>
      <c r="AG197" t="s">
        <v>398</v>
      </c>
      <c r="AH197">
        <v>0</v>
      </c>
      <c r="AI197">
        <v>227</v>
      </c>
    </row>
    <row r="198" spans="1:35" x14ac:dyDescent="0.3">
      <c r="A198" t="s">
        <v>311</v>
      </c>
      <c r="B198">
        <v>100900</v>
      </c>
      <c r="C198">
        <v>6</v>
      </c>
      <c r="D198" t="s">
        <v>394</v>
      </c>
      <c r="E198" t="s">
        <v>376</v>
      </c>
      <c r="F198">
        <v>70</v>
      </c>
      <c r="G198">
        <v>28.25</v>
      </c>
      <c r="H198">
        <v>93.4</v>
      </c>
      <c r="I198">
        <v>25.1</v>
      </c>
      <c r="J198">
        <v>83</v>
      </c>
      <c r="K198">
        <v>11</v>
      </c>
      <c r="T198">
        <v>3</v>
      </c>
      <c r="U198">
        <v>1</v>
      </c>
      <c r="V198" t="s">
        <v>82</v>
      </c>
      <c r="W198" t="s">
        <v>403</v>
      </c>
      <c r="X198">
        <v>15</v>
      </c>
      <c r="Y198">
        <v>10</v>
      </c>
      <c r="Z198" t="s">
        <v>396</v>
      </c>
      <c r="AA198" t="s">
        <v>397</v>
      </c>
      <c r="AB198" t="s">
        <v>86</v>
      </c>
      <c r="AC198" t="s">
        <v>87</v>
      </c>
      <c r="AD198" t="s">
        <v>88</v>
      </c>
      <c r="AE198" t="s">
        <v>316</v>
      </c>
      <c r="AG198" t="s">
        <v>398</v>
      </c>
      <c r="AH198">
        <v>0</v>
      </c>
      <c r="AI198">
        <v>227</v>
      </c>
    </row>
    <row r="199" spans="1:35" x14ac:dyDescent="0.3">
      <c r="A199" t="s">
        <v>311</v>
      </c>
      <c r="B199">
        <v>15761</v>
      </c>
      <c r="C199">
        <v>1</v>
      </c>
      <c r="D199" t="s">
        <v>404</v>
      </c>
      <c r="E199" t="s">
        <v>405</v>
      </c>
      <c r="F199">
        <v>172</v>
      </c>
      <c r="G199">
        <v>19.86</v>
      </c>
      <c r="H199">
        <v>65.67</v>
      </c>
      <c r="I199">
        <v>14.52</v>
      </c>
      <c r="J199">
        <v>48</v>
      </c>
      <c r="K199">
        <v>35</v>
      </c>
      <c r="T199">
        <v>2</v>
      </c>
      <c r="U199">
        <v>1</v>
      </c>
      <c r="V199" t="s">
        <v>99</v>
      </c>
      <c r="W199">
        <v>65</v>
      </c>
      <c r="X199">
        <v>14</v>
      </c>
      <c r="Y199">
        <v>9</v>
      </c>
      <c r="Z199" t="s">
        <v>406</v>
      </c>
      <c r="AA199" t="s">
        <v>407</v>
      </c>
      <c r="AB199" t="s">
        <v>86</v>
      </c>
      <c r="AC199" t="s">
        <v>87</v>
      </c>
      <c r="AD199" t="s">
        <v>88</v>
      </c>
      <c r="AE199" t="s">
        <v>316</v>
      </c>
      <c r="AG199" t="s">
        <v>408</v>
      </c>
      <c r="AH199">
        <v>0</v>
      </c>
      <c r="AI199">
        <v>232</v>
      </c>
    </row>
    <row r="200" spans="1:35" x14ac:dyDescent="0.3">
      <c r="A200" t="s">
        <v>311</v>
      </c>
      <c r="B200">
        <v>15761</v>
      </c>
      <c r="C200">
        <v>2</v>
      </c>
      <c r="D200" t="s">
        <v>404</v>
      </c>
      <c r="E200" t="s">
        <v>405</v>
      </c>
      <c r="F200">
        <v>172</v>
      </c>
      <c r="G200">
        <v>23.51</v>
      </c>
      <c r="H200">
        <v>77.73</v>
      </c>
      <c r="I200">
        <v>18.100000000000001</v>
      </c>
      <c r="J200">
        <v>59.85</v>
      </c>
      <c r="K200">
        <v>137</v>
      </c>
      <c r="T200">
        <v>3</v>
      </c>
      <c r="U200">
        <v>1</v>
      </c>
      <c r="V200" t="s">
        <v>82</v>
      </c>
      <c r="W200">
        <v>77</v>
      </c>
      <c r="X200">
        <v>14</v>
      </c>
      <c r="Y200">
        <v>9</v>
      </c>
      <c r="Z200" t="s">
        <v>406</v>
      </c>
      <c r="AA200" t="s">
        <v>407</v>
      </c>
      <c r="AB200" t="s">
        <v>86</v>
      </c>
      <c r="AC200" t="s">
        <v>87</v>
      </c>
      <c r="AD200" t="s">
        <v>88</v>
      </c>
      <c r="AE200" t="s">
        <v>316</v>
      </c>
      <c r="AG200" t="s">
        <v>408</v>
      </c>
      <c r="AH200">
        <v>0</v>
      </c>
      <c r="AI200">
        <v>232</v>
      </c>
    </row>
    <row r="201" spans="1:35" x14ac:dyDescent="0.3">
      <c r="A201" t="s">
        <v>311</v>
      </c>
      <c r="B201">
        <v>126919</v>
      </c>
      <c r="C201">
        <v>1</v>
      </c>
      <c r="D201" t="s">
        <v>409</v>
      </c>
      <c r="E201" t="s">
        <v>410</v>
      </c>
      <c r="F201">
        <v>35</v>
      </c>
      <c r="G201">
        <v>28.25</v>
      </c>
      <c r="H201">
        <v>93.41</v>
      </c>
      <c r="I201">
        <v>22.91</v>
      </c>
      <c r="J201">
        <v>75.760000000000005</v>
      </c>
      <c r="K201">
        <v>9</v>
      </c>
      <c r="T201">
        <v>3</v>
      </c>
      <c r="U201">
        <v>2</v>
      </c>
      <c r="V201" t="s">
        <v>82</v>
      </c>
      <c r="W201">
        <v>93</v>
      </c>
      <c r="X201">
        <v>9</v>
      </c>
      <c r="Y201">
        <v>5</v>
      </c>
      <c r="Z201" t="s">
        <v>411</v>
      </c>
      <c r="AA201" t="s">
        <v>412</v>
      </c>
      <c r="AB201" t="s">
        <v>86</v>
      </c>
      <c r="AC201" t="s">
        <v>87</v>
      </c>
      <c r="AD201" t="s">
        <v>88</v>
      </c>
      <c r="AE201" t="s">
        <v>316</v>
      </c>
      <c r="AG201" t="s">
        <v>413</v>
      </c>
      <c r="AH201">
        <v>0</v>
      </c>
      <c r="AI201">
        <v>218</v>
      </c>
    </row>
    <row r="202" spans="1:35" x14ac:dyDescent="0.3">
      <c r="A202" t="s">
        <v>311</v>
      </c>
      <c r="B202">
        <v>126919</v>
      </c>
      <c r="C202">
        <v>2</v>
      </c>
      <c r="D202" t="s">
        <v>409</v>
      </c>
      <c r="E202" t="s">
        <v>410</v>
      </c>
      <c r="F202">
        <v>35</v>
      </c>
      <c r="G202">
        <v>29.33</v>
      </c>
      <c r="H202">
        <v>96.97</v>
      </c>
      <c r="I202">
        <v>23.72</v>
      </c>
      <c r="J202">
        <v>78.44</v>
      </c>
      <c r="K202">
        <v>9</v>
      </c>
      <c r="T202">
        <v>3</v>
      </c>
      <c r="U202">
        <v>2</v>
      </c>
      <c r="V202" t="s">
        <v>82</v>
      </c>
      <c r="W202">
        <v>96</v>
      </c>
      <c r="X202">
        <v>9</v>
      </c>
      <c r="Y202">
        <v>5</v>
      </c>
      <c r="Z202" t="s">
        <v>411</v>
      </c>
      <c r="AA202" t="s">
        <v>412</v>
      </c>
      <c r="AB202" t="s">
        <v>86</v>
      </c>
      <c r="AC202" t="s">
        <v>87</v>
      </c>
      <c r="AD202" t="s">
        <v>88</v>
      </c>
      <c r="AE202" t="s">
        <v>316</v>
      </c>
      <c r="AG202" t="s">
        <v>413</v>
      </c>
      <c r="AH202">
        <v>0</v>
      </c>
      <c r="AI202">
        <v>218</v>
      </c>
    </row>
    <row r="203" spans="1:35" x14ac:dyDescent="0.3">
      <c r="A203" t="s">
        <v>311</v>
      </c>
      <c r="B203">
        <v>126919</v>
      </c>
      <c r="C203">
        <v>3</v>
      </c>
      <c r="D203" t="s">
        <v>409</v>
      </c>
      <c r="E203" t="s">
        <v>410</v>
      </c>
      <c r="F203">
        <v>35</v>
      </c>
      <c r="G203">
        <v>30.26</v>
      </c>
      <c r="H203">
        <v>100.05</v>
      </c>
      <c r="I203">
        <v>24.45</v>
      </c>
      <c r="J203">
        <v>80.83</v>
      </c>
      <c r="K203">
        <v>17</v>
      </c>
      <c r="T203">
        <v>3</v>
      </c>
      <c r="U203">
        <v>2</v>
      </c>
      <c r="V203" t="s">
        <v>82</v>
      </c>
      <c r="W203">
        <v>100</v>
      </c>
      <c r="X203">
        <v>9</v>
      </c>
      <c r="Y203">
        <v>5</v>
      </c>
      <c r="Z203" t="s">
        <v>411</v>
      </c>
      <c r="AA203" t="s">
        <v>412</v>
      </c>
      <c r="AB203" t="s">
        <v>86</v>
      </c>
      <c r="AC203" t="s">
        <v>87</v>
      </c>
      <c r="AD203" t="s">
        <v>88</v>
      </c>
      <c r="AE203" t="s">
        <v>316</v>
      </c>
      <c r="AG203" t="s">
        <v>413</v>
      </c>
      <c r="AH203">
        <v>0</v>
      </c>
      <c r="AI203">
        <v>218</v>
      </c>
    </row>
    <row r="204" spans="1:35" x14ac:dyDescent="0.3">
      <c r="A204" t="s">
        <v>311</v>
      </c>
      <c r="B204">
        <v>124117</v>
      </c>
      <c r="C204">
        <v>1</v>
      </c>
      <c r="D204" t="s">
        <v>414</v>
      </c>
      <c r="E204" t="s">
        <v>415</v>
      </c>
      <c r="F204">
        <v>39</v>
      </c>
      <c r="G204">
        <v>20.59</v>
      </c>
      <c r="H204">
        <v>68.09</v>
      </c>
      <c r="I204">
        <v>14.74</v>
      </c>
      <c r="J204">
        <v>48.76</v>
      </c>
      <c r="K204">
        <v>13</v>
      </c>
      <c r="T204">
        <v>1</v>
      </c>
      <c r="U204">
        <v>1</v>
      </c>
      <c r="V204" t="s">
        <v>82</v>
      </c>
      <c r="W204">
        <v>68</v>
      </c>
      <c r="X204">
        <v>14</v>
      </c>
      <c r="Y204">
        <v>14</v>
      </c>
      <c r="Z204" t="s">
        <v>416</v>
      </c>
      <c r="AA204" t="s">
        <v>417</v>
      </c>
      <c r="AB204" t="s">
        <v>86</v>
      </c>
      <c r="AC204" t="s">
        <v>87</v>
      </c>
      <c r="AD204" t="s">
        <v>88</v>
      </c>
      <c r="AE204" t="s">
        <v>316</v>
      </c>
      <c r="AG204" t="s">
        <v>418</v>
      </c>
      <c r="AH204">
        <v>0</v>
      </c>
      <c r="AI204">
        <v>427</v>
      </c>
    </row>
    <row r="205" spans="1:35" x14ac:dyDescent="0.3">
      <c r="A205" t="s">
        <v>311</v>
      </c>
      <c r="B205">
        <v>124117</v>
      </c>
      <c r="C205">
        <v>2</v>
      </c>
      <c r="D205" t="s">
        <v>414</v>
      </c>
      <c r="E205" t="s">
        <v>415</v>
      </c>
      <c r="F205">
        <v>39</v>
      </c>
      <c r="G205">
        <v>28.77</v>
      </c>
      <c r="H205">
        <v>95.14</v>
      </c>
      <c r="I205">
        <v>20.68</v>
      </c>
      <c r="J205">
        <v>68.38</v>
      </c>
      <c r="K205">
        <v>13</v>
      </c>
      <c r="T205">
        <v>1</v>
      </c>
      <c r="U205">
        <v>1</v>
      </c>
      <c r="V205" t="s">
        <v>82</v>
      </c>
      <c r="W205">
        <v>95</v>
      </c>
      <c r="X205">
        <v>14</v>
      </c>
      <c r="Y205">
        <v>14</v>
      </c>
      <c r="Z205" t="s">
        <v>416</v>
      </c>
      <c r="AA205" t="s">
        <v>417</v>
      </c>
      <c r="AB205" t="s">
        <v>86</v>
      </c>
      <c r="AC205" t="s">
        <v>87</v>
      </c>
      <c r="AD205" t="s">
        <v>88</v>
      </c>
      <c r="AE205" t="s">
        <v>316</v>
      </c>
      <c r="AG205" t="s">
        <v>418</v>
      </c>
      <c r="AH205">
        <v>0</v>
      </c>
      <c r="AI205">
        <v>427</v>
      </c>
    </row>
    <row r="206" spans="1:35" x14ac:dyDescent="0.3">
      <c r="A206" t="s">
        <v>311</v>
      </c>
      <c r="B206">
        <v>124117</v>
      </c>
      <c r="C206">
        <v>3</v>
      </c>
      <c r="D206" t="s">
        <v>414</v>
      </c>
      <c r="E206" t="s">
        <v>415</v>
      </c>
      <c r="F206">
        <v>39</v>
      </c>
      <c r="G206">
        <v>31.07</v>
      </c>
      <c r="H206">
        <v>102.73</v>
      </c>
      <c r="I206">
        <v>22.4</v>
      </c>
      <c r="J206">
        <v>74.05</v>
      </c>
      <c r="K206">
        <v>13</v>
      </c>
      <c r="T206">
        <v>1</v>
      </c>
      <c r="U206">
        <v>1</v>
      </c>
      <c r="V206" t="s">
        <v>82</v>
      </c>
      <c r="W206">
        <v>102</v>
      </c>
      <c r="X206">
        <v>14</v>
      </c>
      <c r="Y206">
        <v>14</v>
      </c>
      <c r="Z206" t="s">
        <v>416</v>
      </c>
      <c r="AA206" t="s">
        <v>417</v>
      </c>
      <c r="AB206" t="s">
        <v>86</v>
      </c>
      <c r="AC206" t="s">
        <v>87</v>
      </c>
      <c r="AD206" t="s">
        <v>88</v>
      </c>
      <c r="AE206" t="s">
        <v>316</v>
      </c>
      <c r="AG206" t="s">
        <v>418</v>
      </c>
      <c r="AH206">
        <v>0</v>
      </c>
      <c r="AI206">
        <v>427</v>
      </c>
    </row>
    <row r="207" spans="1:35" x14ac:dyDescent="0.3">
      <c r="A207" t="s">
        <v>311</v>
      </c>
      <c r="B207">
        <v>104831</v>
      </c>
      <c r="C207">
        <v>1</v>
      </c>
      <c r="D207" t="s">
        <v>419</v>
      </c>
      <c r="E207" t="s">
        <v>420</v>
      </c>
      <c r="F207">
        <v>79</v>
      </c>
      <c r="G207">
        <v>24.65</v>
      </c>
      <c r="H207">
        <v>81.510000000000005</v>
      </c>
      <c r="I207">
        <v>17.88</v>
      </c>
      <c r="J207">
        <v>59.13</v>
      </c>
      <c r="K207">
        <v>30</v>
      </c>
      <c r="T207">
        <v>3</v>
      </c>
      <c r="U207">
        <v>1</v>
      </c>
      <c r="V207" t="s">
        <v>82</v>
      </c>
      <c r="W207">
        <v>81</v>
      </c>
      <c r="X207">
        <v>15</v>
      </c>
      <c r="Y207">
        <v>8</v>
      </c>
      <c r="Z207" t="s">
        <v>421</v>
      </c>
      <c r="AA207" t="s">
        <v>422</v>
      </c>
      <c r="AB207" t="s">
        <v>86</v>
      </c>
      <c r="AC207" t="s">
        <v>87</v>
      </c>
      <c r="AD207" t="s">
        <v>88</v>
      </c>
      <c r="AE207" t="s">
        <v>316</v>
      </c>
      <c r="AG207" t="s">
        <v>423</v>
      </c>
      <c r="AH207">
        <v>0</v>
      </c>
      <c r="AI207">
        <v>188</v>
      </c>
    </row>
    <row r="208" spans="1:35" x14ac:dyDescent="0.3">
      <c r="A208" t="s">
        <v>311</v>
      </c>
      <c r="B208">
        <v>104831</v>
      </c>
      <c r="C208">
        <v>2</v>
      </c>
      <c r="D208" t="s">
        <v>419</v>
      </c>
      <c r="E208" t="s">
        <v>420</v>
      </c>
      <c r="F208">
        <v>79</v>
      </c>
      <c r="G208">
        <v>32.619999999999997</v>
      </c>
      <c r="H208">
        <v>107.86</v>
      </c>
      <c r="I208">
        <v>23.66</v>
      </c>
      <c r="J208">
        <v>78.239999999999995</v>
      </c>
      <c r="K208">
        <v>29</v>
      </c>
      <c r="T208">
        <v>3</v>
      </c>
      <c r="U208">
        <v>1</v>
      </c>
      <c r="V208" t="s">
        <v>82</v>
      </c>
      <c r="W208" t="s">
        <v>424</v>
      </c>
      <c r="X208">
        <v>15</v>
      </c>
      <c r="Y208">
        <v>8</v>
      </c>
      <c r="Z208" t="s">
        <v>421</v>
      </c>
      <c r="AA208" t="s">
        <v>422</v>
      </c>
      <c r="AB208" t="s">
        <v>86</v>
      </c>
      <c r="AC208" t="s">
        <v>87</v>
      </c>
      <c r="AD208" t="s">
        <v>88</v>
      </c>
      <c r="AE208" t="s">
        <v>316</v>
      </c>
      <c r="AG208" t="s">
        <v>423</v>
      </c>
      <c r="AH208">
        <v>0</v>
      </c>
      <c r="AI208">
        <v>188</v>
      </c>
    </row>
    <row r="209" spans="1:35" x14ac:dyDescent="0.3">
      <c r="A209" t="s">
        <v>311</v>
      </c>
      <c r="B209">
        <v>104831</v>
      </c>
      <c r="C209">
        <v>3</v>
      </c>
      <c r="D209" t="s">
        <v>419</v>
      </c>
      <c r="E209" t="s">
        <v>420</v>
      </c>
      <c r="F209">
        <v>79</v>
      </c>
      <c r="G209">
        <v>33.340000000000003</v>
      </c>
      <c r="H209">
        <v>110.24</v>
      </c>
      <c r="I209">
        <v>25.69</v>
      </c>
      <c r="J209">
        <v>84.93</v>
      </c>
      <c r="K209">
        <v>20</v>
      </c>
      <c r="T209">
        <v>3</v>
      </c>
      <c r="U209">
        <v>1</v>
      </c>
      <c r="V209" t="s">
        <v>82</v>
      </c>
      <c r="W209" t="s">
        <v>290</v>
      </c>
      <c r="X209">
        <v>15</v>
      </c>
      <c r="Y209">
        <v>8</v>
      </c>
      <c r="Z209" t="s">
        <v>421</v>
      </c>
      <c r="AA209" t="s">
        <v>422</v>
      </c>
      <c r="AB209" t="s">
        <v>86</v>
      </c>
      <c r="AC209" t="s">
        <v>87</v>
      </c>
      <c r="AD209" t="s">
        <v>88</v>
      </c>
      <c r="AE209" t="s">
        <v>316</v>
      </c>
      <c r="AG209" t="s">
        <v>423</v>
      </c>
      <c r="AH209">
        <v>0</v>
      </c>
      <c r="AI209">
        <v>188</v>
      </c>
    </row>
    <row r="210" spans="1:35" x14ac:dyDescent="0.3">
      <c r="A210" t="s">
        <v>311</v>
      </c>
      <c r="B210">
        <v>15767</v>
      </c>
      <c r="C210">
        <v>1</v>
      </c>
      <c r="D210" t="s">
        <v>425</v>
      </c>
      <c r="E210" t="s">
        <v>426</v>
      </c>
      <c r="F210">
        <v>140</v>
      </c>
      <c r="G210">
        <v>21.3</v>
      </c>
      <c r="H210">
        <v>70.42</v>
      </c>
      <c r="I210">
        <v>18.03</v>
      </c>
      <c r="J210">
        <v>59.61</v>
      </c>
      <c r="K210">
        <v>50</v>
      </c>
      <c r="T210">
        <v>3</v>
      </c>
      <c r="U210">
        <v>1</v>
      </c>
      <c r="V210" t="s">
        <v>82</v>
      </c>
      <c r="W210">
        <v>70</v>
      </c>
      <c r="X210">
        <v>5</v>
      </c>
      <c r="Y210">
        <v>5</v>
      </c>
      <c r="Z210" t="s">
        <v>427</v>
      </c>
      <c r="AA210" t="s">
        <v>428</v>
      </c>
      <c r="AB210" t="s">
        <v>86</v>
      </c>
      <c r="AC210" t="s">
        <v>87</v>
      </c>
      <c r="AD210" t="s">
        <v>88</v>
      </c>
      <c r="AE210" t="s">
        <v>316</v>
      </c>
      <c r="AG210" t="s">
        <v>429</v>
      </c>
      <c r="AH210">
        <v>0</v>
      </c>
      <c r="AI210">
        <v>176</v>
      </c>
    </row>
    <row r="211" spans="1:35" x14ac:dyDescent="0.3">
      <c r="A211" t="s">
        <v>311</v>
      </c>
      <c r="B211">
        <v>15767</v>
      </c>
      <c r="C211">
        <v>2</v>
      </c>
      <c r="D211" t="s">
        <v>425</v>
      </c>
      <c r="E211" t="s">
        <v>426</v>
      </c>
      <c r="F211">
        <v>140</v>
      </c>
      <c r="G211">
        <v>29.14</v>
      </c>
      <c r="H211">
        <v>96.35</v>
      </c>
      <c r="I211">
        <v>25.62</v>
      </c>
      <c r="J211">
        <v>84.72</v>
      </c>
      <c r="K211">
        <v>60</v>
      </c>
      <c r="T211">
        <v>3</v>
      </c>
      <c r="U211">
        <v>2</v>
      </c>
      <c r="V211" t="s">
        <v>82</v>
      </c>
      <c r="W211" t="s">
        <v>230</v>
      </c>
      <c r="X211">
        <v>5</v>
      </c>
      <c r="Y211">
        <v>5</v>
      </c>
      <c r="Z211" t="s">
        <v>427</v>
      </c>
      <c r="AA211" t="s">
        <v>428</v>
      </c>
      <c r="AB211" t="s">
        <v>86</v>
      </c>
      <c r="AC211" t="s">
        <v>87</v>
      </c>
      <c r="AD211" t="s">
        <v>88</v>
      </c>
      <c r="AE211" t="s">
        <v>316</v>
      </c>
      <c r="AG211" t="s">
        <v>429</v>
      </c>
      <c r="AH211">
        <v>0</v>
      </c>
      <c r="AI211">
        <v>176</v>
      </c>
    </row>
    <row r="212" spans="1:35" x14ac:dyDescent="0.3">
      <c r="A212" t="s">
        <v>311</v>
      </c>
      <c r="B212">
        <v>15767</v>
      </c>
      <c r="C212">
        <v>3</v>
      </c>
      <c r="D212" t="s">
        <v>425</v>
      </c>
      <c r="E212" t="s">
        <v>426</v>
      </c>
      <c r="F212">
        <v>140</v>
      </c>
      <c r="G212">
        <v>29.1</v>
      </c>
      <c r="H212">
        <v>96.2</v>
      </c>
      <c r="I212">
        <v>25.43</v>
      </c>
      <c r="J212">
        <v>84.09</v>
      </c>
      <c r="K212">
        <v>30</v>
      </c>
      <c r="T212">
        <v>3</v>
      </c>
      <c r="U212">
        <v>2</v>
      </c>
      <c r="V212" t="s">
        <v>82</v>
      </c>
      <c r="W212" t="s">
        <v>430</v>
      </c>
      <c r="X212">
        <v>5</v>
      </c>
      <c r="Y212">
        <v>5</v>
      </c>
      <c r="Z212" t="s">
        <v>427</v>
      </c>
      <c r="AA212" t="s">
        <v>428</v>
      </c>
      <c r="AB212" t="s">
        <v>86</v>
      </c>
      <c r="AC212" t="s">
        <v>87</v>
      </c>
      <c r="AD212" t="s">
        <v>88</v>
      </c>
      <c r="AE212" t="s">
        <v>316</v>
      </c>
      <c r="AG212" t="s">
        <v>429</v>
      </c>
      <c r="AH212">
        <v>0</v>
      </c>
      <c r="AI212">
        <v>176</v>
      </c>
    </row>
    <row r="213" spans="1:35" x14ac:dyDescent="0.3">
      <c r="A213" t="s">
        <v>311</v>
      </c>
      <c r="B213">
        <v>15755</v>
      </c>
      <c r="C213">
        <v>1</v>
      </c>
      <c r="D213" t="s">
        <v>431</v>
      </c>
      <c r="E213" t="s">
        <v>432</v>
      </c>
      <c r="F213">
        <v>86</v>
      </c>
      <c r="G213">
        <v>30.54</v>
      </c>
      <c r="H213">
        <v>100.96</v>
      </c>
      <c r="I213">
        <v>24.56</v>
      </c>
      <c r="J213">
        <v>81.209999999999994</v>
      </c>
      <c r="K213">
        <v>86</v>
      </c>
      <c r="T213">
        <v>3</v>
      </c>
      <c r="U213">
        <v>2</v>
      </c>
      <c r="V213" t="s">
        <v>82</v>
      </c>
      <c r="W213">
        <v>100</v>
      </c>
      <c r="X213">
        <v>11</v>
      </c>
      <c r="Y213">
        <v>9</v>
      </c>
      <c r="Z213" t="s">
        <v>433</v>
      </c>
      <c r="AA213" t="s">
        <v>434</v>
      </c>
      <c r="AB213" t="s">
        <v>86</v>
      </c>
      <c r="AC213" t="s">
        <v>87</v>
      </c>
      <c r="AD213" t="s">
        <v>88</v>
      </c>
      <c r="AE213" t="s">
        <v>316</v>
      </c>
      <c r="AG213" t="s">
        <v>435</v>
      </c>
      <c r="AH213">
        <v>0</v>
      </c>
      <c r="AI213">
        <v>210</v>
      </c>
    </row>
    <row r="214" spans="1:35" x14ac:dyDescent="0.3">
      <c r="A214" t="s">
        <v>311</v>
      </c>
      <c r="B214">
        <v>102438</v>
      </c>
      <c r="C214">
        <v>1</v>
      </c>
      <c r="D214" t="s">
        <v>436</v>
      </c>
      <c r="E214" t="s">
        <v>307</v>
      </c>
      <c r="F214">
        <v>89</v>
      </c>
      <c r="G214">
        <v>26.52</v>
      </c>
      <c r="H214">
        <v>87.7</v>
      </c>
      <c r="I214">
        <v>24.46</v>
      </c>
      <c r="J214">
        <v>80.88</v>
      </c>
      <c r="K214">
        <v>10</v>
      </c>
      <c r="T214">
        <v>3</v>
      </c>
      <c r="U214">
        <v>1</v>
      </c>
      <c r="V214" t="s">
        <v>99</v>
      </c>
      <c r="W214" t="s">
        <v>437</v>
      </c>
      <c r="X214">
        <v>5</v>
      </c>
      <c r="Y214">
        <v>5</v>
      </c>
      <c r="Z214" t="s">
        <v>438</v>
      </c>
      <c r="AA214" t="s">
        <v>439</v>
      </c>
      <c r="AB214" t="s">
        <v>86</v>
      </c>
      <c r="AC214" t="s">
        <v>87</v>
      </c>
      <c r="AD214" t="s">
        <v>88</v>
      </c>
      <c r="AE214" t="s">
        <v>316</v>
      </c>
      <c r="AG214" t="s">
        <v>440</v>
      </c>
      <c r="AH214">
        <v>0</v>
      </c>
      <c r="AI214">
        <v>0</v>
      </c>
    </row>
    <row r="215" spans="1:35" x14ac:dyDescent="0.3">
      <c r="A215" t="s">
        <v>311</v>
      </c>
      <c r="B215">
        <v>102438</v>
      </c>
      <c r="C215">
        <v>2</v>
      </c>
      <c r="D215" t="s">
        <v>436</v>
      </c>
      <c r="E215" t="s">
        <v>307</v>
      </c>
      <c r="F215">
        <v>89</v>
      </c>
      <c r="G215">
        <v>27.43</v>
      </c>
      <c r="H215">
        <v>90.68</v>
      </c>
      <c r="I215">
        <v>25.36</v>
      </c>
      <c r="J215">
        <v>83.85</v>
      </c>
      <c r="K215">
        <v>10</v>
      </c>
      <c r="T215">
        <v>3</v>
      </c>
      <c r="U215">
        <v>1</v>
      </c>
      <c r="V215" t="s">
        <v>99</v>
      </c>
      <c r="W215" t="s">
        <v>169</v>
      </c>
      <c r="X215">
        <v>5</v>
      </c>
      <c r="Y215">
        <v>5</v>
      </c>
      <c r="Z215" t="s">
        <v>438</v>
      </c>
      <c r="AA215" t="s">
        <v>439</v>
      </c>
      <c r="AB215" t="s">
        <v>86</v>
      </c>
      <c r="AC215" t="s">
        <v>87</v>
      </c>
      <c r="AD215" t="s">
        <v>88</v>
      </c>
      <c r="AE215" t="s">
        <v>316</v>
      </c>
      <c r="AG215" t="s">
        <v>440</v>
      </c>
      <c r="AH215">
        <v>0</v>
      </c>
      <c r="AI215">
        <v>0</v>
      </c>
    </row>
    <row r="216" spans="1:35" x14ac:dyDescent="0.3">
      <c r="A216" t="s">
        <v>311</v>
      </c>
      <c r="B216">
        <v>102438</v>
      </c>
      <c r="C216">
        <v>3</v>
      </c>
      <c r="D216" t="s">
        <v>436</v>
      </c>
      <c r="E216" t="s">
        <v>307</v>
      </c>
      <c r="F216">
        <v>89</v>
      </c>
      <c r="G216">
        <v>27.86</v>
      </c>
      <c r="H216">
        <v>92.11</v>
      </c>
      <c r="I216">
        <v>25.67</v>
      </c>
      <c r="J216">
        <v>84.89</v>
      </c>
      <c r="K216">
        <v>14</v>
      </c>
      <c r="T216">
        <v>3</v>
      </c>
      <c r="U216">
        <v>1</v>
      </c>
      <c r="V216" t="s">
        <v>99</v>
      </c>
      <c r="W216" t="s">
        <v>441</v>
      </c>
      <c r="X216">
        <v>5</v>
      </c>
      <c r="Y216">
        <v>5</v>
      </c>
      <c r="Z216" t="s">
        <v>438</v>
      </c>
      <c r="AA216" t="s">
        <v>439</v>
      </c>
      <c r="AB216" t="s">
        <v>86</v>
      </c>
      <c r="AC216" t="s">
        <v>87</v>
      </c>
      <c r="AD216" t="s">
        <v>88</v>
      </c>
      <c r="AE216" t="s">
        <v>316</v>
      </c>
      <c r="AG216" t="s">
        <v>440</v>
      </c>
      <c r="AH216">
        <v>0</v>
      </c>
      <c r="AI216">
        <v>0</v>
      </c>
    </row>
    <row r="217" spans="1:35" x14ac:dyDescent="0.3">
      <c r="A217" t="s">
        <v>311</v>
      </c>
      <c r="B217">
        <v>102438</v>
      </c>
      <c r="C217">
        <v>4</v>
      </c>
      <c r="D217" t="s">
        <v>436</v>
      </c>
      <c r="E217" t="s">
        <v>307</v>
      </c>
      <c r="F217">
        <v>89</v>
      </c>
      <c r="G217">
        <v>27.87</v>
      </c>
      <c r="H217">
        <v>92.15</v>
      </c>
      <c r="I217">
        <v>25.69</v>
      </c>
      <c r="J217">
        <v>84.93</v>
      </c>
      <c r="K217">
        <v>5</v>
      </c>
      <c r="T217">
        <v>3</v>
      </c>
      <c r="U217">
        <v>1</v>
      </c>
      <c r="V217" t="s">
        <v>99</v>
      </c>
      <c r="W217">
        <v>92</v>
      </c>
      <c r="X217">
        <v>5</v>
      </c>
      <c r="Y217">
        <v>5</v>
      </c>
      <c r="Z217" t="s">
        <v>438</v>
      </c>
      <c r="AA217" t="s">
        <v>439</v>
      </c>
      <c r="AB217" t="s">
        <v>86</v>
      </c>
      <c r="AC217" t="s">
        <v>87</v>
      </c>
      <c r="AD217" t="s">
        <v>88</v>
      </c>
      <c r="AE217" t="s">
        <v>316</v>
      </c>
      <c r="AG217" t="s">
        <v>440</v>
      </c>
      <c r="AH217">
        <v>0</v>
      </c>
      <c r="AI217">
        <v>0</v>
      </c>
    </row>
    <row r="218" spans="1:35" x14ac:dyDescent="0.3">
      <c r="A218" t="s">
        <v>311</v>
      </c>
      <c r="B218">
        <v>102438</v>
      </c>
      <c r="C218">
        <v>5</v>
      </c>
      <c r="D218" t="s">
        <v>436</v>
      </c>
      <c r="E218" t="s">
        <v>307</v>
      </c>
      <c r="F218">
        <v>89</v>
      </c>
      <c r="G218">
        <v>29.49</v>
      </c>
      <c r="H218">
        <v>97.52</v>
      </c>
      <c r="I218">
        <v>25.55</v>
      </c>
      <c r="J218">
        <v>84.48</v>
      </c>
      <c r="K218">
        <v>40</v>
      </c>
      <c r="T218">
        <v>3</v>
      </c>
      <c r="U218">
        <v>1</v>
      </c>
      <c r="V218" t="s">
        <v>82</v>
      </c>
      <c r="W218" t="s">
        <v>392</v>
      </c>
      <c r="X218">
        <v>5</v>
      </c>
      <c r="Y218">
        <v>5</v>
      </c>
      <c r="Z218" t="s">
        <v>438</v>
      </c>
      <c r="AA218" t="s">
        <v>439</v>
      </c>
      <c r="AB218" t="s">
        <v>86</v>
      </c>
      <c r="AC218" t="s">
        <v>87</v>
      </c>
      <c r="AD218" t="s">
        <v>88</v>
      </c>
      <c r="AE218" t="s">
        <v>316</v>
      </c>
      <c r="AG218" t="s">
        <v>440</v>
      </c>
      <c r="AH218">
        <v>0</v>
      </c>
      <c r="AI218">
        <v>0</v>
      </c>
    </row>
    <row r="219" spans="1:35" x14ac:dyDescent="0.3">
      <c r="A219" t="s">
        <v>311</v>
      </c>
      <c r="B219">
        <v>102438</v>
      </c>
      <c r="C219">
        <v>6</v>
      </c>
      <c r="D219" t="s">
        <v>436</v>
      </c>
      <c r="E219" t="s">
        <v>307</v>
      </c>
      <c r="F219">
        <v>89</v>
      </c>
      <c r="G219">
        <v>29.54</v>
      </c>
      <c r="H219">
        <v>97.66</v>
      </c>
      <c r="I219">
        <v>25.59</v>
      </c>
      <c r="J219">
        <v>84.62</v>
      </c>
      <c r="K219">
        <v>10</v>
      </c>
      <c r="T219">
        <v>3</v>
      </c>
      <c r="U219">
        <v>1</v>
      </c>
      <c r="V219" t="s">
        <v>82</v>
      </c>
      <c r="W219" t="s">
        <v>442</v>
      </c>
      <c r="X219">
        <v>5</v>
      </c>
      <c r="Y219">
        <v>5</v>
      </c>
      <c r="Z219" t="s">
        <v>438</v>
      </c>
      <c r="AA219" t="s">
        <v>439</v>
      </c>
      <c r="AB219" t="s">
        <v>86</v>
      </c>
      <c r="AC219" t="s">
        <v>87</v>
      </c>
      <c r="AD219" t="s">
        <v>88</v>
      </c>
      <c r="AE219" t="s">
        <v>316</v>
      </c>
      <c r="AG219" t="s">
        <v>440</v>
      </c>
      <c r="AH219">
        <v>0</v>
      </c>
      <c r="AI219">
        <v>0</v>
      </c>
    </row>
    <row r="220" spans="1:35" x14ac:dyDescent="0.3">
      <c r="A220" t="s">
        <v>311</v>
      </c>
      <c r="B220">
        <v>7711</v>
      </c>
      <c r="C220">
        <v>1</v>
      </c>
      <c r="D220" t="s">
        <v>443</v>
      </c>
      <c r="E220" t="s">
        <v>444</v>
      </c>
      <c r="F220">
        <v>325</v>
      </c>
      <c r="G220">
        <v>14.74</v>
      </c>
      <c r="H220">
        <v>48.75</v>
      </c>
      <c r="I220">
        <v>12.89</v>
      </c>
      <c r="J220">
        <v>42.64</v>
      </c>
      <c r="K220">
        <v>50</v>
      </c>
      <c r="T220">
        <v>2</v>
      </c>
      <c r="U220">
        <v>1</v>
      </c>
      <c r="V220" t="s">
        <v>82</v>
      </c>
      <c r="W220">
        <v>48</v>
      </c>
      <c r="X220">
        <v>5</v>
      </c>
      <c r="Y220">
        <v>5</v>
      </c>
      <c r="Z220" t="s">
        <v>445</v>
      </c>
      <c r="AA220" t="s">
        <v>446</v>
      </c>
      <c r="AB220" t="s">
        <v>86</v>
      </c>
      <c r="AC220" t="s">
        <v>87</v>
      </c>
      <c r="AD220" t="s">
        <v>88</v>
      </c>
      <c r="AE220" t="s">
        <v>316</v>
      </c>
      <c r="AG220" t="s">
        <v>447</v>
      </c>
      <c r="AH220">
        <v>0</v>
      </c>
      <c r="AI220">
        <v>153</v>
      </c>
    </row>
    <row r="221" spans="1:35" x14ac:dyDescent="0.3">
      <c r="A221" t="s">
        <v>311</v>
      </c>
      <c r="B221">
        <v>7711</v>
      </c>
      <c r="C221">
        <v>2</v>
      </c>
      <c r="D221" t="s">
        <v>443</v>
      </c>
      <c r="E221" t="s">
        <v>444</v>
      </c>
      <c r="F221">
        <v>325</v>
      </c>
      <c r="G221">
        <v>16.850000000000001</v>
      </c>
      <c r="H221">
        <v>55.71</v>
      </c>
      <c r="I221">
        <v>15</v>
      </c>
      <c r="J221">
        <v>49.6</v>
      </c>
      <c r="K221">
        <v>70</v>
      </c>
      <c r="T221">
        <v>2</v>
      </c>
      <c r="U221">
        <v>1</v>
      </c>
      <c r="V221" t="s">
        <v>82</v>
      </c>
      <c r="W221">
        <v>55</v>
      </c>
      <c r="X221">
        <v>5</v>
      </c>
      <c r="Y221">
        <v>5</v>
      </c>
      <c r="Z221" t="s">
        <v>445</v>
      </c>
      <c r="AA221" t="s">
        <v>446</v>
      </c>
      <c r="AB221" t="s">
        <v>86</v>
      </c>
      <c r="AC221" t="s">
        <v>87</v>
      </c>
      <c r="AD221" t="s">
        <v>88</v>
      </c>
      <c r="AE221" t="s">
        <v>316</v>
      </c>
      <c r="AG221" t="s">
        <v>447</v>
      </c>
      <c r="AH221">
        <v>0</v>
      </c>
      <c r="AI221">
        <v>153</v>
      </c>
    </row>
    <row r="222" spans="1:35" x14ac:dyDescent="0.3">
      <c r="A222" t="s">
        <v>311</v>
      </c>
      <c r="B222">
        <v>7711</v>
      </c>
      <c r="C222">
        <v>3</v>
      </c>
      <c r="D222" t="s">
        <v>443</v>
      </c>
      <c r="E222" t="s">
        <v>444</v>
      </c>
      <c r="F222">
        <v>325</v>
      </c>
      <c r="G222">
        <v>17.739999999999998</v>
      </c>
      <c r="H222">
        <v>58.67</v>
      </c>
      <c r="I222">
        <v>15.77</v>
      </c>
      <c r="J222">
        <v>52.15</v>
      </c>
      <c r="K222">
        <v>200</v>
      </c>
      <c r="T222">
        <v>2</v>
      </c>
      <c r="U222">
        <v>1</v>
      </c>
      <c r="V222" t="s">
        <v>82</v>
      </c>
      <c r="W222">
        <v>58</v>
      </c>
      <c r="X222">
        <v>5</v>
      </c>
      <c r="Y222">
        <v>5</v>
      </c>
      <c r="Z222" t="s">
        <v>445</v>
      </c>
      <c r="AA222" t="s">
        <v>446</v>
      </c>
      <c r="AB222" t="s">
        <v>86</v>
      </c>
      <c r="AC222" t="s">
        <v>87</v>
      </c>
      <c r="AD222" t="s">
        <v>88</v>
      </c>
      <c r="AE222" t="s">
        <v>316</v>
      </c>
      <c r="AG222" t="s">
        <v>447</v>
      </c>
      <c r="AH222">
        <v>0</v>
      </c>
      <c r="AI222">
        <v>153</v>
      </c>
    </row>
    <row r="223" spans="1:35" x14ac:dyDescent="0.3">
      <c r="A223" t="s">
        <v>311</v>
      </c>
      <c r="B223">
        <v>7711</v>
      </c>
      <c r="C223">
        <v>4</v>
      </c>
      <c r="D223" t="s">
        <v>443</v>
      </c>
      <c r="E223" t="s">
        <v>444</v>
      </c>
      <c r="F223">
        <v>325</v>
      </c>
      <c r="G223">
        <v>20.96</v>
      </c>
      <c r="H223">
        <v>69.3</v>
      </c>
      <c r="I223">
        <v>17.12</v>
      </c>
      <c r="J223">
        <v>56.6</v>
      </c>
      <c r="K223">
        <v>5</v>
      </c>
      <c r="T223">
        <v>3</v>
      </c>
      <c r="U223">
        <v>1</v>
      </c>
      <c r="V223" t="s">
        <v>82</v>
      </c>
      <c r="W223">
        <v>69</v>
      </c>
      <c r="X223">
        <v>5</v>
      </c>
      <c r="Y223">
        <v>5</v>
      </c>
      <c r="Z223" t="s">
        <v>445</v>
      </c>
      <c r="AA223" t="s">
        <v>446</v>
      </c>
      <c r="AB223" t="s">
        <v>86</v>
      </c>
      <c r="AC223" t="s">
        <v>87</v>
      </c>
      <c r="AD223" t="s">
        <v>88</v>
      </c>
      <c r="AE223" t="s">
        <v>316</v>
      </c>
      <c r="AG223" t="s">
        <v>447</v>
      </c>
      <c r="AH223">
        <v>0</v>
      </c>
      <c r="AI223">
        <v>153</v>
      </c>
    </row>
    <row r="224" spans="1:35" x14ac:dyDescent="0.3">
      <c r="A224" t="s">
        <v>311</v>
      </c>
      <c r="B224">
        <v>15771</v>
      </c>
      <c r="C224">
        <v>1</v>
      </c>
      <c r="D224" t="s">
        <v>448</v>
      </c>
      <c r="E224" t="s">
        <v>449</v>
      </c>
      <c r="F224">
        <v>165</v>
      </c>
      <c r="G224">
        <v>27.84</v>
      </c>
      <c r="H224">
        <v>92.05</v>
      </c>
      <c r="I224">
        <v>22.93</v>
      </c>
      <c r="J224">
        <v>75.819999999999993</v>
      </c>
      <c r="K224">
        <v>34</v>
      </c>
      <c r="T224">
        <v>3</v>
      </c>
      <c r="U224">
        <v>1</v>
      </c>
      <c r="V224" t="s">
        <v>82</v>
      </c>
      <c r="W224">
        <v>92</v>
      </c>
      <c r="X224">
        <v>15</v>
      </c>
      <c r="Y224">
        <v>8</v>
      </c>
      <c r="Z224" t="s">
        <v>450</v>
      </c>
      <c r="AA224" t="s">
        <v>451</v>
      </c>
      <c r="AB224" t="s">
        <v>86</v>
      </c>
      <c r="AC224" t="s">
        <v>87</v>
      </c>
      <c r="AD224" t="s">
        <v>88</v>
      </c>
      <c r="AE224" t="s">
        <v>316</v>
      </c>
      <c r="AG224" t="s">
        <v>452</v>
      </c>
      <c r="AH224">
        <v>0</v>
      </c>
      <c r="AI224">
        <v>258</v>
      </c>
    </row>
    <row r="225" spans="1:35" x14ac:dyDescent="0.3">
      <c r="A225" t="s">
        <v>311</v>
      </c>
      <c r="B225">
        <v>15771</v>
      </c>
      <c r="C225">
        <v>2</v>
      </c>
      <c r="D225" t="s">
        <v>448</v>
      </c>
      <c r="E225" t="s">
        <v>449</v>
      </c>
      <c r="F225">
        <v>165</v>
      </c>
      <c r="G225">
        <v>30.75</v>
      </c>
      <c r="H225">
        <v>101.67</v>
      </c>
      <c r="I225">
        <v>22.93</v>
      </c>
      <c r="J225">
        <v>75.819999999999993</v>
      </c>
      <c r="K225">
        <v>6</v>
      </c>
      <c r="T225">
        <v>3</v>
      </c>
      <c r="U225">
        <v>1</v>
      </c>
      <c r="V225" t="s">
        <v>82</v>
      </c>
      <c r="W225" t="s">
        <v>453</v>
      </c>
      <c r="X225">
        <v>15</v>
      </c>
      <c r="Y225">
        <v>8</v>
      </c>
      <c r="Z225" t="s">
        <v>450</v>
      </c>
      <c r="AA225" t="s">
        <v>451</v>
      </c>
      <c r="AB225" t="s">
        <v>86</v>
      </c>
      <c r="AC225" t="s">
        <v>87</v>
      </c>
      <c r="AD225" t="s">
        <v>88</v>
      </c>
      <c r="AE225" t="s">
        <v>316</v>
      </c>
      <c r="AG225" t="s">
        <v>452</v>
      </c>
      <c r="AH225">
        <v>0</v>
      </c>
      <c r="AI225">
        <v>258</v>
      </c>
    </row>
    <row r="226" spans="1:35" x14ac:dyDescent="0.3">
      <c r="A226" t="s">
        <v>311</v>
      </c>
      <c r="B226">
        <v>15771</v>
      </c>
      <c r="C226">
        <v>3</v>
      </c>
      <c r="D226" t="s">
        <v>448</v>
      </c>
      <c r="E226" t="s">
        <v>449</v>
      </c>
      <c r="F226">
        <v>165</v>
      </c>
      <c r="G226">
        <v>31.08</v>
      </c>
      <c r="H226">
        <v>102.75</v>
      </c>
      <c r="I226">
        <v>25.69</v>
      </c>
      <c r="J226">
        <v>84.95</v>
      </c>
      <c r="K226">
        <v>117</v>
      </c>
      <c r="T226">
        <v>3</v>
      </c>
      <c r="U226">
        <v>2</v>
      </c>
      <c r="V226" t="s">
        <v>82</v>
      </c>
      <c r="W226" t="s">
        <v>454</v>
      </c>
      <c r="X226">
        <v>15</v>
      </c>
      <c r="Y226">
        <v>8</v>
      </c>
      <c r="Z226" t="s">
        <v>450</v>
      </c>
      <c r="AA226" t="s">
        <v>451</v>
      </c>
      <c r="AB226" t="s">
        <v>86</v>
      </c>
      <c r="AC226" t="s">
        <v>87</v>
      </c>
      <c r="AD226" t="s">
        <v>88</v>
      </c>
      <c r="AE226" t="s">
        <v>316</v>
      </c>
      <c r="AG226" t="s">
        <v>452</v>
      </c>
      <c r="AH226">
        <v>0</v>
      </c>
      <c r="AI226">
        <v>258</v>
      </c>
    </row>
    <row r="227" spans="1:35" x14ac:dyDescent="0.3">
      <c r="A227" t="s">
        <v>311</v>
      </c>
      <c r="B227">
        <v>15771</v>
      </c>
      <c r="C227">
        <v>4</v>
      </c>
      <c r="D227" t="s">
        <v>448</v>
      </c>
      <c r="E227" t="s">
        <v>449</v>
      </c>
      <c r="F227">
        <v>165</v>
      </c>
      <c r="G227">
        <v>34.22</v>
      </c>
      <c r="H227">
        <v>113.15</v>
      </c>
      <c r="I227">
        <v>25.69</v>
      </c>
      <c r="J227">
        <v>84.95</v>
      </c>
      <c r="K227">
        <v>8</v>
      </c>
      <c r="T227">
        <v>3</v>
      </c>
      <c r="U227">
        <v>2</v>
      </c>
      <c r="V227" t="s">
        <v>82</v>
      </c>
      <c r="W227">
        <v>113</v>
      </c>
      <c r="X227">
        <v>15</v>
      </c>
      <c r="Y227">
        <v>8</v>
      </c>
      <c r="Z227" t="s">
        <v>450</v>
      </c>
      <c r="AA227" t="s">
        <v>451</v>
      </c>
      <c r="AB227" t="s">
        <v>86</v>
      </c>
      <c r="AC227" t="s">
        <v>87</v>
      </c>
      <c r="AD227" t="s">
        <v>88</v>
      </c>
      <c r="AE227" t="s">
        <v>316</v>
      </c>
      <c r="AG227" t="s">
        <v>452</v>
      </c>
      <c r="AH227">
        <v>0</v>
      </c>
      <c r="AI227">
        <v>258</v>
      </c>
    </row>
    <row r="228" spans="1:35" x14ac:dyDescent="0.3">
      <c r="A228" t="s">
        <v>311</v>
      </c>
      <c r="B228">
        <v>102777</v>
      </c>
      <c r="C228">
        <v>1</v>
      </c>
      <c r="D228" t="s">
        <v>455</v>
      </c>
      <c r="E228" t="s">
        <v>456</v>
      </c>
      <c r="F228">
        <v>60</v>
      </c>
      <c r="G228">
        <v>32.78</v>
      </c>
      <c r="H228">
        <v>108.37</v>
      </c>
      <c r="I228">
        <v>25.63</v>
      </c>
      <c r="J228">
        <v>84.74</v>
      </c>
      <c r="K228">
        <v>60</v>
      </c>
      <c r="T228">
        <v>3</v>
      </c>
      <c r="U228">
        <v>2</v>
      </c>
      <c r="V228" t="s">
        <v>99</v>
      </c>
      <c r="W228">
        <v>108</v>
      </c>
      <c r="X228">
        <v>15</v>
      </c>
      <c r="Y228">
        <v>15</v>
      </c>
      <c r="Z228" t="s">
        <v>457</v>
      </c>
      <c r="AA228" t="s">
        <v>458</v>
      </c>
      <c r="AB228" t="s">
        <v>86</v>
      </c>
      <c r="AC228" t="s">
        <v>87</v>
      </c>
      <c r="AD228" t="s">
        <v>88</v>
      </c>
      <c r="AE228" t="s">
        <v>316</v>
      </c>
      <c r="AG228" t="s">
        <v>459</v>
      </c>
      <c r="AH228">
        <v>0</v>
      </c>
      <c r="AI228">
        <v>219</v>
      </c>
    </row>
    <row r="229" spans="1:35" x14ac:dyDescent="0.3">
      <c r="A229" t="s">
        <v>311</v>
      </c>
      <c r="B229">
        <v>124096</v>
      </c>
      <c r="C229">
        <v>1</v>
      </c>
      <c r="D229" t="s">
        <v>460</v>
      </c>
      <c r="E229" t="s">
        <v>415</v>
      </c>
      <c r="F229">
        <v>39</v>
      </c>
      <c r="G229">
        <v>21.47</v>
      </c>
      <c r="H229">
        <v>70.989999999999995</v>
      </c>
      <c r="I229">
        <v>15.07</v>
      </c>
      <c r="J229">
        <v>49.85</v>
      </c>
      <c r="K229">
        <v>13</v>
      </c>
      <c r="T229">
        <v>1</v>
      </c>
      <c r="U229">
        <v>1</v>
      </c>
      <c r="V229" t="s">
        <v>82</v>
      </c>
      <c r="W229">
        <v>70</v>
      </c>
      <c r="X229">
        <v>14</v>
      </c>
      <c r="Y229">
        <v>14</v>
      </c>
      <c r="Z229" t="s">
        <v>461</v>
      </c>
      <c r="AA229" t="s">
        <v>462</v>
      </c>
      <c r="AB229" t="s">
        <v>86</v>
      </c>
      <c r="AC229" t="s">
        <v>87</v>
      </c>
      <c r="AD229" t="s">
        <v>88</v>
      </c>
      <c r="AE229" t="s">
        <v>316</v>
      </c>
      <c r="AG229" t="s">
        <v>463</v>
      </c>
      <c r="AH229">
        <v>0</v>
      </c>
      <c r="AI229">
        <v>461</v>
      </c>
    </row>
    <row r="230" spans="1:35" x14ac:dyDescent="0.3">
      <c r="A230" t="s">
        <v>311</v>
      </c>
      <c r="B230">
        <v>124096</v>
      </c>
      <c r="C230">
        <v>2</v>
      </c>
      <c r="D230" t="s">
        <v>460</v>
      </c>
      <c r="E230" t="s">
        <v>415</v>
      </c>
      <c r="F230">
        <v>39</v>
      </c>
      <c r="G230">
        <v>29.73</v>
      </c>
      <c r="H230">
        <v>98.31</v>
      </c>
      <c r="I230">
        <v>20.96</v>
      </c>
      <c r="J230">
        <v>69.319999999999993</v>
      </c>
      <c r="K230">
        <v>13</v>
      </c>
      <c r="T230">
        <v>1</v>
      </c>
      <c r="U230">
        <v>1</v>
      </c>
      <c r="V230" t="s">
        <v>82</v>
      </c>
      <c r="W230" t="s">
        <v>464</v>
      </c>
      <c r="X230">
        <v>14</v>
      </c>
      <c r="Y230">
        <v>14</v>
      </c>
      <c r="Z230" t="s">
        <v>461</v>
      </c>
      <c r="AA230" t="s">
        <v>462</v>
      </c>
      <c r="AB230" t="s">
        <v>86</v>
      </c>
      <c r="AC230" t="s">
        <v>87</v>
      </c>
      <c r="AD230" t="s">
        <v>88</v>
      </c>
      <c r="AE230" t="s">
        <v>316</v>
      </c>
      <c r="AG230" t="s">
        <v>463</v>
      </c>
      <c r="AH230">
        <v>0</v>
      </c>
      <c r="AI230">
        <v>461</v>
      </c>
    </row>
    <row r="231" spans="1:35" x14ac:dyDescent="0.3">
      <c r="A231" t="s">
        <v>311</v>
      </c>
      <c r="B231">
        <v>124096</v>
      </c>
      <c r="C231">
        <v>3</v>
      </c>
      <c r="D231" t="s">
        <v>460</v>
      </c>
      <c r="E231" t="s">
        <v>415</v>
      </c>
      <c r="F231">
        <v>39</v>
      </c>
      <c r="G231">
        <v>30.07</v>
      </c>
      <c r="H231">
        <v>99.42</v>
      </c>
      <c r="I231">
        <v>21.15</v>
      </c>
      <c r="J231">
        <v>69.930000000000007</v>
      </c>
      <c r="K231">
        <v>13</v>
      </c>
      <c r="T231">
        <v>1</v>
      </c>
      <c r="U231">
        <v>1</v>
      </c>
      <c r="V231" t="s">
        <v>82</v>
      </c>
      <c r="W231" t="s">
        <v>465</v>
      </c>
      <c r="X231">
        <v>14</v>
      </c>
      <c r="Y231">
        <v>14</v>
      </c>
      <c r="Z231" t="s">
        <v>461</v>
      </c>
      <c r="AA231" t="s">
        <v>462</v>
      </c>
      <c r="AB231" t="s">
        <v>86</v>
      </c>
      <c r="AC231" t="s">
        <v>87</v>
      </c>
      <c r="AD231" t="s">
        <v>88</v>
      </c>
      <c r="AE231" t="s">
        <v>316</v>
      </c>
      <c r="AG231" t="s">
        <v>463</v>
      </c>
      <c r="AH231">
        <v>0</v>
      </c>
      <c r="AI231">
        <v>461</v>
      </c>
    </row>
    <row r="232" spans="1:35" x14ac:dyDescent="0.3">
      <c r="A232" t="s">
        <v>311</v>
      </c>
      <c r="B232">
        <v>7715</v>
      </c>
      <c r="C232">
        <v>1</v>
      </c>
      <c r="D232" t="s">
        <v>466</v>
      </c>
      <c r="E232" t="s">
        <v>467</v>
      </c>
      <c r="F232">
        <v>275</v>
      </c>
      <c r="G232">
        <v>23.21</v>
      </c>
      <c r="H232">
        <v>76.75</v>
      </c>
      <c r="I232">
        <v>18.11</v>
      </c>
      <c r="J232">
        <v>59.88</v>
      </c>
      <c r="K232">
        <v>121</v>
      </c>
      <c r="T232">
        <v>3</v>
      </c>
      <c r="U232">
        <v>1</v>
      </c>
      <c r="V232" t="s">
        <v>82</v>
      </c>
      <c r="W232">
        <v>76</v>
      </c>
      <c r="X232">
        <v>20</v>
      </c>
      <c r="Y232">
        <v>6</v>
      </c>
      <c r="Z232" t="s">
        <v>468</v>
      </c>
      <c r="AA232" t="s">
        <v>469</v>
      </c>
      <c r="AB232" t="s">
        <v>86</v>
      </c>
      <c r="AC232" t="s">
        <v>87</v>
      </c>
      <c r="AD232" t="s">
        <v>88</v>
      </c>
      <c r="AE232" t="s">
        <v>316</v>
      </c>
      <c r="AG232" t="s">
        <v>470</v>
      </c>
      <c r="AH232">
        <v>0</v>
      </c>
      <c r="AI232">
        <v>280</v>
      </c>
    </row>
    <row r="233" spans="1:35" x14ac:dyDescent="0.3">
      <c r="A233" t="s">
        <v>311</v>
      </c>
      <c r="B233">
        <v>7715</v>
      </c>
      <c r="C233">
        <v>2</v>
      </c>
      <c r="D233" t="s">
        <v>466</v>
      </c>
      <c r="E233" t="s">
        <v>467</v>
      </c>
      <c r="F233">
        <v>275</v>
      </c>
      <c r="G233">
        <v>30.64</v>
      </c>
      <c r="H233">
        <v>101.29</v>
      </c>
      <c r="I233">
        <v>23.9</v>
      </c>
      <c r="J233">
        <v>79.03</v>
      </c>
      <c r="K233">
        <v>40</v>
      </c>
      <c r="T233">
        <v>3</v>
      </c>
      <c r="U233">
        <v>1</v>
      </c>
      <c r="V233" t="s">
        <v>82</v>
      </c>
      <c r="W233">
        <v>101</v>
      </c>
      <c r="X233">
        <v>20</v>
      </c>
      <c r="Y233">
        <v>6</v>
      </c>
      <c r="Z233" t="s">
        <v>468</v>
      </c>
      <c r="AA233" t="s">
        <v>469</v>
      </c>
      <c r="AB233" t="s">
        <v>86</v>
      </c>
      <c r="AC233" t="s">
        <v>87</v>
      </c>
      <c r="AD233" t="s">
        <v>88</v>
      </c>
      <c r="AE233" t="s">
        <v>316</v>
      </c>
      <c r="AG233" t="s">
        <v>470</v>
      </c>
      <c r="AH233">
        <v>0</v>
      </c>
      <c r="AI233">
        <v>280</v>
      </c>
    </row>
    <row r="234" spans="1:35" x14ac:dyDescent="0.3">
      <c r="A234" t="s">
        <v>311</v>
      </c>
      <c r="B234">
        <v>7715</v>
      </c>
      <c r="C234">
        <v>3</v>
      </c>
      <c r="D234" t="s">
        <v>466</v>
      </c>
      <c r="E234" t="s">
        <v>467</v>
      </c>
      <c r="F234">
        <v>275</v>
      </c>
      <c r="G234">
        <v>32.93</v>
      </c>
      <c r="H234">
        <v>108.89</v>
      </c>
      <c r="I234">
        <v>25.7</v>
      </c>
      <c r="J234">
        <v>84.96</v>
      </c>
      <c r="K234">
        <v>114</v>
      </c>
      <c r="T234">
        <v>3</v>
      </c>
      <c r="U234">
        <v>2</v>
      </c>
      <c r="V234" t="s">
        <v>82</v>
      </c>
      <c r="W234">
        <v>108</v>
      </c>
      <c r="X234">
        <v>20</v>
      </c>
      <c r="Y234">
        <v>6</v>
      </c>
      <c r="Z234" t="s">
        <v>468</v>
      </c>
      <c r="AA234" t="s">
        <v>469</v>
      </c>
      <c r="AB234" t="s">
        <v>86</v>
      </c>
      <c r="AC234" t="s">
        <v>87</v>
      </c>
      <c r="AD234" t="s">
        <v>88</v>
      </c>
      <c r="AE234" t="s">
        <v>316</v>
      </c>
      <c r="AG234" t="s">
        <v>470</v>
      </c>
      <c r="AH234">
        <v>0</v>
      </c>
      <c r="AI234">
        <v>280</v>
      </c>
    </row>
    <row r="235" spans="1:35" x14ac:dyDescent="0.3">
      <c r="A235" t="s">
        <v>311</v>
      </c>
      <c r="B235">
        <v>15773</v>
      </c>
      <c r="C235">
        <v>1</v>
      </c>
      <c r="D235" t="s">
        <v>471</v>
      </c>
      <c r="E235" t="s">
        <v>472</v>
      </c>
      <c r="F235">
        <v>176</v>
      </c>
      <c r="G235">
        <v>22.22</v>
      </c>
      <c r="H235">
        <v>73.47</v>
      </c>
      <c r="I235">
        <v>18.11</v>
      </c>
      <c r="J235">
        <v>59.9</v>
      </c>
      <c r="K235">
        <v>27</v>
      </c>
      <c r="T235">
        <v>3</v>
      </c>
      <c r="U235">
        <v>1</v>
      </c>
      <c r="V235" t="s">
        <v>82</v>
      </c>
      <c r="W235">
        <v>73</v>
      </c>
      <c r="X235">
        <v>15</v>
      </c>
      <c r="Y235">
        <v>8</v>
      </c>
      <c r="Z235" t="s">
        <v>473</v>
      </c>
      <c r="AA235" t="s">
        <v>474</v>
      </c>
      <c r="AB235" t="s">
        <v>86</v>
      </c>
      <c r="AC235" t="s">
        <v>87</v>
      </c>
      <c r="AD235" t="s">
        <v>88</v>
      </c>
      <c r="AE235" t="s">
        <v>316</v>
      </c>
      <c r="AG235" t="s">
        <v>475</v>
      </c>
      <c r="AH235">
        <v>0</v>
      </c>
      <c r="AI235">
        <v>379</v>
      </c>
    </row>
    <row r="236" spans="1:35" x14ac:dyDescent="0.3">
      <c r="A236" t="s">
        <v>311</v>
      </c>
      <c r="B236">
        <v>15773</v>
      </c>
      <c r="C236">
        <v>2</v>
      </c>
      <c r="D236" t="s">
        <v>471</v>
      </c>
      <c r="E236" t="s">
        <v>472</v>
      </c>
      <c r="F236">
        <v>176</v>
      </c>
      <c r="G236">
        <v>25.77</v>
      </c>
      <c r="H236">
        <v>85.22</v>
      </c>
      <c r="I236">
        <v>19.71</v>
      </c>
      <c r="J236">
        <v>65.16</v>
      </c>
      <c r="K236">
        <v>15</v>
      </c>
      <c r="T236">
        <v>3</v>
      </c>
      <c r="U236">
        <v>1</v>
      </c>
      <c r="V236" t="s">
        <v>82</v>
      </c>
      <c r="W236" t="s">
        <v>216</v>
      </c>
      <c r="X236">
        <v>15</v>
      </c>
      <c r="Y236">
        <v>8</v>
      </c>
      <c r="Z236" t="s">
        <v>473</v>
      </c>
      <c r="AA236" t="s">
        <v>474</v>
      </c>
      <c r="AB236" t="s">
        <v>86</v>
      </c>
      <c r="AC236" t="s">
        <v>87</v>
      </c>
      <c r="AD236" t="s">
        <v>88</v>
      </c>
      <c r="AE236" t="s">
        <v>316</v>
      </c>
      <c r="AG236" t="s">
        <v>475</v>
      </c>
      <c r="AH236">
        <v>0</v>
      </c>
      <c r="AI236">
        <v>379</v>
      </c>
    </row>
    <row r="237" spans="1:35" x14ac:dyDescent="0.3">
      <c r="A237" t="s">
        <v>311</v>
      </c>
      <c r="B237">
        <v>15773</v>
      </c>
      <c r="C237">
        <v>3</v>
      </c>
      <c r="D237" t="s">
        <v>471</v>
      </c>
      <c r="E237" t="s">
        <v>472</v>
      </c>
      <c r="F237">
        <v>176</v>
      </c>
      <c r="G237">
        <v>26.07</v>
      </c>
      <c r="H237">
        <v>86.2</v>
      </c>
      <c r="I237">
        <v>19.93</v>
      </c>
      <c r="J237">
        <v>65.91</v>
      </c>
      <c r="K237">
        <v>15</v>
      </c>
      <c r="T237">
        <v>3</v>
      </c>
      <c r="U237">
        <v>1</v>
      </c>
      <c r="V237" t="s">
        <v>82</v>
      </c>
      <c r="W237" t="s">
        <v>217</v>
      </c>
      <c r="X237">
        <v>15</v>
      </c>
      <c r="Y237">
        <v>8</v>
      </c>
      <c r="Z237" t="s">
        <v>473</v>
      </c>
      <c r="AA237" t="s">
        <v>474</v>
      </c>
      <c r="AB237" t="s">
        <v>86</v>
      </c>
      <c r="AC237" t="s">
        <v>87</v>
      </c>
      <c r="AD237" t="s">
        <v>88</v>
      </c>
      <c r="AE237" t="s">
        <v>316</v>
      </c>
      <c r="AG237" t="s">
        <v>475</v>
      </c>
      <c r="AH237">
        <v>0</v>
      </c>
      <c r="AI237">
        <v>379</v>
      </c>
    </row>
    <row r="238" spans="1:35" x14ac:dyDescent="0.3">
      <c r="A238" t="s">
        <v>311</v>
      </c>
      <c r="B238">
        <v>15773</v>
      </c>
      <c r="C238">
        <v>4</v>
      </c>
      <c r="D238" t="s">
        <v>471</v>
      </c>
      <c r="E238" t="s">
        <v>472</v>
      </c>
      <c r="F238">
        <v>176</v>
      </c>
      <c r="G238">
        <v>26.71</v>
      </c>
      <c r="H238">
        <v>88.31</v>
      </c>
      <c r="I238">
        <v>21.78</v>
      </c>
      <c r="J238">
        <v>72</v>
      </c>
      <c r="K238">
        <v>30</v>
      </c>
      <c r="T238">
        <v>3</v>
      </c>
      <c r="U238">
        <v>2</v>
      </c>
      <c r="V238" t="s">
        <v>82</v>
      </c>
      <c r="W238">
        <v>88</v>
      </c>
      <c r="X238">
        <v>15</v>
      </c>
      <c r="Y238">
        <v>8</v>
      </c>
      <c r="Z238" t="s">
        <v>473</v>
      </c>
      <c r="AA238" t="s">
        <v>474</v>
      </c>
      <c r="AB238" t="s">
        <v>86</v>
      </c>
      <c r="AC238" t="s">
        <v>87</v>
      </c>
      <c r="AD238" t="s">
        <v>88</v>
      </c>
      <c r="AE238" t="s">
        <v>316</v>
      </c>
      <c r="AG238" t="s">
        <v>475</v>
      </c>
      <c r="AH238">
        <v>0</v>
      </c>
      <c r="AI238">
        <v>379</v>
      </c>
    </row>
    <row r="239" spans="1:35" x14ac:dyDescent="0.3">
      <c r="A239" t="s">
        <v>311</v>
      </c>
      <c r="B239">
        <v>15773</v>
      </c>
      <c r="C239">
        <v>5</v>
      </c>
      <c r="D239" t="s">
        <v>471</v>
      </c>
      <c r="E239" t="s">
        <v>472</v>
      </c>
      <c r="F239">
        <v>176</v>
      </c>
      <c r="G239">
        <v>31.45</v>
      </c>
      <c r="H239">
        <v>103.99</v>
      </c>
      <c r="I239">
        <v>25.64</v>
      </c>
      <c r="J239">
        <v>84.78</v>
      </c>
      <c r="K239">
        <v>89</v>
      </c>
      <c r="T239">
        <v>3</v>
      </c>
      <c r="U239">
        <v>2</v>
      </c>
      <c r="V239" t="s">
        <v>82</v>
      </c>
      <c r="W239">
        <v>103</v>
      </c>
      <c r="X239">
        <v>15</v>
      </c>
      <c r="Y239">
        <v>8</v>
      </c>
      <c r="Z239" t="s">
        <v>473</v>
      </c>
      <c r="AA239" t="s">
        <v>474</v>
      </c>
      <c r="AB239" t="s">
        <v>86</v>
      </c>
      <c r="AC239" t="s">
        <v>87</v>
      </c>
      <c r="AD239" t="s">
        <v>88</v>
      </c>
      <c r="AE239" t="s">
        <v>316</v>
      </c>
      <c r="AG239" t="s">
        <v>475</v>
      </c>
      <c r="AH239">
        <v>0</v>
      </c>
      <c r="AI239">
        <v>379</v>
      </c>
    </row>
    <row r="240" spans="1:35" x14ac:dyDescent="0.3">
      <c r="A240" t="s">
        <v>311</v>
      </c>
      <c r="B240">
        <v>15764</v>
      </c>
      <c r="C240">
        <v>1</v>
      </c>
      <c r="D240" t="s">
        <v>476</v>
      </c>
      <c r="E240" t="s">
        <v>477</v>
      </c>
      <c r="F240">
        <v>159</v>
      </c>
      <c r="G240">
        <v>21.64</v>
      </c>
      <c r="H240">
        <v>71.56</v>
      </c>
      <c r="I240">
        <v>17.95</v>
      </c>
      <c r="J240">
        <v>59.35</v>
      </c>
      <c r="K240">
        <v>4</v>
      </c>
      <c r="T240">
        <v>3</v>
      </c>
      <c r="U240">
        <v>1</v>
      </c>
      <c r="V240" t="s">
        <v>82</v>
      </c>
      <c r="W240" t="s">
        <v>478</v>
      </c>
      <c r="X240">
        <v>15</v>
      </c>
      <c r="Y240">
        <v>10</v>
      </c>
      <c r="Z240" t="s">
        <v>479</v>
      </c>
      <c r="AA240" t="s">
        <v>480</v>
      </c>
      <c r="AB240" t="s">
        <v>86</v>
      </c>
      <c r="AC240" t="s">
        <v>87</v>
      </c>
      <c r="AD240" t="s">
        <v>88</v>
      </c>
      <c r="AE240" t="s">
        <v>316</v>
      </c>
      <c r="AG240" t="s">
        <v>481</v>
      </c>
      <c r="AH240">
        <v>0</v>
      </c>
      <c r="AI240">
        <v>343</v>
      </c>
    </row>
    <row r="241" spans="1:35" x14ac:dyDescent="0.3">
      <c r="A241" t="s">
        <v>311</v>
      </c>
      <c r="B241">
        <v>15764</v>
      </c>
      <c r="C241">
        <v>2</v>
      </c>
      <c r="D241" t="s">
        <v>476</v>
      </c>
      <c r="E241" t="s">
        <v>477</v>
      </c>
      <c r="F241">
        <v>159</v>
      </c>
      <c r="G241">
        <v>22.26</v>
      </c>
      <c r="H241">
        <v>73.59</v>
      </c>
      <c r="I241">
        <v>18.440000000000001</v>
      </c>
      <c r="J241">
        <v>60.99</v>
      </c>
      <c r="K241">
        <v>13</v>
      </c>
      <c r="T241">
        <v>3</v>
      </c>
      <c r="U241">
        <v>1</v>
      </c>
      <c r="V241" t="s">
        <v>82</v>
      </c>
      <c r="W241" t="s">
        <v>482</v>
      </c>
      <c r="X241">
        <v>15</v>
      </c>
      <c r="Y241">
        <v>10</v>
      </c>
      <c r="Z241" t="s">
        <v>479</v>
      </c>
      <c r="AA241" t="s">
        <v>480</v>
      </c>
      <c r="AB241" t="s">
        <v>86</v>
      </c>
      <c r="AC241" t="s">
        <v>87</v>
      </c>
      <c r="AD241" t="s">
        <v>88</v>
      </c>
      <c r="AE241" t="s">
        <v>316</v>
      </c>
      <c r="AG241" t="s">
        <v>481</v>
      </c>
      <c r="AH241">
        <v>0</v>
      </c>
      <c r="AI241">
        <v>343</v>
      </c>
    </row>
    <row r="242" spans="1:35" x14ac:dyDescent="0.3">
      <c r="A242" t="s">
        <v>311</v>
      </c>
      <c r="B242">
        <v>15764</v>
      </c>
      <c r="C242">
        <v>3</v>
      </c>
      <c r="D242" t="s">
        <v>476</v>
      </c>
      <c r="E242" t="s">
        <v>477</v>
      </c>
      <c r="F242">
        <v>159</v>
      </c>
      <c r="G242">
        <v>24.15</v>
      </c>
      <c r="H242">
        <v>79.84</v>
      </c>
      <c r="I242">
        <v>17.96</v>
      </c>
      <c r="J242">
        <v>59.4</v>
      </c>
      <c r="K242">
        <v>60</v>
      </c>
      <c r="T242">
        <v>3</v>
      </c>
      <c r="U242">
        <v>1</v>
      </c>
      <c r="V242" t="s">
        <v>99</v>
      </c>
      <c r="W242">
        <v>79</v>
      </c>
      <c r="X242">
        <v>15</v>
      </c>
      <c r="Y242">
        <v>10</v>
      </c>
      <c r="Z242" t="s">
        <v>479</v>
      </c>
      <c r="AA242" t="s">
        <v>480</v>
      </c>
      <c r="AB242" t="s">
        <v>86</v>
      </c>
      <c r="AC242" t="s">
        <v>87</v>
      </c>
      <c r="AD242" t="s">
        <v>88</v>
      </c>
      <c r="AE242" t="s">
        <v>316</v>
      </c>
      <c r="AG242" t="s">
        <v>481</v>
      </c>
      <c r="AH242">
        <v>0</v>
      </c>
      <c r="AI242">
        <v>343</v>
      </c>
    </row>
    <row r="243" spans="1:35" x14ac:dyDescent="0.3">
      <c r="A243" t="s">
        <v>311</v>
      </c>
      <c r="B243">
        <v>15764</v>
      </c>
      <c r="C243">
        <v>4</v>
      </c>
      <c r="D243" t="s">
        <v>476</v>
      </c>
      <c r="E243" t="s">
        <v>477</v>
      </c>
      <c r="F243">
        <v>159</v>
      </c>
      <c r="G243">
        <v>25.58</v>
      </c>
      <c r="H243">
        <v>84.59</v>
      </c>
      <c r="I243">
        <v>21.2</v>
      </c>
      <c r="J243">
        <v>70.11</v>
      </c>
      <c r="K243">
        <v>15</v>
      </c>
      <c r="T243">
        <v>3</v>
      </c>
      <c r="U243">
        <v>1</v>
      </c>
      <c r="V243" t="s">
        <v>82</v>
      </c>
      <c r="W243" t="s">
        <v>187</v>
      </c>
      <c r="X243">
        <v>15</v>
      </c>
      <c r="Y243">
        <v>10</v>
      </c>
      <c r="Z243" t="s">
        <v>479</v>
      </c>
      <c r="AA243" t="s">
        <v>480</v>
      </c>
      <c r="AB243" t="s">
        <v>86</v>
      </c>
      <c r="AC243" t="s">
        <v>87</v>
      </c>
      <c r="AD243" t="s">
        <v>88</v>
      </c>
      <c r="AE243" t="s">
        <v>316</v>
      </c>
      <c r="AG243" t="s">
        <v>481</v>
      </c>
      <c r="AH243">
        <v>0</v>
      </c>
      <c r="AI243">
        <v>343</v>
      </c>
    </row>
    <row r="244" spans="1:35" x14ac:dyDescent="0.3">
      <c r="A244" t="s">
        <v>311</v>
      </c>
      <c r="B244">
        <v>15764</v>
      </c>
      <c r="C244">
        <v>5</v>
      </c>
      <c r="D244" t="s">
        <v>476</v>
      </c>
      <c r="E244" t="s">
        <v>477</v>
      </c>
      <c r="F244">
        <v>159</v>
      </c>
      <c r="G244">
        <v>26.35</v>
      </c>
      <c r="H244">
        <v>87.13</v>
      </c>
      <c r="I244">
        <v>21.84</v>
      </c>
      <c r="J244">
        <v>72.22</v>
      </c>
      <c r="K244">
        <v>22</v>
      </c>
      <c r="T244">
        <v>3</v>
      </c>
      <c r="U244">
        <v>1</v>
      </c>
      <c r="V244" t="s">
        <v>82</v>
      </c>
      <c r="W244" t="s">
        <v>395</v>
      </c>
      <c r="X244">
        <v>15</v>
      </c>
      <c r="Y244">
        <v>10</v>
      </c>
      <c r="Z244" t="s">
        <v>479</v>
      </c>
      <c r="AA244" t="s">
        <v>480</v>
      </c>
      <c r="AB244" t="s">
        <v>86</v>
      </c>
      <c r="AC244" t="s">
        <v>87</v>
      </c>
      <c r="AD244" t="s">
        <v>88</v>
      </c>
      <c r="AE244" t="s">
        <v>316</v>
      </c>
      <c r="AG244" t="s">
        <v>481</v>
      </c>
      <c r="AH244">
        <v>0</v>
      </c>
      <c r="AI244">
        <v>343</v>
      </c>
    </row>
    <row r="245" spans="1:35" x14ac:dyDescent="0.3">
      <c r="A245" t="s">
        <v>311</v>
      </c>
      <c r="B245">
        <v>15764</v>
      </c>
      <c r="C245">
        <v>6</v>
      </c>
      <c r="D245" t="s">
        <v>476</v>
      </c>
      <c r="E245" t="s">
        <v>477</v>
      </c>
      <c r="F245">
        <v>159</v>
      </c>
      <c r="G245">
        <v>30.8</v>
      </c>
      <c r="H245">
        <v>101.85</v>
      </c>
      <c r="I245">
        <v>25.53</v>
      </c>
      <c r="J245">
        <v>84.42</v>
      </c>
      <c r="K245">
        <v>45</v>
      </c>
      <c r="T245">
        <v>3</v>
      </c>
      <c r="U245">
        <v>1</v>
      </c>
      <c r="V245" t="s">
        <v>82</v>
      </c>
      <c r="W245">
        <v>101</v>
      </c>
      <c r="X245">
        <v>15</v>
      </c>
      <c r="Y245">
        <v>10</v>
      </c>
      <c r="Z245" t="s">
        <v>479</v>
      </c>
      <c r="AA245" t="s">
        <v>480</v>
      </c>
      <c r="AB245" t="s">
        <v>86</v>
      </c>
      <c r="AC245" t="s">
        <v>87</v>
      </c>
      <c r="AD245" t="s">
        <v>88</v>
      </c>
      <c r="AE245" t="s">
        <v>316</v>
      </c>
      <c r="AG245" t="s">
        <v>481</v>
      </c>
      <c r="AH245">
        <v>0</v>
      </c>
      <c r="AI245">
        <v>343</v>
      </c>
    </row>
    <row r="246" spans="1:35" x14ac:dyDescent="0.3">
      <c r="A246" t="s">
        <v>311</v>
      </c>
      <c r="B246">
        <v>7720</v>
      </c>
      <c r="C246">
        <v>1</v>
      </c>
      <c r="D246" t="s">
        <v>483</v>
      </c>
      <c r="E246" t="s">
        <v>307</v>
      </c>
      <c r="F246">
        <v>220</v>
      </c>
      <c r="G246">
        <v>19.850000000000001</v>
      </c>
      <c r="H246">
        <v>65.62</v>
      </c>
      <c r="I246">
        <v>17.96</v>
      </c>
      <c r="J246">
        <v>59.38</v>
      </c>
      <c r="K246">
        <v>6</v>
      </c>
      <c r="T246">
        <v>2</v>
      </c>
      <c r="U246">
        <v>1</v>
      </c>
      <c r="V246" t="s">
        <v>82</v>
      </c>
      <c r="W246">
        <v>65</v>
      </c>
      <c r="X246">
        <v>6</v>
      </c>
      <c r="Y246">
        <v>5</v>
      </c>
      <c r="Z246" t="s">
        <v>484</v>
      </c>
      <c r="AA246" t="s">
        <v>485</v>
      </c>
      <c r="AB246" t="s">
        <v>86</v>
      </c>
      <c r="AC246" t="s">
        <v>87</v>
      </c>
      <c r="AD246" t="s">
        <v>88</v>
      </c>
      <c r="AE246" t="s">
        <v>316</v>
      </c>
      <c r="AG246" t="s">
        <v>486</v>
      </c>
      <c r="AH246">
        <v>0</v>
      </c>
      <c r="AI246">
        <v>0</v>
      </c>
    </row>
    <row r="247" spans="1:35" x14ac:dyDescent="0.3">
      <c r="A247" t="s">
        <v>311</v>
      </c>
      <c r="B247">
        <v>7720</v>
      </c>
      <c r="C247">
        <v>2</v>
      </c>
      <c r="D247" t="s">
        <v>483</v>
      </c>
      <c r="E247" t="s">
        <v>307</v>
      </c>
      <c r="F247">
        <v>220</v>
      </c>
      <c r="G247">
        <v>21.96</v>
      </c>
      <c r="H247">
        <v>72.62</v>
      </c>
      <c r="I247">
        <v>20.07</v>
      </c>
      <c r="J247">
        <v>66.38</v>
      </c>
      <c r="K247">
        <v>78</v>
      </c>
      <c r="T247">
        <v>3</v>
      </c>
      <c r="U247">
        <v>1</v>
      </c>
      <c r="V247" t="s">
        <v>82</v>
      </c>
      <c r="W247">
        <v>72</v>
      </c>
      <c r="X247">
        <v>6</v>
      </c>
      <c r="Y247">
        <v>5</v>
      </c>
      <c r="Z247" t="s">
        <v>484</v>
      </c>
      <c r="AA247" t="s">
        <v>485</v>
      </c>
      <c r="AB247" t="s">
        <v>86</v>
      </c>
      <c r="AC247" t="s">
        <v>87</v>
      </c>
      <c r="AD247" t="s">
        <v>88</v>
      </c>
      <c r="AE247" t="s">
        <v>316</v>
      </c>
      <c r="AG247" t="s">
        <v>486</v>
      </c>
      <c r="AH247">
        <v>0</v>
      </c>
      <c r="AI247">
        <v>0</v>
      </c>
    </row>
    <row r="248" spans="1:35" x14ac:dyDescent="0.3">
      <c r="A248" t="s">
        <v>311</v>
      </c>
      <c r="B248">
        <v>7720</v>
      </c>
      <c r="C248">
        <v>3</v>
      </c>
      <c r="D248" t="s">
        <v>483</v>
      </c>
      <c r="E248" t="s">
        <v>307</v>
      </c>
      <c r="F248">
        <v>220</v>
      </c>
      <c r="G248">
        <v>22.92</v>
      </c>
      <c r="H248">
        <v>75.8</v>
      </c>
      <c r="I248">
        <v>21.04</v>
      </c>
      <c r="J248">
        <v>69.56</v>
      </c>
      <c r="K248">
        <v>72</v>
      </c>
      <c r="T248">
        <v>3</v>
      </c>
      <c r="U248">
        <v>1</v>
      </c>
      <c r="V248" t="s">
        <v>82</v>
      </c>
      <c r="W248">
        <v>75</v>
      </c>
      <c r="X248">
        <v>6</v>
      </c>
      <c r="Y248">
        <v>5</v>
      </c>
      <c r="Z248" t="s">
        <v>484</v>
      </c>
      <c r="AA248" t="s">
        <v>485</v>
      </c>
      <c r="AB248" t="s">
        <v>86</v>
      </c>
      <c r="AC248" t="s">
        <v>87</v>
      </c>
      <c r="AD248" t="s">
        <v>88</v>
      </c>
      <c r="AE248" t="s">
        <v>316</v>
      </c>
      <c r="AG248" t="s">
        <v>486</v>
      </c>
      <c r="AH248">
        <v>0</v>
      </c>
      <c r="AI248">
        <v>0</v>
      </c>
    </row>
    <row r="249" spans="1:35" x14ac:dyDescent="0.3">
      <c r="A249" t="s">
        <v>311</v>
      </c>
      <c r="B249">
        <v>7720</v>
      </c>
      <c r="C249">
        <v>4</v>
      </c>
      <c r="D249" t="s">
        <v>483</v>
      </c>
      <c r="E249" t="s">
        <v>307</v>
      </c>
      <c r="F249">
        <v>220</v>
      </c>
      <c r="G249">
        <v>24.7</v>
      </c>
      <c r="H249">
        <v>81.680000000000007</v>
      </c>
      <c r="I249">
        <v>22.82</v>
      </c>
      <c r="J249">
        <v>75.44</v>
      </c>
      <c r="K249">
        <v>40</v>
      </c>
      <c r="T249">
        <v>3</v>
      </c>
      <c r="U249">
        <v>1</v>
      </c>
      <c r="V249" t="s">
        <v>82</v>
      </c>
      <c r="W249">
        <v>81</v>
      </c>
      <c r="X249">
        <v>6</v>
      </c>
      <c r="Y249">
        <v>5</v>
      </c>
      <c r="Z249" t="s">
        <v>484</v>
      </c>
      <c r="AA249" t="s">
        <v>485</v>
      </c>
      <c r="AB249" t="s">
        <v>86</v>
      </c>
      <c r="AC249" t="s">
        <v>87</v>
      </c>
      <c r="AD249" t="s">
        <v>88</v>
      </c>
      <c r="AE249" t="s">
        <v>316</v>
      </c>
      <c r="AG249" t="s">
        <v>486</v>
      </c>
      <c r="AH249">
        <v>0</v>
      </c>
      <c r="AI249">
        <v>0</v>
      </c>
    </row>
    <row r="250" spans="1:35" x14ac:dyDescent="0.3">
      <c r="A250" t="s">
        <v>311</v>
      </c>
      <c r="B250">
        <v>7720</v>
      </c>
      <c r="C250">
        <v>5</v>
      </c>
      <c r="D250" t="s">
        <v>483</v>
      </c>
      <c r="E250" t="s">
        <v>307</v>
      </c>
      <c r="F250">
        <v>220</v>
      </c>
      <c r="G250">
        <v>25.88</v>
      </c>
      <c r="H250">
        <v>85.56</v>
      </c>
      <c r="I250">
        <v>23.99</v>
      </c>
      <c r="J250">
        <v>79.319999999999993</v>
      </c>
      <c r="K250">
        <v>6</v>
      </c>
      <c r="T250">
        <v>3</v>
      </c>
      <c r="U250">
        <v>1</v>
      </c>
      <c r="V250" t="s">
        <v>82</v>
      </c>
      <c r="W250" t="s">
        <v>188</v>
      </c>
      <c r="X250">
        <v>6</v>
      </c>
      <c r="Y250">
        <v>5</v>
      </c>
      <c r="Z250" t="s">
        <v>484</v>
      </c>
      <c r="AA250" t="s">
        <v>485</v>
      </c>
      <c r="AB250" t="s">
        <v>86</v>
      </c>
      <c r="AC250" t="s">
        <v>87</v>
      </c>
      <c r="AD250" t="s">
        <v>88</v>
      </c>
      <c r="AE250" t="s">
        <v>316</v>
      </c>
      <c r="AG250" t="s">
        <v>486</v>
      </c>
      <c r="AH250">
        <v>0</v>
      </c>
      <c r="AI250">
        <v>0</v>
      </c>
    </row>
    <row r="251" spans="1:35" x14ac:dyDescent="0.3">
      <c r="A251" t="s">
        <v>311</v>
      </c>
      <c r="B251">
        <v>7720</v>
      </c>
      <c r="C251">
        <v>6</v>
      </c>
      <c r="D251" t="s">
        <v>483</v>
      </c>
      <c r="E251" t="s">
        <v>307</v>
      </c>
      <c r="F251">
        <v>220</v>
      </c>
      <c r="G251">
        <v>26.2</v>
      </c>
      <c r="H251">
        <v>86.63</v>
      </c>
      <c r="I251">
        <v>24.31</v>
      </c>
      <c r="J251">
        <v>80.39</v>
      </c>
      <c r="K251">
        <v>6</v>
      </c>
      <c r="T251">
        <v>3</v>
      </c>
      <c r="U251">
        <v>1</v>
      </c>
      <c r="V251" t="s">
        <v>82</v>
      </c>
      <c r="W251" t="s">
        <v>228</v>
      </c>
      <c r="X251">
        <v>6</v>
      </c>
      <c r="Y251">
        <v>5</v>
      </c>
      <c r="Z251" t="s">
        <v>484</v>
      </c>
      <c r="AA251" t="s">
        <v>485</v>
      </c>
      <c r="AB251" t="s">
        <v>86</v>
      </c>
      <c r="AC251" t="s">
        <v>87</v>
      </c>
      <c r="AD251" t="s">
        <v>88</v>
      </c>
      <c r="AE251" t="s">
        <v>316</v>
      </c>
      <c r="AG251" t="s">
        <v>486</v>
      </c>
      <c r="AH251">
        <v>0</v>
      </c>
      <c r="AI251">
        <v>0</v>
      </c>
    </row>
    <row r="252" spans="1:35" x14ac:dyDescent="0.3">
      <c r="A252" t="s">
        <v>311</v>
      </c>
      <c r="B252">
        <v>7720</v>
      </c>
      <c r="C252">
        <v>7</v>
      </c>
      <c r="D252" t="s">
        <v>483</v>
      </c>
      <c r="E252" t="s">
        <v>307</v>
      </c>
      <c r="F252">
        <v>220</v>
      </c>
      <c r="G252">
        <v>26.43</v>
      </c>
      <c r="H252">
        <v>87.4</v>
      </c>
      <c r="I252">
        <v>24.55</v>
      </c>
      <c r="J252">
        <v>81.16</v>
      </c>
      <c r="K252">
        <v>6</v>
      </c>
      <c r="T252">
        <v>3</v>
      </c>
      <c r="U252">
        <v>1</v>
      </c>
      <c r="V252" t="s">
        <v>82</v>
      </c>
      <c r="W252" t="s">
        <v>437</v>
      </c>
      <c r="X252">
        <v>6</v>
      </c>
      <c r="Y252">
        <v>5</v>
      </c>
      <c r="Z252" t="s">
        <v>484</v>
      </c>
      <c r="AA252" t="s">
        <v>485</v>
      </c>
      <c r="AB252" t="s">
        <v>86</v>
      </c>
      <c r="AC252" t="s">
        <v>87</v>
      </c>
      <c r="AD252" t="s">
        <v>88</v>
      </c>
      <c r="AE252" t="s">
        <v>316</v>
      </c>
      <c r="AG252" t="s">
        <v>486</v>
      </c>
      <c r="AH252">
        <v>0</v>
      </c>
      <c r="AI252">
        <v>0</v>
      </c>
    </row>
    <row r="253" spans="1:35" x14ac:dyDescent="0.3">
      <c r="A253" t="s">
        <v>311</v>
      </c>
      <c r="B253">
        <v>7720</v>
      </c>
      <c r="C253">
        <v>8</v>
      </c>
      <c r="D253" t="s">
        <v>483</v>
      </c>
      <c r="E253" t="s">
        <v>307</v>
      </c>
      <c r="F253">
        <v>220</v>
      </c>
      <c r="G253">
        <v>28.33</v>
      </c>
      <c r="H253">
        <v>93.67</v>
      </c>
      <c r="I253">
        <v>24.55</v>
      </c>
      <c r="J253">
        <v>81.19</v>
      </c>
      <c r="K253">
        <v>6</v>
      </c>
      <c r="T253">
        <v>3</v>
      </c>
      <c r="U253">
        <v>1</v>
      </c>
      <c r="V253" t="s">
        <v>82</v>
      </c>
      <c r="W253">
        <v>93</v>
      </c>
      <c r="X253">
        <v>6</v>
      </c>
      <c r="Y253">
        <v>5</v>
      </c>
      <c r="Z253" t="s">
        <v>484</v>
      </c>
      <c r="AA253" t="s">
        <v>485</v>
      </c>
      <c r="AB253" t="s">
        <v>86</v>
      </c>
      <c r="AC253" t="s">
        <v>87</v>
      </c>
      <c r="AD253" t="s">
        <v>88</v>
      </c>
      <c r="AE253" t="s">
        <v>316</v>
      </c>
      <c r="AG253" t="s">
        <v>486</v>
      </c>
      <c r="AH253">
        <v>0</v>
      </c>
      <c r="AI253">
        <v>0</v>
      </c>
    </row>
    <row r="254" spans="1:35" x14ac:dyDescent="0.3">
      <c r="A254" t="s">
        <v>311</v>
      </c>
      <c r="B254">
        <v>115998</v>
      </c>
      <c r="C254">
        <v>1</v>
      </c>
      <c r="D254" t="s">
        <v>487</v>
      </c>
      <c r="E254" t="s">
        <v>488</v>
      </c>
      <c r="F254">
        <v>109</v>
      </c>
      <c r="G254">
        <v>26.21</v>
      </c>
      <c r="H254">
        <v>86.67</v>
      </c>
      <c r="I254">
        <v>18.11</v>
      </c>
      <c r="J254">
        <v>59.88</v>
      </c>
      <c r="K254">
        <v>65</v>
      </c>
      <c r="T254">
        <v>3</v>
      </c>
      <c r="U254">
        <v>2</v>
      </c>
      <c r="V254" t="s">
        <v>82</v>
      </c>
      <c r="W254">
        <v>86</v>
      </c>
      <c r="X254">
        <v>23</v>
      </c>
      <c r="Y254">
        <v>17</v>
      </c>
      <c r="Z254" t="s">
        <v>489</v>
      </c>
      <c r="AA254" t="s">
        <v>490</v>
      </c>
      <c r="AB254" t="s">
        <v>86</v>
      </c>
      <c r="AC254" t="s">
        <v>87</v>
      </c>
      <c r="AD254" t="s">
        <v>88</v>
      </c>
      <c r="AE254" t="s">
        <v>316</v>
      </c>
      <c r="AG254" t="s">
        <v>491</v>
      </c>
      <c r="AH254">
        <v>0</v>
      </c>
      <c r="AI254">
        <v>351</v>
      </c>
    </row>
    <row r="255" spans="1:35" x14ac:dyDescent="0.3">
      <c r="A255" t="s">
        <v>311</v>
      </c>
      <c r="B255">
        <v>115998</v>
      </c>
      <c r="C255">
        <v>2</v>
      </c>
      <c r="D255" t="s">
        <v>487</v>
      </c>
      <c r="E255" t="s">
        <v>488</v>
      </c>
      <c r="F255">
        <v>109</v>
      </c>
      <c r="G255">
        <v>30.38</v>
      </c>
      <c r="H255">
        <v>100.43</v>
      </c>
      <c r="I255">
        <v>22.68</v>
      </c>
      <c r="J255">
        <v>74.989999999999995</v>
      </c>
      <c r="K255">
        <v>44</v>
      </c>
      <c r="T255">
        <v>3</v>
      </c>
      <c r="U255">
        <v>2</v>
      </c>
      <c r="V255" t="s">
        <v>82</v>
      </c>
      <c r="W255">
        <v>100</v>
      </c>
      <c r="X255">
        <v>23</v>
      </c>
      <c r="Y255">
        <v>17</v>
      </c>
      <c r="Z255" t="s">
        <v>489</v>
      </c>
      <c r="AA255" t="s">
        <v>490</v>
      </c>
      <c r="AB255" t="s">
        <v>86</v>
      </c>
      <c r="AC255" t="s">
        <v>87</v>
      </c>
      <c r="AD255" t="s">
        <v>88</v>
      </c>
      <c r="AE255" t="s">
        <v>316</v>
      </c>
      <c r="AG255" t="s">
        <v>491</v>
      </c>
      <c r="AH255">
        <v>0</v>
      </c>
      <c r="AI255">
        <v>351</v>
      </c>
    </row>
    <row r="256" spans="1:35" x14ac:dyDescent="0.3">
      <c r="A256" t="s">
        <v>492</v>
      </c>
      <c r="B256">
        <v>16805</v>
      </c>
      <c r="C256">
        <v>1</v>
      </c>
      <c r="D256" t="s">
        <v>493</v>
      </c>
      <c r="E256" t="s">
        <v>494</v>
      </c>
      <c r="F256">
        <v>48</v>
      </c>
      <c r="G256">
        <v>23.03</v>
      </c>
      <c r="H256">
        <v>76.16</v>
      </c>
      <c r="I256">
        <v>17.72</v>
      </c>
      <c r="J256">
        <v>58.6</v>
      </c>
      <c r="K256">
        <v>36</v>
      </c>
      <c r="T256">
        <v>3</v>
      </c>
      <c r="U256">
        <v>1</v>
      </c>
      <c r="V256" t="s">
        <v>82</v>
      </c>
      <c r="W256">
        <v>76</v>
      </c>
      <c r="X256">
        <v>12</v>
      </c>
      <c r="Y256">
        <v>12</v>
      </c>
      <c r="Z256" t="s">
        <v>495</v>
      </c>
      <c r="AA256" t="s">
        <v>496</v>
      </c>
      <c r="AB256" t="s">
        <v>86</v>
      </c>
      <c r="AC256" t="s">
        <v>87</v>
      </c>
      <c r="AD256" t="s">
        <v>88</v>
      </c>
      <c r="AE256" t="s">
        <v>497</v>
      </c>
      <c r="AG256" t="s">
        <v>498</v>
      </c>
      <c r="AH256">
        <v>0</v>
      </c>
      <c r="AI256">
        <v>297</v>
      </c>
    </row>
    <row r="257" spans="1:35" x14ac:dyDescent="0.3">
      <c r="A257" t="s">
        <v>492</v>
      </c>
      <c r="B257">
        <v>16805</v>
      </c>
      <c r="C257">
        <v>2</v>
      </c>
      <c r="D257" t="s">
        <v>493</v>
      </c>
      <c r="E257" t="s">
        <v>494</v>
      </c>
      <c r="F257">
        <v>48</v>
      </c>
      <c r="G257">
        <v>23.52</v>
      </c>
      <c r="H257">
        <v>77.78</v>
      </c>
      <c r="I257">
        <v>18.100000000000001</v>
      </c>
      <c r="J257">
        <v>59.86</v>
      </c>
      <c r="K257">
        <v>4</v>
      </c>
      <c r="T257">
        <v>3</v>
      </c>
      <c r="U257">
        <v>1</v>
      </c>
      <c r="V257" t="s">
        <v>82</v>
      </c>
      <c r="W257">
        <v>77</v>
      </c>
      <c r="X257">
        <v>12</v>
      </c>
      <c r="Y257">
        <v>12</v>
      </c>
      <c r="Z257" t="s">
        <v>495</v>
      </c>
      <c r="AA257" t="s">
        <v>496</v>
      </c>
      <c r="AB257" t="s">
        <v>86</v>
      </c>
      <c r="AC257" t="s">
        <v>87</v>
      </c>
      <c r="AD257" t="s">
        <v>88</v>
      </c>
      <c r="AE257" t="s">
        <v>497</v>
      </c>
      <c r="AG257" t="s">
        <v>498</v>
      </c>
      <c r="AH257">
        <v>0</v>
      </c>
      <c r="AI257">
        <v>297</v>
      </c>
    </row>
    <row r="258" spans="1:35" x14ac:dyDescent="0.3">
      <c r="A258" t="s">
        <v>492</v>
      </c>
      <c r="B258">
        <v>16805</v>
      </c>
      <c r="C258">
        <v>3</v>
      </c>
      <c r="D258" t="s">
        <v>493</v>
      </c>
      <c r="E258" t="s">
        <v>494</v>
      </c>
      <c r="F258">
        <v>48</v>
      </c>
      <c r="G258">
        <v>26.85</v>
      </c>
      <c r="H258">
        <v>88.79</v>
      </c>
      <c r="I258">
        <v>20.66</v>
      </c>
      <c r="J258">
        <v>68.319999999999993</v>
      </c>
      <c r="K258">
        <v>8</v>
      </c>
      <c r="T258">
        <v>3</v>
      </c>
      <c r="U258">
        <v>1</v>
      </c>
      <c r="V258" t="s">
        <v>82</v>
      </c>
      <c r="W258">
        <v>88</v>
      </c>
      <c r="X258">
        <v>12</v>
      </c>
      <c r="Y258">
        <v>12</v>
      </c>
      <c r="Z258" t="s">
        <v>495</v>
      </c>
      <c r="AA258" t="s">
        <v>496</v>
      </c>
      <c r="AB258" t="s">
        <v>86</v>
      </c>
      <c r="AC258" t="s">
        <v>87</v>
      </c>
      <c r="AD258" t="s">
        <v>88</v>
      </c>
      <c r="AE258" t="s">
        <v>497</v>
      </c>
      <c r="AG258" t="s">
        <v>498</v>
      </c>
      <c r="AH258">
        <v>0</v>
      </c>
      <c r="AI258">
        <v>297</v>
      </c>
    </row>
    <row r="259" spans="1:35" x14ac:dyDescent="0.3">
      <c r="A259" t="s">
        <v>492</v>
      </c>
      <c r="B259">
        <v>110627</v>
      </c>
      <c r="C259">
        <v>1</v>
      </c>
      <c r="D259" t="s">
        <v>499</v>
      </c>
      <c r="E259" t="s">
        <v>500</v>
      </c>
      <c r="F259">
        <v>60</v>
      </c>
      <c r="G259">
        <v>28</v>
      </c>
      <c r="H259">
        <v>92.58</v>
      </c>
      <c r="I259">
        <v>21.46</v>
      </c>
      <c r="J259">
        <v>70.97</v>
      </c>
      <c r="K259">
        <v>2</v>
      </c>
      <c r="T259">
        <v>3</v>
      </c>
      <c r="U259">
        <v>1</v>
      </c>
      <c r="V259" t="s">
        <v>82</v>
      </c>
      <c r="W259">
        <v>92</v>
      </c>
      <c r="X259">
        <v>10</v>
      </c>
      <c r="Y259">
        <v>10</v>
      </c>
      <c r="Z259" t="s">
        <v>501</v>
      </c>
      <c r="AA259" t="s">
        <v>502</v>
      </c>
      <c r="AB259" t="s">
        <v>86</v>
      </c>
      <c r="AC259" t="s">
        <v>87</v>
      </c>
      <c r="AD259" t="s">
        <v>88</v>
      </c>
      <c r="AE259" t="s">
        <v>497</v>
      </c>
      <c r="AG259" t="s">
        <v>503</v>
      </c>
      <c r="AH259">
        <v>0</v>
      </c>
      <c r="AI259">
        <v>0</v>
      </c>
    </row>
    <row r="260" spans="1:35" x14ac:dyDescent="0.3">
      <c r="A260" t="s">
        <v>492</v>
      </c>
      <c r="B260">
        <v>110627</v>
      </c>
      <c r="C260">
        <v>2</v>
      </c>
      <c r="D260" t="s">
        <v>499</v>
      </c>
      <c r="E260" t="s">
        <v>500</v>
      </c>
      <c r="F260">
        <v>60</v>
      </c>
      <c r="G260">
        <v>32.630000000000003</v>
      </c>
      <c r="H260">
        <v>107.89</v>
      </c>
      <c r="I260">
        <v>25.49</v>
      </c>
      <c r="J260">
        <v>84.29</v>
      </c>
      <c r="K260">
        <v>58</v>
      </c>
      <c r="T260">
        <v>3</v>
      </c>
      <c r="U260">
        <v>2</v>
      </c>
      <c r="V260" t="s">
        <v>82</v>
      </c>
      <c r="W260">
        <v>107</v>
      </c>
      <c r="X260">
        <v>10</v>
      </c>
      <c r="Y260">
        <v>10</v>
      </c>
      <c r="Z260" t="s">
        <v>501</v>
      </c>
      <c r="AA260" t="s">
        <v>502</v>
      </c>
      <c r="AB260" t="s">
        <v>86</v>
      </c>
      <c r="AC260" t="s">
        <v>87</v>
      </c>
      <c r="AD260" t="s">
        <v>88</v>
      </c>
      <c r="AE260" t="s">
        <v>497</v>
      </c>
      <c r="AG260" t="s">
        <v>503</v>
      </c>
      <c r="AH260">
        <v>0</v>
      </c>
      <c r="AI260">
        <v>0</v>
      </c>
    </row>
    <row r="261" spans="1:35" x14ac:dyDescent="0.3">
      <c r="A261" t="s">
        <v>492</v>
      </c>
      <c r="B261">
        <v>7730</v>
      </c>
      <c r="C261">
        <v>1</v>
      </c>
      <c r="D261" t="s">
        <v>504</v>
      </c>
      <c r="E261" t="s">
        <v>505</v>
      </c>
      <c r="F261">
        <v>254</v>
      </c>
      <c r="G261">
        <v>16.989999999999998</v>
      </c>
      <c r="H261">
        <v>56.19</v>
      </c>
      <c r="I261">
        <v>12.64</v>
      </c>
      <c r="J261">
        <v>41.79</v>
      </c>
      <c r="K261">
        <v>32</v>
      </c>
      <c r="T261">
        <v>2</v>
      </c>
      <c r="U261">
        <v>1</v>
      </c>
      <c r="V261" t="s">
        <v>82</v>
      </c>
      <c r="W261">
        <v>56</v>
      </c>
      <c r="X261">
        <v>16</v>
      </c>
      <c r="Y261">
        <v>12</v>
      </c>
      <c r="Z261" t="s">
        <v>506</v>
      </c>
      <c r="AA261" t="s">
        <v>507</v>
      </c>
      <c r="AB261" t="s">
        <v>86</v>
      </c>
      <c r="AC261" t="s">
        <v>87</v>
      </c>
      <c r="AD261" t="s">
        <v>88</v>
      </c>
      <c r="AE261" t="s">
        <v>497</v>
      </c>
      <c r="AG261" t="s">
        <v>508</v>
      </c>
      <c r="AH261">
        <v>0</v>
      </c>
      <c r="AI261">
        <v>327</v>
      </c>
    </row>
    <row r="262" spans="1:35" x14ac:dyDescent="0.3">
      <c r="A262" t="s">
        <v>492</v>
      </c>
      <c r="B262">
        <v>7730</v>
      </c>
      <c r="C262">
        <v>2</v>
      </c>
      <c r="D262" t="s">
        <v>504</v>
      </c>
      <c r="E262" t="s">
        <v>505</v>
      </c>
      <c r="F262">
        <v>254</v>
      </c>
      <c r="G262">
        <v>20.27</v>
      </c>
      <c r="H262">
        <v>67.02</v>
      </c>
      <c r="I262">
        <v>16.13</v>
      </c>
      <c r="J262">
        <v>53.34</v>
      </c>
      <c r="K262">
        <v>1</v>
      </c>
      <c r="T262">
        <v>2</v>
      </c>
      <c r="U262">
        <v>1</v>
      </c>
      <c r="V262" t="s">
        <v>82</v>
      </c>
      <c r="W262">
        <v>67</v>
      </c>
      <c r="X262">
        <v>16</v>
      </c>
      <c r="Y262">
        <v>12</v>
      </c>
      <c r="Z262" t="s">
        <v>506</v>
      </c>
      <c r="AA262" t="s">
        <v>507</v>
      </c>
      <c r="AB262" t="s">
        <v>86</v>
      </c>
      <c r="AC262" t="s">
        <v>87</v>
      </c>
      <c r="AD262" t="s">
        <v>88</v>
      </c>
      <c r="AE262" t="s">
        <v>497</v>
      </c>
      <c r="AG262" t="s">
        <v>508</v>
      </c>
      <c r="AH262">
        <v>0</v>
      </c>
      <c r="AI262">
        <v>327</v>
      </c>
    </row>
    <row r="263" spans="1:35" x14ac:dyDescent="0.3">
      <c r="A263" t="s">
        <v>492</v>
      </c>
      <c r="B263">
        <v>7730</v>
      </c>
      <c r="C263">
        <v>3</v>
      </c>
      <c r="D263" t="s">
        <v>504</v>
      </c>
      <c r="E263" t="s">
        <v>505</v>
      </c>
      <c r="F263">
        <v>254</v>
      </c>
      <c r="G263">
        <v>22.29</v>
      </c>
      <c r="H263">
        <v>73.709999999999994</v>
      </c>
      <c r="I263">
        <v>18.14</v>
      </c>
      <c r="J263">
        <v>59.97</v>
      </c>
      <c r="K263">
        <v>109</v>
      </c>
      <c r="T263">
        <v>3</v>
      </c>
      <c r="U263">
        <v>1</v>
      </c>
      <c r="V263" t="s">
        <v>82</v>
      </c>
      <c r="W263">
        <v>73</v>
      </c>
      <c r="X263">
        <v>16</v>
      </c>
      <c r="Y263">
        <v>12</v>
      </c>
      <c r="Z263" t="s">
        <v>506</v>
      </c>
      <c r="AA263" t="s">
        <v>507</v>
      </c>
      <c r="AB263" t="s">
        <v>86</v>
      </c>
      <c r="AC263" t="s">
        <v>87</v>
      </c>
      <c r="AD263" t="s">
        <v>88</v>
      </c>
      <c r="AE263" t="s">
        <v>497</v>
      </c>
      <c r="AG263" t="s">
        <v>508</v>
      </c>
      <c r="AH263">
        <v>0</v>
      </c>
      <c r="AI263">
        <v>327</v>
      </c>
    </row>
    <row r="264" spans="1:35" x14ac:dyDescent="0.3">
      <c r="A264" t="s">
        <v>492</v>
      </c>
      <c r="B264">
        <v>7730</v>
      </c>
      <c r="C264">
        <v>4</v>
      </c>
      <c r="D264" t="s">
        <v>504</v>
      </c>
      <c r="E264" t="s">
        <v>505</v>
      </c>
      <c r="F264">
        <v>254</v>
      </c>
      <c r="G264">
        <v>29.22</v>
      </c>
      <c r="H264">
        <v>96.6</v>
      </c>
      <c r="I264">
        <v>25.62</v>
      </c>
      <c r="J264">
        <v>84.72</v>
      </c>
      <c r="K264">
        <v>112</v>
      </c>
      <c r="T264">
        <v>3</v>
      </c>
      <c r="U264">
        <v>2</v>
      </c>
      <c r="V264" t="s">
        <v>82</v>
      </c>
      <c r="W264">
        <v>96</v>
      </c>
      <c r="X264">
        <v>16</v>
      </c>
      <c r="Y264">
        <v>12</v>
      </c>
      <c r="Z264" t="s">
        <v>506</v>
      </c>
      <c r="AA264" t="s">
        <v>507</v>
      </c>
      <c r="AB264" t="s">
        <v>86</v>
      </c>
      <c r="AC264" t="s">
        <v>87</v>
      </c>
      <c r="AD264" t="s">
        <v>88</v>
      </c>
      <c r="AE264" t="s">
        <v>497</v>
      </c>
      <c r="AG264" t="s">
        <v>508</v>
      </c>
      <c r="AH264">
        <v>0</v>
      </c>
      <c r="AI264">
        <v>327</v>
      </c>
    </row>
    <row r="265" spans="1:35" x14ac:dyDescent="0.3">
      <c r="A265" t="s">
        <v>492</v>
      </c>
      <c r="B265">
        <v>19739</v>
      </c>
      <c r="C265">
        <v>1</v>
      </c>
      <c r="D265" t="s">
        <v>509</v>
      </c>
      <c r="E265" t="s">
        <v>510</v>
      </c>
      <c r="F265">
        <v>418</v>
      </c>
      <c r="G265">
        <v>31.77</v>
      </c>
      <c r="H265">
        <v>105.03</v>
      </c>
      <c r="I265">
        <v>25.68</v>
      </c>
      <c r="J265">
        <v>84.91</v>
      </c>
      <c r="K265">
        <v>311</v>
      </c>
      <c r="T265">
        <v>3</v>
      </c>
      <c r="U265">
        <v>2</v>
      </c>
      <c r="V265" t="s">
        <v>82</v>
      </c>
      <c r="W265">
        <v>105</v>
      </c>
      <c r="X265">
        <v>20</v>
      </c>
      <c r="Y265">
        <v>17</v>
      </c>
      <c r="Z265" t="s">
        <v>511</v>
      </c>
      <c r="AA265" t="s">
        <v>512</v>
      </c>
      <c r="AB265" t="s">
        <v>86</v>
      </c>
      <c r="AC265" t="s">
        <v>87</v>
      </c>
      <c r="AD265" t="s">
        <v>88</v>
      </c>
      <c r="AE265" t="s">
        <v>497</v>
      </c>
      <c r="AG265" t="s">
        <v>513</v>
      </c>
      <c r="AH265">
        <v>0</v>
      </c>
      <c r="AI265">
        <v>218</v>
      </c>
    </row>
    <row r="266" spans="1:35" x14ac:dyDescent="0.3">
      <c r="A266" t="s">
        <v>492</v>
      </c>
      <c r="B266">
        <v>19739</v>
      </c>
      <c r="C266">
        <v>2</v>
      </c>
      <c r="D266" t="s">
        <v>509</v>
      </c>
      <c r="E266" t="s">
        <v>510</v>
      </c>
      <c r="F266">
        <v>418</v>
      </c>
      <c r="G266">
        <v>43.76</v>
      </c>
      <c r="H266">
        <v>144.66999999999999</v>
      </c>
      <c r="I266">
        <v>35.369999999999997</v>
      </c>
      <c r="J266">
        <v>116.95</v>
      </c>
      <c r="K266">
        <v>107</v>
      </c>
      <c r="T266">
        <v>4</v>
      </c>
      <c r="U266">
        <v>2</v>
      </c>
      <c r="V266" t="s">
        <v>82</v>
      </c>
      <c r="W266">
        <v>144</v>
      </c>
      <c r="X266">
        <v>20</v>
      </c>
      <c r="Y266">
        <v>17</v>
      </c>
      <c r="Z266" t="s">
        <v>511</v>
      </c>
      <c r="AA266" t="s">
        <v>512</v>
      </c>
      <c r="AB266" t="s">
        <v>86</v>
      </c>
      <c r="AC266" t="s">
        <v>87</v>
      </c>
      <c r="AD266" t="s">
        <v>88</v>
      </c>
      <c r="AE266" t="s">
        <v>497</v>
      </c>
      <c r="AG266" t="s">
        <v>513</v>
      </c>
      <c r="AH266">
        <v>0</v>
      </c>
      <c r="AI266">
        <v>218</v>
      </c>
    </row>
    <row r="267" spans="1:35" x14ac:dyDescent="0.3">
      <c r="A267" t="s">
        <v>492</v>
      </c>
      <c r="B267">
        <v>7726</v>
      </c>
      <c r="C267">
        <v>1</v>
      </c>
      <c r="D267" t="s">
        <v>514</v>
      </c>
      <c r="E267" t="s">
        <v>105</v>
      </c>
      <c r="F267">
        <v>150</v>
      </c>
      <c r="G267">
        <v>22.93</v>
      </c>
      <c r="H267">
        <v>75.819999999999993</v>
      </c>
      <c r="I267">
        <v>18.13</v>
      </c>
      <c r="J267">
        <v>59.96</v>
      </c>
      <c r="K267">
        <v>120</v>
      </c>
      <c r="T267">
        <v>2</v>
      </c>
      <c r="U267">
        <v>1</v>
      </c>
      <c r="V267" t="s">
        <v>82</v>
      </c>
      <c r="W267">
        <v>75</v>
      </c>
      <c r="X267">
        <v>15</v>
      </c>
      <c r="Y267">
        <v>15</v>
      </c>
      <c r="Z267" t="s">
        <v>515</v>
      </c>
      <c r="AA267" t="s">
        <v>516</v>
      </c>
      <c r="AB267" t="s">
        <v>86</v>
      </c>
      <c r="AC267" t="s">
        <v>87</v>
      </c>
      <c r="AD267" t="s">
        <v>88</v>
      </c>
      <c r="AE267" t="s">
        <v>497</v>
      </c>
      <c r="AG267" t="s">
        <v>517</v>
      </c>
      <c r="AH267">
        <v>0</v>
      </c>
      <c r="AI267">
        <v>372</v>
      </c>
    </row>
    <row r="268" spans="1:35" x14ac:dyDescent="0.3">
      <c r="A268" t="s">
        <v>492</v>
      </c>
      <c r="B268">
        <v>7726</v>
      </c>
      <c r="C268">
        <v>2</v>
      </c>
      <c r="D268" t="s">
        <v>514</v>
      </c>
      <c r="E268" t="s">
        <v>105</v>
      </c>
      <c r="F268">
        <v>150</v>
      </c>
      <c r="G268">
        <v>30.51</v>
      </c>
      <c r="H268">
        <v>100.86</v>
      </c>
      <c r="I268">
        <v>25.37</v>
      </c>
      <c r="J268">
        <v>83.88</v>
      </c>
      <c r="K268">
        <v>30</v>
      </c>
      <c r="T268">
        <v>3</v>
      </c>
      <c r="U268">
        <v>2</v>
      </c>
      <c r="V268" t="s">
        <v>82</v>
      </c>
      <c r="W268">
        <v>100</v>
      </c>
      <c r="X268">
        <v>15</v>
      </c>
      <c r="Y268">
        <v>15</v>
      </c>
      <c r="Z268" t="s">
        <v>515</v>
      </c>
      <c r="AA268" t="s">
        <v>516</v>
      </c>
      <c r="AB268" t="s">
        <v>86</v>
      </c>
      <c r="AC268" t="s">
        <v>87</v>
      </c>
      <c r="AD268" t="s">
        <v>88</v>
      </c>
      <c r="AE268" t="s">
        <v>497</v>
      </c>
      <c r="AG268" t="s">
        <v>517</v>
      </c>
      <c r="AH268">
        <v>0</v>
      </c>
      <c r="AI268">
        <v>372</v>
      </c>
    </row>
    <row r="269" spans="1:35" x14ac:dyDescent="0.3">
      <c r="A269" t="s">
        <v>492</v>
      </c>
      <c r="B269">
        <v>7727</v>
      </c>
      <c r="C269">
        <v>1</v>
      </c>
      <c r="D269" t="s">
        <v>518</v>
      </c>
      <c r="E269" t="s">
        <v>519</v>
      </c>
      <c r="F269">
        <v>132</v>
      </c>
      <c r="G269">
        <v>29.36</v>
      </c>
      <c r="H269">
        <v>97.06</v>
      </c>
      <c r="I269">
        <v>24.09</v>
      </c>
      <c r="J269">
        <v>79.66</v>
      </c>
      <c r="K269">
        <v>80</v>
      </c>
      <c r="T269">
        <v>3</v>
      </c>
      <c r="U269">
        <v>1</v>
      </c>
      <c r="V269" t="s">
        <v>82</v>
      </c>
      <c r="W269">
        <v>97</v>
      </c>
      <c r="X269">
        <v>10</v>
      </c>
      <c r="Y269">
        <v>8</v>
      </c>
      <c r="Z269" t="s">
        <v>520</v>
      </c>
      <c r="AA269" t="s">
        <v>521</v>
      </c>
      <c r="AB269" t="s">
        <v>86</v>
      </c>
      <c r="AC269" t="s">
        <v>87</v>
      </c>
      <c r="AD269" t="s">
        <v>88</v>
      </c>
      <c r="AE269" t="s">
        <v>497</v>
      </c>
      <c r="AG269" t="s">
        <v>522</v>
      </c>
      <c r="AH269">
        <v>0</v>
      </c>
      <c r="AI269">
        <v>0</v>
      </c>
    </row>
    <row r="270" spans="1:35" x14ac:dyDescent="0.3">
      <c r="A270" t="s">
        <v>492</v>
      </c>
      <c r="B270">
        <v>7727</v>
      </c>
      <c r="C270">
        <v>2</v>
      </c>
      <c r="D270" t="s">
        <v>518</v>
      </c>
      <c r="E270" t="s">
        <v>519</v>
      </c>
      <c r="F270">
        <v>132</v>
      </c>
      <c r="G270">
        <v>31</v>
      </c>
      <c r="H270">
        <v>102.51</v>
      </c>
      <c r="I270">
        <v>25.4</v>
      </c>
      <c r="J270">
        <v>83.97</v>
      </c>
      <c r="K270">
        <v>52</v>
      </c>
      <c r="T270">
        <v>3</v>
      </c>
      <c r="U270">
        <v>1</v>
      </c>
      <c r="V270" t="s">
        <v>82</v>
      </c>
      <c r="W270">
        <v>102</v>
      </c>
      <c r="X270">
        <v>10</v>
      </c>
      <c r="Y270">
        <v>8</v>
      </c>
      <c r="Z270" t="s">
        <v>520</v>
      </c>
      <c r="AA270" t="s">
        <v>521</v>
      </c>
      <c r="AB270" t="s">
        <v>86</v>
      </c>
      <c r="AC270" t="s">
        <v>87</v>
      </c>
      <c r="AD270" t="s">
        <v>88</v>
      </c>
      <c r="AE270" t="s">
        <v>497</v>
      </c>
      <c r="AG270" t="s">
        <v>522</v>
      </c>
      <c r="AH270">
        <v>0</v>
      </c>
      <c r="AI270">
        <v>0</v>
      </c>
    </row>
    <row r="271" spans="1:35" x14ac:dyDescent="0.3">
      <c r="A271" t="s">
        <v>492</v>
      </c>
      <c r="B271">
        <v>136742</v>
      </c>
      <c r="C271">
        <v>1</v>
      </c>
      <c r="D271" t="s">
        <v>523</v>
      </c>
      <c r="E271" t="s">
        <v>524</v>
      </c>
      <c r="F271">
        <v>20</v>
      </c>
      <c r="G271">
        <v>26.03</v>
      </c>
      <c r="H271">
        <v>86.05</v>
      </c>
      <c r="I271">
        <v>20.68</v>
      </c>
      <c r="J271">
        <v>68.38</v>
      </c>
      <c r="K271">
        <v>4</v>
      </c>
      <c r="T271">
        <v>3</v>
      </c>
      <c r="U271">
        <v>2</v>
      </c>
      <c r="V271" t="s">
        <v>82</v>
      </c>
      <c r="W271">
        <v>86</v>
      </c>
      <c r="X271">
        <v>5</v>
      </c>
      <c r="Y271">
        <v>5</v>
      </c>
      <c r="Z271" t="s">
        <v>525</v>
      </c>
      <c r="AA271" t="s">
        <v>526</v>
      </c>
      <c r="AB271" t="s">
        <v>86</v>
      </c>
      <c r="AC271" t="s">
        <v>87</v>
      </c>
      <c r="AD271" t="s">
        <v>88</v>
      </c>
      <c r="AE271" t="s">
        <v>497</v>
      </c>
      <c r="AG271" t="s">
        <v>527</v>
      </c>
      <c r="AH271">
        <v>0</v>
      </c>
      <c r="AI271">
        <v>138</v>
      </c>
    </row>
    <row r="272" spans="1:35" x14ac:dyDescent="0.3">
      <c r="A272" t="s">
        <v>492</v>
      </c>
      <c r="B272">
        <v>136742</v>
      </c>
      <c r="C272">
        <v>2</v>
      </c>
      <c r="D272" t="s">
        <v>523</v>
      </c>
      <c r="E272" t="s">
        <v>524</v>
      </c>
      <c r="F272">
        <v>20</v>
      </c>
      <c r="G272">
        <v>26.7</v>
      </c>
      <c r="H272">
        <v>88.28</v>
      </c>
      <c r="I272">
        <v>21.12</v>
      </c>
      <c r="J272">
        <v>69.849999999999994</v>
      </c>
      <c r="K272">
        <v>4</v>
      </c>
      <c r="T272">
        <v>3</v>
      </c>
      <c r="U272">
        <v>2</v>
      </c>
      <c r="V272" t="s">
        <v>82</v>
      </c>
      <c r="W272">
        <v>88</v>
      </c>
      <c r="X272">
        <v>5</v>
      </c>
      <c r="Y272">
        <v>5</v>
      </c>
      <c r="Z272" t="s">
        <v>525</v>
      </c>
      <c r="AA272" t="s">
        <v>526</v>
      </c>
      <c r="AB272" t="s">
        <v>86</v>
      </c>
      <c r="AC272" t="s">
        <v>87</v>
      </c>
      <c r="AD272" t="s">
        <v>88</v>
      </c>
      <c r="AE272" t="s">
        <v>497</v>
      </c>
      <c r="AG272" t="s">
        <v>527</v>
      </c>
      <c r="AH272">
        <v>0</v>
      </c>
      <c r="AI272">
        <v>138</v>
      </c>
    </row>
    <row r="273" spans="1:35" x14ac:dyDescent="0.3">
      <c r="A273" t="s">
        <v>492</v>
      </c>
      <c r="B273">
        <v>136742</v>
      </c>
      <c r="C273">
        <v>3</v>
      </c>
      <c r="D273" t="s">
        <v>523</v>
      </c>
      <c r="E273" t="s">
        <v>524</v>
      </c>
      <c r="F273">
        <v>20</v>
      </c>
      <c r="G273">
        <v>28.27</v>
      </c>
      <c r="H273">
        <v>93.48</v>
      </c>
      <c r="I273">
        <v>22.47</v>
      </c>
      <c r="J273">
        <v>74.290000000000006</v>
      </c>
      <c r="K273">
        <v>4</v>
      </c>
      <c r="T273">
        <v>3</v>
      </c>
      <c r="U273">
        <v>2</v>
      </c>
      <c r="V273" t="s">
        <v>82</v>
      </c>
      <c r="W273">
        <v>93</v>
      </c>
      <c r="X273">
        <v>5</v>
      </c>
      <c r="Y273">
        <v>5</v>
      </c>
      <c r="Z273" t="s">
        <v>525</v>
      </c>
      <c r="AA273" t="s">
        <v>526</v>
      </c>
      <c r="AB273" t="s">
        <v>86</v>
      </c>
      <c r="AC273" t="s">
        <v>87</v>
      </c>
      <c r="AD273" t="s">
        <v>88</v>
      </c>
      <c r="AE273" t="s">
        <v>497</v>
      </c>
      <c r="AG273" t="s">
        <v>527</v>
      </c>
      <c r="AH273">
        <v>0</v>
      </c>
      <c r="AI273">
        <v>138</v>
      </c>
    </row>
    <row r="274" spans="1:35" x14ac:dyDescent="0.3">
      <c r="A274" t="s">
        <v>492</v>
      </c>
      <c r="B274">
        <v>136742</v>
      </c>
      <c r="C274">
        <v>4</v>
      </c>
      <c r="D274" t="s">
        <v>523</v>
      </c>
      <c r="E274" t="s">
        <v>524</v>
      </c>
      <c r="F274">
        <v>20</v>
      </c>
      <c r="G274">
        <v>28.7</v>
      </c>
      <c r="H274">
        <v>94.89</v>
      </c>
      <c r="I274">
        <v>22.91</v>
      </c>
      <c r="J274">
        <v>75.739999999999995</v>
      </c>
      <c r="K274">
        <v>4</v>
      </c>
      <c r="T274">
        <v>3</v>
      </c>
      <c r="U274">
        <v>2</v>
      </c>
      <c r="V274" t="s">
        <v>82</v>
      </c>
      <c r="W274">
        <v>94</v>
      </c>
      <c r="X274">
        <v>5</v>
      </c>
      <c r="Y274">
        <v>5</v>
      </c>
      <c r="Z274" t="s">
        <v>525</v>
      </c>
      <c r="AA274" t="s">
        <v>526</v>
      </c>
      <c r="AB274" t="s">
        <v>86</v>
      </c>
      <c r="AC274" t="s">
        <v>87</v>
      </c>
      <c r="AD274" t="s">
        <v>88</v>
      </c>
      <c r="AE274" t="s">
        <v>497</v>
      </c>
      <c r="AG274" t="s">
        <v>527</v>
      </c>
      <c r="AH274">
        <v>0</v>
      </c>
      <c r="AI274">
        <v>138</v>
      </c>
    </row>
    <row r="275" spans="1:35" x14ac:dyDescent="0.3">
      <c r="A275" t="s">
        <v>492</v>
      </c>
      <c r="B275">
        <v>136742</v>
      </c>
      <c r="C275">
        <v>5</v>
      </c>
      <c r="D275" t="s">
        <v>523</v>
      </c>
      <c r="E275" t="s">
        <v>524</v>
      </c>
      <c r="F275">
        <v>20</v>
      </c>
      <c r="G275">
        <v>31.82</v>
      </c>
      <c r="H275">
        <v>105.21</v>
      </c>
      <c r="I275">
        <v>25.19</v>
      </c>
      <c r="J275">
        <v>83.3</v>
      </c>
      <c r="K275">
        <v>4</v>
      </c>
      <c r="T275">
        <v>3</v>
      </c>
      <c r="U275">
        <v>2</v>
      </c>
      <c r="V275" t="s">
        <v>82</v>
      </c>
      <c r="W275">
        <v>105</v>
      </c>
      <c r="X275">
        <v>5</v>
      </c>
      <c r="Y275">
        <v>5</v>
      </c>
      <c r="Z275" t="s">
        <v>525</v>
      </c>
      <c r="AA275" t="s">
        <v>526</v>
      </c>
      <c r="AB275" t="s">
        <v>86</v>
      </c>
      <c r="AC275" t="s">
        <v>87</v>
      </c>
      <c r="AD275" t="s">
        <v>88</v>
      </c>
      <c r="AE275" t="s">
        <v>497</v>
      </c>
      <c r="AG275" t="s">
        <v>527</v>
      </c>
      <c r="AH275">
        <v>0</v>
      </c>
      <c r="AI275">
        <v>138</v>
      </c>
    </row>
    <row r="276" spans="1:35" x14ac:dyDescent="0.3">
      <c r="A276" t="s">
        <v>528</v>
      </c>
      <c r="B276">
        <v>141024</v>
      </c>
      <c r="C276">
        <v>1</v>
      </c>
      <c r="D276" t="s">
        <v>529</v>
      </c>
      <c r="E276" t="s">
        <v>530</v>
      </c>
      <c r="F276">
        <v>395</v>
      </c>
      <c r="G276">
        <v>23.87</v>
      </c>
      <c r="H276">
        <v>78.94</v>
      </c>
      <c r="I276">
        <v>16.920000000000002</v>
      </c>
      <c r="J276">
        <v>55.94</v>
      </c>
      <c r="K276">
        <v>172</v>
      </c>
      <c r="T276">
        <v>2</v>
      </c>
      <c r="U276">
        <v>2</v>
      </c>
      <c r="V276" t="s">
        <v>82</v>
      </c>
      <c r="W276" t="s">
        <v>531</v>
      </c>
      <c r="X276">
        <v>25</v>
      </c>
      <c r="Y276">
        <v>15</v>
      </c>
      <c r="Z276" t="s">
        <v>532</v>
      </c>
      <c r="AA276" t="s">
        <v>533</v>
      </c>
      <c r="AB276" t="s">
        <v>86</v>
      </c>
      <c r="AC276" t="s">
        <v>87</v>
      </c>
      <c r="AD276" t="s">
        <v>88</v>
      </c>
      <c r="AE276" t="s">
        <v>534</v>
      </c>
      <c r="AG276" t="s">
        <v>359</v>
      </c>
      <c r="AH276">
        <v>132</v>
      </c>
      <c r="AI276">
        <v>0</v>
      </c>
    </row>
    <row r="277" spans="1:35" x14ac:dyDescent="0.3">
      <c r="A277" t="s">
        <v>528</v>
      </c>
      <c r="B277">
        <v>141024</v>
      </c>
      <c r="C277">
        <v>2</v>
      </c>
      <c r="D277" t="s">
        <v>529</v>
      </c>
      <c r="E277" t="s">
        <v>530</v>
      </c>
      <c r="F277">
        <v>395</v>
      </c>
      <c r="G277">
        <v>23.85</v>
      </c>
      <c r="H277">
        <v>78.849999999999994</v>
      </c>
      <c r="I277">
        <v>16.899999999999999</v>
      </c>
      <c r="J277">
        <v>55.88</v>
      </c>
      <c r="K277">
        <v>61</v>
      </c>
      <c r="T277">
        <v>2</v>
      </c>
      <c r="U277">
        <v>2</v>
      </c>
      <c r="V277" t="s">
        <v>82</v>
      </c>
      <c r="W277" t="s">
        <v>535</v>
      </c>
      <c r="X277">
        <v>25</v>
      </c>
      <c r="Y277">
        <v>15</v>
      </c>
      <c r="Z277" t="s">
        <v>532</v>
      </c>
      <c r="AA277" t="s">
        <v>533</v>
      </c>
      <c r="AB277" t="s">
        <v>86</v>
      </c>
      <c r="AC277" t="s">
        <v>87</v>
      </c>
      <c r="AD277" t="s">
        <v>88</v>
      </c>
      <c r="AE277" t="s">
        <v>534</v>
      </c>
      <c r="AG277" t="s">
        <v>359</v>
      </c>
      <c r="AH277">
        <v>132</v>
      </c>
      <c r="AI277">
        <v>0</v>
      </c>
    </row>
    <row r="278" spans="1:35" x14ac:dyDescent="0.3">
      <c r="A278" t="s">
        <v>528</v>
      </c>
      <c r="B278">
        <v>141024</v>
      </c>
      <c r="C278">
        <v>3</v>
      </c>
      <c r="D278" t="s">
        <v>529</v>
      </c>
      <c r="E278" t="s">
        <v>530</v>
      </c>
      <c r="F278">
        <v>395</v>
      </c>
      <c r="G278">
        <v>23.78</v>
      </c>
      <c r="H278">
        <v>78.64</v>
      </c>
      <c r="I278">
        <v>16.850000000000001</v>
      </c>
      <c r="J278">
        <v>55.73</v>
      </c>
      <c r="K278">
        <v>20</v>
      </c>
      <c r="T278">
        <v>2</v>
      </c>
      <c r="U278">
        <v>2</v>
      </c>
      <c r="V278" t="s">
        <v>82</v>
      </c>
      <c r="W278" t="s">
        <v>536</v>
      </c>
      <c r="X278">
        <v>25</v>
      </c>
      <c r="Y278">
        <v>15</v>
      </c>
      <c r="Z278" t="s">
        <v>532</v>
      </c>
      <c r="AA278" t="s">
        <v>533</v>
      </c>
      <c r="AB278" t="s">
        <v>86</v>
      </c>
      <c r="AC278" t="s">
        <v>87</v>
      </c>
      <c r="AD278" t="s">
        <v>88</v>
      </c>
      <c r="AE278" t="s">
        <v>534</v>
      </c>
      <c r="AG278" t="s">
        <v>359</v>
      </c>
      <c r="AH278">
        <v>132</v>
      </c>
      <c r="AI278">
        <v>0</v>
      </c>
    </row>
    <row r="279" spans="1:35" x14ac:dyDescent="0.3">
      <c r="A279" t="s">
        <v>528</v>
      </c>
      <c r="B279">
        <v>141024</v>
      </c>
      <c r="C279">
        <v>4</v>
      </c>
      <c r="D279" t="s">
        <v>529</v>
      </c>
      <c r="E279" t="s">
        <v>530</v>
      </c>
      <c r="F279">
        <v>395</v>
      </c>
      <c r="G279">
        <v>23.74</v>
      </c>
      <c r="H279">
        <v>78.5</v>
      </c>
      <c r="I279">
        <v>16.82</v>
      </c>
      <c r="J279">
        <v>55.63</v>
      </c>
      <c r="K279">
        <v>10</v>
      </c>
      <c r="T279">
        <v>2</v>
      </c>
      <c r="U279">
        <v>2</v>
      </c>
      <c r="V279" t="s">
        <v>82</v>
      </c>
      <c r="W279" t="s">
        <v>537</v>
      </c>
      <c r="X279">
        <v>25</v>
      </c>
      <c r="Y279">
        <v>15</v>
      </c>
      <c r="Z279" t="s">
        <v>532</v>
      </c>
      <c r="AA279" t="s">
        <v>533</v>
      </c>
      <c r="AB279" t="s">
        <v>86</v>
      </c>
      <c r="AC279" t="s">
        <v>87</v>
      </c>
      <c r="AD279" t="s">
        <v>88</v>
      </c>
      <c r="AE279" t="s">
        <v>534</v>
      </c>
      <c r="AG279" t="s">
        <v>359</v>
      </c>
      <c r="AH279">
        <v>132</v>
      </c>
      <c r="AI279">
        <v>0</v>
      </c>
    </row>
    <row r="280" spans="1:35" x14ac:dyDescent="0.3">
      <c r="A280" t="s">
        <v>538</v>
      </c>
      <c r="B280">
        <v>101464</v>
      </c>
      <c r="C280">
        <v>1</v>
      </c>
      <c r="D280" t="s">
        <v>539</v>
      </c>
      <c r="E280" t="s">
        <v>540</v>
      </c>
      <c r="F280">
        <v>1522</v>
      </c>
      <c r="G280">
        <v>34.22</v>
      </c>
      <c r="H280">
        <v>113.14</v>
      </c>
      <c r="I280">
        <v>25.7</v>
      </c>
      <c r="J280">
        <v>84.99</v>
      </c>
      <c r="K280">
        <v>294</v>
      </c>
      <c r="T280">
        <v>3</v>
      </c>
      <c r="U280">
        <v>2</v>
      </c>
      <c r="V280" t="s">
        <v>82</v>
      </c>
      <c r="W280">
        <v>113</v>
      </c>
      <c r="X280">
        <v>15</v>
      </c>
      <c r="Y280">
        <v>12</v>
      </c>
      <c r="Z280" t="s">
        <v>541</v>
      </c>
      <c r="AA280" t="s">
        <v>542</v>
      </c>
      <c r="AB280" t="s">
        <v>86</v>
      </c>
      <c r="AC280" t="s">
        <v>87</v>
      </c>
      <c r="AD280" t="s">
        <v>88</v>
      </c>
      <c r="AE280" t="s">
        <v>543</v>
      </c>
      <c r="AG280" t="s">
        <v>544</v>
      </c>
      <c r="AH280">
        <v>0</v>
      </c>
      <c r="AI280">
        <v>207</v>
      </c>
    </row>
    <row r="281" spans="1:35" x14ac:dyDescent="0.3">
      <c r="A281" t="s">
        <v>538</v>
      </c>
      <c r="B281">
        <v>101464</v>
      </c>
      <c r="C281">
        <v>2</v>
      </c>
      <c r="D281" t="s">
        <v>539</v>
      </c>
      <c r="E281" t="s">
        <v>540</v>
      </c>
      <c r="F281">
        <v>1522</v>
      </c>
      <c r="G281">
        <v>38.85</v>
      </c>
      <c r="H281">
        <v>128.43</v>
      </c>
      <c r="I281">
        <v>31.38</v>
      </c>
      <c r="J281">
        <v>103.75</v>
      </c>
      <c r="K281">
        <v>120</v>
      </c>
      <c r="T281">
        <v>3</v>
      </c>
      <c r="U281">
        <v>2</v>
      </c>
      <c r="V281" t="s">
        <v>99</v>
      </c>
      <c r="W281" t="s">
        <v>545</v>
      </c>
      <c r="X281">
        <v>15</v>
      </c>
      <c r="Y281">
        <v>12</v>
      </c>
      <c r="Z281" t="s">
        <v>541</v>
      </c>
      <c r="AA281" t="s">
        <v>542</v>
      </c>
      <c r="AB281" t="s">
        <v>86</v>
      </c>
      <c r="AC281" t="s">
        <v>87</v>
      </c>
      <c r="AD281" t="s">
        <v>88</v>
      </c>
      <c r="AE281" t="s">
        <v>543</v>
      </c>
      <c r="AG281" t="s">
        <v>544</v>
      </c>
      <c r="AH281">
        <v>0</v>
      </c>
      <c r="AI281">
        <v>207</v>
      </c>
    </row>
    <row r="282" spans="1:35" x14ac:dyDescent="0.3">
      <c r="A282" t="s">
        <v>538</v>
      </c>
      <c r="B282">
        <v>101464</v>
      </c>
      <c r="C282">
        <v>3</v>
      </c>
      <c r="D282" t="s">
        <v>539</v>
      </c>
      <c r="E282" t="s">
        <v>540</v>
      </c>
      <c r="F282">
        <v>1522</v>
      </c>
      <c r="G282">
        <v>38.78</v>
      </c>
      <c r="H282">
        <v>128.22</v>
      </c>
      <c r="I282">
        <v>31.33</v>
      </c>
      <c r="J282">
        <v>103.58</v>
      </c>
      <c r="K282">
        <v>112</v>
      </c>
      <c r="T282">
        <v>3</v>
      </c>
      <c r="U282">
        <v>2</v>
      </c>
      <c r="V282" t="s">
        <v>99</v>
      </c>
      <c r="W282" t="s">
        <v>546</v>
      </c>
      <c r="X282">
        <v>15</v>
      </c>
      <c r="Y282">
        <v>12</v>
      </c>
      <c r="Z282" t="s">
        <v>541</v>
      </c>
      <c r="AA282" t="s">
        <v>542</v>
      </c>
      <c r="AB282" t="s">
        <v>86</v>
      </c>
      <c r="AC282" t="s">
        <v>87</v>
      </c>
      <c r="AD282" t="s">
        <v>88</v>
      </c>
      <c r="AE282" t="s">
        <v>543</v>
      </c>
      <c r="AG282" t="s">
        <v>544</v>
      </c>
      <c r="AH282">
        <v>0</v>
      </c>
      <c r="AI282">
        <v>207</v>
      </c>
    </row>
    <row r="283" spans="1:35" x14ac:dyDescent="0.3">
      <c r="A283" t="s">
        <v>538</v>
      </c>
      <c r="B283">
        <v>101464</v>
      </c>
      <c r="C283">
        <v>4</v>
      </c>
      <c r="D283" t="s">
        <v>539</v>
      </c>
      <c r="E283" t="s">
        <v>540</v>
      </c>
      <c r="F283">
        <v>1522</v>
      </c>
      <c r="G283">
        <v>38.78</v>
      </c>
      <c r="H283">
        <v>128.22</v>
      </c>
      <c r="I283">
        <v>31.3</v>
      </c>
      <c r="J283">
        <v>103.49</v>
      </c>
      <c r="K283">
        <v>56</v>
      </c>
      <c r="T283">
        <v>3</v>
      </c>
      <c r="U283">
        <v>2</v>
      </c>
      <c r="V283" t="s">
        <v>99</v>
      </c>
      <c r="W283" t="s">
        <v>291</v>
      </c>
      <c r="X283">
        <v>15</v>
      </c>
      <c r="Y283">
        <v>12</v>
      </c>
      <c r="Z283" t="s">
        <v>541</v>
      </c>
      <c r="AA283" t="s">
        <v>542</v>
      </c>
      <c r="AB283" t="s">
        <v>86</v>
      </c>
      <c r="AC283" t="s">
        <v>87</v>
      </c>
      <c r="AD283" t="s">
        <v>88</v>
      </c>
      <c r="AE283" t="s">
        <v>543</v>
      </c>
      <c r="AG283" t="s">
        <v>544</v>
      </c>
      <c r="AH283">
        <v>0</v>
      </c>
      <c r="AI283">
        <v>207</v>
      </c>
    </row>
    <row r="284" spans="1:35" x14ac:dyDescent="0.3">
      <c r="A284" t="s">
        <v>538</v>
      </c>
      <c r="B284">
        <v>101464</v>
      </c>
      <c r="C284">
        <v>5</v>
      </c>
      <c r="D284" t="s">
        <v>539</v>
      </c>
      <c r="E284" t="s">
        <v>540</v>
      </c>
      <c r="F284">
        <v>1522</v>
      </c>
      <c r="G284">
        <v>43.98</v>
      </c>
      <c r="H284">
        <v>145.41999999999999</v>
      </c>
      <c r="I284">
        <v>35.74</v>
      </c>
      <c r="J284">
        <v>118.16</v>
      </c>
      <c r="K284">
        <v>30</v>
      </c>
      <c r="T284">
        <v>4</v>
      </c>
      <c r="U284">
        <v>2</v>
      </c>
      <c r="V284" t="s">
        <v>82</v>
      </c>
      <c r="W284" t="s">
        <v>547</v>
      </c>
      <c r="X284">
        <v>15</v>
      </c>
      <c r="Y284">
        <v>12</v>
      </c>
      <c r="Z284" t="s">
        <v>541</v>
      </c>
      <c r="AA284" t="s">
        <v>542</v>
      </c>
      <c r="AB284" t="s">
        <v>86</v>
      </c>
      <c r="AC284" t="s">
        <v>87</v>
      </c>
      <c r="AD284" t="s">
        <v>88</v>
      </c>
      <c r="AE284" t="s">
        <v>543</v>
      </c>
      <c r="AG284" t="s">
        <v>544</v>
      </c>
      <c r="AH284">
        <v>0</v>
      </c>
      <c r="AI284">
        <v>207</v>
      </c>
    </row>
    <row r="285" spans="1:35" x14ac:dyDescent="0.3">
      <c r="A285" t="s">
        <v>538</v>
      </c>
      <c r="B285">
        <v>101464</v>
      </c>
      <c r="C285">
        <v>6</v>
      </c>
      <c r="D285" t="s">
        <v>539</v>
      </c>
      <c r="E285" t="s">
        <v>540</v>
      </c>
      <c r="F285">
        <v>1522</v>
      </c>
      <c r="G285">
        <v>43.87</v>
      </c>
      <c r="H285">
        <v>145.04</v>
      </c>
      <c r="I285">
        <v>35.47</v>
      </c>
      <c r="J285">
        <v>117.26</v>
      </c>
      <c r="K285">
        <v>27</v>
      </c>
      <c r="T285">
        <v>4</v>
      </c>
      <c r="U285">
        <v>2</v>
      </c>
      <c r="V285" t="s">
        <v>82</v>
      </c>
      <c r="W285" t="s">
        <v>548</v>
      </c>
      <c r="X285">
        <v>15</v>
      </c>
      <c r="Y285">
        <v>12</v>
      </c>
      <c r="Z285" t="s">
        <v>541</v>
      </c>
      <c r="AA285" t="s">
        <v>542</v>
      </c>
      <c r="AB285" t="s">
        <v>86</v>
      </c>
      <c r="AC285" t="s">
        <v>87</v>
      </c>
      <c r="AD285" t="s">
        <v>88</v>
      </c>
      <c r="AE285" t="s">
        <v>543</v>
      </c>
      <c r="AG285" t="s">
        <v>544</v>
      </c>
      <c r="AH285">
        <v>0</v>
      </c>
      <c r="AI285">
        <v>207</v>
      </c>
    </row>
    <row r="286" spans="1:35" x14ac:dyDescent="0.3">
      <c r="A286" t="s">
        <v>538</v>
      </c>
      <c r="B286">
        <v>101464</v>
      </c>
      <c r="C286">
        <v>7</v>
      </c>
      <c r="D286" t="s">
        <v>539</v>
      </c>
      <c r="E286" t="s">
        <v>540</v>
      </c>
      <c r="F286">
        <v>1522</v>
      </c>
      <c r="G286">
        <v>45.94</v>
      </c>
      <c r="H286">
        <v>151.9</v>
      </c>
      <c r="I286">
        <v>38.11</v>
      </c>
      <c r="J286">
        <v>126.01</v>
      </c>
      <c r="K286">
        <v>58</v>
      </c>
      <c r="T286">
        <v>3</v>
      </c>
      <c r="U286">
        <v>2</v>
      </c>
      <c r="V286" t="s">
        <v>99</v>
      </c>
      <c r="W286" t="s">
        <v>549</v>
      </c>
      <c r="X286">
        <v>15</v>
      </c>
      <c r="Y286">
        <v>12</v>
      </c>
      <c r="Z286" t="s">
        <v>541</v>
      </c>
      <c r="AA286" t="s">
        <v>542</v>
      </c>
      <c r="AB286" t="s">
        <v>86</v>
      </c>
      <c r="AC286" t="s">
        <v>87</v>
      </c>
      <c r="AD286" t="s">
        <v>88</v>
      </c>
      <c r="AE286" t="s">
        <v>543</v>
      </c>
      <c r="AG286" t="s">
        <v>544</v>
      </c>
      <c r="AH286">
        <v>0</v>
      </c>
      <c r="AI286">
        <v>207</v>
      </c>
    </row>
    <row r="287" spans="1:35" x14ac:dyDescent="0.3">
      <c r="A287" t="s">
        <v>538</v>
      </c>
      <c r="B287">
        <v>101464</v>
      </c>
      <c r="C287">
        <v>8</v>
      </c>
      <c r="D287" t="s">
        <v>539</v>
      </c>
      <c r="E287" t="s">
        <v>540</v>
      </c>
      <c r="F287">
        <v>1522</v>
      </c>
      <c r="G287">
        <v>45.68</v>
      </c>
      <c r="H287">
        <v>151.01</v>
      </c>
      <c r="I287">
        <v>38.130000000000003</v>
      </c>
      <c r="J287">
        <v>126.06</v>
      </c>
      <c r="K287">
        <v>56</v>
      </c>
      <c r="T287">
        <v>4</v>
      </c>
      <c r="U287">
        <v>2</v>
      </c>
      <c r="V287" t="s">
        <v>99</v>
      </c>
      <c r="W287" t="s">
        <v>550</v>
      </c>
      <c r="X287">
        <v>15</v>
      </c>
      <c r="Y287">
        <v>12</v>
      </c>
      <c r="Z287" t="s">
        <v>541</v>
      </c>
      <c r="AA287" t="s">
        <v>542</v>
      </c>
      <c r="AB287" t="s">
        <v>86</v>
      </c>
      <c r="AC287" t="s">
        <v>87</v>
      </c>
      <c r="AD287" t="s">
        <v>88</v>
      </c>
      <c r="AE287" t="s">
        <v>543</v>
      </c>
      <c r="AG287" t="s">
        <v>544</v>
      </c>
      <c r="AH287">
        <v>0</v>
      </c>
      <c r="AI287">
        <v>207</v>
      </c>
    </row>
    <row r="288" spans="1:35" x14ac:dyDescent="0.3">
      <c r="A288" t="s">
        <v>538</v>
      </c>
      <c r="B288">
        <v>101464</v>
      </c>
      <c r="C288">
        <v>9</v>
      </c>
      <c r="D288" t="s">
        <v>539</v>
      </c>
      <c r="E288" t="s">
        <v>540</v>
      </c>
      <c r="F288">
        <v>1522</v>
      </c>
      <c r="G288">
        <v>49.97</v>
      </c>
      <c r="H288">
        <v>165.22</v>
      </c>
      <c r="I288">
        <v>41.7</v>
      </c>
      <c r="J288">
        <v>137.86000000000001</v>
      </c>
      <c r="K288">
        <v>203</v>
      </c>
      <c r="T288">
        <v>4</v>
      </c>
      <c r="U288">
        <v>2</v>
      </c>
      <c r="V288" t="s">
        <v>82</v>
      </c>
      <c r="W288" t="s">
        <v>551</v>
      </c>
      <c r="X288">
        <v>15</v>
      </c>
      <c r="Y288">
        <v>12</v>
      </c>
      <c r="Z288" t="s">
        <v>541</v>
      </c>
      <c r="AA288" t="s">
        <v>542</v>
      </c>
      <c r="AB288" t="s">
        <v>86</v>
      </c>
      <c r="AC288" t="s">
        <v>87</v>
      </c>
      <c r="AD288" t="s">
        <v>88</v>
      </c>
      <c r="AE288" t="s">
        <v>543</v>
      </c>
      <c r="AG288" t="s">
        <v>544</v>
      </c>
      <c r="AH288">
        <v>0</v>
      </c>
      <c r="AI288">
        <v>207</v>
      </c>
    </row>
    <row r="289" spans="1:35" x14ac:dyDescent="0.3">
      <c r="A289" t="s">
        <v>538</v>
      </c>
      <c r="B289">
        <v>101464</v>
      </c>
      <c r="C289">
        <v>10</v>
      </c>
      <c r="D289" t="s">
        <v>539</v>
      </c>
      <c r="E289" t="s">
        <v>540</v>
      </c>
      <c r="F289">
        <v>1522</v>
      </c>
      <c r="G289">
        <v>49.98</v>
      </c>
      <c r="H289">
        <v>165.24</v>
      </c>
      <c r="I289">
        <v>41.73</v>
      </c>
      <c r="J289">
        <v>137.97999999999999</v>
      </c>
      <c r="K289">
        <v>196</v>
      </c>
      <c r="T289">
        <v>4</v>
      </c>
      <c r="U289">
        <v>2</v>
      </c>
      <c r="V289" t="s">
        <v>82</v>
      </c>
      <c r="W289" t="s">
        <v>552</v>
      </c>
      <c r="X289">
        <v>15</v>
      </c>
      <c r="Y289">
        <v>12</v>
      </c>
      <c r="Z289" t="s">
        <v>541</v>
      </c>
      <c r="AA289" t="s">
        <v>542</v>
      </c>
      <c r="AB289" t="s">
        <v>86</v>
      </c>
      <c r="AC289" t="s">
        <v>87</v>
      </c>
      <c r="AD289" t="s">
        <v>88</v>
      </c>
      <c r="AE289" t="s">
        <v>543</v>
      </c>
      <c r="AG289" t="s">
        <v>544</v>
      </c>
      <c r="AH289">
        <v>0</v>
      </c>
      <c r="AI289">
        <v>207</v>
      </c>
    </row>
    <row r="290" spans="1:35" x14ac:dyDescent="0.3">
      <c r="A290" t="s">
        <v>538</v>
      </c>
      <c r="B290">
        <v>101464</v>
      </c>
      <c r="C290">
        <v>11</v>
      </c>
      <c r="D290" t="s">
        <v>539</v>
      </c>
      <c r="E290" t="s">
        <v>540</v>
      </c>
      <c r="F290">
        <v>1522</v>
      </c>
      <c r="G290">
        <v>59.18</v>
      </c>
      <c r="H290">
        <v>195.65</v>
      </c>
      <c r="I290">
        <v>50.65</v>
      </c>
      <c r="J290">
        <v>167.45</v>
      </c>
      <c r="K290">
        <v>118</v>
      </c>
      <c r="T290">
        <v>4</v>
      </c>
      <c r="U290">
        <v>2</v>
      </c>
      <c r="V290" t="s">
        <v>82</v>
      </c>
      <c r="W290" t="s">
        <v>553</v>
      </c>
      <c r="X290">
        <v>15</v>
      </c>
      <c r="Y290">
        <v>12</v>
      </c>
      <c r="Z290" t="s">
        <v>541</v>
      </c>
      <c r="AA290" t="s">
        <v>542</v>
      </c>
      <c r="AB290" t="s">
        <v>86</v>
      </c>
      <c r="AC290" t="s">
        <v>87</v>
      </c>
      <c r="AD290" t="s">
        <v>88</v>
      </c>
      <c r="AE290" t="s">
        <v>543</v>
      </c>
      <c r="AG290" t="s">
        <v>544</v>
      </c>
      <c r="AH290">
        <v>0</v>
      </c>
      <c r="AI290">
        <v>207</v>
      </c>
    </row>
    <row r="291" spans="1:35" x14ac:dyDescent="0.3">
      <c r="A291" t="s">
        <v>538</v>
      </c>
      <c r="B291">
        <v>101464</v>
      </c>
      <c r="C291">
        <v>12</v>
      </c>
      <c r="D291" t="s">
        <v>539</v>
      </c>
      <c r="E291" t="s">
        <v>540</v>
      </c>
      <c r="F291">
        <v>1522</v>
      </c>
      <c r="G291">
        <v>59.95</v>
      </c>
      <c r="H291">
        <v>198.2</v>
      </c>
      <c r="I291">
        <v>50.87</v>
      </c>
      <c r="J291">
        <v>168.18</v>
      </c>
      <c r="K291">
        <v>110</v>
      </c>
      <c r="T291">
        <v>4</v>
      </c>
      <c r="U291">
        <v>2</v>
      </c>
      <c r="V291" t="s">
        <v>82</v>
      </c>
      <c r="W291" t="s">
        <v>554</v>
      </c>
      <c r="X291">
        <v>15</v>
      </c>
      <c r="Y291">
        <v>12</v>
      </c>
      <c r="Z291" t="s">
        <v>541</v>
      </c>
      <c r="AA291" t="s">
        <v>542</v>
      </c>
      <c r="AB291" t="s">
        <v>86</v>
      </c>
      <c r="AC291" t="s">
        <v>87</v>
      </c>
      <c r="AD291" t="s">
        <v>88</v>
      </c>
      <c r="AE291" t="s">
        <v>543</v>
      </c>
      <c r="AG291" t="s">
        <v>544</v>
      </c>
      <c r="AH291">
        <v>0</v>
      </c>
      <c r="AI291">
        <v>207</v>
      </c>
    </row>
    <row r="292" spans="1:35" x14ac:dyDescent="0.3">
      <c r="A292" t="s">
        <v>538</v>
      </c>
      <c r="B292">
        <v>101464</v>
      </c>
      <c r="C292">
        <v>13</v>
      </c>
      <c r="D292" t="s">
        <v>539</v>
      </c>
      <c r="E292" t="s">
        <v>540</v>
      </c>
      <c r="F292">
        <v>1522</v>
      </c>
      <c r="G292">
        <v>68.17</v>
      </c>
      <c r="H292">
        <v>225.36</v>
      </c>
      <c r="I292">
        <v>57.27</v>
      </c>
      <c r="J292">
        <v>189.35</v>
      </c>
      <c r="K292">
        <v>142</v>
      </c>
      <c r="T292">
        <v>4</v>
      </c>
      <c r="U292">
        <v>3</v>
      </c>
      <c r="V292" t="s">
        <v>82</v>
      </c>
      <c r="W292">
        <v>225</v>
      </c>
      <c r="X292">
        <v>15</v>
      </c>
      <c r="Y292">
        <v>12</v>
      </c>
      <c r="Z292" t="s">
        <v>541</v>
      </c>
      <c r="AA292" t="s">
        <v>542</v>
      </c>
      <c r="AB292" t="s">
        <v>86</v>
      </c>
      <c r="AC292" t="s">
        <v>87</v>
      </c>
      <c r="AD292" t="s">
        <v>88</v>
      </c>
      <c r="AE292" t="s">
        <v>543</v>
      </c>
      <c r="AG292" t="s">
        <v>544</v>
      </c>
      <c r="AH292">
        <v>0</v>
      </c>
      <c r="AI292">
        <v>207</v>
      </c>
    </row>
    <row r="293" spans="1:35" x14ac:dyDescent="0.3">
      <c r="A293" t="s">
        <v>555</v>
      </c>
      <c r="B293">
        <v>7756</v>
      </c>
      <c r="C293">
        <v>1</v>
      </c>
      <c r="D293" t="s">
        <v>556</v>
      </c>
      <c r="E293" t="s">
        <v>557</v>
      </c>
      <c r="F293">
        <v>426</v>
      </c>
      <c r="G293">
        <v>23.45</v>
      </c>
      <c r="H293">
        <v>77.53</v>
      </c>
      <c r="I293">
        <v>17.95</v>
      </c>
      <c r="J293">
        <v>59.36</v>
      </c>
      <c r="K293">
        <v>43</v>
      </c>
      <c r="T293">
        <v>3</v>
      </c>
      <c r="U293">
        <v>1</v>
      </c>
      <c r="V293" t="s">
        <v>82</v>
      </c>
      <c r="W293">
        <v>77</v>
      </c>
      <c r="X293">
        <v>12</v>
      </c>
      <c r="Y293">
        <v>8</v>
      </c>
      <c r="Z293" t="s">
        <v>558</v>
      </c>
      <c r="AA293" t="s">
        <v>559</v>
      </c>
      <c r="AB293" t="s">
        <v>86</v>
      </c>
      <c r="AC293" t="s">
        <v>87</v>
      </c>
      <c r="AD293" t="s">
        <v>88</v>
      </c>
      <c r="AE293" t="s">
        <v>560</v>
      </c>
      <c r="AG293" t="s">
        <v>561</v>
      </c>
      <c r="AH293">
        <v>0</v>
      </c>
      <c r="AI293">
        <v>185</v>
      </c>
    </row>
    <row r="294" spans="1:35" x14ac:dyDescent="0.3">
      <c r="A294" t="s">
        <v>555</v>
      </c>
      <c r="B294">
        <v>7756</v>
      </c>
      <c r="C294">
        <v>2</v>
      </c>
      <c r="D294" t="s">
        <v>556</v>
      </c>
      <c r="E294" t="s">
        <v>557</v>
      </c>
      <c r="F294">
        <v>426</v>
      </c>
      <c r="G294">
        <v>23.54</v>
      </c>
      <c r="H294">
        <v>77.849999999999994</v>
      </c>
      <c r="I294">
        <v>18.05</v>
      </c>
      <c r="J294">
        <v>59.69</v>
      </c>
      <c r="K294">
        <v>1</v>
      </c>
      <c r="T294">
        <v>3</v>
      </c>
      <c r="U294">
        <v>1</v>
      </c>
      <c r="V294" t="s">
        <v>99</v>
      </c>
      <c r="W294">
        <v>77</v>
      </c>
      <c r="X294">
        <v>12</v>
      </c>
      <c r="Y294">
        <v>8</v>
      </c>
      <c r="Z294" t="s">
        <v>558</v>
      </c>
      <c r="AA294" t="s">
        <v>559</v>
      </c>
      <c r="AB294" t="s">
        <v>86</v>
      </c>
      <c r="AC294" t="s">
        <v>87</v>
      </c>
      <c r="AD294" t="s">
        <v>88</v>
      </c>
      <c r="AE294" t="s">
        <v>560</v>
      </c>
      <c r="AG294" t="s">
        <v>561</v>
      </c>
      <c r="AH294">
        <v>0</v>
      </c>
      <c r="AI294">
        <v>185</v>
      </c>
    </row>
    <row r="295" spans="1:35" x14ac:dyDescent="0.3">
      <c r="A295" t="s">
        <v>555</v>
      </c>
      <c r="B295">
        <v>7756</v>
      </c>
      <c r="C295">
        <v>3</v>
      </c>
      <c r="D295" t="s">
        <v>556</v>
      </c>
      <c r="E295" t="s">
        <v>557</v>
      </c>
      <c r="F295">
        <v>426</v>
      </c>
      <c r="G295">
        <v>31.27</v>
      </c>
      <c r="H295">
        <v>103.4</v>
      </c>
      <c r="I295">
        <v>25.52</v>
      </c>
      <c r="J295">
        <v>84.38</v>
      </c>
      <c r="K295">
        <v>382</v>
      </c>
      <c r="T295">
        <v>3</v>
      </c>
      <c r="U295">
        <v>2</v>
      </c>
      <c r="V295" t="s">
        <v>82</v>
      </c>
      <c r="W295">
        <v>103</v>
      </c>
      <c r="X295">
        <v>12</v>
      </c>
      <c r="Y295">
        <v>8</v>
      </c>
      <c r="Z295" t="s">
        <v>558</v>
      </c>
      <c r="AA295" t="s">
        <v>559</v>
      </c>
      <c r="AB295" t="s">
        <v>86</v>
      </c>
      <c r="AC295" t="s">
        <v>87</v>
      </c>
      <c r="AD295" t="s">
        <v>88</v>
      </c>
      <c r="AE295" t="s">
        <v>560</v>
      </c>
      <c r="AG295" t="s">
        <v>561</v>
      </c>
      <c r="AH295">
        <v>0</v>
      </c>
      <c r="AI295">
        <v>185</v>
      </c>
    </row>
    <row r="296" spans="1:35" x14ac:dyDescent="0.3">
      <c r="A296" t="s">
        <v>562</v>
      </c>
      <c r="B296">
        <v>106231</v>
      </c>
      <c r="C296">
        <v>1</v>
      </c>
      <c r="D296" t="s">
        <v>563</v>
      </c>
      <c r="E296" t="s">
        <v>564</v>
      </c>
      <c r="F296">
        <v>507</v>
      </c>
      <c r="G296">
        <v>32.79</v>
      </c>
      <c r="H296">
        <v>108.42</v>
      </c>
      <c r="I296">
        <v>25.7</v>
      </c>
      <c r="J296">
        <v>84.99</v>
      </c>
      <c r="K296">
        <v>150</v>
      </c>
      <c r="T296">
        <v>3</v>
      </c>
      <c r="U296">
        <v>2</v>
      </c>
      <c r="V296" t="s">
        <v>82</v>
      </c>
      <c r="W296" t="s">
        <v>565</v>
      </c>
      <c r="X296">
        <v>15</v>
      </c>
      <c r="Y296">
        <v>15</v>
      </c>
      <c r="Z296" t="s">
        <v>566</v>
      </c>
      <c r="AA296" t="s">
        <v>567</v>
      </c>
      <c r="AB296" t="s">
        <v>86</v>
      </c>
      <c r="AC296" t="s">
        <v>87</v>
      </c>
      <c r="AD296" t="s">
        <v>88</v>
      </c>
      <c r="AE296" t="s">
        <v>568</v>
      </c>
      <c r="AG296" t="s">
        <v>569</v>
      </c>
      <c r="AH296">
        <v>0</v>
      </c>
      <c r="AI296">
        <v>164</v>
      </c>
    </row>
    <row r="297" spans="1:35" x14ac:dyDescent="0.3">
      <c r="A297" t="s">
        <v>562</v>
      </c>
      <c r="B297">
        <v>106231</v>
      </c>
      <c r="C297">
        <v>2</v>
      </c>
      <c r="D297" t="s">
        <v>563</v>
      </c>
      <c r="E297" t="s">
        <v>564</v>
      </c>
      <c r="F297">
        <v>507</v>
      </c>
      <c r="G297">
        <v>32.76</v>
      </c>
      <c r="H297">
        <v>108.33</v>
      </c>
      <c r="I297">
        <v>25.68</v>
      </c>
      <c r="J297">
        <v>84.92</v>
      </c>
      <c r="K297">
        <v>141</v>
      </c>
      <c r="T297">
        <v>3</v>
      </c>
      <c r="U297">
        <v>2</v>
      </c>
      <c r="V297" t="s">
        <v>82</v>
      </c>
      <c r="W297" t="s">
        <v>570</v>
      </c>
      <c r="X297">
        <v>15</v>
      </c>
      <c r="Y297">
        <v>15</v>
      </c>
      <c r="Z297" t="s">
        <v>566</v>
      </c>
      <c r="AA297" t="s">
        <v>567</v>
      </c>
      <c r="AB297" t="s">
        <v>86</v>
      </c>
      <c r="AC297" t="s">
        <v>87</v>
      </c>
      <c r="AD297" t="s">
        <v>88</v>
      </c>
      <c r="AE297" t="s">
        <v>568</v>
      </c>
      <c r="AG297" t="s">
        <v>569</v>
      </c>
      <c r="AH297">
        <v>0</v>
      </c>
      <c r="AI297">
        <v>164</v>
      </c>
    </row>
    <row r="298" spans="1:35" x14ac:dyDescent="0.3">
      <c r="A298" t="s">
        <v>562</v>
      </c>
      <c r="B298">
        <v>106231</v>
      </c>
      <c r="C298">
        <v>3</v>
      </c>
      <c r="D298" t="s">
        <v>563</v>
      </c>
      <c r="E298" t="s">
        <v>564</v>
      </c>
      <c r="F298">
        <v>507</v>
      </c>
      <c r="G298">
        <v>39.270000000000003</v>
      </c>
      <c r="H298">
        <v>129.83000000000001</v>
      </c>
      <c r="I298">
        <v>30.78</v>
      </c>
      <c r="J298">
        <v>101.77</v>
      </c>
      <c r="K298">
        <v>30</v>
      </c>
      <c r="T298">
        <v>3</v>
      </c>
      <c r="U298">
        <v>2</v>
      </c>
      <c r="V298" t="s">
        <v>82</v>
      </c>
      <c r="W298" t="s">
        <v>571</v>
      </c>
      <c r="X298">
        <v>15</v>
      </c>
      <c r="Y298">
        <v>15</v>
      </c>
      <c r="Z298" t="s">
        <v>566</v>
      </c>
      <c r="AA298" t="s">
        <v>567</v>
      </c>
      <c r="AB298" t="s">
        <v>86</v>
      </c>
      <c r="AC298" t="s">
        <v>87</v>
      </c>
      <c r="AD298" t="s">
        <v>88</v>
      </c>
      <c r="AE298" t="s">
        <v>568</v>
      </c>
      <c r="AG298" t="s">
        <v>569</v>
      </c>
      <c r="AH298">
        <v>0</v>
      </c>
      <c r="AI298">
        <v>164</v>
      </c>
    </row>
    <row r="299" spans="1:35" x14ac:dyDescent="0.3">
      <c r="A299" t="s">
        <v>562</v>
      </c>
      <c r="B299">
        <v>106231</v>
      </c>
      <c r="C299">
        <v>4</v>
      </c>
      <c r="D299" t="s">
        <v>563</v>
      </c>
      <c r="E299" t="s">
        <v>564</v>
      </c>
      <c r="F299">
        <v>507</v>
      </c>
      <c r="G299">
        <v>39.21</v>
      </c>
      <c r="H299">
        <v>129.65</v>
      </c>
      <c r="I299">
        <v>30.74</v>
      </c>
      <c r="J299">
        <v>101.63</v>
      </c>
      <c r="K299">
        <v>30</v>
      </c>
      <c r="T299">
        <v>3</v>
      </c>
      <c r="U299">
        <v>2</v>
      </c>
      <c r="V299" t="s">
        <v>82</v>
      </c>
      <c r="W299" t="s">
        <v>292</v>
      </c>
      <c r="X299">
        <v>15</v>
      </c>
      <c r="Y299">
        <v>15</v>
      </c>
      <c r="Z299" t="s">
        <v>566</v>
      </c>
      <c r="AA299" t="s">
        <v>567</v>
      </c>
      <c r="AB299" t="s">
        <v>86</v>
      </c>
      <c r="AC299" t="s">
        <v>87</v>
      </c>
      <c r="AD299" t="s">
        <v>88</v>
      </c>
      <c r="AE299" t="s">
        <v>568</v>
      </c>
      <c r="AG299" t="s">
        <v>569</v>
      </c>
      <c r="AH299">
        <v>0</v>
      </c>
      <c r="AI299">
        <v>164</v>
      </c>
    </row>
    <row r="300" spans="1:35" x14ac:dyDescent="0.3">
      <c r="A300" t="s">
        <v>562</v>
      </c>
      <c r="B300">
        <v>106231</v>
      </c>
      <c r="C300">
        <v>5</v>
      </c>
      <c r="D300" t="s">
        <v>563</v>
      </c>
      <c r="E300" t="s">
        <v>564</v>
      </c>
      <c r="F300">
        <v>507</v>
      </c>
      <c r="G300">
        <v>47.04</v>
      </c>
      <c r="H300">
        <v>155.52000000000001</v>
      </c>
      <c r="I300">
        <v>36.869999999999997</v>
      </c>
      <c r="J300">
        <v>121.91</v>
      </c>
      <c r="K300">
        <v>48</v>
      </c>
      <c r="T300">
        <v>4</v>
      </c>
      <c r="U300">
        <v>2</v>
      </c>
      <c r="V300" t="s">
        <v>82</v>
      </c>
      <c r="W300" t="s">
        <v>572</v>
      </c>
      <c r="X300">
        <v>15</v>
      </c>
      <c r="Y300">
        <v>15</v>
      </c>
      <c r="Z300" t="s">
        <v>566</v>
      </c>
      <c r="AA300" t="s">
        <v>567</v>
      </c>
      <c r="AB300" t="s">
        <v>86</v>
      </c>
      <c r="AC300" t="s">
        <v>87</v>
      </c>
      <c r="AD300" t="s">
        <v>88</v>
      </c>
      <c r="AE300" t="s">
        <v>568</v>
      </c>
      <c r="AG300" t="s">
        <v>569</v>
      </c>
      <c r="AH300">
        <v>0</v>
      </c>
      <c r="AI300">
        <v>164</v>
      </c>
    </row>
    <row r="301" spans="1:35" x14ac:dyDescent="0.3">
      <c r="A301" t="s">
        <v>562</v>
      </c>
      <c r="B301">
        <v>106231</v>
      </c>
      <c r="C301">
        <v>6</v>
      </c>
      <c r="D301" t="s">
        <v>563</v>
      </c>
      <c r="E301" t="s">
        <v>564</v>
      </c>
      <c r="F301">
        <v>507</v>
      </c>
      <c r="G301">
        <v>47.04</v>
      </c>
      <c r="H301">
        <v>155.51</v>
      </c>
      <c r="I301">
        <v>36.869999999999997</v>
      </c>
      <c r="J301">
        <v>121.9</v>
      </c>
      <c r="K301">
        <v>28</v>
      </c>
      <c r="T301">
        <v>4</v>
      </c>
      <c r="U301">
        <v>2</v>
      </c>
      <c r="V301" t="s">
        <v>82</v>
      </c>
      <c r="W301" t="s">
        <v>573</v>
      </c>
      <c r="X301">
        <v>15</v>
      </c>
      <c r="Y301">
        <v>15</v>
      </c>
      <c r="Z301" t="s">
        <v>566</v>
      </c>
      <c r="AA301" t="s">
        <v>567</v>
      </c>
      <c r="AB301" t="s">
        <v>86</v>
      </c>
      <c r="AC301" t="s">
        <v>87</v>
      </c>
      <c r="AD301" t="s">
        <v>88</v>
      </c>
      <c r="AE301" t="s">
        <v>568</v>
      </c>
      <c r="AG301" t="s">
        <v>569</v>
      </c>
      <c r="AH301">
        <v>0</v>
      </c>
      <c r="AI301">
        <v>164</v>
      </c>
    </row>
    <row r="302" spans="1:35" x14ac:dyDescent="0.3">
      <c r="A302" t="s">
        <v>562</v>
      </c>
      <c r="B302">
        <v>106231</v>
      </c>
      <c r="C302">
        <v>7</v>
      </c>
      <c r="D302" t="s">
        <v>563</v>
      </c>
      <c r="E302" t="s">
        <v>564</v>
      </c>
      <c r="F302">
        <v>507</v>
      </c>
      <c r="G302">
        <v>47</v>
      </c>
      <c r="H302">
        <v>155.38999999999999</v>
      </c>
      <c r="I302">
        <v>36.840000000000003</v>
      </c>
      <c r="J302">
        <v>121.81</v>
      </c>
      <c r="K302">
        <v>28</v>
      </c>
      <c r="T302">
        <v>4</v>
      </c>
      <c r="U302">
        <v>2</v>
      </c>
      <c r="V302" t="s">
        <v>82</v>
      </c>
      <c r="W302" t="s">
        <v>574</v>
      </c>
      <c r="X302">
        <v>15</v>
      </c>
      <c r="Y302">
        <v>15</v>
      </c>
      <c r="Z302" t="s">
        <v>566</v>
      </c>
      <c r="AA302" t="s">
        <v>567</v>
      </c>
      <c r="AB302" t="s">
        <v>86</v>
      </c>
      <c r="AC302" t="s">
        <v>87</v>
      </c>
      <c r="AD302" t="s">
        <v>88</v>
      </c>
      <c r="AE302" t="s">
        <v>568</v>
      </c>
      <c r="AG302" t="s">
        <v>569</v>
      </c>
      <c r="AH302">
        <v>0</v>
      </c>
      <c r="AI302">
        <v>164</v>
      </c>
    </row>
    <row r="303" spans="1:35" x14ac:dyDescent="0.3">
      <c r="A303" t="s">
        <v>562</v>
      </c>
      <c r="B303">
        <v>106231</v>
      </c>
      <c r="C303">
        <v>8</v>
      </c>
      <c r="D303" t="s">
        <v>563</v>
      </c>
      <c r="E303" t="s">
        <v>564</v>
      </c>
      <c r="F303">
        <v>507</v>
      </c>
      <c r="G303">
        <v>51.81</v>
      </c>
      <c r="H303">
        <v>171.29</v>
      </c>
      <c r="I303">
        <v>40.61</v>
      </c>
      <c r="J303">
        <v>134.27000000000001</v>
      </c>
      <c r="K303">
        <v>2</v>
      </c>
      <c r="T303">
        <v>4</v>
      </c>
      <c r="U303">
        <v>2</v>
      </c>
      <c r="V303" t="s">
        <v>82</v>
      </c>
      <c r="W303" t="s">
        <v>575</v>
      </c>
      <c r="X303">
        <v>15</v>
      </c>
      <c r="Y303">
        <v>15</v>
      </c>
      <c r="Z303" t="s">
        <v>566</v>
      </c>
      <c r="AA303" t="s">
        <v>567</v>
      </c>
      <c r="AB303" t="s">
        <v>86</v>
      </c>
      <c r="AC303" t="s">
        <v>87</v>
      </c>
      <c r="AD303" t="s">
        <v>88</v>
      </c>
      <c r="AE303" t="s">
        <v>568</v>
      </c>
      <c r="AG303" t="s">
        <v>569</v>
      </c>
      <c r="AH303">
        <v>0</v>
      </c>
      <c r="AI303">
        <v>164</v>
      </c>
    </row>
    <row r="304" spans="1:35" x14ac:dyDescent="0.3">
      <c r="A304" t="s">
        <v>562</v>
      </c>
      <c r="B304">
        <v>106231</v>
      </c>
      <c r="C304">
        <v>9</v>
      </c>
      <c r="D304" t="s">
        <v>563</v>
      </c>
      <c r="E304" t="s">
        <v>564</v>
      </c>
      <c r="F304">
        <v>507</v>
      </c>
      <c r="G304">
        <v>51.82</v>
      </c>
      <c r="H304">
        <v>171.33</v>
      </c>
      <c r="I304">
        <v>40.619999999999997</v>
      </c>
      <c r="J304">
        <v>134.30000000000001</v>
      </c>
      <c r="K304">
        <v>2</v>
      </c>
      <c r="T304">
        <v>4</v>
      </c>
      <c r="U304">
        <v>2</v>
      </c>
      <c r="V304" t="s">
        <v>82</v>
      </c>
      <c r="W304" t="s">
        <v>576</v>
      </c>
      <c r="X304">
        <v>15</v>
      </c>
      <c r="Y304">
        <v>15</v>
      </c>
      <c r="Z304" t="s">
        <v>566</v>
      </c>
      <c r="AA304" t="s">
        <v>567</v>
      </c>
      <c r="AB304" t="s">
        <v>86</v>
      </c>
      <c r="AC304" t="s">
        <v>87</v>
      </c>
      <c r="AD304" t="s">
        <v>88</v>
      </c>
      <c r="AE304" t="s">
        <v>568</v>
      </c>
      <c r="AG304" t="s">
        <v>569</v>
      </c>
      <c r="AH304">
        <v>0</v>
      </c>
      <c r="AI304">
        <v>164</v>
      </c>
    </row>
    <row r="305" spans="1:35" x14ac:dyDescent="0.3">
      <c r="A305" t="s">
        <v>562</v>
      </c>
      <c r="B305">
        <v>106231</v>
      </c>
      <c r="C305">
        <v>10</v>
      </c>
      <c r="D305" t="s">
        <v>563</v>
      </c>
      <c r="E305" t="s">
        <v>564</v>
      </c>
      <c r="F305">
        <v>507</v>
      </c>
      <c r="G305">
        <v>52.09</v>
      </c>
      <c r="H305">
        <v>172.2</v>
      </c>
      <c r="I305">
        <v>40.83</v>
      </c>
      <c r="J305">
        <v>134.97999999999999</v>
      </c>
      <c r="K305">
        <v>48</v>
      </c>
      <c r="T305">
        <v>4</v>
      </c>
      <c r="U305">
        <v>2</v>
      </c>
      <c r="V305" t="s">
        <v>82</v>
      </c>
      <c r="W305" t="s">
        <v>577</v>
      </c>
      <c r="X305">
        <v>15</v>
      </c>
      <c r="Y305">
        <v>15</v>
      </c>
      <c r="Z305" t="s">
        <v>566</v>
      </c>
      <c r="AA305" t="s">
        <v>567</v>
      </c>
      <c r="AB305" t="s">
        <v>86</v>
      </c>
      <c r="AC305" t="s">
        <v>87</v>
      </c>
      <c r="AD305" t="s">
        <v>88</v>
      </c>
      <c r="AE305" t="s">
        <v>568</v>
      </c>
      <c r="AG305" t="s">
        <v>569</v>
      </c>
      <c r="AH305">
        <v>0</v>
      </c>
      <c r="AI305">
        <v>164</v>
      </c>
    </row>
    <row r="306" spans="1:35" x14ac:dyDescent="0.3">
      <c r="A306" t="s">
        <v>578</v>
      </c>
      <c r="B306">
        <v>101102</v>
      </c>
      <c r="C306">
        <v>1</v>
      </c>
      <c r="D306" t="s">
        <v>579</v>
      </c>
      <c r="E306" t="s">
        <v>580</v>
      </c>
      <c r="F306">
        <v>127</v>
      </c>
      <c r="G306">
        <v>22.43</v>
      </c>
      <c r="H306">
        <v>74.17</v>
      </c>
      <c r="I306">
        <v>18.079999999999998</v>
      </c>
      <c r="J306">
        <v>59.79</v>
      </c>
      <c r="K306">
        <v>75</v>
      </c>
      <c r="T306">
        <v>3</v>
      </c>
      <c r="U306">
        <v>1</v>
      </c>
      <c r="V306" t="s">
        <v>82</v>
      </c>
      <c r="W306">
        <v>74</v>
      </c>
      <c r="X306">
        <v>13</v>
      </c>
      <c r="Y306">
        <v>13</v>
      </c>
      <c r="Z306" t="s">
        <v>581</v>
      </c>
      <c r="AA306" t="s">
        <v>582</v>
      </c>
      <c r="AB306" t="s">
        <v>86</v>
      </c>
      <c r="AC306" t="s">
        <v>87</v>
      </c>
      <c r="AD306" t="s">
        <v>88</v>
      </c>
      <c r="AE306" t="s">
        <v>583</v>
      </c>
      <c r="AG306" t="s">
        <v>584</v>
      </c>
      <c r="AH306">
        <v>0</v>
      </c>
      <c r="AI306">
        <v>0</v>
      </c>
    </row>
    <row r="307" spans="1:35" x14ac:dyDescent="0.3">
      <c r="A307" t="s">
        <v>578</v>
      </c>
      <c r="B307">
        <v>101102</v>
      </c>
      <c r="C307">
        <v>2</v>
      </c>
      <c r="D307" t="s">
        <v>579</v>
      </c>
      <c r="E307" t="s">
        <v>580</v>
      </c>
      <c r="F307">
        <v>127</v>
      </c>
      <c r="G307">
        <v>31.75</v>
      </c>
      <c r="H307">
        <v>104.96</v>
      </c>
      <c r="I307">
        <v>25.59</v>
      </c>
      <c r="J307">
        <v>84.62</v>
      </c>
      <c r="K307">
        <v>52</v>
      </c>
      <c r="T307">
        <v>3</v>
      </c>
      <c r="U307">
        <v>2</v>
      </c>
      <c r="V307" t="s">
        <v>82</v>
      </c>
      <c r="W307">
        <v>104</v>
      </c>
      <c r="X307">
        <v>13</v>
      </c>
      <c r="Y307">
        <v>13</v>
      </c>
      <c r="Z307" t="s">
        <v>581</v>
      </c>
      <c r="AA307" t="s">
        <v>582</v>
      </c>
      <c r="AB307" t="s">
        <v>86</v>
      </c>
      <c r="AC307" t="s">
        <v>87</v>
      </c>
      <c r="AD307" t="s">
        <v>88</v>
      </c>
      <c r="AE307" t="s">
        <v>583</v>
      </c>
      <c r="AG307" t="s">
        <v>584</v>
      </c>
      <c r="AH307">
        <v>0</v>
      </c>
      <c r="AI307">
        <v>0</v>
      </c>
    </row>
    <row r="308" spans="1:35" x14ac:dyDescent="0.3">
      <c r="A308" t="s">
        <v>578</v>
      </c>
      <c r="B308">
        <v>144882</v>
      </c>
      <c r="C308">
        <v>1</v>
      </c>
      <c r="D308" t="s">
        <v>585</v>
      </c>
      <c r="E308" t="s">
        <v>356</v>
      </c>
      <c r="F308">
        <v>525</v>
      </c>
      <c r="G308">
        <v>25.16</v>
      </c>
      <c r="H308">
        <v>83.19</v>
      </c>
      <c r="I308">
        <v>19.25</v>
      </c>
      <c r="J308">
        <v>63.64</v>
      </c>
      <c r="K308">
        <v>35</v>
      </c>
      <c r="T308">
        <v>3</v>
      </c>
      <c r="U308">
        <v>2</v>
      </c>
      <c r="V308" t="s">
        <v>82</v>
      </c>
      <c r="W308" t="s">
        <v>391</v>
      </c>
      <c r="X308">
        <v>23</v>
      </c>
      <c r="Y308">
        <v>14</v>
      </c>
      <c r="Z308" t="s">
        <v>586</v>
      </c>
      <c r="AA308" t="s">
        <v>587</v>
      </c>
      <c r="AB308" t="s">
        <v>86</v>
      </c>
      <c r="AC308" t="s">
        <v>87</v>
      </c>
      <c r="AD308" t="s">
        <v>88</v>
      </c>
      <c r="AE308" t="s">
        <v>583</v>
      </c>
      <c r="AG308" t="s">
        <v>359</v>
      </c>
      <c r="AH308">
        <v>0</v>
      </c>
      <c r="AI308">
        <v>219</v>
      </c>
    </row>
    <row r="309" spans="1:35" x14ac:dyDescent="0.3">
      <c r="A309" t="s">
        <v>578</v>
      </c>
      <c r="B309">
        <v>144882</v>
      </c>
      <c r="C309">
        <v>2</v>
      </c>
      <c r="D309" t="s">
        <v>585</v>
      </c>
      <c r="E309" t="s">
        <v>356</v>
      </c>
      <c r="F309">
        <v>525</v>
      </c>
      <c r="G309">
        <v>25.42</v>
      </c>
      <c r="H309">
        <v>84.05</v>
      </c>
      <c r="I309">
        <v>19.3</v>
      </c>
      <c r="J309">
        <v>63.82</v>
      </c>
      <c r="K309">
        <v>137</v>
      </c>
      <c r="T309">
        <v>3</v>
      </c>
      <c r="U309">
        <v>2</v>
      </c>
      <c r="V309" t="s">
        <v>82</v>
      </c>
      <c r="W309" t="s">
        <v>225</v>
      </c>
      <c r="X309">
        <v>23</v>
      </c>
      <c r="Y309">
        <v>14</v>
      </c>
      <c r="Z309" t="s">
        <v>586</v>
      </c>
      <c r="AA309" t="s">
        <v>587</v>
      </c>
      <c r="AB309" t="s">
        <v>86</v>
      </c>
      <c r="AC309" t="s">
        <v>87</v>
      </c>
      <c r="AD309" t="s">
        <v>88</v>
      </c>
      <c r="AE309" t="s">
        <v>583</v>
      </c>
      <c r="AG309" t="s">
        <v>359</v>
      </c>
      <c r="AH309">
        <v>0</v>
      </c>
      <c r="AI309">
        <v>219</v>
      </c>
    </row>
    <row r="310" spans="1:35" x14ac:dyDescent="0.3">
      <c r="A310" t="s">
        <v>578</v>
      </c>
      <c r="B310">
        <v>144882</v>
      </c>
      <c r="C310">
        <v>3</v>
      </c>
      <c r="D310" t="s">
        <v>585</v>
      </c>
      <c r="E310" t="s">
        <v>356</v>
      </c>
      <c r="F310">
        <v>525</v>
      </c>
      <c r="G310">
        <v>29.88</v>
      </c>
      <c r="H310">
        <v>98.8</v>
      </c>
      <c r="I310">
        <v>22.92</v>
      </c>
      <c r="J310">
        <v>75.77</v>
      </c>
      <c r="K310">
        <v>353</v>
      </c>
      <c r="T310">
        <v>3</v>
      </c>
      <c r="U310">
        <v>2</v>
      </c>
      <c r="V310" t="s">
        <v>82</v>
      </c>
      <c r="W310">
        <v>98</v>
      </c>
      <c r="X310">
        <v>23</v>
      </c>
      <c r="Y310">
        <v>14</v>
      </c>
      <c r="Z310" t="s">
        <v>586</v>
      </c>
      <c r="AA310" t="s">
        <v>587</v>
      </c>
      <c r="AB310" t="s">
        <v>86</v>
      </c>
      <c r="AC310" t="s">
        <v>87</v>
      </c>
      <c r="AD310" t="s">
        <v>88</v>
      </c>
      <c r="AE310" t="s">
        <v>583</v>
      </c>
      <c r="AG310" t="s">
        <v>359</v>
      </c>
      <c r="AH310">
        <v>0</v>
      </c>
      <c r="AI310">
        <v>219</v>
      </c>
    </row>
    <row r="311" spans="1:35" x14ac:dyDescent="0.3">
      <c r="A311" t="s">
        <v>578</v>
      </c>
      <c r="B311">
        <v>112711</v>
      </c>
      <c r="C311">
        <v>1</v>
      </c>
      <c r="D311" t="s">
        <v>588</v>
      </c>
      <c r="E311" t="s">
        <v>589</v>
      </c>
      <c r="F311">
        <v>253</v>
      </c>
      <c r="G311">
        <v>29.73</v>
      </c>
      <c r="H311">
        <v>98.29</v>
      </c>
      <c r="I311">
        <v>22.44</v>
      </c>
      <c r="J311">
        <v>74.209999999999994</v>
      </c>
      <c r="K311">
        <v>253</v>
      </c>
      <c r="T311">
        <v>4</v>
      </c>
      <c r="U311">
        <v>2</v>
      </c>
      <c r="V311" t="s">
        <v>82</v>
      </c>
      <c r="W311">
        <v>98</v>
      </c>
      <c r="X311">
        <v>15</v>
      </c>
      <c r="Y311">
        <v>10</v>
      </c>
      <c r="Z311" t="s">
        <v>590</v>
      </c>
      <c r="AA311" t="s">
        <v>591</v>
      </c>
      <c r="AB311" t="s">
        <v>86</v>
      </c>
      <c r="AC311" t="s">
        <v>87</v>
      </c>
      <c r="AD311" t="s">
        <v>88</v>
      </c>
      <c r="AE311" t="s">
        <v>583</v>
      </c>
      <c r="AG311" t="s">
        <v>592</v>
      </c>
      <c r="AH311">
        <v>0</v>
      </c>
      <c r="AI311">
        <v>149</v>
      </c>
    </row>
    <row r="312" spans="1:35" x14ac:dyDescent="0.3">
      <c r="A312" t="s">
        <v>578</v>
      </c>
      <c r="B312">
        <v>102513</v>
      </c>
      <c r="C312">
        <v>1</v>
      </c>
      <c r="D312" t="s">
        <v>593</v>
      </c>
      <c r="E312" t="s">
        <v>594</v>
      </c>
      <c r="F312">
        <v>315</v>
      </c>
      <c r="G312">
        <v>24.28</v>
      </c>
      <c r="H312">
        <v>80.28</v>
      </c>
      <c r="I312">
        <v>18.14</v>
      </c>
      <c r="J312">
        <v>59.99</v>
      </c>
      <c r="K312">
        <v>27</v>
      </c>
      <c r="T312">
        <v>3</v>
      </c>
      <c r="U312">
        <v>2</v>
      </c>
      <c r="V312" t="s">
        <v>82</v>
      </c>
      <c r="W312">
        <v>80</v>
      </c>
      <c r="X312">
        <v>14</v>
      </c>
      <c r="Y312">
        <v>14</v>
      </c>
      <c r="Z312" t="s">
        <v>595</v>
      </c>
      <c r="AA312" t="s">
        <v>596</v>
      </c>
      <c r="AB312" t="s">
        <v>86</v>
      </c>
      <c r="AC312" t="s">
        <v>87</v>
      </c>
      <c r="AD312" t="s">
        <v>88</v>
      </c>
      <c r="AE312" t="s">
        <v>583</v>
      </c>
      <c r="AG312" t="s">
        <v>597</v>
      </c>
      <c r="AH312">
        <v>0</v>
      </c>
      <c r="AI312">
        <v>148</v>
      </c>
    </row>
    <row r="313" spans="1:35" x14ac:dyDescent="0.3">
      <c r="A313" t="s">
        <v>578</v>
      </c>
      <c r="B313">
        <v>102513</v>
      </c>
      <c r="C313">
        <v>2</v>
      </c>
      <c r="D313" t="s">
        <v>593</v>
      </c>
      <c r="E313" t="s">
        <v>594</v>
      </c>
      <c r="F313">
        <v>315</v>
      </c>
      <c r="G313">
        <v>34.42</v>
      </c>
      <c r="H313">
        <v>113.81</v>
      </c>
      <c r="I313">
        <v>25.7</v>
      </c>
      <c r="J313">
        <v>84.99</v>
      </c>
      <c r="K313">
        <v>178</v>
      </c>
      <c r="T313">
        <v>3</v>
      </c>
      <c r="U313">
        <v>2</v>
      </c>
      <c r="V313" t="s">
        <v>82</v>
      </c>
      <c r="W313" t="s">
        <v>598</v>
      </c>
      <c r="X313">
        <v>14</v>
      </c>
      <c r="Y313">
        <v>14</v>
      </c>
      <c r="Z313" t="s">
        <v>595</v>
      </c>
      <c r="AA313" t="s">
        <v>596</v>
      </c>
      <c r="AB313" t="s">
        <v>86</v>
      </c>
      <c r="AC313" t="s">
        <v>87</v>
      </c>
      <c r="AD313" t="s">
        <v>88</v>
      </c>
      <c r="AE313" t="s">
        <v>583</v>
      </c>
      <c r="AG313" t="s">
        <v>597</v>
      </c>
      <c r="AH313">
        <v>0</v>
      </c>
      <c r="AI313">
        <v>148</v>
      </c>
    </row>
    <row r="314" spans="1:35" x14ac:dyDescent="0.3">
      <c r="A314" t="s">
        <v>578</v>
      </c>
      <c r="B314">
        <v>102513</v>
      </c>
      <c r="C314">
        <v>3</v>
      </c>
      <c r="D314" t="s">
        <v>593</v>
      </c>
      <c r="E314" t="s">
        <v>594</v>
      </c>
      <c r="F314">
        <v>315</v>
      </c>
      <c r="G314">
        <v>34.33</v>
      </c>
      <c r="H314">
        <v>113.49</v>
      </c>
      <c r="I314">
        <v>25.7</v>
      </c>
      <c r="J314">
        <v>84.99</v>
      </c>
      <c r="K314">
        <v>110</v>
      </c>
      <c r="T314">
        <v>3</v>
      </c>
      <c r="U314">
        <v>2</v>
      </c>
      <c r="V314" t="s">
        <v>82</v>
      </c>
      <c r="W314" t="s">
        <v>599</v>
      </c>
      <c r="X314">
        <v>14</v>
      </c>
      <c r="Y314">
        <v>14</v>
      </c>
      <c r="Z314" t="s">
        <v>595</v>
      </c>
      <c r="AA314" t="s">
        <v>596</v>
      </c>
      <c r="AB314" t="s">
        <v>86</v>
      </c>
      <c r="AC314" t="s">
        <v>87</v>
      </c>
      <c r="AD314" t="s">
        <v>88</v>
      </c>
      <c r="AE314" t="s">
        <v>583</v>
      </c>
      <c r="AG314" t="s">
        <v>597</v>
      </c>
      <c r="AH314">
        <v>0</v>
      </c>
      <c r="AI314">
        <v>148</v>
      </c>
    </row>
    <row r="315" spans="1:35" x14ac:dyDescent="0.3">
      <c r="A315" t="s">
        <v>578</v>
      </c>
      <c r="B315">
        <v>120600</v>
      </c>
      <c r="C315">
        <v>1</v>
      </c>
      <c r="D315" t="s">
        <v>600</v>
      </c>
      <c r="E315" t="s">
        <v>415</v>
      </c>
      <c r="F315">
        <v>1034</v>
      </c>
      <c r="G315">
        <v>25.41</v>
      </c>
      <c r="H315">
        <v>84.01</v>
      </c>
      <c r="I315">
        <v>18.14</v>
      </c>
      <c r="J315">
        <v>59.99</v>
      </c>
      <c r="K315">
        <v>604</v>
      </c>
      <c r="T315">
        <v>3</v>
      </c>
      <c r="U315">
        <v>2</v>
      </c>
      <c r="V315" t="s">
        <v>82</v>
      </c>
      <c r="W315">
        <v>84</v>
      </c>
      <c r="X315">
        <v>24</v>
      </c>
      <c r="Y315">
        <v>14</v>
      </c>
      <c r="Z315" t="s">
        <v>601</v>
      </c>
      <c r="AA315" t="s">
        <v>602</v>
      </c>
      <c r="AB315" t="s">
        <v>86</v>
      </c>
      <c r="AC315" t="s">
        <v>87</v>
      </c>
      <c r="AD315" t="s">
        <v>88</v>
      </c>
      <c r="AE315" t="s">
        <v>583</v>
      </c>
      <c r="AG315" t="s">
        <v>603</v>
      </c>
      <c r="AH315">
        <v>0</v>
      </c>
      <c r="AI315">
        <v>193</v>
      </c>
    </row>
    <row r="316" spans="1:35" x14ac:dyDescent="0.3">
      <c r="A316" t="s">
        <v>578</v>
      </c>
      <c r="B316">
        <v>120600</v>
      </c>
      <c r="C316">
        <v>2</v>
      </c>
      <c r="D316" t="s">
        <v>600</v>
      </c>
      <c r="E316" t="s">
        <v>415</v>
      </c>
      <c r="F316">
        <v>1034</v>
      </c>
      <c r="G316">
        <v>29.75</v>
      </c>
      <c r="H316">
        <v>98.38</v>
      </c>
      <c r="I316">
        <v>22.07</v>
      </c>
      <c r="J316">
        <v>72.989999999999995</v>
      </c>
      <c r="K316">
        <v>166</v>
      </c>
      <c r="T316">
        <v>3</v>
      </c>
      <c r="U316">
        <v>2</v>
      </c>
      <c r="V316" t="s">
        <v>82</v>
      </c>
      <c r="W316">
        <v>98</v>
      </c>
      <c r="X316">
        <v>24</v>
      </c>
      <c r="Y316">
        <v>14</v>
      </c>
      <c r="Z316" t="s">
        <v>601</v>
      </c>
      <c r="AA316" t="s">
        <v>602</v>
      </c>
      <c r="AB316" t="s">
        <v>86</v>
      </c>
      <c r="AC316" t="s">
        <v>87</v>
      </c>
      <c r="AD316" t="s">
        <v>88</v>
      </c>
      <c r="AE316" t="s">
        <v>583</v>
      </c>
      <c r="AG316" t="s">
        <v>603</v>
      </c>
      <c r="AH316">
        <v>0</v>
      </c>
      <c r="AI316">
        <v>193</v>
      </c>
    </row>
    <row r="317" spans="1:35" x14ac:dyDescent="0.3">
      <c r="A317" t="s">
        <v>578</v>
      </c>
      <c r="B317">
        <v>120600</v>
      </c>
      <c r="C317">
        <v>3</v>
      </c>
      <c r="D317" t="s">
        <v>600</v>
      </c>
      <c r="E317" t="s">
        <v>415</v>
      </c>
      <c r="F317">
        <v>1034</v>
      </c>
      <c r="G317">
        <v>34.270000000000003</v>
      </c>
      <c r="H317">
        <v>113.3</v>
      </c>
      <c r="I317">
        <v>25.7</v>
      </c>
      <c r="J317">
        <v>84.99</v>
      </c>
      <c r="K317">
        <v>176</v>
      </c>
      <c r="T317">
        <v>3</v>
      </c>
      <c r="U317">
        <v>2</v>
      </c>
      <c r="V317" t="s">
        <v>82</v>
      </c>
      <c r="W317" t="s">
        <v>598</v>
      </c>
      <c r="X317">
        <v>24</v>
      </c>
      <c r="Y317">
        <v>14</v>
      </c>
      <c r="Z317" t="s">
        <v>601</v>
      </c>
      <c r="AA317" t="s">
        <v>602</v>
      </c>
      <c r="AB317" t="s">
        <v>86</v>
      </c>
      <c r="AC317" t="s">
        <v>87</v>
      </c>
      <c r="AD317" t="s">
        <v>88</v>
      </c>
      <c r="AE317" t="s">
        <v>583</v>
      </c>
      <c r="AG317" t="s">
        <v>603</v>
      </c>
      <c r="AH317">
        <v>0</v>
      </c>
      <c r="AI317">
        <v>193</v>
      </c>
    </row>
    <row r="318" spans="1:35" x14ac:dyDescent="0.3">
      <c r="A318" t="s">
        <v>578</v>
      </c>
      <c r="B318">
        <v>120600</v>
      </c>
      <c r="C318">
        <v>4</v>
      </c>
      <c r="D318" t="s">
        <v>600</v>
      </c>
      <c r="E318" t="s">
        <v>415</v>
      </c>
      <c r="F318">
        <v>1034</v>
      </c>
      <c r="G318">
        <v>36.89</v>
      </c>
      <c r="H318">
        <v>121.97</v>
      </c>
      <c r="I318">
        <v>25.7</v>
      </c>
      <c r="J318">
        <v>84.99</v>
      </c>
      <c r="K318">
        <v>88</v>
      </c>
      <c r="T318">
        <v>3</v>
      </c>
      <c r="U318">
        <v>2</v>
      </c>
      <c r="V318" t="s">
        <v>82</v>
      </c>
      <c r="W318" t="s">
        <v>604</v>
      </c>
      <c r="X318">
        <v>24</v>
      </c>
      <c r="Y318">
        <v>14</v>
      </c>
      <c r="Z318" t="s">
        <v>601</v>
      </c>
      <c r="AA318" t="s">
        <v>602</v>
      </c>
      <c r="AB318" t="s">
        <v>86</v>
      </c>
      <c r="AC318" t="s">
        <v>87</v>
      </c>
      <c r="AD318" t="s">
        <v>88</v>
      </c>
      <c r="AE318" t="s">
        <v>583</v>
      </c>
      <c r="AG318" t="s">
        <v>603</v>
      </c>
      <c r="AH318">
        <v>0</v>
      </c>
      <c r="AI318">
        <v>193</v>
      </c>
    </row>
    <row r="319" spans="1:35" x14ac:dyDescent="0.3">
      <c r="A319" t="s">
        <v>578</v>
      </c>
      <c r="B319">
        <v>15780</v>
      </c>
      <c r="C319">
        <v>1</v>
      </c>
      <c r="D319" t="s">
        <v>605</v>
      </c>
      <c r="E319" t="s">
        <v>606</v>
      </c>
      <c r="F319">
        <v>113</v>
      </c>
      <c r="G319">
        <v>23.75</v>
      </c>
      <c r="H319">
        <v>78.540000000000006</v>
      </c>
      <c r="I319">
        <v>18.14</v>
      </c>
      <c r="J319">
        <v>59.98</v>
      </c>
      <c r="K319">
        <v>57</v>
      </c>
      <c r="T319">
        <v>3</v>
      </c>
      <c r="U319">
        <v>1</v>
      </c>
      <c r="V319" t="s">
        <v>82</v>
      </c>
      <c r="W319">
        <v>78</v>
      </c>
      <c r="X319">
        <v>15</v>
      </c>
      <c r="Y319">
        <v>9</v>
      </c>
      <c r="Z319" t="s">
        <v>607</v>
      </c>
      <c r="AA319" t="s">
        <v>608</v>
      </c>
      <c r="AB319" t="s">
        <v>86</v>
      </c>
      <c r="AC319" t="s">
        <v>87</v>
      </c>
      <c r="AD319" t="s">
        <v>88</v>
      </c>
      <c r="AE319" t="s">
        <v>583</v>
      </c>
      <c r="AG319" t="s">
        <v>609</v>
      </c>
      <c r="AH319">
        <v>0</v>
      </c>
      <c r="AI319">
        <v>283</v>
      </c>
    </row>
    <row r="320" spans="1:35" x14ac:dyDescent="0.3">
      <c r="A320" t="s">
        <v>578</v>
      </c>
      <c r="B320">
        <v>15780</v>
      </c>
      <c r="C320">
        <v>2</v>
      </c>
      <c r="D320" t="s">
        <v>605</v>
      </c>
      <c r="E320" t="s">
        <v>606</v>
      </c>
      <c r="F320">
        <v>113</v>
      </c>
      <c r="G320">
        <v>27.73</v>
      </c>
      <c r="H320">
        <v>91.7</v>
      </c>
      <c r="I320">
        <v>22.36</v>
      </c>
      <c r="J320">
        <v>73.92</v>
      </c>
      <c r="K320">
        <v>56</v>
      </c>
      <c r="T320">
        <v>3</v>
      </c>
      <c r="U320">
        <v>1</v>
      </c>
      <c r="V320" t="s">
        <v>99</v>
      </c>
      <c r="W320">
        <v>91</v>
      </c>
      <c r="X320">
        <v>15</v>
      </c>
      <c r="Y320">
        <v>9</v>
      </c>
      <c r="Z320" t="s">
        <v>607</v>
      </c>
      <c r="AA320" t="s">
        <v>608</v>
      </c>
      <c r="AB320" t="s">
        <v>86</v>
      </c>
      <c r="AC320" t="s">
        <v>87</v>
      </c>
      <c r="AD320" t="s">
        <v>88</v>
      </c>
      <c r="AE320" t="s">
        <v>583</v>
      </c>
      <c r="AG320" t="s">
        <v>609</v>
      </c>
      <c r="AH320">
        <v>0</v>
      </c>
      <c r="AI320">
        <v>283</v>
      </c>
    </row>
    <row r="321" spans="1:35" x14ac:dyDescent="0.3">
      <c r="A321" t="s">
        <v>578</v>
      </c>
      <c r="B321">
        <v>7764</v>
      </c>
      <c r="C321">
        <v>1</v>
      </c>
      <c r="D321" t="s">
        <v>610</v>
      </c>
      <c r="E321" t="s">
        <v>160</v>
      </c>
      <c r="F321">
        <v>218</v>
      </c>
      <c r="G321">
        <v>15.66</v>
      </c>
      <c r="H321">
        <v>51.78</v>
      </c>
      <c r="I321">
        <v>11.92</v>
      </c>
      <c r="J321">
        <v>39.409999999999997</v>
      </c>
      <c r="K321">
        <v>25</v>
      </c>
      <c r="T321">
        <v>2</v>
      </c>
      <c r="U321">
        <v>1</v>
      </c>
      <c r="V321" t="s">
        <v>99</v>
      </c>
      <c r="W321">
        <v>51</v>
      </c>
      <c r="X321">
        <v>15</v>
      </c>
      <c r="Y321">
        <v>7</v>
      </c>
      <c r="Z321" t="s">
        <v>611</v>
      </c>
      <c r="AA321" t="s">
        <v>612</v>
      </c>
      <c r="AB321" t="s">
        <v>86</v>
      </c>
      <c r="AC321" t="s">
        <v>87</v>
      </c>
      <c r="AD321" t="s">
        <v>88</v>
      </c>
      <c r="AE321" t="s">
        <v>583</v>
      </c>
      <c r="AG321" t="s">
        <v>613</v>
      </c>
      <c r="AH321">
        <v>0</v>
      </c>
      <c r="AI321">
        <v>0</v>
      </c>
    </row>
    <row r="322" spans="1:35" x14ac:dyDescent="0.3">
      <c r="A322" t="s">
        <v>578</v>
      </c>
      <c r="B322">
        <v>7764</v>
      </c>
      <c r="C322">
        <v>2</v>
      </c>
      <c r="D322" t="s">
        <v>610</v>
      </c>
      <c r="E322" t="s">
        <v>160</v>
      </c>
      <c r="F322">
        <v>218</v>
      </c>
      <c r="G322">
        <v>23.02</v>
      </c>
      <c r="H322">
        <v>76.099999999999994</v>
      </c>
      <c r="I322">
        <v>17.52</v>
      </c>
      <c r="J322">
        <v>57.92</v>
      </c>
      <c r="K322">
        <v>105</v>
      </c>
      <c r="T322">
        <v>3</v>
      </c>
      <c r="U322">
        <v>1</v>
      </c>
      <c r="V322" t="s">
        <v>99</v>
      </c>
      <c r="W322">
        <v>76</v>
      </c>
      <c r="X322">
        <v>15</v>
      </c>
      <c r="Y322">
        <v>7</v>
      </c>
      <c r="Z322" t="s">
        <v>611</v>
      </c>
      <c r="AA322" t="s">
        <v>612</v>
      </c>
      <c r="AB322" t="s">
        <v>86</v>
      </c>
      <c r="AC322" t="s">
        <v>87</v>
      </c>
      <c r="AD322" t="s">
        <v>88</v>
      </c>
      <c r="AE322" t="s">
        <v>583</v>
      </c>
      <c r="AG322" t="s">
        <v>613</v>
      </c>
      <c r="AH322">
        <v>0</v>
      </c>
      <c r="AI322">
        <v>0</v>
      </c>
    </row>
    <row r="323" spans="1:35" x14ac:dyDescent="0.3">
      <c r="A323" t="s">
        <v>578</v>
      </c>
      <c r="B323">
        <v>7764</v>
      </c>
      <c r="C323">
        <v>3</v>
      </c>
      <c r="D323" t="s">
        <v>610</v>
      </c>
      <c r="E323" t="s">
        <v>160</v>
      </c>
      <c r="F323">
        <v>218</v>
      </c>
      <c r="G323">
        <v>23.77</v>
      </c>
      <c r="H323">
        <v>78.58</v>
      </c>
      <c r="I323">
        <v>18.09</v>
      </c>
      <c r="J323">
        <v>59.81</v>
      </c>
      <c r="K323">
        <v>88</v>
      </c>
      <c r="T323">
        <v>3</v>
      </c>
      <c r="U323">
        <v>1</v>
      </c>
      <c r="V323" t="s">
        <v>99</v>
      </c>
      <c r="W323">
        <v>78</v>
      </c>
      <c r="X323">
        <v>15</v>
      </c>
      <c r="Y323">
        <v>7</v>
      </c>
      <c r="Z323" t="s">
        <v>611</v>
      </c>
      <c r="AA323" t="s">
        <v>612</v>
      </c>
      <c r="AB323" t="s">
        <v>86</v>
      </c>
      <c r="AC323" t="s">
        <v>87</v>
      </c>
      <c r="AD323" t="s">
        <v>88</v>
      </c>
      <c r="AE323" t="s">
        <v>583</v>
      </c>
      <c r="AG323" t="s">
        <v>613</v>
      </c>
      <c r="AH323">
        <v>0</v>
      </c>
      <c r="AI323">
        <v>0</v>
      </c>
    </row>
    <row r="324" spans="1:35" x14ac:dyDescent="0.3">
      <c r="A324" t="s">
        <v>578</v>
      </c>
      <c r="B324">
        <v>133270</v>
      </c>
      <c r="C324">
        <v>1</v>
      </c>
      <c r="D324" t="s">
        <v>614</v>
      </c>
      <c r="E324" t="s">
        <v>105</v>
      </c>
      <c r="F324">
        <v>63</v>
      </c>
      <c r="G324">
        <v>22.56</v>
      </c>
      <c r="H324">
        <v>74.599999999999994</v>
      </c>
      <c r="I324">
        <v>18.07</v>
      </c>
      <c r="J324">
        <v>59.74</v>
      </c>
      <c r="K324">
        <v>11</v>
      </c>
      <c r="T324">
        <v>3</v>
      </c>
      <c r="U324">
        <v>1</v>
      </c>
      <c r="V324" t="s">
        <v>82</v>
      </c>
      <c r="W324" t="s">
        <v>136</v>
      </c>
      <c r="X324">
        <v>12</v>
      </c>
      <c r="Y324">
        <v>11</v>
      </c>
      <c r="Z324" t="s">
        <v>615</v>
      </c>
      <c r="AA324" t="s">
        <v>616</v>
      </c>
      <c r="AB324" t="s">
        <v>86</v>
      </c>
      <c r="AC324" t="s">
        <v>87</v>
      </c>
      <c r="AD324" t="s">
        <v>88</v>
      </c>
      <c r="AE324" t="s">
        <v>583</v>
      </c>
      <c r="AG324" t="s">
        <v>617</v>
      </c>
      <c r="AH324">
        <v>0</v>
      </c>
      <c r="AI324">
        <v>186</v>
      </c>
    </row>
    <row r="325" spans="1:35" x14ac:dyDescent="0.3">
      <c r="A325" t="s">
        <v>578</v>
      </c>
      <c r="B325">
        <v>133270</v>
      </c>
      <c r="C325">
        <v>2</v>
      </c>
      <c r="D325" t="s">
        <v>614</v>
      </c>
      <c r="E325" t="s">
        <v>105</v>
      </c>
      <c r="F325">
        <v>63</v>
      </c>
      <c r="G325">
        <v>22.59</v>
      </c>
      <c r="H325">
        <v>74.69</v>
      </c>
      <c r="I325">
        <v>18.09</v>
      </c>
      <c r="J325">
        <v>59.81</v>
      </c>
      <c r="K325">
        <v>11</v>
      </c>
      <c r="T325">
        <v>3</v>
      </c>
      <c r="U325">
        <v>1</v>
      </c>
      <c r="V325" t="s">
        <v>82</v>
      </c>
      <c r="W325" t="s">
        <v>618</v>
      </c>
      <c r="X325">
        <v>12</v>
      </c>
      <c r="Y325">
        <v>11</v>
      </c>
      <c r="Z325" t="s">
        <v>615</v>
      </c>
      <c r="AA325" t="s">
        <v>616</v>
      </c>
      <c r="AB325" t="s">
        <v>86</v>
      </c>
      <c r="AC325" t="s">
        <v>87</v>
      </c>
      <c r="AD325" t="s">
        <v>88</v>
      </c>
      <c r="AE325" t="s">
        <v>583</v>
      </c>
      <c r="AG325" t="s">
        <v>617</v>
      </c>
      <c r="AH325">
        <v>0</v>
      </c>
      <c r="AI325">
        <v>186</v>
      </c>
    </row>
    <row r="326" spans="1:35" x14ac:dyDescent="0.3">
      <c r="A326" t="s">
        <v>578</v>
      </c>
      <c r="B326">
        <v>133270</v>
      </c>
      <c r="C326">
        <v>3</v>
      </c>
      <c r="D326" t="s">
        <v>614</v>
      </c>
      <c r="E326" t="s">
        <v>105</v>
      </c>
      <c r="F326">
        <v>63</v>
      </c>
      <c r="G326">
        <v>22.58</v>
      </c>
      <c r="H326">
        <v>74.650000000000006</v>
      </c>
      <c r="I326">
        <v>18.079999999999998</v>
      </c>
      <c r="J326">
        <v>59.78</v>
      </c>
      <c r="K326">
        <v>1</v>
      </c>
      <c r="T326">
        <v>3</v>
      </c>
      <c r="U326">
        <v>1</v>
      </c>
      <c r="V326" t="s">
        <v>82</v>
      </c>
      <c r="W326" t="s">
        <v>619</v>
      </c>
      <c r="X326">
        <v>12</v>
      </c>
      <c r="Y326">
        <v>11</v>
      </c>
      <c r="Z326" t="s">
        <v>615</v>
      </c>
      <c r="AA326" t="s">
        <v>616</v>
      </c>
      <c r="AB326" t="s">
        <v>86</v>
      </c>
      <c r="AC326" t="s">
        <v>87</v>
      </c>
      <c r="AD326" t="s">
        <v>88</v>
      </c>
      <c r="AE326" t="s">
        <v>583</v>
      </c>
      <c r="AG326" t="s">
        <v>617</v>
      </c>
      <c r="AH326">
        <v>0</v>
      </c>
      <c r="AI326">
        <v>186</v>
      </c>
    </row>
    <row r="327" spans="1:35" x14ac:dyDescent="0.3">
      <c r="A327" t="s">
        <v>578</v>
      </c>
      <c r="B327">
        <v>133270</v>
      </c>
      <c r="C327">
        <v>4</v>
      </c>
      <c r="D327" t="s">
        <v>614</v>
      </c>
      <c r="E327" t="s">
        <v>105</v>
      </c>
      <c r="F327">
        <v>63</v>
      </c>
      <c r="G327">
        <v>27.4</v>
      </c>
      <c r="H327">
        <v>90.59</v>
      </c>
      <c r="I327">
        <v>21.94</v>
      </c>
      <c r="J327">
        <v>72.540000000000006</v>
      </c>
      <c r="K327">
        <v>10</v>
      </c>
      <c r="T327">
        <v>3</v>
      </c>
      <c r="U327">
        <v>2</v>
      </c>
      <c r="V327" t="s">
        <v>82</v>
      </c>
      <c r="W327">
        <v>90</v>
      </c>
      <c r="X327">
        <v>12</v>
      </c>
      <c r="Y327">
        <v>11</v>
      </c>
      <c r="Z327" t="s">
        <v>615</v>
      </c>
      <c r="AA327" t="s">
        <v>616</v>
      </c>
      <c r="AB327" t="s">
        <v>86</v>
      </c>
      <c r="AC327" t="s">
        <v>87</v>
      </c>
      <c r="AD327" t="s">
        <v>88</v>
      </c>
      <c r="AE327" t="s">
        <v>583</v>
      </c>
      <c r="AG327" t="s">
        <v>617</v>
      </c>
      <c r="AH327">
        <v>0</v>
      </c>
      <c r="AI327">
        <v>186</v>
      </c>
    </row>
    <row r="328" spans="1:35" x14ac:dyDescent="0.3">
      <c r="A328" t="s">
        <v>578</v>
      </c>
      <c r="B328">
        <v>133270</v>
      </c>
      <c r="C328">
        <v>5</v>
      </c>
      <c r="D328" t="s">
        <v>614</v>
      </c>
      <c r="E328" t="s">
        <v>105</v>
      </c>
      <c r="F328">
        <v>63</v>
      </c>
      <c r="G328">
        <v>32.06</v>
      </c>
      <c r="H328">
        <v>105.99</v>
      </c>
      <c r="I328">
        <v>25.67</v>
      </c>
      <c r="J328">
        <v>84.87</v>
      </c>
      <c r="K328">
        <v>30</v>
      </c>
      <c r="T328">
        <v>3</v>
      </c>
      <c r="U328">
        <v>2</v>
      </c>
      <c r="V328" t="s">
        <v>82</v>
      </c>
      <c r="W328">
        <v>105</v>
      </c>
      <c r="X328">
        <v>12</v>
      </c>
      <c r="Y328">
        <v>11</v>
      </c>
      <c r="Z328" t="s">
        <v>615</v>
      </c>
      <c r="AA328" t="s">
        <v>616</v>
      </c>
      <c r="AB328" t="s">
        <v>86</v>
      </c>
      <c r="AC328" t="s">
        <v>87</v>
      </c>
      <c r="AD328" t="s">
        <v>88</v>
      </c>
      <c r="AE328" t="s">
        <v>583</v>
      </c>
      <c r="AG328" t="s">
        <v>617</v>
      </c>
      <c r="AH328">
        <v>0</v>
      </c>
      <c r="AI328">
        <v>186</v>
      </c>
    </row>
    <row r="329" spans="1:35" x14ac:dyDescent="0.3">
      <c r="A329" t="s">
        <v>578</v>
      </c>
      <c r="B329">
        <v>104011</v>
      </c>
      <c r="C329">
        <v>1</v>
      </c>
      <c r="D329" t="s">
        <v>620</v>
      </c>
      <c r="E329" t="s">
        <v>621</v>
      </c>
      <c r="F329">
        <v>1082</v>
      </c>
      <c r="G329">
        <v>28.9</v>
      </c>
      <c r="H329">
        <v>95.56</v>
      </c>
      <c r="I329">
        <v>20.82</v>
      </c>
      <c r="J329">
        <v>68.84</v>
      </c>
      <c r="K329">
        <v>74</v>
      </c>
      <c r="T329">
        <v>3</v>
      </c>
      <c r="U329">
        <v>2</v>
      </c>
      <c r="V329" t="s">
        <v>82</v>
      </c>
      <c r="W329" t="s">
        <v>622</v>
      </c>
      <c r="X329">
        <v>22</v>
      </c>
      <c r="Y329">
        <v>16</v>
      </c>
      <c r="Z329" t="s">
        <v>623</v>
      </c>
      <c r="AA329" t="s">
        <v>624</v>
      </c>
      <c r="AB329" t="s">
        <v>86</v>
      </c>
      <c r="AC329" t="s">
        <v>87</v>
      </c>
      <c r="AD329" t="s">
        <v>88</v>
      </c>
      <c r="AE329" t="s">
        <v>583</v>
      </c>
      <c r="AG329" t="s">
        <v>625</v>
      </c>
      <c r="AH329">
        <v>0</v>
      </c>
      <c r="AI329">
        <v>211</v>
      </c>
    </row>
    <row r="330" spans="1:35" x14ac:dyDescent="0.3">
      <c r="A330" t="s">
        <v>578</v>
      </c>
      <c r="B330">
        <v>104011</v>
      </c>
      <c r="C330">
        <v>2</v>
      </c>
      <c r="D330" t="s">
        <v>620</v>
      </c>
      <c r="E330" t="s">
        <v>621</v>
      </c>
      <c r="F330">
        <v>1082</v>
      </c>
      <c r="G330">
        <v>28.99</v>
      </c>
      <c r="H330">
        <v>95.84</v>
      </c>
      <c r="I330">
        <v>20.69</v>
      </c>
      <c r="J330">
        <v>68.400000000000006</v>
      </c>
      <c r="K330">
        <v>44</v>
      </c>
      <c r="T330">
        <v>3</v>
      </c>
      <c r="U330">
        <v>2</v>
      </c>
      <c r="V330" t="s">
        <v>82</v>
      </c>
      <c r="W330" t="s">
        <v>626</v>
      </c>
      <c r="X330">
        <v>22</v>
      </c>
      <c r="Y330">
        <v>16</v>
      </c>
      <c r="Z330" t="s">
        <v>623</v>
      </c>
      <c r="AA330" t="s">
        <v>624</v>
      </c>
      <c r="AB330" t="s">
        <v>86</v>
      </c>
      <c r="AC330" t="s">
        <v>87</v>
      </c>
      <c r="AD330" t="s">
        <v>88</v>
      </c>
      <c r="AE330" t="s">
        <v>583</v>
      </c>
      <c r="AG330" t="s">
        <v>625</v>
      </c>
      <c r="AH330">
        <v>0</v>
      </c>
      <c r="AI330">
        <v>211</v>
      </c>
    </row>
    <row r="331" spans="1:35" x14ac:dyDescent="0.3">
      <c r="A331" t="s">
        <v>578</v>
      </c>
      <c r="B331">
        <v>104011</v>
      </c>
      <c r="C331">
        <v>3</v>
      </c>
      <c r="D331" t="s">
        <v>620</v>
      </c>
      <c r="E331" t="s">
        <v>621</v>
      </c>
      <c r="F331">
        <v>1082</v>
      </c>
      <c r="G331">
        <v>34.69</v>
      </c>
      <c r="H331">
        <v>114.7</v>
      </c>
      <c r="I331">
        <v>25.7</v>
      </c>
      <c r="J331">
        <v>84.96</v>
      </c>
      <c r="K331">
        <v>377</v>
      </c>
      <c r="T331">
        <v>3</v>
      </c>
      <c r="U331">
        <v>2</v>
      </c>
      <c r="V331" t="s">
        <v>82</v>
      </c>
      <c r="W331" t="s">
        <v>209</v>
      </c>
      <c r="X331">
        <v>22</v>
      </c>
      <c r="Y331">
        <v>16</v>
      </c>
      <c r="Z331" t="s">
        <v>623</v>
      </c>
      <c r="AA331" t="s">
        <v>624</v>
      </c>
      <c r="AB331" t="s">
        <v>86</v>
      </c>
      <c r="AC331" t="s">
        <v>87</v>
      </c>
      <c r="AD331" t="s">
        <v>88</v>
      </c>
      <c r="AE331" t="s">
        <v>583</v>
      </c>
      <c r="AG331" t="s">
        <v>625</v>
      </c>
      <c r="AH331">
        <v>0</v>
      </c>
      <c r="AI331">
        <v>211</v>
      </c>
    </row>
    <row r="332" spans="1:35" x14ac:dyDescent="0.3">
      <c r="A332" t="s">
        <v>578</v>
      </c>
      <c r="B332">
        <v>104011</v>
      </c>
      <c r="C332">
        <v>4</v>
      </c>
      <c r="D332" t="s">
        <v>620</v>
      </c>
      <c r="E332" t="s">
        <v>621</v>
      </c>
      <c r="F332">
        <v>1082</v>
      </c>
      <c r="G332">
        <v>34.880000000000003</v>
      </c>
      <c r="H332">
        <v>115.33</v>
      </c>
      <c r="I332">
        <v>25.67</v>
      </c>
      <c r="J332">
        <v>84.89</v>
      </c>
      <c r="K332">
        <v>459</v>
      </c>
      <c r="T332">
        <v>3</v>
      </c>
      <c r="U332">
        <v>2</v>
      </c>
      <c r="V332" t="s">
        <v>82</v>
      </c>
      <c r="W332" t="s">
        <v>627</v>
      </c>
      <c r="X332">
        <v>22</v>
      </c>
      <c r="Y332">
        <v>16</v>
      </c>
      <c r="Z332" t="s">
        <v>623</v>
      </c>
      <c r="AA332" t="s">
        <v>624</v>
      </c>
      <c r="AB332" t="s">
        <v>86</v>
      </c>
      <c r="AC332" t="s">
        <v>87</v>
      </c>
      <c r="AD332" t="s">
        <v>88</v>
      </c>
      <c r="AE332" t="s">
        <v>583</v>
      </c>
      <c r="AG332" t="s">
        <v>625</v>
      </c>
      <c r="AH332">
        <v>0</v>
      </c>
      <c r="AI332">
        <v>211</v>
      </c>
    </row>
    <row r="333" spans="1:35" x14ac:dyDescent="0.3">
      <c r="A333" t="s">
        <v>578</v>
      </c>
      <c r="B333">
        <v>104011</v>
      </c>
      <c r="C333">
        <v>5</v>
      </c>
      <c r="D333" t="s">
        <v>620</v>
      </c>
      <c r="E333" t="s">
        <v>621</v>
      </c>
      <c r="F333">
        <v>1082</v>
      </c>
      <c r="G333">
        <v>39.979999999999997</v>
      </c>
      <c r="H333">
        <v>132.18</v>
      </c>
      <c r="I333">
        <v>30.8</v>
      </c>
      <c r="J333">
        <v>101.85</v>
      </c>
      <c r="K333">
        <v>128</v>
      </c>
      <c r="T333">
        <v>4</v>
      </c>
      <c r="U333">
        <v>2</v>
      </c>
      <c r="V333" t="s">
        <v>82</v>
      </c>
      <c r="W333">
        <v>132</v>
      </c>
      <c r="X333">
        <v>22</v>
      </c>
      <c r="Y333">
        <v>16</v>
      </c>
      <c r="Z333" t="s">
        <v>623</v>
      </c>
      <c r="AA333" t="s">
        <v>624</v>
      </c>
      <c r="AB333" t="s">
        <v>86</v>
      </c>
      <c r="AC333" t="s">
        <v>87</v>
      </c>
      <c r="AD333" t="s">
        <v>88</v>
      </c>
      <c r="AE333" t="s">
        <v>583</v>
      </c>
      <c r="AG333" t="s">
        <v>625</v>
      </c>
      <c r="AH333">
        <v>0</v>
      </c>
      <c r="AI333">
        <v>211</v>
      </c>
    </row>
    <row r="334" spans="1:35" x14ac:dyDescent="0.3">
      <c r="A334" t="s">
        <v>578</v>
      </c>
      <c r="B334">
        <v>16807</v>
      </c>
      <c r="C334">
        <v>1</v>
      </c>
      <c r="D334" t="s">
        <v>628</v>
      </c>
      <c r="E334" t="s">
        <v>629</v>
      </c>
      <c r="F334">
        <v>146</v>
      </c>
      <c r="G334">
        <v>25.05</v>
      </c>
      <c r="H334">
        <v>82.82</v>
      </c>
      <c r="I334">
        <v>18.079999999999998</v>
      </c>
      <c r="J334">
        <v>59.79</v>
      </c>
      <c r="K334">
        <v>116</v>
      </c>
      <c r="T334">
        <v>3</v>
      </c>
      <c r="U334">
        <v>1</v>
      </c>
      <c r="V334" t="s">
        <v>99</v>
      </c>
      <c r="W334">
        <v>82</v>
      </c>
      <c r="X334">
        <v>15</v>
      </c>
      <c r="Y334">
        <v>13</v>
      </c>
      <c r="Z334" t="s">
        <v>630</v>
      </c>
      <c r="AA334" t="s">
        <v>631</v>
      </c>
      <c r="AB334" t="s">
        <v>86</v>
      </c>
      <c r="AC334" t="s">
        <v>87</v>
      </c>
      <c r="AD334" t="s">
        <v>88</v>
      </c>
      <c r="AE334" t="s">
        <v>583</v>
      </c>
      <c r="AG334" t="s">
        <v>632</v>
      </c>
      <c r="AH334">
        <v>0</v>
      </c>
      <c r="AI334">
        <v>326</v>
      </c>
    </row>
    <row r="335" spans="1:35" x14ac:dyDescent="0.3">
      <c r="A335" t="s">
        <v>578</v>
      </c>
      <c r="B335">
        <v>16807</v>
      </c>
      <c r="C335">
        <v>2</v>
      </c>
      <c r="D335" t="s">
        <v>628</v>
      </c>
      <c r="E335" t="s">
        <v>629</v>
      </c>
      <c r="F335">
        <v>146</v>
      </c>
      <c r="G335">
        <v>30.28</v>
      </c>
      <c r="H335">
        <v>100.13</v>
      </c>
      <c r="I335">
        <v>25.67</v>
      </c>
      <c r="J335">
        <v>84.87</v>
      </c>
      <c r="K335">
        <v>30</v>
      </c>
      <c r="T335">
        <v>3</v>
      </c>
      <c r="U335">
        <v>2</v>
      </c>
      <c r="V335" t="s">
        <v>82</v>
      </c>
      <c r="W335">
        <v>100</v>
      </c>
      <c r="X335">
        <v>15</v>
      </c>
      <c r="Y335">
        <v>13</v>
      </c>
      <c r="Z335" t="s">
        <v>630</v>
      </c>
      <c r="AA335" t="s">
        <v>631</v>
      </c>
      <c r="AB335" t="s">
        <v>86</v>
      </c>
      <c r="AC335" t="s">
        <v>87</v>
      </c>
      <c r="AD335" t="s">
        <v>88</v>
      </c>
      <c r="AE335" t="s">
        <v>583</v>
      </c>
      <c r="AG335" t="s">
        <v>632</v>
      </c>
      <c r="AH335">
        <v>0</v>
      </c>
      <c r="AI335">
        <v>326</v>
      </c>
    </row>
    <row r="336" spans="1:35" x14ac:dyDescent="0.3">
      <c r="A336" t="s">
        <v>578</v>
      </c>
      <c r="B336">
        <v>7761</v>
      </c>
      <c r="C336">
        <v>1</v>
      </c>
      <c r="D336" t="s">
        <v>633</v>
      </c>
      <c r="E336" t="s">
        <v>432</v>
      </c>
      <c r="F336">
        <v>146</v>
      </c>
      <c r="G336">
        <v>21.25</v>
      </c>
      <c r="H336">
        <v>70.28</v>
      </c>
      <c r="I336">
        <v>15.86</v>
      </c>
      <c r="J336">
        <v>52.44</v>
      </c>
      <c r="K336">
        <v>1</v>
      </c>
      <c r="T336">
        <v>3</v>
      </c>
      <c r="U336">
        <v>1</v>
      </c>
      <c r="V336" t="s">
        <v>82</v>
      </c>
      <c r="W336">
        <v>70</v>
      </c>
      <c r="X336">
        <v>15</v>
      </c>
      <c r="Y336">
        <v>14</v>
      </c>
      <c r="Z336" t="s">
        <v>634</v>
      </c>
      <c r="AA336" t="s">
        <v>635</v>
      </c>
      <c r="AB336" t="s">
        <v>86</v>
      </c>
      <c r="AC336" t="s">
        <v>87</v>
      </c>
      <c r="AD336" t="s">
        <v>88</v>
      </c>
      <c r="AE336" t="s">
        <v>583</v>
      </c>
      <c r="AG336" t="s">
        <v>636</v>
      </c>
      <c r="AH336">
        <v>0</v>
      </c>
      <c r="AI336">
        <v>247</v>
      </c>
    </row>
    <row r="337" spans="1:35" x14ac:dyDescent="0.3">
      <c r="A337" t="s">
        <v>578</v>
      </c>
      <c r="B337">
        <v>7761</v>
      </c>
      <c r="C337">
        <v>2</v>
      </c>
      <c r="D337" t="s">
        <v>633</v>
      </c>
      <c r="E337" t="s">
        <v>432</v>
      </c>
      <c r="F337">
        <v>146</v>
      </c>
      <c r="G337">
        <v>23.54</v>
      </c>
      <c r="H337">
        <v>77.84</v>
      </c>
      <c r="I337">
        <v>18.149999999999999</v>
      </c>
      <c r="J337">
        <v>60</v>
      </c>
      <c r="K337">
        <v>89</v>
      </c>
      <c r="T337">
        <v>3</v>
      </c>
      <c r="U337">
        <v>1</v>
      </c>
      <c r="V337" t="s">
        <v>82</v>
      </c>
      <c r="W337">
        <v>77</v>
      </c>
      <c r="X337">
        <v>15</v>
      </c>
      <c r="Y337">
        <v>14</v>
      </c>
      <c r="Z337" t="s">
        <v>634</v>
      </c>
      <c r="AA337" t="s">
        <v>635</v>
      </c>
      <c r="AB337" t="s">
        <v>86</v>
      </c>
      <c r="AC337" t="s">
        <v>87</v>
      </c>
      <c r="AD337" t="s">
        <v>88</v>
      </c>
      <c r="AE337" t="s">
        <v>583</v>
      </c>
      <c r="AG337" t="s">
        <v>636</v>
      </c>
      <c r="AH337">
        <v>0</v>
      </c>
      <c r="AI337">
        <v>247</v>
      </c>
    </row>
    <row r="338" spans="1:35" x14ac:dyDescent="0.3">
      <c r="A338" t="s">
        <v>578</v>
      </c>
      <c r="B338">
        <v>7761</v>
      </c>
      <c r="C338">
        <v>3</v>
      </c>
      <c r="D338" t="s">
        <v>633</v>
      </c>
      <c r="E338" t="s">
        <v>432</v>
      </c>
      <c r="F338">
        <v>146</v>
      </c>
      <c r="G338">
        <v>31.73</v>
      </c>
      <c r="H338">
        <v>104.9</v>
      </c>
      <c r="I338">
        <v>25.62</v>
      </c>
      <c r="J338">
        <v>84.72</v>
      </c>
      <c r="K338">
        <v>56</v>
      </c>
      <c r="T338">
        <v>3</v>
      </c>
      <c r="U338">
        <v>2</v>
      </c>
      <c r="V338" t="s">
        <v>82</v>
      </c>
      <c r="W338">
        <v>104</v>
      </c>
      <c r="X338">
        <v>15</v>
      </c>
      <c r="Y338">
        <v>14</v>
      </c>
      <c r="Z338" t="s">
        <v>634</v>
      </c>
      <c r="AA338" t="s">
        <v>635</v>
      </c>
      <c r="AB338" t="s">
        <v>86</v>
      </c>
      <c r="AC338" t="s">
        <v>87</v>
      </c>
      <c r="AD338" t="s">
        <v>88</v>
      </c>
      <c r="AE338" t="s">
        <v>583</v>
      </c>
      <c r="AG338" t="s">
        <v>636</v>
      </c>
      <c r="AH338">
        <v>0</v>
      </c>
      <c r="AI338">
        <v>247</v>
      </c>
    </row>
    <row r="339" spans="1:35" x14ac:dyDescent="0.3">
      <c r="A339" t="s">
        <v>578</v>
      </c>
      <c r="B339">
        <v>117126</v>
      </c>
      <c r="C339">
        <v>1</v>
      </c>
      <c r="D339" t="s">
        <v>637</v>
      </c>
      <c r="E339" t="s">
        <v>638</v>
      </c>
      <c r="F339">
        <v>217</v>
      </c>
      <c r="G339">
        <v>26.22</v>
      </c>
      <c r="H339">
        <v>86.69</v>
      </c>
      <c r="I339">
        <v>20.45</v>
      </c>
      <c r="J339">
        <v>67.63</v>
      </c>
      <c r="K339">
        <v>77</v>
      </c>
      <c r="T339">
        <v>3</v>
      </c>
      <c r="U339">
        <v>2</v>
      </c>
      <c r="V339" t="s">
        <v>82</v>
      </c>
      <c r="W339" t="s">
        <v>639</v>
      </c>
      <c r="X339">
        <v>7</v>
      </c>
      <c r="Y339">
        <v>7</v>
      </c>
      <c r="Z339" t="s">
        <v>640</v>
      </c>
      <c r="AA339" t="s">
        <v>641</v>
      </c>
      <c r="AB339" t="s">
        <v>86</v>
      </c>
      <c r="AC339" t="s">
        <v>87</v>
      </c>
      <c r="AD339" t="s">
        <v>88</v>
      </c>
      <c r="AE339" t="s">
        <v>583</v>
      </c>
      <c r="AG339" t="s">
        <v>642</v>
      </c>
      <c r="AH339">
        <v>0</v>
      </c>
      <c r="AI339">
        <v>129</v>
      </c>
    </row>
    <row r="340" spans="1:35" x14ac:dyDescent="0.3">
      <c r="A340" t="s">
        <v>578</v>
      </c>
      <c r="B340">
        <v>117126</v>
      </c>
      <c r="C340">
        <v>2</v>
      </c>
      <c r="D340" t="s">
        <v>637</v>
      </c>
      <c r="E340" t="s">
        <v>638</v>
      </c>
      <c r="F340">
        <v>217</v>
      </c>
      <c r="G340">
        <v>26.22</v>
      </c>
      <c r="H340">
        <v>86.69</v>
      </c>
      <c r="I340">
        <v>20.45</v>
      </c>
      <c r="J340">
        <v>67.63</v>
      </c>
      <c r="K340">
        <v>1</v>
      </c>
      <c r="T340">
        <v>3</v>
      </c>
      <c r="U340">
        <v>2</v>
      </c>
      <c r="V340" t="s">
        <v>82</v>
      </c>
      <c r="W340" t="s">
        <v>217</v>
      </c>
      <c r="X340">
        <v>7</v>
      </c>
      <c r="Y340">
        <v>7</v>
      </c>
      <c r="Z340" t="s">
        <v>640</v>
      </c>
      <c r="AA340" t="s">
        <v>641</v>
      </c>
      <c r="AB340" t="s">
        <v>86</v>
      </c>
      <c r="AC340" t="s">
        <v>87</v>
      </c>
      <c r="AD340" t="s">
        <v>88</v>
      </c>
      <c r="AE340" t="s">
        <v>583</v>
      </c>
      <c r="AG340" t="s">
        <v>642</v>
      </c>
      <c r="AH340">
        <v>0</v>
      </c>
      <c r="AI340">
        <v>129</v>
      </c>
    </row>
    <row r="341" spans="1:35" x14ac:dyDescent="0.3">
      <c r="A341" t="s">
        <v>578</v>
      </c>
      <c r="B341">
        <v>117126</v>
      </c>
      <c r="C341">
        <v>3</v>
      </c>
      <c r="D341" t="s">
        <v>637</v>
      </c>
      <c r="E341" t="s">
        <v>638</v>
      </c>
      <c r="F341">
        <v>217</v>
      </c>
      <c r="G341">
        <v>27.09</v>
      </c>
      <c r="H341">
        <v>89.56</v>
      </c>
      <c r="I341">
        <v>21.06</v>
      </c>
      <c r="J341">
        <v>69.62</v>
      </c>
      <c r="K341">
        <v>7</v>
      </c>
      <c r="T341">
        <v>3</v>
      </c>
      <c r="U341">
        <v>2</v>
      </c>
      <c r="V341" t="s">
        <v>82</v>
      </c>
      <c r="W341" t="s">
        <v>643</v>
      </c>
      <c r="X341">
        <v>7</v>
      </c>
      <c r="Y341">
        <v>7</v>
      </c>
      <c r="Z341" t="s">
        <v>640</v>
      </c>
      <c r="AA341" t="s">
        <v>641</v>
      </c>
      <c r="AB341" t="s">
        <v>86</v>
      </c>
      <c r="AC341" t="s">
        <v>87</v>
      </c>
      <c r="AD341" t="s">
        <v>88</v>
      </c>
      <c r="AE341" t="s">
        <v>583</v>
      </c>
      <c r="AG341" t="s">
        <v>642</v>
      </c>
      <c r="AH341">
        <v>0</v>
      </c>
      <c r="AI341">
        <v>129</v>
      </c>
    </row>
    <row r="342" spans="1:35" x14ac:dyDescent="0.3">
      <c r="A342" t="s">
        <v>578</v>
      </c>
      <c r="B342">
        <v>117126</v>
      </c>
      <c r="C342">
        <v>4</v>
      </c>
      <c r="D342" t="s">
        <v>637</v>
      </c>
      <c r="E342" t="s">
        <v>638</v>
      </c>
      <c r="F342">
        <v>217</v>
      </c>
      <c r="G342">
        <v>27.28</v>
      </c>
      <c r="H342">
        <v>90.19</v>
      </c>
      <c r="I342">
        <v>20.96</v>
      </c>
      <c r="J342">
        <v>69.3</v>
      </c>
      <c r="K342">
        <v>20</v>
      </c>
      <c r="T342">
        <v>3</v>
      </c>
      <c r="U342">
        <v>2</v>
      </c>
      <c r="V342" t="s">
        <v>82</v>
      </c>
      <c r="W342" t="s">
        <v>644</v>
      </c>
      <c r="X342">
        <v>7</v>
      </c>
      <c r="Y342">
        <v>7</v>
      </c>
      <c r="Z342" t="s">
        <v>640</v>
      </c>
      <c r="AA342" t="s">
        <v>641</v>
      </c>
      <c r="AB342" t="s">
        <v>86</v>
      </c>
      <c r="AC342" t="s">
        <v>87</v>
      </c>
      <c r="AD342" t="s">
        <v>88</v>
      </c>
      <c r="AE342" t="s">
        <v>583</v>
      </c>
      <c r="AG342" t="s">
        <v>642</v>
      </c>
      <c r="AH342">
        <v>0</v>
      </c>
      <c r="AI342">
        <v>129</v>
      </c>
    </row>
    <row r="343" spans="1:35" x14ac:dyDescent="0.3">
      <c r="A343" t="s">
        <v>578</v>
      </c>
      <c r="B343">
        <v>117126</v>
      </c>
      <c r="C343">
        <v>5</v>
      </c>
      <c r="D343" t="s">
        <v>637</v>
      </c>
      <c r="E343" t="s">
        <v>638</v>
      </c>
      <c r="F343">
        <v>217</v>
      </c>
      <c r="G343">
        <v>30.42</v>
      </c>
      <c r="H343">
        <v>100.58</v>
      </c>
      <c r="I343">
        <v>23.81</v>
      </c>
      <c r="J343">
        <v>78.72</v>
      </c>
      <c r="K343">
        <v>112</v>
      </c>
      <c r="T343">
        <v>3</v>
      </c>
      <c r="U343">
        <v>2</v>
      </c>
      <c r="V343" t="s">
        <v>82</v>
      </c>
      <c r="W343">
        <v>100</v>
      </c>
      <c r="X343">
        <v>7</v>
      </c>
      <c r="Y343">
        <v>7</v>
      </c>
      <c r="Z343" t="s">
        <v>640</v>
      </c>
      <c r="AA343" t="s">
        <v>641</v>
      </c>
      <c r="AB343" t="s">
        <v>86</v>
      </c>
      <c r="AC343" t="s">
        <v>87</v>
      </c>
      <c r="AD343" t="s">
        <v>88</v>
      </c>
      <c r="AE343" t="s">
        <v>583</v>
      </c>
      <c r="AG343" t="s">
        <v>642</v>
      </c>
      <c r="AH343">
        <v>0</v>
      </c>
      <c r="AI343">
        <v>129</v>
      </c>
    </row>
    <row r="344" spans="1:35" x14ac:dyDescent="0.3">
      <c r="A344" t="s">
        <v>578</v>
      </c>
      <c r="B344">
        <v>129387</v>
      </c>
      <c r="C344">
        <v>1</v>
      </c>
      <c r="D344" t="s">
        <v>645</v>
      </c>
      <c r="E344" t="s">
        <v>646</v>
      </c>
      <c r="F344">
        <v>23</v>
      </c>
      <c r="G344">
        <v>22.68</v>
      </c>
      <c r="H344">
        <v>74.989999999999995</v>
      </c>
      <c r="I344">
        <v>19.48</v>
      </c>
      <c r="J344">
        <v>64.41</v>
      </c>
      <c r="K344">
        <v>4</v>
      </c>
      <c r="T344">
        <v>3</v>
      </c>
      <c r="U344">
        <v>1</v>
      </c>
      <c r="V344" t="s">
        <v>82</v>
      </c>
      <c r="W344" t="s">
        <v>619</v>
      </c>
      <c r="X344">
        <v>5</v>
      </c>
      <c r="Y344">
        <v>4</v>
      </c>
      <c r="Z344" t="s">
        <v>647</v>
      </c>
      <c r="AA344" t="s">
        <v>648</v>
      </c>
      <c r="AB344" t="s">
        <v>86</v>
      </c>
      <c r="AC344" t="s">
        <v>87</v>
      </c>
      <c r="AD344" t="s">
        <v>88</v>
      </c>
      <c r="AE344" t="s">
        <v>583</v>
      </c>
      <c r="AG344" t="s">
        <v>649</v>
      </c>
      <c r="AH344">
        <v>0</v>
      </c>
      <c r="AI344">
        <v>133</v>
      </c>
    </row>
    <row r="345" spans="1:35" x14ac:dyDescent="0.3">
      <c r="A345" t="s">
        <v>578</v>
      </c>
      <c r="B345">
        <v>129387</v>
      </c>
      <c r="C345">
        <v>2</v>
      </c>
      <c r="D345" t="s">
        <v>645</v>
      </c>
      <c r="E345" t="s">
        <v>646</v>
      </c>
      <c r="F345">
        <v>23</v>
      </c>
      <c r="G345">
        <v>23.42</v>
      </c>
      <c r="H345">
        <v>77.44</v>
      </c>
      <c r="I345">
        <v>19.21</v>
      </c>
      <c r="J345">
        <v>63.51</v>
      </c>
      <c r="K345">
        <v>4</v>
      </c>
      <c r="T345">
        <v>3</v>
      </c>
      <c r="U345">
        <v>1</v>
      </c>
      <c r="V345" t="s">
        <v>82</v>
      </c>
      <c r="W345" t="s">
        <v>650</v>
      </c>
      <c r="X345">
        <v>5</v>
      </c>
      <c r="Y345">
        <v>4</v>
      </c>
      <c r="Z345" t="s">
        <v>647</v>
      </c>
      <c r="AA345" t="s">
        <v>648</v>
      </c>
      <c r="AB345" t="s">
        <v>86</v>
      </c>
      <c r="AC345" t="s">
        <v>87</v>
      </c>
      <c r="AD345" t="s">
        <v>88</v>
      </c>
      <c r="AE345" t="s">
        <v>583</v>
      </c>
      <c r="AG345" t="s">
        <v>649</v>
      </c>
      <c r="AH345">
        <v>0</v>
      </c>
      <c r="AI345">
        <v>133</v>
      </c>
    </row>
    <row r="346" spans="1:35" x14ac:dyDescent="0.3">
      <c r="A346" t="s">
        <v>578</v>
      </c>
      <c r="B346">
        <v>129387</v>
      </c>
      <c r="C346">
        <v>3</v>
      </c>
      <c r="D346" t="s">
        <v>645</v>
      </c>
      <c r="E346" t="s">
        <v>646</v>
      </c>
      <c r="F346">
        <v>23</v>
      </c>
      <c r="G346">
        <v>24.44</v>
      </c>
      <c r="H346">
        <v>80.8</v>
      </c>
      <c r="I346">
        <v>20.04</v>
      </c>
      <c r="J346">
        <v>66.260000000000005</v>
      </c>
      <c r="K346">
        <v>1</v>
      </c>
      <c r="T346">
        <v>3</v>
      </c>
      <c r="U346">
        <v>1</v>
      </c>
      <c r="V346" t="s">
        <v>82</v>
      </c>
      <c r="W346">
        <v>80</v>
      </c>
      <c r="X346">
        <v>5</v>
      </c>
      <c r="Y346">
        <v>4</v>
      </c>
      <c r="Z346" t="s">
        <v>647</v>
      </c>
      <c r="AA346" t="s">
        <v>648</v>
      </c>
      <c r="AB346" t="s">
        <v>86</v>
      </c>
      <c r="AC346" t="s">
        <v>87</v>
      </c>
      <c r="AD346" t="s">
        <v>88</v>
      </c>
      <c r="AE346" t="s">
        <v>583</v>
      </c>
      <c r="AG346" t="s">
        <v>649</v>
      </c>
      <c r="AH346">
        <v>0</v>
      </c>
      <c r="AI346">
        <v>133</v>
      </c>
    </row>
    <row r="347" spans="1:35" x14ac:dyDescent="0.3">
      <c r="A347" t="s">
        <v>578</v>
      </c>
      <c r="B347">
        <v>129387</v>
      </c>
      <c r="C347">
        <v>4</v>
      </c>
      <c r="D347" t="s">
        <v>645</v>
      </c>
      <c r="E347" t="s">
        <v>646</v>
      </c>
      <c r="F347">
        <v>23</v>
      </c>
      <c r="G347">
        <v>25.86</v>
      </c>
      <c r="H347">
        <v>85.51</v>
      </c>
      <c r="I347">
        <v>21.21</v>
      </c>
      <c r="J347">
        <v>70.12</v>
      </c>
      <c r="K347">
        <v>3</v>
      </c>
      <c r="T347">
        <v>3</v>
      </c>
      <c r="U347">
        <v>2</v>
      </c>
      <c r="V347" t="s">
        <v>99</v>
      </c>
      <c r="W347">
        <v>85</v>
      </c>
      <c r="X347">
        <v>5</v>
      </c>
      <c r="Y347">
        <v>4</v>
      </c>
      <c r="Z347" t="s">
        <v>647</v>
      </c>
      <c r="AA347" t="s">
        <v>648</v>
      </c>
      <c r="AB347" t="s">
        <v>86</v>
      </c>
      <c r="AC347" t="s">
        <v>87</v>
      </c>
      <c r="AD347" t="s">
        <v>88</v>
      </c>
      <c r="AE347" t="s">
        <v>583</v>
      </c>
      <c r="AG347" t="s">
        <v>649</v>
      </c>
      <c r="AH347">
        <v>0</v>
      </c>
      <c r="AI347">
        <v>133</v>
      </c>
    </row>
    <row r="348" spans="1:35" x14ac:dyDescent="0.3">
      <c r="A348" t="s">
        <v>578</v>
      </c>
      <c r="B348">
        <v>129387</v>
      </c>
      <c r="C348">
        <v>5</v>
      </c>
      <c r="D348" t="s">
        <v>645</v>
      </c>
      <c r="E348" t="s">
        <v>646</v>
      </c>
      <c r="F348">
        <v>23</v>
      </c>
      <c r="G348">
        <v>26.76</v>
      </c>
      <c r="H348">
        <v>88.49</v>
      </c>
      <c r="I348">
        <v>22.99</v>
      </c>
      <c r="J348">
        <v>76</v>
      </c>
      <c r="K348">
        <v>4</v>
      </c>
      <c r="T348">
        <v>3</v>
      </c>
      <c r="U348">
        <v>2</v>
      </c>
      <c r="V348" t="s">
        <v>82</v>
      </c>
      <c r="W348">
        <v>88</v>
      </c>
      <c r="X348">
        <v>5</v>
      </c>
      <c r="Y348">
        <v>4</v>
      </c>
      <c r="Z348" t="s">
        <v>647</v>
      </c>
      <c r="AA348" t="s">
        <v>648</v>
      </c>
      <c r="AB348" t="s">
        <v>86</v>
      </c>
      <c r="AC348" t="s">
        <v>87</v>
      </c>
      <c r="AD348" t="s">
        <v>88</v>
      </c>
      <c r="AE348" t="s">
        <v>583</v>
      </c>
      <c r="AG348" t="s">
        <v>649</v>
      </c>
      <c r="AH348">
        <v>0</v>
      </c>
      <c r="AI348">
        <v>133</v>
      </c>
    </row>
    <row r="349" spans="1:35" x14ac:dyDescent="0.3">
      <c r="A349" t="s">
        <v>578</v>
      </c>
      <c r="B349">
        <v>129387</v>
      </c>
      <c r="C349">
        <v>6</v>
      </c>
      <c r="D349" t="s">
        <v>645</v>
      </c>
      <c r="E349" t="s">
        <v>646</v>
      </c>
      <c r="F349">
        <v>23</v>
      </c>
      <c r="G349">
        <v>28.15</v>
      </c>
      <c r="H349">
        <v>93.07</v>
      </c>
      <c r="I349">
        <v>25.59</v>
      </c>
      <c r="J349">
        <v>84.62</v>
      </c>
      <c r="K349">
        <v>4</v>
      </c>
      <c r="T349">
        <v>3</v>
      </c>
      <c r="U349">
        <v>2</v>
      </c>
      <c r="V349" t="s">
        <v>82</v>
      </c>
      <c r="W349" t="s">
        <v>651</v>
      </c>
      <c r="X349">
        <v>5</v>
      </c>
      <c r="Y349">
        <v>4</v>
      </c>
      <c r="Z349" t="s">
        <v>647</v>
      </c>
      <c r="AA349" t="s">
        <v>648</v>
      </c>
      <c r="AB349" t="s">
        <v>86</v>
      </c>
      <c r="AC349" t="s">
        <v>87</v>
      </c>
      <c r="AD349" t="s">
        <v>88</v>
      </c>
      <c r="AE349" t="s">
        <v>583</v>
      </c>
      <c r="AG349" t="s">
        <v>649</v>
      </c>
      <c r="AH349">
        <v>0</v>
      </c>
      <c r="AI349">
        <v>133</v>
      </c>
    </row>
    <row r="350" spans="1:35" x14ac:dyDescent="0.3">
      <c r="A350" t="s">
        <v>578</v>
      </c>
      <c r="B350">
        <v>129387</v>
      </c>
      <c r="C350">
        <v>7</v>
      </c>
      <c r="D350" t="s">
        <v>645</v>
      </c>
      <c r="E350" t="s">
        <v>646</v>
      </c>
      <c r="F350">
        <v>23</v>
      </c>
      <c r="G350">
        <v>28.24</v>
      </c>
      <c r="H350">
        <v>93.37</v>
      </c>
      <c r="I350">
        <v>25.68</v>
      </c>
      <c r="J350">
        <v>84.9</v>
      </c>
      <c r="K350">
        <v>3</v>
      </c>
      <c r="T350">
        <v>3</v>
      </c>
      <c r="U350">
        <v>2</v>
      </c>
      <c r="V350" t="s">
        <v>82</v>
      </c>
      <c r="W350" t="s">
        <v>403</v>
      </c>
      <c r="X350">
        <v>5</v>
      </c>
      <c r="Y350">
        <v>4</v>
      </c>
      <c r="Z350" t="s">
        <v>647</v>
      </c>
      <c r="AA350" t="s">
        <v>648</v>
      </c>
      <c r="AB350" t="s">
        <v>86</v>
      </c>
      <c r="AC350" t="s">
        <v>87</v>
      </c>
      <c r="AD350" t="s">
        <v>88</v>
      </c>
      <c r="AE350" t="s">
        <v>583</v>
      </c>
      <c r="AG350" t="s">
        <v>649</v>
      </c>
      <c r="AH350">
        <v>0</v>
      </c>
      <c r="AI350">
        <v>133</v>
      </c>
    </row>
    <row r="351" spans="1:35" x14ac:dyDescent="0.3">
      <c r="A351" t="s">
        <v>578</v>
      </c>
      <c r="B351">
        <v>108772</v>
      </c>
      <c r="C351">
        <v>1</v>
      </c>
      <c r="D351" t="s">
        <v>652</v>
      </c>
      <c r="E351" t="s">
        <v>328</v>
      </c>
      <c r="F351">
        <v>1665</v>
      </c>
      <c r="G351">
        <v>25.93</v>
      </c>
      <c r="H351">
        <v>85.74</v>
      </c>
      <c r="I351">
        <v>18.100000000000001</v>
      </c>
      <c r="J351">
        <v>59.85</v>
      </c>
      <c r="K351">
        <v>164</v>
      </c>
      <c r="T351">
        <v>3</v>
      </c>
      <c r="U351">
        <v>2</v>
      </c>
      <c r="V351" t="s">
        <v>82</v>
      </c>
      <c r="W351" t="s">
        <v>216</v>
      </c>
      <c r="X351">
        <v>25</v>
      </c>
      <c r="Y351">
        <v>16</v>
      </c>
      <c r="Z351" t="s">
        <v>653</v>
      </c>
      <c r="AA351" t="s">
        <v>654</v>
      </c>
      <c r="AB351" t="s">
        <v>86</v>
      </c>
      <c r="AC351" t="s">
        <v>87</v>
      </c>
      <c r="AD351" t="s">
        <v>88</v>
      </c>
      <c r="AE351" t="s">
        <v>583</v>
      </c>
      <c r="AG351" t="s">
        <v>655</v>
      </c>
      <c r="AH351">
        <v>0</v>
      </c>
      <c r="AI351">
        <v>213</v>
      </c>
    </row>
    <row r="352" spans="1:35" x14ac:dyDescent="0.3">
      <c r="A352" t="s">
        <v>578</v>
      </c>
      <c r="B352">
        <v>108772</v>
      </c>
      <c r="C352">
        <v>2</v>
      </c>
      <c r="D352" t="s">
        <v>652</v>
      </c>
      <c r="E352" t="s">
        <v>328</v>
      </c>
      <c r="F352">
        <v>1665</v>
      </c>
      <c r="G352">
        <v>25.83</v>
      </c>
      <c r="H352">
        <v>85.4</v>
      </c>
      <c r="I352">
        <v>17.850000000000001</v>
      </c>
      <c r="J352">
        <v>59.02</v>
      </c>
      <c r="K352">
        <v>93</v>
      </c>
      <c r="T352">
        <v>3</v>
      </c>
      <c r="U352">
        <v>2</v>
      </c>
      <c r="V352" t="s">
        <v>82</v>
      </c>
      <c r="W352" t="s">
        <v>188</v>
      </c>
      <c r="X352">
        <v>25</v>
      </c>
      <c r="Y352">
        <v>16</v>
      </c>
      <c r="Z352" t="s">
        <v>653</v>
      </c>
      <c r="AA352" t="s">
        <v>654</v>
      </c>
      <c r="AB352" t="s">
        <v>86</v>
      </c>
      <c r="AC352" t="s">
        <v>87</v>
      </c>
      <c r="AD352" t="s">
        <v>88</v>
      </c>
      <c r="AE352" t="s">
        <v>583</v>
      </c>
      <c r="AG352" t="s">
        <v>655</v>
      </c>
      <c r="AH352">
        <v>0</v>
      </c>
      <c r="AI352">
        <v>213</v>
      </c>
    </row>
    <row r="353" spans="1:35" x14ac:dyDescent="0.3">
      <c r="A353" t="s">
        <v>578</v>
      </c>
      <c r="B353">
        <v>108772</v>
      </c>
      <c r="C353">
        <v>3</v>
      </c>
      <c r="D353" t="s">
        <v>652</v>
      </c>
      <c r="E353" t="s">
        <v>328</v>
      </c>
      <c r="F353">
        <v>1665</v>
      </c>
      <c r="G353">
        <v>28.81</v>
      </c>
      <c r="H353">
        <v>95.25</v>
      </c>
      <c r="I353">
        <v>20.86</v>
      </c>
      <c r="J353">
        <v>68.97</v>
      </c>
      <c r="K353">
        <v>380</v>
      </c>
      <c r="T353">
        <v>3</v>
      </c>
      <c r="U353">
        <v>2</v>
      </c>
      <c r="V353" t="s">
        <v>82</v>
      </c>
      <c r="W353" t="s">
        <v>622</v>
      </c>
      <c r="X353">
        <v>25</v>
      </c>
      <c r="Y353">
        <v>16</v>
      </c>
      <c r="Z353" t="s">
        <v>653</v>
      </c>
      <c r="AA353" t="s">
        <v>654</v>
      </c>
      <c r="AB353" t="s">
        <v>86</v>
      </c>
      <c r="AC353" t="s">
        <v>87</v>
      </c>
      <c r="AD353" t="s">
        <v>88</v>
      </c>
      <c r="AE353" t="s">
        <v>583</v>
      </c>
      <c r="AG353" t="s">
        <v>655</v>
      </c>
      <c r="AH353">
        <v>0</v>
      </c>
      <c r="AI353">
        <v>213</v>
      </c>
    </row>
    <row r="354" spans="1:35" x14ac:dyDescent="0.3">
      <c r="A354" t="s">
        <v>578</v>
      </c>
      <c r="B354">
        <v>108772</v>
      </c>
      <c r="C354">
        <v>4</v>
      </c>
      <c r="D354" t="s">
        <v>652</v>
      </c>
      <c r="E354" t="s">
        <v>328</v>
      </c>
      <c r="F354">
        <v>1665</v>
      </c>
      <c r="G354">
        <v>28.98</v>
      </c>
      <c r="H354">
        <v>95.83</v>
      </c>
      <c r="I354">
        <v>20.78</v>
      </c>
      <c r="J354">
        <v>68.72</v>
      </c>
      <c r="K354">
        <v>95</v>
      </c>
      <c r="T354">
        <v>3</v>
      </c>
      <c r="U354">
        <v>2</v>
      </c>
      <c r="V354" t="s">
        <v>82</v>
      </c>
      <c r="W354" t="s">
        <v>626</v>
      </c>
      <c r="X354">
        <v>25</v>
      </c>
      <c r="Y354">
        <v>16</v>
      </c>
      <c r="Z354" t="s">
        <v>653</v>
      </c>
      <c r="AA354" t="s">
        <v>654</v>
      </c>
      <c r="AB354" t="s">
        <v>86</v>
      </c>
      <c r="AC354" t="s">
        <v>87</v>
      </c>
      <c r="AD354" t="s">
        <v>88</v>
      </c>
      <c r="AE354" t="s">
        <v>583</v>
      </c>
      <c r="AG354" t="s">
        <v>655</v>
      </c>
      <c r="AH354">
        <v>0</v>
      </c>
      <c r="AI354">
        <v>213</v>
      </c>
    </row>
    <row r="355" spans="1:35" x14ac:dyDescent="0.3">
      <c r="A355" t="s">
        <v>578</v>
      </c>
      <c r="B355">
        <v>108772</v>
      </c>
      <c r="C355">
        <v>5</v>
      </c>
      <c r="D355" t="s">
        <v>652</v>
      </c>
      <c r="E355" t="s">
        <v>328</v>
      </c>
      <c r="F355">
        <v>1665</v>
      </c>
      <c r="G355">
        <v>32.700000000000003</v>
      </c>
      <c r="H355">
        <v>108.12</v>
      </c>
      <c r="I355">
        <v>23.89</v>
      </c>
      <c r="J355">
        <v>78.98</v>
      </c>
      <c r="K355">
        <v>143</v>
      </c>
      <c r="T355">
        <v>3</v>
      </c>
      <c r="U355">
        <v>2</v>
      </c>
      <c r="V355" t="s">
        <v>82</v>
      </c>
      <c r="W355" t="s">
        <v>565</v>
      </c>
      <c r="X355">
        <v>25</v>
      </c>
      <c r="Y355">
        <v>16</v>
      </c>
      <c r="Z355" t="s">
        <v>653</v>
      </c>
      <c r="AA355" t="s">
        <v>654</v>
      </c>
      <c r="AB355" t="s">
        <v>86</v>
      </c>
      <c r="AC355" t="s">
        <v>87</v>
      </c>
      <c r="AD355" t="s">
        <v>88</v>
      </c>
      <c r="AE355" t="s">
        <v>583</v>
      </c>
      <c r="AG355" t="s">
        <v>655</v>
      </c>
      <c r="AH355">
        <v>0</v>
      </c>
      <c r="AI355">
        <v>213</v>
      </c>
    </row>
    <row r="356" spans="1:35" x14ac:dyDescent="0.3">
      <c r="A356" t="s">
        <v>578</v>
      </c>
      <c r="B356">
        <v>108772</v>
      </c>
      <c r="C356">
        <v>6</v>
      </c>
      <c r="D356" t="s">
        <v>652</v>
      </c>
      <c r="E356" t="s">
        <v>328</v>
      </c>
      <c r="F356">
        <v>1665</v>
      </c>
      <c r="G356">
        <v>32.75</v>
      </c>
      <c r="H356">
        <v>108.28</v>
      </c>
      <c r="I356">
        <v>23.86</v>
      </c>
      <c r="J356">
        <v>78.89</v>
      </c>
      <c r="K356">
        <v>142</v>
      </c>
      <c r="T356">
        <v>3</v>
      </c>
      <c r="U356">
        <v>2</v>
      </c>
      <c r="V356" t="s">
        <v>82</v>
      </c>
      <c r="W356" t="s">
        <v>570</v>
      </c>
      <c r="X356">
        <v>25</v>
      </c>
      <c r="Y356">
        <v>16</v>
      </c>
      <c r="Z356" t="s">
        <v>653</v>
      </c>
      <c r="AA356" t="s">
        <v>654</v>
      </c>
      <c r="AB356" t="s">
        <v>86</v>
      </c>
      <c r="AC356" t="s">
        <v>87</v>
      </c>
      <c r="AD356" t="s">
        <v>88</v>
      </c>
      <c r="AE356" t="s">
        <v>583</v>
      </c>
      <c r="AG356" t="s">
        <v>655</v>
      </c>
      <c r="AH356">
        <v>0</v>
      </c>
      <c r="AI356">
        <v>213</v>
      </c>
    </row>
    <row r="357" spans="1:35" x14ac:dyDescent="0.3">
      <c r="A357" t="s">
        <v>578</v>
      </c>
      <c r="B357">
        <v>108772</v>
      </c>
      <c r="C357">
        <v>7</v>
      </c>
      <c r="D357" t="s">
        <v>652</v>
      </c>
      <c r="E357" t="s">
        <v>328</v>
      </c>
      <c r="F357">
        <v>1665</v>
      </c>
      <c r="G357">
        <v>34.979999999999997</v>
      </c>
      <c r="H357">
        <v>115.65</v>
      </c>
      <c r="I357">
        <v>25.7</v>
      </c>
      <c r="J357">
        <v>84.97</v>
      </c>
      <c r="K357">
        <v>514</v>
      </c>
      <c r="T357">
        <v>3</v>
      </c>
      <c r="U357">
        <v>2</v>
      </c>
      <c r="V357" t="s">
        <v>82</v>
      </c>
      <c r="W357">
        <v>115</v>
      </c>
      <c r="X357">
        <v>25</v>
      </c>
      <c r="Y357">
        <v>16</v>
      </c>
      <c r="Z357" t="s">
        <v>653</v>
      </c>
      <c r="AA357" t="s">
        <v>654</v>
      </c>
      <c r="AB357" t="s">
        <v>86</v>
      </c>
      <c r="AC357" t="s">
        <v>87</v>
      </c>
      <c r="AD357" t="s">
        <v>88</v>
      </c>
      <c r="AE357" t="s">
        <v>583</v>
      </c>
      <c r="AG357" t="s">
        <v>655</v>
      </c>
      <c r="AH357">
        <v>0</v>
      </c>
      <c r="AI357">
        <v>213</v>
      </c>
    </row>
    <row r="358" spans="1:35" x14ac:dyDescent="0.3">
      <c r="A358" t="s">
        <v>578</v>
      </c>
      <c r="B358">
        <v>108772</v>
      </c>
      <c r="C358">
        <v>8</v>
      </c>
      <c r="D358" t="s">
        <v>652</v>
      </c>
      <c r="E358" t="s">
        <v>328</v>
      </c>
      <c r="F358">
        <v>1665</v>
      </c>
      <c r="G358">
        <v>39.86</v>
      </c>
      <c r="H358">
        <v>131.77000000000001</v>
      </c>
      <c r="I358">
        <v>30.83</v>
      </c>
      <c r="J358">
        <v>101.92</v>
      </c>
      <c r="K358">
        <v>134</v>
      </c>
      <c r="T358">
        <v>4</v>
      </c>
      <c r="U358">
        <v>2</v>
      </c>
      <c r="V358" t="s">
        <v>82</v>
      </c>
      <c r="W358">
        <v>131</v>
      </c>
      <c r="X358">
        <v>25</v>
      </c>
      <c r="Y358">
        <v>16</v>
      </c>
      <c r="Z358" t="s">
        <v>653</v>
      </c>
      <c r="AA358" t="s">
        <v>654</v>
      </c>
      <c r="AB358" t="s">
        <v>86</v>
      </c>
      <c r="AC358" t="s">
        <v>87</v>
      </c>
      <c r="AD358" t="s">
        <v>88</v>
      </c>
      <c r="AE358" t="s">
        <v>583</v>
      </c>
      <c r="AG358" t="s">
        <v>655</v>
      </c>
      <c r="AH358">
        <v>0</v>
      </c>
      <c r="AI358">
        <v>213</v>
      </c>
    </row>
    <row r="359" spans="1:35" x14ac:dyDescent="0.3">
      <c r="A359" t="s">
        <v>578</v>
      </c>
      <c r="B359">
        <v>7759</v>
      </c>
      <c r="C359">
        <v>1</v>
      </c>
      <c r="D359" t="s">
        <v>656</v>
      </c>
      <c r="E359" t="s">
        <v>125</v>
      </c>
      <c r="F359">
        <v>294</v>
      </c>
      <c r="G359">
        <v>20.99</v>
      </c>
      <c r="H359">
        <v>69.400000000000006</v>
      </c>
      <c r="I359">
        <v>18.09</v>
      </c>
      <c r="J359">
        <v>59.83</v>
      </c>
      <c r="K359">
        <v>174</v>
      </c>
      <c r="T359">
        <v>3</v>
      </c>
      <c r="U359">
        <v>1</v>
      </c>
      <c r="V359" t="s">
        <v>82</v>
      </c>
      <c r="W359" t="s">
        <v>349</v>
      </c>
      <c r="X359">
        <v>15</v>
      </c>
      <c r="Y359">
        <v>12</v>
      </c>
      <c r="Z359" t="s">
        <v>657</v>
      </c>
      <c r="AA359" t="s">
        <v>658</v>
      </c>
      <c r="AB359" t="s">
        <v>86</v>
      </c>
      <c r="AC359" t="s">
        <v>87</v>
      </c>
      <c r="AD359" t="s">
        <v>88</v>
      </c>
      <c r="AE359" t="s">
        <v>583</v>
      </c>
      <c r="AG359" t="s">
        <v>659</v>
      </c>
      <c r="AH359">
        <v>0</v>
      </c>
      <c r="AI359">
        <v>221</v>
      </c>
    </row>
    <row r="360" spans="1:35" x14ac:dyDescent="0.3">
      <c r="A360" t="s">
        <v>578</v>
      </c>
      <c r="B360">
        <v>7759</v>
      </c>
      <c r="C360">
        <v>2</v>
      </c>
      <c r="D360" t="s">
        <v>656</v>
      </c>
      <c r="E360" t="s">
        <v>125</v>
      </c>
      <c r="F360">
        <v>294</v>
      </c>
      <c r="G360">
        <v>20.92</v>
      </c>
      <c r="H360">
        <v>69.19</v>
      </c>
      <c r="I360">
        <v>18.04</v>
      </c>
      <c r="J360">
        <v>59.65</v>
      </c>
      <c r="K360">
        <v>120</v>
      </c>
      <c r="T360">
        <v>2</v>
      </c>
      <c r="U360">
        <v>1</v>
      </c>
      <c r="V360" t="s">
        <v>82</v>
      </c>
      <c r="W360" t="s">
        <v>345</v>
      </c>
      <c r="X360">
        <v>15</v>
      </c>
      <c r="Y360">
        <v>12</v>
      </c>
      <c r="Z360" t="s">
        <v>657</v>
      </c>
      <c r="AA360" t="s">
        <v>658</v>
      </c>
      <c r="AB360" t="s">
        <v>86</v>
      </c>
      <c r="AC360" t="s">
        <v>87</v>
      </c>
      <c r="AD360" t="s">
        <v>88</v>
      </c>
      <c r="AE360" t="s">
        <v>583</v>
      </c>
      <c r="AG360" t="s">
        <v>659</v>
      </c>
      <c r="AH360">
        <v>0</v>
      </c>
      <c r="AI360">
        <v>221</v>
      </c>
    </row>
    <row r="361" spans="1:35" x14ac:dyDescent="0.3">
      <c r="A361" t="s">
        <v>578</v>
      </c>
      <c r="B361">
        <v>104533</v>
      </c>
      <c r="C361">
        <v>1</v>
      </c>
      <c r="D361" t="s">
        <v>660</v>
      </c>
      <c r="E361" t="s">
        <v>661</v>
      </c>
      <c r="F361">
        <v>812</v>
      </c>
      <c r="G361">
        <v>33.799999999999997</v>
      </c>
      <c r="H361">
        <v>111.76</v>
      </c>
      <c r="I361">
        <v>25.7</v>
      </c>
      <c r="J361">
        <v>84.98</v>
      </c>
      <c r="K361">
        <v>442</v>
      </c>
      <c r="T361">
        <v>3</v>
      </c>
      <c r="U361">
        <v>2</v>
      </c>
      <c r="V361" t="s">
        <v>82</v>
      </c>
      <c r="W361" t="s">
        <v>662</v>
      </c>
      <c r="X361">
        <v>20</v>
      </c>
      <c r="Y361">
        <v>14</v>
      </c>
      <c r="Z361" t="s">
        <v>663</v>
      </c>
      <c r="AA361" t="s">
        <v>664</v>
      </c>
      <c r="AB361" t="s">
        <v>86</v>
      </c>
      <c r="AC361" t="s">
        <v>87</v>
      </c>
      <c r="AD361" t="s">
        <v>88</v>
      </c>
      <c r="AE361" t="s">
        <v>583</v>
      </c>
      <c r="AG361" t="s">
        <v>665</v>
      </c>
      <c r="AH361">
        <v>0</v>
      </c>
      <c r="AI361">
        <v>199</v>
      </c>
    </row>
    <row r="362" spans="1:35" x14ac:dyDescent="0.3">
      <c r="A362" t="s">
        <v>578</v>
      </c>
      <c r="B362">
        <v>104533</v>
      </c>
      <c r="C362">
        <v>2</v>
      </c>
      <c r="D362" t="s">
        <v>660</v>
      </c>
      <c r="E362" t="s">
        <v>661</v>
      </c>
      <c r="F362">
        <v>812</v>
      </c>
      <c r="G362">
        <v>33.67</v>
      </c>
      <c r="H362">
        <v>111.33</v>
      </c>
      <c r="I362">
        <v>25.65</v>
      </c>
      <c r="J362">
        <v>84.8</v>
      </c>
      <c r="K362">
        <v>213</v>
      </c>
      <c r="T362">
        <v>3</v>
      </c>
      <c r="U362">
        <v>2</v>
      </c>
      <c r="V362" t="s">
        <v>82</v>
      </c>
      <c r="W362" t="s">
        <v>666</v>
      </c>
      <c r="X362">
        <v>20</v>
      </c>
      <c r="Y362">
        <v>14</v>
      </c>
      <c r="Z362" t="s">
        <v>663</v>
      </c>
      <c r="AA362" t="s">
        <v>664</v>
      </c>
      <c r="AB362" t="s">
        <v>86</v>
      </c>
      <c r="AC362" t="s">
        <v>87</v>
      </c>
      <c r="AD362" t="s">
        <v>88</v>
      </c>
      <c r="AE362" t="s">
        <v>583</v>
      </c>
      <c r="AG362" t="s">
        <v>665</v>
      </c>
      <c r="AH362">
        <v>0</v>
      </c>
      <c r="AI362">
        <v>199</v>
      </c>
    </row>
    <row r="363" spans="1:35" x14ac:dyDescent="0.3">
      <c r="A363" t="s">
        <v>578</v>
      </c>
      <c r="B363">
        <v>104533</v>
      </c>
      <c r="C363">
        <v>3</v>
      </c>
      <c r="D363" t="s">
        <v>660</v>
      </c>
      <c r="E363" t="s">
        <v>661</v>
      </c>
      <c r="F363">
        <v>812</v>
      </c>
      <c r="G363">
        <v>33.65</v>
      </c>
      <c r="H363">
        <v>111.25</v>
      </c>
      <c r="I363">
        <v>25.7</v>
      </c>
      <c r="J363">
        <v>84.98</v>
      </c>
      <c r="K363">
        <v>157</v>
      </c>
      <c r="T363">
        <v>3</v>
      </c>
      <c r="U363">
        <v>2</v>
      </c>
      <c r="V363" t="s">
        <v>82</v>
      </c>
      <c r="W363" t="s">
        <v>667</v>
      </c>
      <c r="X363">
        <v>20</v>
      </c>
      <c r="Y363">
        <v>14</v>
      </c>
      <c r="Z363" t="s">
        <v>663</v>
      </c>
      <c r="AA363" t="s">
        <v>664</v>
      </c>
      <c r="AB363" t="s">
        <v>86</v>
      </c>
      <c r="AC363" t="s">
        <v>87</v>
      </c>
      <c r="AD363" t="s">
        <v>88</v>
      </c>
      <c r="AE363" t="s">
        <v>583</v>
      </c>
      <c r="AG363" t="s">
        <v>665</v>
      </c>
      <c r="AH363">
        <v>0</v>
      </c>
      <c r="AI363">
        <v>199</v>
      </c>
    </row>
    <row r="364" spans="1:35" x14ac:dyDescent="0.3">
      <c r="A364" t="s">
        <v>578</v>
      </c>
      <c r="B364">
        <v>105439</v>
      </c>
      <c r="C364">
        <v>1</v>
      </c>
      <c r="D364" t="s">
        <v>668</v>
      </c>
      <c r="E364" t="s">
        <v>669</v>
      </c>
      <c r="F364">
        <v>231</v>
      </c>
      <c r="G364">
        <v>25.49</v>
      </c>
      <c r="H364">
        <v>84.28</v>
      </c>
      <c r="I364">
        <v>18.14</v>
      </c>
      <c r="J364">
        <v>59.99</v>
      </c>
      <c r="K364">
        <v>24</v>
      </c>
      <c r="T364">
        <v>3</v>
      </c>
      <c r="U364">
        <v>2</v>
      </c>
      <c r="V364" t="s">
        <v>82</v>
      </c>
      <c r="W364" t="s">
        <v>187</v>
      </c>
      <c r="X364">
        <v>14</v>
      </c>
      <c r="Y364">
        <v>13</v>
      </c>
      <c r="Z364" t="s">
        <v>670</v>
      </c>
      <c r="AA364" t="s">
        <v>671</v>
      </c>
      <c r="AB364" t="s">
        <v>86</v>
      </c>
      <c r="AC364" t="s">
        <v>87</v>
      </c>
      <c r="AD364" t="s">
        <v>88</v>
      </c>
      <c r="AE364" t="s">
        <v>583</v>
      </c>
      <c r="AG364" t="s">
        <v>672</v>
      </c>
      <c r="AH364">
        <v>0</v>
      </c>
      <c r="AI364">
        <v>149</v>
      </c>
    </row>
    <row r="365" spans="1:35" x14ac:dyDescent="0.3">
      <c r="A365" t="s">
        <v>578</v>
      </c>
      <c r="B365">
        <v>105439</v>
      </c>
      <c r="C365">
        <v>2</v>
      </c>
      <c r="D365" t="s">
        <v>668</v>
      </c>
      <c r="E365" t="s">
        <v>669</v>
      </c>
      <c r="F365">
        <v>231</v>
      </c>
      <c r="G365">
        <v>34.22</v>
      </c>
      <c r="H365">
        <v>113.14</v>
      </c>
      <c r="I365">
        <v>25.7</v>
      </c>
      <c r="J365">
        <v>84.99</v>
      </c>
      <c r="K365">
        <v>104</v>
      </c>
      <c r="T365">
        <v>3</v>
      </c>
      <c r="U365">
        <v>2</v>
      </c>
      <c r="V365" t="s">
        <v>82</v>
      </c>
      <c r="W365" t="s">
        <v>598</v>
      </c>
      <c r="X365">
        <v>14</v>
      </c>
      <c r="Y365">
        <v>13</v>
      </c>
      <c r="Z365" t="s">
        <v>670</v>
      </c>
      <c r="AA365" t="s">
        <v>671</v>
      </c>
      <c r="AB365" t="s">
        <v>86</v>
      </c>
      <c r="AC365" t="s">
        <v>87</v>
      </c>
      <c r="AD365" t="s">
        <v>88</v>
      </c>
      <c r="AE365" t="s">
        <v>583</v>
      </c>
      <c r="AG365" t="s">
        <v>672</v>
      </c>
      <c r="AH365">
        <v>0</v>
      </c>
      <c r="AI365">
        <v>149</v>
      </c>
    </row>
    <row r="366" spans="1:35" x14ac:dyDescent="0.3">
      <c r="A366" t="s">
        <v>578</v>
      </c>
      <c r="B366">
        <v>105439</v>
      </c>
      <c r="C366">
        <v>3</v>
      </c>
      <c r="D366" t="s">
        <v>668</v>
      </c>
      <c r="E366" t="s">
        <v>669</v>
      </c>
      <c r="F366">
        <v>231</v>
      </c>
      <c r="G366">
        <v>34.43</v>
      </c>
      <c r="H366">
        <v>113.83</v>
      </c>
      <c r="I366">
        <v>25.7</v>
      </c>
      <c r="J366">
        <v>84.99</v>
      </c>
      <c r="K366">
        <v>103</v>
      </c>
      <c r="T366">
        <v>3</v>
      </c>
      <c r="U366">
        <v>2</v>
      </c>
      <c r="V366" t="s">
        <v>82</v>
      </c>
      <c r="W366" t="s">
        <v>599</v>
      </c>
      <c r="X366">
        <v>14</v>
      </c>
      <c r="Y366">
        <v>13</v>
      </c>
      <c r="Z366" t="s">
        <v>670</v>
      </c>
      <c r="AA366" t="s">
        <v>671</v>
      </c>
      <c r="AB366" t="s">
        <v>86</v>
      </c>
      <c r="AC366" t="s">
        <v>87</v>
      </c>
      <c r="AD366" t="s">
        <v>88</v>
      </c>
      <c r="AE366" t="s">
        <v>583</v>
      </c>
      <c r="AG366" t="s">
        <v>672</v>
      </c>
      <c r="AH366">
        <v>0</v>
      </c>
      <c r="AI366">
        <v>149</v>
      </c>
    </row>
    <row r="367" spans="1:35" x14ac:dyDescent="0.3">
      <c r="A367" t="s">
        <v>578</v>
      </c>
      <c r="B367">
        <v>128468</v>
      </c>
      <c r="C367">
        <v>1</v>
      </c>
      <c r="D367" t="s">
        <v>673</v>
      </c>
      <c r="E367" t="s">
        <v>130</v>
      </c>
      <c r="F367">
        <v>54</v>
      </c>
      <c r="G367">
        <v>17.25</v>
      </c>
      <c r="H367">
        <v>57.05</v>
      </c>
      <c r="I367">
        <v>15.59</v>
      </c>
      <c r="J367">
        <v>51.57</v>
      </c>
      <c r="K367">
        <v>1</v>
      </c>
      <c r="T367">
        <v>2</v>
      </c>
      <c r="U367">
        <v>1</v>
      </c>
      <c r="V367" t="s">
        <v>99</v>
      </c>
      <c r="W367">
        <v>57</v>
      </c>
      <c r="X367">
        <v>6</v>
      </c>
      <c r="Y367">
        <v>6</v>
      </c>
      <c r="Z367" t="s">
        <v>674</v>
      </c>
      <c r="AA367" t="s">
        <v>675</v>
      </c>
      <c r="AB367" t="s">
        <v>86</v>
      </c>
      <c r="AC367" t="s">
        <v>87</v>
      </c>
      <c r="AD367" t="s">
        <v>88</v>
      </c>
      <c r="AE367" t="s">
        <v>583</v>
      </c>
      <c r="AG367" t="s">
        <v>676</v>
      </c>
      <c r="AH367">
        <v>0</v>
      </c>
      <c r="AI367">
        <v>0</v>
      </c>
    </row>
    <row r="368" spans="1:35" x14ac:dyDescent="0.3">
      <c r="A368" t="s">
        <v>578</v>
      </c>
      <c r="B368">
        <v>128468</v>
      </c>
      <c r="C368">
        <v>2</v>
      </c>
      <c r="D368" t="s">
        <v>673</v>
      </c>
      <c r="E368" t="s">
        <v>130</v>
      </c>
      <c r="F368">
        <v>54</v>
      </c>
      <c r="G368">
        <v>21.55</v>
      </c>
      <c r="H368">
        <v>71.239999999999995</v>
      </c>
      <c r="I368">
        <v>19.89</v>
      </c>
      <c r="J368">
        <v>65.760000000000005</v>
      </c>
      <c r="K368">
        <v>1</v>
      </c>
      <c r="T368">
        <v>3</v>
      </c>
      <c r="U368">
        <v>1</v>
      </c>
      <c r="V368" t="s">
        <v>99</v>
      </c>
      <c r="W368">
        <v>71</v>
      </c>
      <c r="X368">
        <v>6</v>
      </c>
      <c r="Y368">
        <v>6</v>
      </c>
      <c r="Z368" t="s">
        <v>674</v>
      </c>
      <c r="AA368" t="s">
        <v>675</v>
      </c>
      <c r="AB368" t="s">
        <v>86</v>
      </c>
      <c r="AC368" t="s">
        <v>87</v>
      </c>
      <c r="AD368" t="s">
        <v>88</v>
      </c>
      <c r="AE368" t="s">
        <v>583</v>
      </c>
      <c r="AG368" t="s">
        <v>676</v>
      </c>
      <c r="AH368">
        <v>0</v>
      </c>
      <c r="AI368">
        <v>0</v>
      </c>
    </row>
    <row r="369" spans="1:35" x14ac:dyDescent="0.3">
      <c r="A369" t="s">
        <v>578</v>
      </c>
      <c r="B369">
        <v>128468</v>
      </c>
      <c r="C369">
        <v>3</v>
      </c>
      <c r="D369" t="s">
        <v>673</v>
      </c>
      <c r="E369" t="s">
        <v>130</v>
      </c>
      <c r="F369">
        <v>54</v>
      </c>
      <c r="G369">
        <v>22.99</v>
      </c>
      <c r="H369">
        <v>76.03</v>
      </c>
      <c r="I369">
        <v>21.02</v>
      </c>
      <c r="J369">
        <v>69.510000000000005</v>
      </c>
      <c r="K369">
        <v>24</v>
      </c>
      <c r="T369">
        <v>3</v>
      </c>
      <c r="U369">
        <v>1</v>
      </c>
      <c r="V369" t="s">
        <v>99</v>
      </c>
      <c r="W369">
        <v>76</v>
      </c>
      <c r="X369">
        <v>6</v>
      </c>
      <c r="Y369">
        <v>6</v>
      </c>
      <c r="Z369" t="s">
        <v>674</v>
      </c>
      <c r="AA369" t="s">
        <v>675</v>
      </c>
      <c r="AB369" t="s">
        <v>86</v>
      </c>
      <c r="AC369" t="s">
        <v>87</v>
      </c>
      <c r="AD369" t="s">
        <v>88</v>
      </c>
      <c r="AE369" t="s">
        <v>583</v>
      </c>
      <c r="AG369" t="s">
        <v>676</v>
      </c>
      <c r="AH369">
        <v>0</v>
      </c>
      <c r="AI369">
        <v>0</v>
      </c>
    </row>
    <row r="370" spans="1:35" x14ac:dyDescent="0.3">
      <c r="A370" t="s">
        <v>578</v>
      </c>
      <c r="B370">
        <v>128468</v>
      </c>
      <c r="C370">
        <v>4</v>
      </c>
      <c r="D370" t="s">
        <v>673</v>
      </c>
      <c r="E370" t="s">
        <v>130</v>
      </c>
      <c r="F370">
        <v>54</v>
      </c>
      <c r="G370">
        <v>23.57</v>
      </c>
      <c r="H370">
        <v>77.930000000000007</v>
      </c>
      <c r="I370">
        <v>21.91</v>
      </c>
      <c r="J370">
        <v>72.45</v>
      </c>
      <c r="K370">
        <v>6</v>
      </c>
      <c r="T370">
        <v>3</v>
      </c>
      <c r="U370">
        <v>1</v>
      </c>
      <c r="V370" t="s">
        <v>99</v>
      </c>
      <c r="W370" t="s">
        <v>650</v>
      </c>
      <c r="X370">
        <v>6</v>
      </c>
      <c r="Y370">
        <v>6</v>
      </c>
      <c r="Z370" t="s">
        <v>674</v>
      </c>
      <c r="AA370" t="s">
        <v>675</v>
      </c>
      <c r="AB370" t="s">
        <v>86</v>
      </c>
      <c r="AC370" t="s">
        <v>87</v>
      </c>
      <c r="AD370" t="s">
        <v>88</v>
      </c>
      <c r="AE370" t="s">
        <v>583</v>
      </c>
      <c r="AG370" t="s">
        <v>676</v>
      </c>
      <c r="AH370">
        <v>0</v>
      </c>
      <c r="AI370">
        <v>0</v>
      </c>
    </row>
    <row r="371" spans="1:35" x14ac:dyDescent="0.3">
      <c r="A371" t="s">
        <v>578</v>
      </c>
      <c r="B371">
        <v>128468</v>
      </c>
      <c r="C371">
        <v>5</v>
      </c>
      <c r="D371" t="s">
        <v>673</v>
      </c>
      <c r="E371" t="s">
        <v>130</v>
      </c>
      <c r="F371">
        <v>54</v>
      </c>
      <c r="G371">
        <v>23.92</v>
      </c>
      <c r="H371">
        <v>79.099999999999994</v>
      </c>
      <c r="I371">
        <v>22.27</v>
      </c>
      <c r="J371">
        <v>73.62</v>
      </c>
      <c r="K371">
        <v>5</v>
      </c>
      <c r="T371">
        <v>3</v>
      </c>
      <c r="U371">
        <v>1</v>
      </c>
      <c r="V371" t="s">
        <v>99</v>
      </c>
      <c r="W371" t="s">
        <v>157</v>
      </c>
      <c r="X371">
        <v>6</v>
      </c>
      <c r="Y371">
        <v>6</v>
      </c>
      <c r="Z371" t="s">
        <v>674</v>
      </c>
      <c r="AA371" t="s">
        <v>675</v>
      </c>
      <c r="AB371" t="s">
        <v>86</v>
      </c>
      <c r="AC371" t="s">
        <v>87</v>
      </c>
      <c r="AD371" t="s">
        <v>88</v>
      </c>
      <c r="AE371" t="s">
        <v>583</v>
      </c>
      <c r="AG371" t="s">
        <v>676</v>
      </c>
      <c r="AH371">
        <v>0</v>
      </c>
      <c r="AI371">
        <v>0</v>
      </c>
    </row>
    <row r="372" spans="1:35" x14ac:dyDescent="0.3">
      <c r="A372" t="s">
        <v>578</v>
      </c>
      <c r="B372">
        <v>128468</v>
      </c>
      <c r="C372">
        <v>6</v>
      </c>
      <c r="D372" t="s">
        <v>673</v>
      </c>
      <c r="E372" t="s">
        <v>130</v>
      </c>
      <c r="F372">
        <v>54</v>
      </c>
      <c r="G372">
        <v>24.57</v>
      </c>
      <c r="H372">
        <v>81.25</v>
      </c>
      <c r="I372">
        <v>22.38</v>
      </c>
      <c r="J372">
        <v>74.010000000000005</v>
      </c>
      <c r="K372">
        <v>1</v>
      </c>
      <c r="T372">
        <v>3</v>
      </c>
      <c r="U372">
        <v>1</v>
      </c>
      <c r="V372" t="s">
        <v>99</v>
      </c>
      <c r="W372" t="s">
        <v>224</v>
      </c>
      <c r="X372">
        <v>6</v>
      </c>
      <c r="Y372">
        <v>6</v>
      </c>
      <c r="Z372" t="s">
        <v>674</v>
      </c>
      <c r="AA372" t="s">
        <v>675</v>
      </c>
      <c r="AB372" t="s">
        <v>86</v>
      </c>
      <c r="AC372" t="s">
        <v>87</v>
      </c>
      <c r="AD372" t="s">
        <v>88</v>
      </c>
      <c r="AE372" t="s">
        <v>583</v>
      </c>
      <c r="AG372" t="s">
        <v>676</v>
      </c>
      <c r="AH372">
        <v>0</v>
      </c>
      <c r="AI372">
        <v>0</v>
      </c>
    </row>
    <row r="373" spans="1:35" x14ac:dyDescent="0.3">
      <c r="A373" t="s">
        <v>578</v>
      </c>
      <c r="B373">
        <v>128468</v>
      </c>
      <c r="C373">
        <v>7</v>
      </c>
      <c r="D373" t="s">
        <v>673</v>
      </c>
      <c r="E373" t="s">
        <v>130</v>
      </c>
      <c r="F373">
        <v>54</v>
      </c>
      <c r="G373">
        <v>24.71</v>
      </c>
      <c r="H373">
        <v>81.7</v>
      </c>
      <c r="I373">
        <v>22.52</v>
      </c>
      <c r="J373">
        <v>74.459999999999994</v>
      </c>
      <c r="K373">
        <v>1</v>
      </c>
      <c r="T373">
        <v>3</v>
      </c>
      <c r="U373">
        <v>1</v>
      </c>
      <c r="V373" t="s">
        <v>99</v>
      </c>
      <c r="W373" t="s">
        <v>677</v>
      </c>
      <c r="X373">
        <v>6</v>
      </c>
      <c r="Y373">
        <v>6</v>
      </c>
      <c r="Z373" t="s">
        <v>674</v>
      </c>
      <c r="AA373" t="s">
        <v>675</v>
      </c>
      <c r="AB373" t="s">
        <v>86</v>
      </c>
      <c r="AC373" t="s">
        <v>87</v>
      </c>
      <c r="AD373" t="s">
        <v>88</v>
      </c>
      <c r="AE373" t="s">
        <v>583</v>
      </c>
      <c r="AG373" t="s">
        <v>676</v>
      </c>
      <c r="AH373">
        <v>0</v>
      </c>
      <c r="AI373">
        <v>0</v>
      </c>
    </row>
    <row r="374" spans="1:35" x14ac:dyDescent="0.3">
      <c r="A374" t="s">
        <v>578</v>
      </c>
      <c r="B374">
        <v>128468</v>
      </c>
      <c r="C374">
        <v>8</v>
      </c>
      <c r="D374" t="s">
        <v>673</v>
      </c>
      <c r="E374" t="s">
        <v>130</v>
      </c>
      <c r="F374">
        <v>54</v>
      </c>
      <c r="G374">
        <v>25.99</v>
      </c>
      <c r="H374">
        <v>85.93</v>
      </c>
      <c r="I374">
        <v>23.8</v>
      </c>
      <c r="J374">
        <v>78.69</v>
      </c>
      <c r="K374">
        <v>5</v>
      </c>
      <c r="T374">
        <v>3</v>
      </c>
      <c r="U374">
        <v>2</v>
      </c>
      <c r="V374" t="s">
        <v>99</v>
      </c>
      <c r="W374" t="s">
        <v>216</v>
      </c>
      <c r="X374">
        <v>6</v>
      </c>
      <c r="Y374">
        <v>6</v>
      </c>
      <c r="Z374" t="s">
        <v>674</v>
      </c>
      <c r="AA374" t="s">
        <v>675</v>
      </c>
      <c r="AB374" t="s">
        <v>86</v>
      </c>
      <c r="AC374" t="s">
        <v>87</v>
      </c>
      <c r="AD374" t="s">
        <v>88</v>
      </c>
      <c r="AE374" t="s">
        <v>583</v>
      </c>
      <c r="AG374" t="s">
        <v>676</v>
      </c>
      <c r="AH374">
        <v>0</v>
      </c>
      <c r="AI374">
        <v>0</v>
      </c>
    </row>
    <row r="375" spans="1:35" x14ac:dyDescent="0.3">
      <c r="A375" t="s">
        <v>578</v>
      </c>
      <c r="B375">
        <v>128468</v>
      </c>
      <c r="C375">
        <v>9</v>
      </c>
      <c r="D375" t="s">
        <v>673</v>
      </c>
      <c r="E375" t="s">
        <v>130</v>
      </c>
      <c r="F375">
        <v>54</v>
      </c>
      <c r="G375">
        <v>25.8</v>
      </c>
      <c r="H375">
        <v>85.31</v>
      </c>
      <c r="I375">
        <v>24.14</v>
      </c>
      <c r="J375">
        <v>79.83</v>
      </c>
      <c r="K375">
        <v>5</v>
      </c>
      <c r="T375">
        <v>3</v>
      </c>
      <c r="U375">
        <v>2</v>
      </c>
      <c r="V375" t="s">
        <v>99</v>
      </c>
      <c r="W375" t="s">
        <v>188</v>
      </c>
      <c r="X375">
        <v>6</v>
      </c>
      <c r="Y375">
        <v>6</v>
      </c>
      <c r="Z375" t="s">
        <v>674</v>
      </c>
      <c r="AA375" t="s">
        <v>675</v>
      </c>
      <c r="AB375" t="s">
        <v>86</v>
      </c>
      <c r="AC375" t="s">
        <v>87</v>
      </c>
      <c r="AD375" t="s">
        <v>88</v>
      </c>
      <c r="AE375" t="s">
        <v>583</v>
      </c>
      <c r="AG375" t="s">
        <v>676</v>
      </c>
      <c r="AH375">
        <v>0</v>
      </c>
      <c r="AI375">
        <v>0</v>
      </c>
    </row>
    <row r="376" spans="1:35" x14ac:dyDescent="0.3">
      <c r="A376" t="s">
        <v>578</v>
      </c>
      <c r="B376">
        <v>128468</v>
      </c>
      <c r="C376">
        <v>10</v>
      </c>
      <c r="D376" t="s">
        <v>673</v>
      </c>
      <c r="E376" t="s">
        <v>130</v>
      </c>
      <c r="F376">
        <v>54</v>
      </c>
      <c r="G376">
        <v>26.12</v>
      </c>
      <c r="H376">
        <v>86.38</v>
      </c>
      <c r="I376">
        <v>24.18</v>
      </c>
      <c r="J376">
        <v>79.94</v>
      </c>
      <c r="K376">
        <v>5</v>
      </c>
      <c r="T376">
        <v>3</v>
      </c>
      <c r="U376">
        <v>2</v>
      </c>
      <c r="V376" t="s">
        <v>99</v>
      </c>
      <c r="W376" t="s">
        <v>228</v>
      </c>
      <c r="X376">
        <v>6</v>
      </c>
      <c r="Y376">
        <v>6</v>
      </c>
      <c r="Z376" t="s">
        <v>674</v>
      </c>
      <c r="AA376" t="s">
        <v>675</v>
      </c>
      <c r="AB376" t="s">
        <v>86</v>
      </c>
      <c r="AC376" t="s">
        <v>87</v>
      </c>
      <c r="AD376" t="s">
        <v>88</v>
      </c>
      <c r="AE376" t="s">
        <v>583</v>
      </c>
      <c r="AG376" t="s">
        <v>676</v>
      </c>
      <c r="AH376">
        <v>0</v>
      </c>
      <c r="AI376">
        <v>0</v>
      </c>
    </row>
    <row r="377" spans="1:35" x14ac:dyDescent="0.3">
      <c r="A377" t="s">
        <v>578</v>
      </c>
      <c r="B377">
        <v>109629</v>
      </c>
      <c r="C377">
        <v>1</v>
      </c>
      <c r="D377" t="s">
        <v>678</v>
      </c>
      <c r="E377" t="s">
        <v>679</v>
      </c>
      <c r="F377">
        <v>583</v>
      </c>
      <c r="G377">
        <v>25.94</v>
      </c>
      <c r="H377">
        <v>85.77</v>
      </c>
      <c r="I377">
        <v>18.14</v>
      </c>
      <c r="J377">
        <v>59.98</v>
      </c>
      <c r="K377">
        <v>67</v>
      </c>
      <c r="T377">
        <v>3</v>
      </c>
      <c r="U377">
        <v>2</v>
      </c>
      <c r="V377" t="s">
        <v>82</v>
      </c>
      <c r="W377">
        <v>85</v>
      </c>
      <c r="X377">
        <v>25</v>
      </c>
      <c r="Y377">
        <v>17</v>
      </c>
      <c r="Z377" t="s">
        <v>680</v>
      </c>
      <c r="AA377" t="s">
        <v>681</v>
      </c>
      <c r="AB377" t="s">
        <v>86</v>
      </c>
      <c r="AC377" t="s">
        <v>87</v>
      </c>
      <c r="AD377" t="s">
        <v>88</v>
      </c>
      <c r="AE377" t="s">
        <v>583</v>
      </c>
      <c r="AG377" t="s">
        <v>682</v>
      </c>
      <c r="AH377">
        <v>0</v>
      </c>
      <c r="AI377">
        <v>212</v>
      </c>
    </row>
    <row r="378" spans="1:35" x14ac:dyDescent="0.3">
      <c r="A378" t="s">
        <v>578</v>
      </c>
      <c r="B378">
        <v>109629</v>
      </c>
      <c r="C378">
        <v>2</v>
      </c>
      <c r="D378" t="s">
        <v>678</v>
      </c>
      <c r="E378" t="s">
        <v>679</v>
      </c>
      <c r="F378">
        <v>583</v>
      </c>
      <c r="G378">
        <v>29.6</v>
      </c>
      <c r="H378">
        <v>97.87</v>
      </c>
      <c r="I378">
        <v>22.03</v>
      </c>
      <c r="J378">
        <v>72.849999999999994</v>
      </c>
      <c r="K378">
        <v>262</v>
      </c>
      <c r="T378">
        <v>3</v>
      </c>
      <c r="U378">
        <v>2</v>
      </c>
      <c r="V378" t="s">
        <v>82</v>
      </c>
      <c r="W378">
        <v>97</v>
      </c>
      <c r="X378">
        <v>25</v>
      </c>
      <c r="Y378">
        <v>17</v>
      </c>
      <c r="Z378" t="s">
        <v>680</v>
      </c>
      <c r="AA378" t="s">
        <v>681</v>
      </c>
      <c r="AB378" t="s">
        <v>86</v>
      </c>
      <c r="AC378" t="s">
        <v>87</v>
      </c>
      <c r="AD378" t="s">
        <v>88</v>
      </c>
      <c r="AE378" t="s">
        <v>583</v>
      </c>
      <c r="AG378" t="s">
        <v>682</v>
      </c>
      <c r="AH378">
        <v>0</v>
      </c>
      <c r="AI378">
        <v>212</v>
      </c>
    </row>
    <row r="379" spans="1:35" x14ac:dyDescent="0.3">
      <c r="A379" t="s">
        <v>578</v>
      </c>
      <c r="B379">
        <v>109629</v>
      </c>
      <c r="C379">
        <v>3</v>
      </c>
      <c r="D379" t="s">
        <v>678</v>
      </c>
      <c r="E379" t="s">
        <v>679</v>
      </c>
      <c r="F379">
        <v>583</v>
      </c>
      <c r="G379">
        <v>34.29</v>
      </c>
      <c r="H379">
        <v>113.36</v>
      </c>
      <c r="I379">
        <v>25.67</v>
      </c>
      <c r="J379">
        <v>84.88</v>
      </c>
      <c r="K379">
        <v>254</v>
      </c>
      <c r="T379">
        <v>4</v>
      </c>
      <c r="U379">
        <v>2</v>
      </c>
      <c r="V379" t="s">
        <v>82</v>
      </c>
      <c r="W379">
        <v>113</v>
      </c>
      <c r="X379">
        <v>25</v>
      </c>
      <c r="Y379">
        <v>17</v>
      </c>
      <c r="Z379" t="s">
        <v>680</v>
      </c>
      <c r="AA379" t="s">
        <v>681</v>
      </c>
      <c r="AB379" t="s">
        <v>86</v>
      </c>
      <c r="AC379" t="s">
        <v>87</v>
      </c>
      <c r="AD379" t="s">
        <v>88</v>
      </c>
      <c r="AE379" t="s">
        <v>583</v>
      </c>
      <c r="AG379" t="s">
        <v>682</v>
      </c>
      <c r="AH379">
        <v>0</v>
      </c>
      <c r="AI379">
        <v>212</v>
      </c>
    </row>
    <row r="380" spans="1:35" x14ac:dyDescent="0.3">
      <c r="A380" t="s">
        <v>578</v>
      </c>
      <c r="B380">
        <v>105156</v>
      </c>
      <c r="C380">
        <v>1</v>
      </c>
      <c r="D380" t="s">
        <v>683</v>
      </c>
      <c r="E380" t="s">
        <v>684</v>
      </c>
      <c r="F380">
        <v>630</v>
      </c>
      <c r="G380">
        <v>34.78</v>
      </c>
      <c r="H380">
        <v>114.98</v>
      </c>
      <c r="I380">
        <v>25.64</v>
      </c>
      <c r="J380">
        <v>84.77</v>
      </c>
      <c r="K380">
        <v>274</v>
      </c>
      <c r="T380">
        <v>3</v>
      </c>
      <c r="U380">
        <v>2</v>
      </c>
      <c r="V380" t="s">
        <v>82</v>
      </c>
      <c r="W380" t="s">
        <v>209</v>
      </c>
      <c r="X380">
        <v>23</v>
      </c>
      <c r="Y380">
        <v>15</v>
      </c>
      <c r="Z380" t="s">
        <v>685</v>
      </c>
      <c r="AA380" t="s">
        <v>686</v>
      </c>
      <c r="AB380" t="s">
        <v>86</v>
      </c>
      <c r="AC380" t="s">
        <v>87</v>
      </c>
      <c r="AD380" t="s">
        <v>88</v>
      </c>
      <c r="AE380" t="s">
        <v>583</v>
      </c>
      <c r="AG380" t="s">
        <v>687</v>
      </c>
      <c r="AH380">
        <v>0</v>
      </c>
      <c r="AI380">
        <v>210</v>
      </c>
    </row>
    <row r="381" spans="1:35" x14ac:dyDescent="0.3">
      <c r="A381" t="s">
        <v>578</v>
      </c>
      <c r="B381">
        <v>105156</v>
      </c>
      <c r="C381">
        <v>2</v>
      </c>
      <c r="D381" t="s">
        <v>683</v>
      </c>
      <c r="E381" t="s">
        <v>684</v>
      </c>
      <c r="F381">
        <v>630</v>
      </c>
      <c r="G381">
        <v>34.700000000000003</v>
      </c>
      <c r="H381">
        <v>114.74</v>
      </c>
      <c r="I381">
        <v>25.64</v>
      </c>
      <c r="J381">
        <v>84.77</v>
      </c>
      <c r="K381">
        <v>145</v>
      </c>
      <c r="T381">
        <v>3</v>
      </c>
      <c r="U381">
        <v>2</v>
      </c>
      <c r="V381" t="s">
        <v>82</v>
      </c>
      <c r="W381" t="s">
        <v>210</v>
      </c>
      <c r="X381">
        <v>23</v>
      </c>
      <c r="Y381">
        <v>15</v>
      </c>
      <c r="Z381" t="s">
        <v>685</v>
      </c>
      <c r="AA381" t="s">
        <v>686</v>
      </c>
      <c r="AB381" t="s">
        <v>86</v>
      </c>
      <c r="AC381" t="s">
        <v>87</v>
      </c>
      <c r="AD381" t="s">
        <v>88</v>
      </c>
      <c r="AE381" t="s">
        <v>583</v>
      </c>
      <c r="AG381" t="s">
        <v>687</v>
      </c>
      <c r="AH381">
        <v>0</v>
      </c>
      <c r="AI381">
        <v>210</v>
      </c>
    </row>
    <row r="382" spans="1:35" x14ac:dyDescent="0.3">
      <c r="A382" t="s">
        <v>578</v>
      </c>
      <c r="B382">
        <v>105156</v>
      </c>
      <c r="C382">
        <v>3</v>
      </c>
      <c r="D382" t="s">
        <v>683</v>
      </c>
      <c r="E382" t="s">
        <v>684</v>
      </c>
      <c r="F382">
        <v>630</v>
      </c>
      <c r="G382">
        <v>34.65</v>
      </c>
      <c r="H382">
        <v>114.55</v>
      </c>
      <c r="I382">
        <v>25.63</v>
      </c>
      <c r="J382">
        <v>84.73</v>
      </c>
      <c r="K382">
        <v>145</v>
      </c>
      <c r="T382">
        <v>3</v>
      </c>
      <c r="U382">
        <v>2</v>
      </c>
      <c r="V382" t="s">
        <v>82</v>
      </c>
      <c r="W382" t="s">
        <v>688</v>
      </c>
      <c r="X382">
        <v>23</v>
      </c>
      <c r="Y382">
        <v>15</v>
      </c>
      <c r="Z382" t="s">
        <v>685</v>
      </c>
      <c r="AA382" t="s">
        <v>686</v>
      </c>
      <c r="AB382" t="s">
        <v>86</v>
      </c>
      <c r="AC382" t="s">
        <v>87</v>
      </c>
      <c r="AD382" t="s">
        <v>88</v>
      </c>
      <c r="AE382" t="s">
        <v>583</v>
      </c>
      <c r="AG382" t="s">
        <v>687</v>
      </c>
      <c r="AH382">
        <v>0</v>
      </c>
      <c r="AI382">
        <v>210</v>
      </c>
    </row>
    <row r="383" spans="1:35" x14ac:dyDescent="0.3">
      <c r="A383" t="s">
        <v>578</v>
      </c>
      <c r="B383">
        <v>105156</v>
      </c>
      <c r="C383">
        <v>4</v>
      </c>
      <c r="D383" t="s">
        <v>683</v>
      </c>
      <c r="E383" t="s">
        <v>684</v>
      </c>
      <c r="F383">
        <v>630</v>
      </c>
      <c r="G383">
        <v>39.97</v>
      </c>
      <c r="H383">
        <v>132.15</v>
      </c>
      <c r="I383">
        <v>30.74</v>
      </c>
      <c r="J383">
        <v>101.65</v>
      </c>
      <c r="K383">
        <v>66</v>
      </c>
      <c r="T383">
        <v>4</v>
      </c>
      <c r="U383">
        <v>2</v>
      </c>
      <c r="V383" t="s">
        <v>82</v>
      </c>
      <c r="W383">
        <v>132</v>
      </c>
      <c r="X383">
        <v>23</v>
      </c>
      <c r="Y383">
        <v>15</v>
      </c>
      <c r="Z383" t="s">
        <v>685</v>
      </c>
      <c r="AA383" t="s">
        <v>686</v>
      </c>
      <c r="AB383" t="s">
        <v>86</v>
      </c>
      <c r="AC383" t="s">
        <v>87</v>
      </c>
      <c r="AD383" t="s">
        <v>88</v>
      </c>
      <c r="AE383" t="s">
        <v>583</v>
      </c>
      <c r="AG383" t="s">
        <v>687</v>
      </c>
      <c r="AH383">
        <v>0</v>
      </c>
      <c r="AI383">
        <v>210</v>
      </c>
    </row>
    <row r="384" spans="1:35" x14ac:dyDescent="0.3">
      <c r="A384" t="s">
        <v>578</v>
      </c>
      <c r="B384">
        <v>102512</v>
      </c>
      <c r="C384">
        <v>1</v>
      </c>
      <c r="D384" t="s">
        <v>689</v>
      </c>
      <c r="E384" t="s">
        <v>594</v>
      </c>
      <c r="F384">
        <v>546</v>
      </c>
      <c r="G384">
        <v>24.28</v>
      </c>
      <c r="H384">
        <v>80.290000000000006</v>
      </c>
      <c r="I384">
        <v>18.14</v>
      </c>
      <c r="J384">
        <v>59.99</v>
      </c>
      <c r="K384">
        <v>54</v>
      </c>
      <c r="T384">
        <v>3</v>
      </c>
      <c r="U384">
        <v>2</v>
      </c>
      <c r="V384" t="s">
        <v>82</v>
      </c>
      <c r="W384">
        <v>80</v>
      </c>
      <c r="X384">
        <v>20</v>
      </c>
      <c r="Y384">
        <v>16</v>
      </c>
      <c r="Z384" t="s">
        <v>690</v>
      </c>
      <c r="AA384" t="s">
        <v>691</v>
      </c>
      <c r="AB384" t="s">
        <v>86</v>
      </c>
      <c r="AC384" t="s">
        <v>87</v>
      </c>
      <c r="AD384" t="s">
        <v>88</v>
      </c>
      <c r="AE384" t="s">
        <v>583</v>
      </c>
      <c r="AG384" t="s">
        <v>692</v>
      </c>
      <c r="AH384">
        <v>0</v>
      </c>
      <c r="AI384">
        <v>193</v>
      </c>
    </row>
    <row r="385" spans="1:35" x14ac:dyDescent="0.3">
      <c r="A385" t="s">
        <v>578</v>
      </c>
      <c r="B385">
        <v>102512</v>
      </c>
      <c r="C385">
        <v>2</v>
      </c>
      <c r="D385" t="s">
        <v>689</v>
      </c>
      <c r="E385" t="s">
        <v>594</v>
      </c>
      <c r="F385">
        <v>546</v>
      </c>
      <c r="G385">
        <v>34.43</v>
      </c>
      <c r="H385">
        <v>113.82</v>
      </c>
      <c r="I385">
        <v>25.7</v>
      </c>
      <c r="J385">
        <v>84.99</v>
      </c>
      <c r="K385">
        <v>359</v>
      </c>
      <c r="T385">
        <v>3</v>
      </c>
      <c r="U385">
        <v>2</v>
      </c>
      <c r="V385" t="s">
        <v>82</v>
      </c>
      <c r="W385" t="s">
        <v>598</v>
      </c>
      <c r="X385">
        <v>20</v>
      </c>
      <c r="Y385">
        <v>16</v>
      </c>
      <c r="Z385" t="s">
        <v>690</v>
      </c>
      <c r="AA385" t="s">
        <v>691</v>
      </c>
      <c r="AB385" t="s">
        <v>86</v>
      </c>
      <c r="AC385" t="s">
        <v>87</v>
      </c>
      <c r="AD385" t="s">
        <v>88</v>
      </c>
      <c r="AE385" t="s">
        <v>583</v>
      </c>
      <c r="AG385" t="s">
        <v>692</v>
      </c>
      <c r="AH385">
        <v>0</v>
      </c>
      <c r="AI385">
        <v>193</v>
      </c>
    </row>
    <row r="386" spans="1:35" x14ac:dyDescent="0.3">
      <c r="A386" t="s">
        <v>578</v>
      </c>
      <c r="B386">
        <v>102512</v>
      </c>
      <c r="C386">
        <v>3</v>
      </c>
      <c r="D386" t="s">
        <v>689</v>
      </c>
      <c r="E386" t="s">
        <v>594</v>
      </c>
      <c r="F386">
        <v>546</v>
      </c>
      <c r="G386">
        <v>34.33</v>
      </c>
      <c r="H386">
        <v>113.51</v>
      </c>
      <c r="I386">
        <v>25.7</v>
      </c>
      <c r="J386">
        <v>84.99</v>
      </c>
      <c r="K386">
        <v>133</v>
      </c>
      <c r="T386">
        <v>3</v>
      </c>
      <c r="U386">
        <v>2</v>
      </c>
      <c r="V386" t="s">
        <v>82</v>
      </c>
      <c r="W386" t="s">
        <v>599</v>
      </c>
      <c r="X386">
        <v>20</v>
      </c>
      <c r="Y386">
        <v>16</v>
      </c>
      <c r="Z386" t="s">
        <v>690</v>
      </c>
      <c r="AA386" t="s">
        <v>691</v>
      </c>
      <c r="AB386" t="s">
        <v>86</v>
      </c>
      <c r="AC386" t="s">
        <v>87</v>
      </c>
      <c r="AD386" t="s">
        <v>88</v>
      </c>
      <c r="AE386" t="s">
        <v>583</v>
      </c>
      <c r="AG386" t="s">
        <v>692</v>
      </c>
      <c r="AH386">
        <v>0</v>
      </c>
      <c r="AI386">
        <v>193</v>
      </c>
    </row>
    <row r="387" spans="1:35" x14ac:dyDescent="0.3">
      <c r="A387" t="s">
        <v>578</v>
      </c>
      <c r="B387">
        <v>105152</v>
      </c>
      <c r="C387">
        <v>1</v>
      </c>
      <c r="D387" t="s">
        <v>693</v>
      </c>
      <c r="E387" t="s">
        <v>684</v>
      </c>
      <c r="F387">
        <v>451</v>
      </c>
      <c r="G387">
        <v>24.71</v>
      </c>
      <c r="H387">
        <v>81.69</v>
      </c>
      <c r="I387">
        <v>18.14</v>
      </c>
      <c r="J387">
        <v>59.97</v>
      </c>
      <c r="K387">
        <v>117</v>
      </c>
      <c r="T387">
        <v>3</v>
      </c>
      <c r="U387">
        <v>2</v>
      </c>
      <c r="V387" t="s">
        <v>82</v>
      </c>
      <c r="W387">
        <v>81</v>
      </c>
      <c r="X387">
        <v>22</v>
      </c>
      <c r="Y387">
        <v>15</v>
      </c>
      <c r="Z387" t="s">
        <v>694</v>
      </c>
      <c r="AA387" t="s">
        <v>695</v>
      </c>
      <c r="AB387" t="s">
        <v>86</v>
      </c>
      <c r="AC387" t="s">
        <v>87</v>
      </c>
      <c r="AD387" t="s">
        <v>88</v>
      </c>
      <c r="AE387" t="s">
        <v>583</v>
      </c>
      <c r="AG387" t="s">
        <v>696</v>
      </c>
      <c r="AH387">
        <v>0</v>
      </c>
      <c r="AI387">
        <v>195</v>
      </c>
    </row>
    <row r="388" spans="1:35" x14ac:dyDescent="0.3">
      <c r="A388" t="s">
        <v>578</v>
      </c>
      <c r="B388">
        <v>105152</v>
      </c>
      <c r="C388">
        <v>2</v>
      </c>
      <c r="D388" t="s">
        <v>693</v>
      </c>
      <c r="E388" t="s">
        <v>684</v>
      </c>
      <c r="F388">
        <v>451</v>
      </c>
      <c r="G388">
        <v>34.93</v>
      </c>
      <c r="H388">
        <v>115.49</v>
      </c>
      <c r="I388">
        <v>25.7</v>
      </c>
      <c r="J388">
        <v>84.98</v>
      </c>
      <c r="K388">
        <v>212</v>
      </c>
      <c r="T388">
        <v>3</v>
      </c>
      <c r="U388">
        <v>2</v>
      </c>
      <c r="V388" t="s">
        <v>82</v>
      </c>
      <c r="W388" t="s">
        <v>697</v>
      </c>
      <c r="X388">
        <v>22</v>
      </c>
      <c r="Y388">
        <v>15</v>
      </c>
      <c r="Z388" t="s">
        <v>694</v>
      </c>
      <c r="AA388" t="s">
        <v>695</v>
      </c>
      <c r="AB388" t="s">
        <v>86</v>
      </c>
      <c r="AC388" t="s">
        <v>87</v>
      </c>
      <c r="AD388" t="s">
        <v>88</v>
      </c>
      <c r="AE388" t="s">
        <v>583</v>
      </c>
      <c r="AG388" t="s">
        <v>696</v>
      </c>
      <c r="AH388">
        <v>0</v>
      </c>
      <c r="AI388">
        <v>195</v>
      </c>
    </row>
    <row r="389" spans="1:35" x14ac:dyDescent="0.3">
      <c r="A389" t="s">
        <v>578</v>
      </c>
      <c r="B389">
        <v>105152</v>
      </c>
      <c r="C389">
        <v>3</v>
      </c>
      <c r="D389" t="s">
        <v>693</v>
      </c>
      <c r="E389" t="s">
        <v>684</v>
      </c>
      <c r="F389">
        <v>451</v>
      </c>
      <c r="G389">
        <v>34.96</v>
      </c>
      <c r="H389">
        <v>115.6</v>
      </c>
      <c r="I389">
        <v>25.69</v>
      </c>
      <c r="J389">
        <v>84.95</v>
      </c>
      <c r="K389">
        <v>122</v>
      </c>
      <c r="T389">
        <v>3</v>
      </c>
      <c r="U389">
        <v>2</v>
      </c>
      <c r="V389" t="s">
        <v>82</v>
      </c>
      <c r="W389" t="s">
        <v>627</v>
      </c>
      <c r="X389">
        <v>22</v>
      </c>
      <c r="Y389">
        <v>15</v>
      </c>
      <c r="Z389" t="s">
        <v>694</v>
      </c>
      <c r="AA389" t="s">
        <v>695</v>
      </c>
      <c r="AB389" t="s">
        <v>86</v>
      </c>
      <c r="AC389" t="s">
        <v>87</v>
      </c>
      <c r="AD389" t="s">
        <v>88</v>
      </c>
      <c r="AE389" t="s">
        <v>583</v>
      </c>
      <c r="AG389" t="s">
        <v>696</v>
      </c>
      <c r="AH389">
        <v>0</v>
      </c>
      <c r="AI389">
        <v>195</v>
      </c>
    </row>
    <row r="390" spans="1:35" x14ac:dyDescent="0.3">
      <c r="A390" t="s">
        <v>578</v>
      </c>
      <c r="B390">
        <v>104218</v>
      </c>
      <c r="C390">
        <v>1</v>
      </c>
      <c r="D390" t="s">
        <v>698</v>
      </c>
      <c r="E390" t="s">
        <v>621</v>
      </c>
      <c r="F390">
        <v>697</v>
      </c>
      <c r="G390">
        <v>24.58</v>
      </c>
      <c r="H390">
        <v>81.28</v>
      </c>
      <c r="I390">
        <v>18.14</v>
      </c>
      <c r="J390">
        <v>59.97</v>
      </c>
      <c r="K390">
        <v>134</v>
      </c>
      <c r="T390">
        <v>3</v>
      </c>
      <c r="U390">
        <v>2</v>
      </c>
      <c r="V390" t="s">
        <v>82</v>
      </c>
      <c r="W390">
        <v>81</v>
      </c>
      <c r="X390">
        <v>21</v>
      </c>
      <c r="Y390">
        <v>14</v>
      </c>
      <c r="Z390" t="s">
        <v>699</v>
      </c>
      <c r="AA390" t="s">
        <v>700</v>
      </c>
      <c r="AB390" t="s">
        <v>86</v>
      </c>
      <c r="AC390" t="s">
        <v>87</v>
      </c>
      <c r="AD390" t="s">
        <v>88</v>
      </c>
      <c r="AE390" t="s">
        <v>583</v>
      </c>
      <c r="AG390" t="s">
        <v>701</v>
      </c>
      <c r="AH390">
        <v>0</v>
      </c>
      <c r="AI390">
        <v>196</v>
      </c>
    </row>
    <row r="391" spans="1:35" x14ac:dyDescent="0.3">
      <c r="A391" t="s">
        <v>578</v>
      </c>
      <c r="B391">
        <v>104218</v>
      </c>
      <c r="C391">
        <v>2</v>
      </c>
      <c r="D391" t="s">
        <v>698</v>
      </c>
      <c r="E391" t="s">
        <v>621</v>
      </c>
      <c r="F391">
        <v>697</v>
      </c>
      <c r="G391">
        <v>34.72</v>
      </c>
      <c r="H391">
        <v>114.78</v>
      </c>
      <c r="I391">
        <v>25.69</v>
      </c>
      <c r="J391">
        <v>84.93</v>
      </c>
      <c r="K391">
        <v>297</v>
      </c>
      <c r="T391">
        <v>3</v>
      </c>
      <c r="U391">
        <v>2</v>
      </c>
      <c r="V391" t="s">
        <v>82</v>
      </c>
      <c r="W391" t="s">
        <v>210</v>
      </c>
      <c r="X391">
        <v>21</v>
      </c>
      <c r="Y391">
        <v>14</v>
      </c>
      <c r="Z391" t="s">
        <v>699</v>
      </c>
      <c r="AA391" t="s">
        <v>700</v>
      </c>
      <c r="AB391" t="s">
        <v>86</v>
      </c>
      <c r="AC391" t="s">
        <v>87</v>
      </c>
      <c r="AD391" t="s">
        <v>88</v>
      </c>
      <c r="AE391" t="s">
        <v>583</v>
      </c>
      <c r="AG391" t="s">
        <v>701</v>
      </c>
      <c r="AH391">
        <v>0</v>
      </c>
      <c r="AI391">
        <v>196</v>
      </c>
    </row>
    <row r="392" spans="1:35" x14ac:dyDescent="0.3">
      <c r="A392" t="s">
        <v>578</v>
      </c>
      <c r="B392">
        <v>104218</v>
      </c>
      <c r="C392">
        <v>3</v>
      </c>
      <c r="D392" t="s">
        <v>698</v>
      </c>
      <c r="E392" t="s">
        <v>621</v>
      </c>
      <c r="F392">
        <v>697</v>
      </c>
      <c r="G392">
        <v>34.729999999999997</v>
      </c>
      <c r="H392">
        <v>114.82</v>
      </c>
      <c r="I392">
        <v>25.69</v>
      </c>
      <c r="J392">
        <v>84.95</v>
      </c>
      <c r="K392">
        <v>266</v>
      </c>
      <c r="T392">
        <v>3</v>
      </c>
      <c r="U392">
        <v>2</v>
      </c>
      <c r="V392" t="s">
        <v>82</v>
      </c>
      <c r="W392" t="s">
        <v>209</v>
      </c>
      <c r="X392">
        <v>21</v>
      </c>
      <c r="Y392">
        <v>14</v>
      </c>
      <c r="Z392" t="s">
        <v>699</v>
      </c>
      <c r="AA392" t="s">
        <v>700</v>
      </c>
      <c r="AB392" t="s">
        <v>86</v>
      </c>
      <c r="AC392" t="s">
        <v>87</v>
      </c>
      <c r="AD392" t="s">
        <v>88</v>
      </c>
      <c r="AE392" t="s">
        <v>583</v>
      </c>
      <c r="AG392" t="s">
        <v>701</v>
      </c>
      <c r="AH392">
        <v>0</v>
      </c>
      <c r="AI392">
        <v>196</v>
      </c>
    </row>
    <row r="393" spans="1:35" x14ac:dyDescent="0.3">
      <c r="A393" t="s">
        <v>578</v>
      </c>
      <c r="B393">
        <v>105440</v>
      </c>
      <c r="C393">
        <v>1</v>
      </c>
      <c r="D393" t="s">
        <v>702</v>
      </c>
      <c r="E393" t="s">
        <v>669</v>
      </c>
      <c r="F393">
        <v>854</v>
      </c>
      <c r="G393">
        <v>25.24</v>
      </c>
      <c r="H393">
        <v>83.46</v>
      </c>
      <c r="I393">
        <v>18.14</v>
      </c>
      <c r="J393">
        <v>59.99</v>
      </c>
      <c r="K393">
        <v>43</v>
      </c>
      <c r="T393">
        <v>3</v>
      </c>
      <c r="U393">
        <v>2</v>
      </c>
      <c r="V393" t="s">
        <v>82</v>
      </c>
      <c r="W393" t="s">
        <v>391</v>
      </c>
      <c r="X393">
        <v>22</v>
      </c>
      <c r="Y393">
        <v>14</v>
      </c>
      <c r="Z393" t="s">
        <v>703</v>
      </c>
      <c r="AA393" t="s">
        <v>704</v>
      </c>
      <c r="AB393" t="s">
        <v>86</v>
      </c>
      <c r="AC393" t="s">
        <v>87</v>
      </c>
      <c r="AD393" t="s">
        <v>88</v>
      </c>
      <c r="AE393" t="s">
        <v>583</v>
      </c>
      <c r="AG393" t="s">
        <v>705</v>
      </c>
      <c r="AH393">
        <v>0</v>
      </c>
      <c r="AI393">
        <v>199</v>
      </c>
    </row>
    <row r="394" spans="1:35" x14ac:dyDescent="0.3">
      <c r="A394" t="s">
        <v>578</v>
      </c>
      <c r="B394">
        <v>105440</v>
      </c>
      <c r="C394">
        <v>2</v>
      </c>
      <c r="D394" t="s">
        <v>702</v>
      </c>
      <c r="E394" t="s">
        <v>669</v>
      </c>
      <c r="F394">
        <v>854</v>
      </c>
      <c r="G394">
        <v>25.42</v>
      </c>
      <c r="H394">
        <v>84.05</v>
      </c>
      <c r="I394">
        <v>18.14</v>
      </c>
      <c r="J394">
        <v>59.99</v>
      </c>
      <c r="K394">
        <v>44</v>
      </c>
      <c r="T394">
        <v>3</v>
      </c>
      <c r="U394">
        <v>2</v>
      </c>
      <c r="V394" t="s">
        <v>82</v>
      </c>
      <c r="W394" t="s">
        <v>225</v>
      </c>
      <c r="X394">
        <v>22</v>
      </c>
      <c r="Y394">
        <v>14</v>
      </c>
      <c r="Z394" t="s">
        <v>703</v>
      </c>
      <c r="AA394" t="s">
        <v>704</v>
      </c>
      <c r="AB394" t="s">
        <v>86</v>
      </c>
      <c r="AC394" t="s">
        <v>87</v>
      </c>
      <c r="AD394" t="s">
        <v>88</v>
      </c>
      <c r="AE394" t="s">
        <v>583</v>
      </c>
      <c r="AG394" t="s">
        <v>705</v>
      </c>
      <c r="AH394">
        <v>0</v>
      </c>
      <c r="AI394">
        <v>199</v>
      </c>
    </row>
    <row r="395" spans="1:35" x14ac:dyDescent="0.3">
      <c r="A395" t="s">
        <v>578</v>
      </c>
      <c r="B395">
        <v>105440</v>
      </c>
      <c r="C395">
        <v>3</v>
      </c>
      <c r="D395" t="s">
        <v>702</v>
      </c>
      <c r="E395" t="s">
        <v>669</v>
      </c>
      <c r="F395">
        <v>854</v>
      </c>
      <c r="G395">
        <v>34.049999999999997</v>
      </c>
      <c r="H395">
        <v>112.59</v>
      </c>
      <c r="I395">
        <v>25.7</v>
      </c>
      <c r="J395">
        <v>84.99</v>
      </c>
      <c r="K395">
        <v>449</v>
      </c>
      <c r="T395">
        <v>3</v>
      </c>
      <c r="U395">
        <v>2</v>
      </c>
      <c r="V395" t="s">
        <v>82</v>
      </c>
      <c r="W395" t="s">
        <v>245</v>
      </c>
      <c r="X395">
        <v>22</v>
      </c>
      <c r="Y395">
        <v>14</v>
      </c>
      <c r="Z395" t="s">
        <v>703</v>
      </c>
      <c r="AA395" t="s">
        <v>704</v>
      </c>
      <c r="AB395" t="s">
        <v>86</v>
      </c>
      <c r="AC395" t="s">
        <v>87</v>
      </c>
      <c r="AD395" t="s">
        <v>88</v>
      </c>
      <c r="AE395" t="s">
        <v>583</v>
      </c>
      <c r="AG395" t="s">
        <v>705</v>
      </c>
      <c r="AH395">
        <v>0</v>
      </c>
      <c r="AI395">
        <v>199</v>
      </c>
    </row>
    <row r="396" spans="1:35" x14ac:dyDescent="0.3">
      <c r="A396" t="s">
        <v>578</v>
      </c>
      <c r="B396">
        <v>105440</v>
      </c>
      <c r="C396">
        <v>4</v>
      </c>
      <c r="D396" t="s">
        <v>702</v>
      </c>
      <c r="E396" t="s">
        <v>669</v>
      </c>
      <c r="F396">
        <v>854</v>
      </c>
      <c r="G396">
        <v>34.270000000000003</v>
      </c>
      <c r="H396">
        <v>113.29</v>
      </c>
      <c r="I396">
        <v>25.7</v>
      </c>
      <c r="J396">
        <v>84.99</v>
      </c>
      <c r="K396">
        <v>318</v>
      </c>
      <c r="T396">
        <v>3</v>
      </c>
      <c r="U396">
        <v>2</v>
      </c>
      <c r="V396" t="s">
        <v>82</v>
      </c>
      <c r="W396" t="s">
        <v>599</v>
      </c>
      <c r="X396">
        <v>22</v>
      </c>
      <c r="Y396">
        <v>14</v>
      </c>
      <c r="Z396" t="s">
        <v>703</v>
      </c>
      <c r="AA396" t="s">
        <v>704</v>
      </c>
      <c r="AB396" t="s">
        <v>86</v>
      </c>
      <c r="AC396" t="s">
        <v>87</v>
      </c>
      <c r="AD396" t="s">
        <v>88</v>
      </c>
      <c r="AE396" t="s">
        <v>583</v>
      </c>
      <c r="AG396" t="s">
        <v>705</v>
      </c>
      <c r="AH396">
        <v>0</v>
      </c>
      <c r="AI396">
        <v>199</v>
      </c>
    </row>
    <row r="397" spans="1:35" x14ac:dyDescent="0.3">
      <c r="A397" t="s">
        <v>578</v>
      </c>
      <c r="B397">
        <v>110155</v>
      </c>
      <c r="C397">
        <v>1</v>
      </c>
      <c r="D397" t="s">
        <v>706</v>
      </c>
      <c r="E397" t="s">
        <v>361</v>
      </c>
      <c r="F397">
        <v>836</v>
      </c>
      <c r="G397">
        <v>25.9</v>
      </c>
      <c r="H397">
        <v>85.63</v>
      </c>
      <c r="I397">
        <v>17.93</v>
      </c>
      <c r="J397">
        <v>59.28</v>
      </c>
      <c r="K397">
        <v>147</v>
      </c>
      <c r="T397">
        <v>3</v>
      </c>
      <c r="U397">
        <v>2</v>
      </c>
      <c r="V397" t="s">
        <v>82</v>
      </c>
      <c r="W397">
        <v>85</v>
      </c>
      <c r="X397">
        <v>25</v>
      </c>
      <c r="Y397">
        <v>13</v>
      </c>
      <c r="Z397" t="s">
        <v>707</v>
      </c>
      <c r="AA397" t="s">
        <v>708</v>
      </c>
      <c r="AB397" t="s">
        <v>86</v>
      </c>
      <c r="AC397" t="s">
        <v>87</v>
      </c>
      <c r="AD397" t="s">
        <v>88</v>
      </c>
      <c r="AE397" t="s">
        <v>583</v>
      </c>
      <c r="AG397" t="s">
        <v>709</v>
      </c>
      <c r="AH397">
        <v>0</v>
      </c>
      <c r="AI397">
        <v>214</v>
      </c>
    </row>
    <row r="398" spans="1:35" x14ac:dyDescent="0.3">
      <c r="A398" t="s">
        <v>578</v>
      </c>
      <c r="B398">
        <v>110155</v>
      </c>
      <c r="C398">
        <v>2</v>
      </c>
      <c r="D398" t="s">
        <v>706</v>
      </c>
      <c r="E398" t="s">
        <v>361</v>
      </c>
      <c r="F398">
        <v>836</v>
      </c>
      <c r="G398">
        <v>28.95</v>
      </c>
      <c r="H398">
        <v>95.72</v>
      </c>
      <c r="I398">
        <v>21.2</v>
      </c>
      <c r="J398">
        <v>70.099999999999994</v>
      </c>
      <c r="K398">
        <v>215</v>
      </c>
      <c r="T398">
        <v>3</v>
      </c>
      <c r="U398">
        <v>2</v>
      </c>
      <c r="V398" t="s">
        <v>82</v>
      </c>
      <c r="W398">
        <v>95</v>
      </c>
      <c r="X398">
        <v>25</v>
      </c>
      <c r="Y398">
        <v>13</v>
      </c>
      <c r="Z398" t="s">
        <v>707</v>
      </c>
      <c r="AA398" t="s">
        <v>708</v>
      </c>
      <c r="AB398" t="s">
        <v>86</v>
      </c>
      <c r="AC398" t="s">
        <v>87</v>
      </c>
      <c r="AD398" t="s">
        <v>88</v>
      </c>
      <c r="AE398" t="s">
        <v>583</v>
      </c>
      <c r="AG398" t="s">
        <v>709</v>
      </c>
      <c r="AH398">
        <v>0</v>
      </c>
      <c r="AI398">
        <v>214</v>
      </c>
    </row>
    <row r="399" spans="1:35" x14ac:dyDescent="0.3">
      <c r="A399" t="s">
        <v>578</v>
      </c>
      <c r="B399">
        <v>110155</v>
      </c>
      <c r="C399">
        <v>3</v>
      </c>
      <c r="D399" t="s">
        <v>706</v>
      </c>
      <c r="E399" t="s">
        <v>361</v>
      </c>
      <c r="F399">
        <v>836</v>
      </c>
      <c r="G399">
        <v>33.9</v>
      </c>
      <c r="H399">
        <v>112.08</v>
      </c>
      <c r="I399">
        <v>25.66</v>
      </c>
      <c r="J399">
        <v>84.85</v>
      </c>
      <c r="K399">
        <v>284</v>
      </c>
      <c r="T399">
        <v>4</v>
      </c>
      <c r="U399">
        <v>2</v>
      </c>
      <c r="V399" t="s">
        <v>82</v>
      </c>
      <c r="W399" t="s">
        <v>245</v>
      </c>
      <c r="X399">
        <v>25</v>
      </c>
      <c r="Y399">
        <v>13</v>
      </c>
      <c r="Z399" t="s">
        <v>707</v>
      </c>
      <c r="AA399" t="s">
        <v>708</v>
      </c>
      <c r="AB399" t="s">
        <v>86</v>
      </c>
      <c r="AC399" t="s">
        <v>87</v>
      </c>
      <c r="AD399" t="s">
        <v>88</v>
      </c>
      <c r="AE399" t="s">
        <v>583</v>
      </c>
      <c r="AG399" t="s">
        <v>709</v>
      </c>
      <c r="AH399">
        <v>0</v>
      </c>
      <c r="AI399">
        <v>214</v>
      </c>
    </row>
    <row r="400" spans="1:35" x14ac:dyDescent="0.3">
      <c r="A400" t="s">
        <v>578</v>
      </c>
      <c r="B400">
        <v>110155</v>
      </c>
      <c r="C400">
        <v>4</v>
      </c>
      <c r="D400" t="s">
        <v>706</v>
      </c>
      <c r="E400" t="s">
        <v>361</v>
      </c>
      <c r="F400">
        <v>836</v>
      </c>
      <c r="G400">
        <v>33.92</v>
      </c>
      <c r="H400">
        <v>112.14</v>
      </c>
      <c r="I400">
        <v>25.44</v>
      </c>
      <c r="J400">
        <v>84.11</v>
      </c>
      <c r="K400">
        <v>101</v>
      </c>
      <c r="T400">
        <v>4</v>
      </c>
      <c r="U400">
        <v>2</v>
      </c>
      <c r="V400" t="s">
        <v>82</v>
      </c>
      <c r="W400" t="s">
        <v>246</v>
      </c>
      <c r="X400">
        <v>25</v>
      </c>
      <c r="Y400">
        <v>13</v>
      </c>
      <c r="Z400" t="s">
        <v>707</v>
      </c>
      <c r="AA400" t="s">
        <v>708</v>
      </c>
      <c r="AB400" t="s">
        <v>86</v>
      </c>
      <c r="AC400" t="s">
        <v>87</v>
      </c>
      <c r="AD400" t="s">
        <v>88</v>
      </c>
      <c r="AE400" t="s">
        <v>583</v>
      </c>
      <c r="AG400" t="s">
        <v>709</v>
      </c>
      <c r="AH400">
        <v>0</v>
      </c>
      <c r="AI400">
        <v>214</v>
      </c>
    </row>
    <row r="401" spans="1:35" x14ac:dyDescent="0.3">
      <c r="A401" t="s">
        <v>578</v>
      </c>
      <c r="B401">
        <v>110155</v>
      </c>
      <c r="C401">
        <v>5</v>
      </c>
      <c r="D401" t="s">
        <v>706</v>
      </c>
      <c r="E401" t="s">
        <v>361</v>
      </c>
      <c r="F401">
        <v>836</v>
      </c>
      <c r="G401">
        <v>39.96</v>
      </c>
      <c r="H401">
        <v>132.11000000000001</v>
      </c>
      <c r="I401">
        <v>30.66</v>
      </c>
      <c r="J401">
        <v>101.38</v>
      </c>
      <c r="K401">
        <v>89</v>
      </c>
      <c r="T401">
        <v>4</v>
      </c>
      <c r="U401">
        <v>2</v>
      </c>
      <c r="V401" t="s">
        <v>82</v>
      </c>
      <c r="W401">
        <v>132</v>
      </c>
      <c r="X401">
        <v>25</v>
      </c>
      <c r="Y401">
        <v>13</v>
      </c>
      <c r="Z401" t="s">
        <v>707</v>
      </c>
      <c r="AA401" t="s">
        <v>708</v>
      </c>
      <c r="AB401" t="s">
        <v>86</v>
      </c>
      <c r="AC401" t="s">
        <v>87</v>
      </c>
      <c r="AD401" t="s">
        <v>88</v>
      </c>
      <c r="AE401" t="s">
        <v>583</v>
      </c>
      <c r="AG401" t="s">
        <v>709</v>
      </c>
      <c r="AH401">
        <v>0</v>
      </c>
      <c r="AI401">
        <v>214</v>
      </c>
    </row>
    <row r="402" spans="1:35" x14ac:dyDescent="0.3">
      <c r="A402" t="s">
        <v>578</v>
      </c>
      <c r="B402">
        <v>113261</v>
      </c>
      <c r="C402">
        <v>1</v>
      </c>
      <c r="D402" t="s">
        <v>710</v>
      </c>
      <c r="E402" t="s">
        <v>711</v>
      </c>
      <c r="F402">
        <v>1393</v>
      </c>
      <c r="G402">
        <v>25.73</v>
      </c>
      <c r="H402">
        <v>85.07</v>
      </c>
      <c r="I402">
        <v>18.11</v>
      </c>
      <c r="J402">
        <v>59.89</v>
      </c>
      <c r="K402">
        <v>408</v>
      </c>
      <c r="T402">
        <v>3</v>
      </c>
      <c r="U402">
        <v>2</v>
      </c>
      <c r="V402" t="s">
        <v>82</v>
      </c>
      <c r="W402">
        <v>85</v>
      </c>
      <c r="X402">
        <v>23</v>
      </c>
      <c r="Y402">
        <v>16</v>
      </c>
      <c r="Z402" t="s">
        <v>712</v>
      </c>
      <c r="AA402" t="s">
        <v>713</v>
      </c>
      <c r="AB402" t="s">
        <v>86</v>
      </c>
      <c r="AC402" t="s">
        <v>87</v>
      </c>
      <c r="AD402" t="s">
        <v>88</v>
      </c>
      <c r="AE402" t="s">
        <v>583</v>
      </c>
      <c r="AG402" t="s">
        <v>714</v>
      </c>
      <c r="AH402">
        <v>0</v>
      </c>
      <c r="AI402">
        <v>199</v>
      </c>
    </row>
    <row r="403" spans="1:35" x14ac:dyDescent="0.3">
      <c r="A403" t="s">
        <v>578</v>
      </c>
      <c r="B403">
        <v>113261</v>
      </c>
      <c r="C403">
        <v>2</v>
      </c>
      <c r="D403" t="s">
        <v>710</v>
      </c>
      <c r="E403" t="s">
        <v>711</v>
      </c>
      <c r="F403">
        <v>1393</v>
      </c>
      <c r="G403">
        <v>29.51</v>
      </c>
      <c r="H403">
        <v>97.57</v>
      </c>
      <c r="I403">
        <v>21.35</v>
      </c>
      <c r="J403">
        <v>70.59</v>
      </c>
      <c r="K403">
        <v>174</v>
      </c>
      <c r="T403">
        <v>3</v>
      </c>
      <c r="U403">
        <v>2</v>
      </c>
      <c r="V403" t="s">
        <v>82</v>
      </c>
      <c r="W403" t="s">
        <v>392</v>
      </c>
      <c r="X403">
        <v>23</v>
      </c>
      <c r="Y403">
        <v>16</v>
      </c>
      <c r="Z403" t="s">
        <v>712</v>
      </c>
      <c r="AA403" t="s">
        <v>713</v>
      </c>
      <c r="AB403" t="s">
        <v>86</v>
      </c>
      <c r="AC403" t="s">
        <v>87</v>
      </c>
      <c r="AD403" t="s">
        <v>88</v>
      </c>
      <c r="AE403" t="s">
        <v>583</v>
      </c>
      <c r="AG403" t="s">
        <v>714</v>
      </c>
      <c r="AH403">
        <v>0</v>
      </c>
      <c r="AI403">
        <v>199</v>
      </c>
    </row>
    <row r="404" spans="1:35" x14ac:dyDescent="0.3">
      <c r="A404" t="s">
        <v>578</v>
      </c>
      <c r="B404">
        <v>113261</v>
      </c>
      <c r="C404">
        <v>3</v>
      </c>
      <c r="D404" t="s">
        <v>710</v>
      </c>
      <c r="E404" t="s">
        <v>711</v>
      </c>
      <c r="F404">
        <v>1393</v>
      </c>
      <c r="G404">
        <v>29.57</v>
      </c>
      <c r="H404">
        <v>97.76</v>
      </c>
      <c r="I404">
        <v>21.44</v>
      </c>
      <c r="J404">
        <v>70.89</v>
      </c>
      <c r="K404">
        <v>172</v>
      </c>
      <c r="T404">
        <v>3</v>
      </c>
      <c r="U404">
        <v>2</v>
      </c>
      <c r="V404" t="s">
        <v>82</v>
      </c>
      <c r="W404" t="s">
        <v>442</v>
      </c>
      <c r="X404">
        <v>23</v>
      </c>
      <c r="Y404">
        <v>16</v>
      </c>
      <c r="Z404" t="s">
        <v>712</v>
      </c>
      <c r="AA404" t="s">
        <v>713</v>
      </c>
      <c r="AB404" t="s">
        <v>86</v>
      </c>
      <c r="AC404" t="s">
        <v>87</v>
      </c>
      <c r="AD404" t="s">
        <v>88</v>
      </c>
      <c r="AE404" t="s">
        <v>583</v>
      </c>
      <c r="AG404" t="s">
        <v>714</v>
      </c>
      <c r="AH404">
        <v>0</v>
      </c>
      <c r="AI404">
        <v>199</v>
      </c>
    </row>
    <row r="405" spans="1:35" x14ac:dyDescent="0.3">
      <c r="A405" t="s">
        <v>578</v>
      </c>
      <c r="B405">
        <v>113261</v>
      </c>
      <c r="C405">
        <v>4</v>
      </c>
      <c r="D405" t="s">
        <v>710</v>
      </c>
      <c r="E405" t="s">
        <v>711</v>
      </c>
      <c r="F405">
        <v>1393</v>
      </c>
      <c r="G405">
        <v>34.049999999999997</v>
      </c>
      <c r="H405">
        <v>112.57</v>
      </c>
      <c r="I405">
        <v>25.56</v>
      </c>
      <c r="J405">
        <v>84.5</v>
      </c>
      <c r="K405">
        <v>285</v>
      </c>
      <c r="T405">
        <v>3</v>
      </c>
      <c r="U405">
        <v>2</v>
      </c>
      <c r="V405" t="s">
        <v>82</v>
      </c>
      <c r="W405" t="s">
        <v>245</v>
      </c>
      <c r="X405">
        <v>23</v>
      </c>
      <c r="Y405">
        <v>16</v>
      </c>
      <c r="Z405" t="s">
        <v>712</v>
      </c>
      <c r="AA405" t="s">
        <v>713</v>
      </c>
      <c r="AB405" t="s">
        <v>86</v>
      </c>
      <c r="AC405" t="s">
        <v>87</v>
      </c>
      <c r="AD405" t="s">
        <v>88</v>
      </c>
      <c r="AE405" t="s">
        <v>583</v>
      </c>
      <c r="AG405" t="s">
        <v>714</v>
      </c>
      <c r="AH405">
        <v>0</v>
      </c>
      <c r="AI405">
        <v>199</v>
      </c>
    </row>
    <row r="406" spans="1:35" x14ac:dyDescent="0.3">
      <c r="A406" t="s">
        <v>578</v>
      </c>
      <c r="B406">
        <v>113261</v>
      </c>
      <c r="C406">
        <v>5</v>
      </c>
      <c r="D406" t="s">
        <v>710</v>
      </c>
      <c r="E406" t="s">
        <v>711</v>
      </c>
      <c r="F406">
        <v>1393</v>
      </c>
      <c r="G406">
        <v>34.200000000000003</v>
      </c>
      <c r="H406">
        <v>113.06</v>
      </c>
      <c r="I406">
        <v>25.67</v>
      </c>
      <c r="J406">
        <v>84.87</v>
      </c>
      <c r="K406">
        <v>354</v>
      </c>
      <c r="T406">
        <v>3</v>
      </c>
      <c r="U406">
        <v>2</v>
      </c>
      <c r="V406" t="s">
        <v>82</v>
      </c>
      <c r="W406" t="s">
        <v>599</v>
      </c>
      <c r="X406">
        <v>23</v>
      </c>
      <c r="Y406">
        <v>16</v>
      </c>
      <c r="Z406" t="s">
        <v>712</v>
      </c>
      <c r="AA406" t="s">
        <v>713</v>
      </c>
      <c r="AB406" t="s">
        <v>86</v>
      </c>
      <c r="AC406" t="s">
        <v>87</v>
      </c>
      <c r="AD406" t="s">
        <v>88</v>
      </c>
      <c r="AE406" t="s">
        <v>583</v>
      </c>
      <c r="AG406" t="s">
        <v>714</v>
      </c>
      <c r="AH406">
        <v>0</v>
      </c>
      <c r="AI406">
        <v>199</v>
      </c>
    </row>
    <row r="407" spans="1:35" x14ac:dyDescent="0.3">
      <c r="A407" t="s">
        <v>715</v>
      </c>
      <c r="B407">
        <v>135986</v>
      </c>
      <c r="C407">
        <v>1</v>
      </c>
      <c r="D407" t="s">
        <v>716</v>
      </c>
      <c r="E407" t="s">
        <v>717</v>
      </c>
      <c r="F407">
        <v>18</v>
      </c>
      <c r="G407">
        <v>35.25</v>
      </c>
      <c r="H407">
        <v>116.56</v>
      </c>
      <c r="I407">
        <v>25.69</v>
      </c>
      <c r="J407">
        <v>84.94</v>
      </c>
      <c r="K407">
        <v>18</v>
      </c>
      <c r="T407">
        <v>3</v>
      </c>
      <c r="U407">
        <v>2</v>
      </c>
      <c r="V407" t="s">
        <v>82</v>
      </c>
      <c r="W407">
        <v>116</v>
      </c>
      <c r="X407">
        <v>11</v>
      </c>
      <c r="Y407">
        <v>11</v>
      </c>
      <c r="Z407" t="s">
        <v>718</v>
      </c>
      <c r="AA407" t="s">
        <v>719</v>
      </c>
      <c r="AB407" t="s">
        <v>86</v>
      </c>
      <c r="AC407" t="s">
        <v>87</v>
      </c>
      <c r="AD407" t="s">
        <v>88</v>
      </c>
      <c r="AE407" t="s">
        <v>720</v>
      </c>
      <c r="AG407" t="s">
        <v>721</v>
      </c>
      <c r="AH407">
        <v>0</v>
      </c>
      <c r="AI407">
        <v>296</v>
      </c>
    </row>
    <row r="408" spans="1:35" x14ac:dyDescent="0.3">
      <c r="A408" t="s">
        <v>715</v>
      </c>
      <c r="B408">
        <v>125733</v>
      </c>
      <c r="C408">
        <v>1</v>
      </c>
      <c r="D408" t="s">
        <v>722</v>
      </c>
      <c r="E408" t="s">
        <v>723</v>
      </c>
      <c r="F408">
        <v>19</v>
      </c>
      <c r="G408">
        <v>27.34</v>
      </c>
      <c r="H408">
        <v>90.41</v>
      </c>
      <c r="I408">
        <v>23.36</v>
      </c>
      <c r="J408">
        <v>77.25</v>
      </c>
      <c r="K408">
        <v>4</v>
      </c>
      <c r="T408">
        <v>3</v>
      </c>
      <c r="U408">
        <v>2</v>
      </c>
      <c r="V408" t="s">
        <v>82</v>
      </c>
      <c r="W408">
        <v>90</v>
      </c>
      <c r="X408">
        <v>7</v>
      </c>
      <c r="Y408">
        <v>6</v>
      </c>
      <c r="Z408" t="s">
        <v>724</v>
      </c>
      <c r="AA408" t="s">
        <v>725</v>
      </c>
      <c r="AB408" t="s">
        <v>86</v>
      </c>
      <c r="AC408" t="s">
        <v>87</v>
      </c>
      <c r="AD408" t="s">
        <v>88</v>
      </c>
      <c r="AE408" t="s">
        <v>720</v>
      </c>
      <c r="AG408" t="s">
        <v>726</v>
      </c>
      <c r="AH408">
        <v>0</v>
      </c>
      <c r="AI408">
        <v>0</v>
      </c>
    </row>
    <row r="409" spans="1:35" x14ac:dyDescent="0.3">
      <c r="A409" t="s">
        <v>715</v>
      </c>
      <c r="B409">
        <v>125733</v>
      </c>
      <c r="C409">
        <v>2</v>
      </c>
      <c r="D409" t="s">
        <v>722</v>
      </c>
      <c r="E409" t="s">
        <v>723</v>
      </c>
      <c r="F409">
        <v>19</v>
      </c>
      <c r="G409">
        <v>29.71</v>
      </c>
      <c r="H409">
        <v>98.22</v>
      </c>
      <c r="I409">
        <v>25.38</v>
      </c>
      <c r="J409">
        <v>83.92</v>
      </c>
      <c r="K409">
        <v>5</v>
      </c>
      <c r="T409">
        <v>3</v>
      </c>
      <c r="U409">
        <v>2</v>
      </c>
      <c r="V409" t="s">
        <v>82</v>
      </c>
      <c r="W409">
        <v>98</v>
      </c>
      <c r="X409">
        <v>7</v>
      </c>
      <c r="Y409">
        <v>6</v>
      </c>
      <c r="Z409" t="s">
        <v>724</v>
      </c>
      <c r="AA409" t="s">
        <v>725</v>
      </c>
      <c r="AB409" t="s">
        <v>86</v>
      </c>
      <c r="AC409" t="s">
        <v>87</v>
      </c>
      <c r="AD409" t="s">
        <v>88</v>
      </c>
      <c r="AE409" t="s">
        <v>720</v>
      </c>
      <c r="AG409" t="s">
        <v>726</v>
      </c>
      <c r="AH409">
        <v>0</v>
      </c>
      <c r="AI409">
        <v>0</v>
      </c>
    </row>
    <row r="410" spans="1:35" x14ac:dyDescent="0.3">
      <c r="A410" t="s">
        <v>715</v>
      </c>
      <c r="B410">
        <v>125733</v>
      </c>
      <c r="C410">
        <v>3</v>
      </c>
      <c r="D410" t="s">
        <v>722</v>
      </c>
      <c r="E410" t="s">
        <v>723</v>
      </c>
      <c r="F410">
        <v>19</v>
      </c>
      <c r="G410">
        <v>34.28</v>
      </c>
      <c r="H410">
        <v>113.33</v>
      </c>
      <c r="I410">
        <v>29.29</v>
      </c>
      <c r="J410">
        <v>96.83</v>
      </c>
      <c r="K410">
        <v>5</v>
      </c>
      <c r="T410">
        <v>3</v>
      </c>
      <c r="U410">
        <v>2</v>
      </c>
      <c r="V410" t="s">
        <v>82</v>
      </c>
      <c r="W410">
        <v>113</v>
      </c>
      <c r="X410">
        <v>7</v>
      </c>
      <c r="Y410">
        <v>6</v>
      </c>
      <c r="Z410" t="s">
        <v>724</v>
      </c>
      <c r="AA410" t="s">
        <v>725</v>
      </c>
      <c r="AB410" t="s">
        <v>86</v>
      </c>
      <c r="AC410" t="s">
        <v>87</v>
      </c>
      <c r="AD410" t="s">
        <v>88</v>
      </c>
      <c r="AE410" t="s">
        <v>720</v>
      </c>
      <c r="AG410" t="s">
        <v>726</v>
      </c>
      <c r="AH410">
        <v>0</v>
      </c>
      <c r="AI410">
        <v>0</v>
      </c>
    </row>
    <row r="411" spans="1:35" x14ac:dyDescent="0.3">
      <c r="A411" t="s">
        <v>715</v>
      </c>
      <c r="B411">
        <v>125733</v>
      </c>
      <c r="C411">
        <v>4</v>
      </c>
      <c r="D411" t="s">
        <v>722</v>
      </c>
      <c r="E411" t="s">
        <v>723</v>
      </c>
      <c r="F411">
        <v>19</v>
      </c>
      <c r="G411">
        <v>35.64</v>
      </c>
      <c r="H411">
        <v>117.84</v>
      </c>
      <c r="I411">
        <v>30.45</v>
      </c>
      <c r="J411">
        <v>100.68</v>
      </c>
      <c r="K411">
        <v>4</v>
      </c>
      <c r="T411">
        <v>3</v>
      </c>
      <c r="U411">
        <v>2</v>
      </c>
      <c r="V411" t="s">
        <v>82</v>
      </c>
      <c r="W411">
        <v>117</v>
      </c>
      <c r="X411">
        <v>7</v>
      </c>
      <c r="Y411">
        <v>6</v>
      </c>
      <c r="Z411" t="s">
        <v>724</v>
      </c>
      <c r="AA411" t="s">
        <v>725</v>
      </c>
      <c r="AB411" t="s">
        <v>86</v>
      </c>
      <c r="AC411" t="s">
        <v>87</v>
      </c>
      <c r="AD411" t="s">
        <v>88</v>
      </c>
      <c r="AE411" t="s">
        <v>720</v>
      </c>
      <c r="AG411" t="s">
        <v>726</v>
      </c>
      <c r="AH411">
        <v>0</v>
      </c>
      <c r="AI411">
        <v>0</v>
      </c>
    </row>
    <row r="412" spans="1:35" x14ac:dyDescent="0.3">
      <c r="A412" t="s">
        <v>715</v>
      </c>
      <c r="B412">
        <v>125733</v>
      </c>
      <c r="C412">
        <v>5</v>
      </c>
      <c r="D412" t="s">
        <v>722</v>
      </c>
      <c r="E412" t="s">
        <v>723</v>
      </c>
      <c r="F412">
        <v>19</v>
      </c>
      <c r="G412">
        <v>46.46</v>
      </c>
      <c r="H412">
        <v>153.6</v>
      </c>
      <c r="I412">
        <v>39.71</v>
      </c>
      <c r="J412">
        <v>131.28</v>
      </c>
      <c r="K412">
        <v>1</v>
      </c>
      <c r="T412">
        <v>4</v>
      </c>
      <c r="U412">
        <v>2</v>
      </c>
      <c r="V412" t="s">
        <v>82</v>
      </c>
      <c r="W412">
        <v>153</v>
      </c>
      <c r="X412">
        <v>7</v>
      </c>
      <c r="Y412">
        <v>6</v>
      </c>
      <c r="Z412" t="s">
        <v>724</v>
      </c>
      <c r="AA412" t="s">
        <v>725</v>
      </c>
      <c r="AB412" t="s">
        <v>86</v>
      </c>
      <c r="AC412" t="s">
        <v>87</v>
      </c>
      <c r="AD412" t="s">
        <v>88</v>
      </c>
      <c r="AE412" t="s">
        <v>720</v>
      </c>
      <c r="AG412" t="s">
        <v>726</v>
      </c>
      <c r="AH412">
        <v>0</v>
      </c>
      <c r="AI412">
        <v>0</v>
      </c>
    </row>
    <row r="413" spans="1:35" x14ac:dyDescent="0.3">
      <c r="A413" t="s">
        <v>715</v>
      </c>
      <c r="B413">
        <v>7817</v>
      </c>
      <c r="C413">
        <v>1</v>
      </c>
      <c r="D413" t="s">
        <v>727</v>
      </c>
      <c r="E413" t="s">
        <v>258</v>
      </c>
      <c r="F413">
        <v>122</v>
      </c>
      <c r="G413">
        <v>27.96</v>
      </c>
      <c r="H413">
        <v>92.43</v>
      </c>
      <c r="I413">
        <v>20.12</v>
      </c>
      <c r="J413">
        <v>66.540000000000006</v>
      </c>
      <c r="K413">
        <v>74</v>
      </c>
      <c r="T413">
        <v>3</v>
      </c>
      <c r="U413">
        <v>1</v>
      </c>
      <c r="V413" t="s">
        <v>99</v>
      </c>
      <c r="W413">
        <v>92</v>
      </c>
      <c r="X413">
        <v>12</v>
      </c>
      <c r="Y413">
        <v>10</v>
      </c>
      <c r="Z413" t="s">
        <v>728</v>
      </c>
      <c r="AA413" t="s">
        <v>729</v>
      </c>
      <c r="AB413" t="s">
        <v>86</v>
      </c>
      <c r="AC413" t="s">
        <v>87</v>
      </c>
      <c r="AD413" t="s">
        <v>88</v>
      </c>
      <c r="AE413" t="s">
        <v>720</v>
      </c>
      <c r="AG413" t="s">
        <v>730</v>
      </c>
      <c r="AH413">
        <v>0</v>
      </c>
      <c r="AI413">
        <v>226</v>
      </c>
    </row>
    <row r="414" spans="1:35" x14ac:dyDescent="0.3">
      <c r="A414" t="s">
        <v>715</v>
      </c>
      <c r="B414">
        <v>7817</v>
      </c>
      <c r="C414">
        <v>2</v>
      </c>
      <c r="D414" t="s">
        <v>727</v>
      </c>
      <c r="E414" t="s">
        <v>258</v>
      </c>
      <c r="F414">
        <v>122</v>
      </c>
      <c r="G414">
        <v>31.85</v>
      </c>
      <c r="H414">
        <v>105.3</v>
      </c>
      <c r="I414">
        <v>25.69</v>
      </c>
      <c r="J414">
        <v>84.93</v>
      </c>
      <c r="K414">
        <v>48</v>
      </c>
      <c r="T414">
        <v>3</v>
      </c>
      <c r="U414">
        <v>2</v>
      </c>
      <c r="V414" t="s">
        <v>82</v>
      </c>
      <c r="W414">
        <v>105</v>
      </c>
      <c r="X414">
        <v>12</v>
      </c>
      <c r="Y414">
        <v>10</v>
      </c>
      <c r="Z414" t="s">
        <v>728</v>
      </c>
      <c r="AA414" t="s">
        <v>729</v>
      </c>
      <c r="AB414" t="s">
        <v>86</v>
      </c>
      <c r="AC414" t="s">
        <v>87</v>
      </c>
      <c r="AD414" t="s">
        <v>88</v>
      </c>
      <c r="AE414" t="s">
        <v>720</v>
      </c>
      <c r="AG414" t="s">
        <v>730</v>
      </c>
      <c r="AH414">
        <v>0</v>
      </c>
      <c r="AI414">
        <v>226</v>
      </c>
    </row>
    <row r="415" spans="1:35" x14ac:dyDescent="0.3">
      <c r="A415" t="s">
        <v>715</v>
      </c>
      <c r="B415">
        <v>100905</v>
      </c>
      <c r="C415">
        <v>1</v>
      </c>
      <c r="D415" t="s">
        <v>731</v>
      </c>
      <c r="E415" t="s">
        <v>732</v>
      </c>
      <c r="F415">
        <v>630</v>
      </c>
      <c r="G415">
        <v>32.340000000000003</v>
      </c>
      <c r="H415">
        <v>106.92</v>
      </c>
      <c r="I415">
        <v>25.67</v>
      </c>
      <c r="J415">
        <v>84.87</v>
      </c>
      <c r="K415">
        <v>230</v>
      </c>
      <c r="T415">
        <v>3</v>
      </c>
      <c r="U415">
        <v>2</v>
      </c>
      <c r="V415" t="s">
        <v>82</v>
      </c>
      <c r="W415">
        <v>106</v>
      </c>
      <c r="X415">
        <v>15</v>
      </c>
      <c r="Y415">
        <v>10</v>
      </c>
      <c r="Z415" t="s">
        <v>733</v>
      </c>
      <c r="AA415" t="s">
        <v>734</v>
      </c>
      <c r="AB415" t="s">
        <v>86</v>
      </c>
      <c r="AC415" t="s">
        <v>87</v>
      </c>
      <c r="AD415" t="s">
        <v>88</v>
      </c>
      <c r="AE415" t="s">
        <v>720</v>
      </c>
      <c r="AG415" t="s">
        <v>735</v>
      </c>
      <c r="AH415">
        <v>0</v>
      </c>
      <c r="AI415">
        <v>219</v>
      </c>
    </row>
    <row r="416" spans="1:35" x14ac:dyDescent="0.3">
      <c r="A416" t="s">
        <v>715</v>
      </c>
      <c r="B416">
        <v>100905</v>
      </c>
      <c r="C416">
        <v>2</v>
      </c>
      <c r="D416" t="s">
        <v>731</v>
      </c>
      <c r="E416" t="s">
        <v>732</v>
      </c>
      <c r="F416">
        <v>630</v>
      </c>
      <c r="G416">
        <v>34.1</v>
      </c>
      <c r="H416">
        <v>112.75</v>
      </c>
      <c r="I416">
        <v>25.69</v>
      </c>
      <c r="J416">
        <v>84.93</v>
      </c>
      <c r="K416">
        <v>192</v>
      </c>
      <c r="T416">
        <v>3</v>
      </c>
      <c r="U416">
        <v>2</v>
      </c>
      <c r="V416" t="s">
        <v>82</v>
      </c>
      <c r="W416" t="s">
        <v>245</v>
      </c>
      <c r="X416">
        <v>15</v>
      </c>
      <c r="Y416">
        <v>10</v>
      </c>
      <c r="Z416" t="s">
        <v>733</v>
      </c>
      <c r="AA416" t="s">
        <v>734</v>
      </c>
      <c r="AB416" t="s">
        <v>86</v>
      </c>
      <c r="AC416" t="s">
        <v>87</v>
      </c>
      <c r="AD416" t="s">
        <v>88</v>
      </c>
      <c r="AE416" t="s">
        <v>720</v>
      </c>
      <c r="AG416" t="s">
        <v>735</v>
      </c>
      <c r="AH416">
        <v>0</v>
      </c>
      <c r="AI416">
        <v>219</v>
      </c>
    </row>
    <row r="417" spans="1:35" x14ac:dyDescent="0.3">
      <c r="A417" t="s">
        <v>715</v>
      </c>
      <c r="B417">
        <v>100905</v>
      </c>
      <c r="C417">
        <v>3</v>
      </c>
      <c r="D417" t="s">
        <v>731</v>
      </c>
      <c r="E417" t="s">
        <v>732</v>
      </c>
      <c r="F417">
        <v>630</v>
      </c>
      <c r="G417">
        <v>34.380000000000003</v>
      </c>
      <c r="H417">
        <v>113.68</v>
      </c>
      <c r="I417">
        <v>25.7</v>
      </c>
      <c r="J417">
        <v>84.97</v>
      </c>
      <c r="K417">
        <v>150</v>
      </c>
      <c r="T417">
        <v>3</v>
      </c>
      <c r="U417">
        <v>2</v>
      </c>
      <c r="V417" t="s">
        <v>82</v>
      </c>
      <c r="W417" t="s">
        <v>599</v>
      </c>
      <c r="X417">
        <v>15</v>
      </c>
      <c r="Y417">
        <v>10</v>
      </c>
      <c r="Z417" t="s">
        <v>733</v>
      </c>
      <c r="AA417" t="s">
        <v>734</v>
      </c>
      <c r="AB417" t="s">
        <v>86</v>
      </c>
      <c r="AC417" t="s">
        <v>87</v>
      </c>
      <c r="AD417" t="s">
        <v>88</v>
      </c>
      <c r="AE417" t="s">
        <v>720</v>
      </c>
      <c r="AG417" t="s">
        <v>735</v>
      </c>
      <c r="AH417">
        <v>0</v>
      </c>
      <c r="AI417">
        <v>219</v>
      </c>
    </row>
    <row r="418" spans="1:35" x14ac:dyDescent="0.3">
      <c r="A418" t="s">
        <v>715</v>
      </c>
      <c r="B418">
        <v>100905</v>
      </c>
      <c r="C418">
        <v>4</v>
      </c>
      <c r="D418" t="s">
        <v>731</v>
      </c>
      <c r="E418" t="s">
        <v>732</v>
      </c>
      <c r="F418">
        <v>630</v>
      </c>
      <c r="G418">
        <v>47.8</v>
      </c>
      <c r="H418">
        <v>158.02000000000001</v>
      </c>
      <c r="I418">
        <v>39.659999999999997</v>
      </c>
      <c r="J418">
        <v>131.11000000000001</v>
      </c>
      <c r="K418">
        <v>30</v>
      </c>
      <c r="T418">
        <v>4</v>
      </c>
      <c r="U418">
        <v>2</v>
      </c>
      <c r="V418" t="s">
        <v>82</v>
      </c>
      <c r="W418">
        <v>158</v>
      </c>
      <c r="X418">
        <v>15</v>
      </c>
      <c r="Y418">
        <v>10</v>
      </c>
      <c r="Z418" t="s">
        <v>733</v>
      </c>
      <c r="AA418" t="s">
        <v>734</v>
      </c>
      <c r="AB418" t="s">
        <v>86</v>
      </c>
      <c r="AC418" t="s">
        <v>87</v>
      </c>
      <c r="AD418" t="s">
        <v>88</v>
      </c>
      <c r="AE418" t="s">
        <v>720</v>
      </c>
      <c r="AG418" t="s">
        <v>735</v>
      </c>
      <c r="AH418">
        <v>0</v>
      </c>
      <c r="AI418">
        <v>219</v>
      </c>
    </row>
    <row r="419" spans="1:35" x14ac:dyDescent="0.3">
      <c r="A419" t="s">
        <v>715</v>
      </c>
      <c r="B419">
        <v>100905</v>
      </c>
      <c r="C419">
        <v>5</v>
      </c>
      <c r="D419" t="s">
        <v>731</v>
      </c>
      <c r="E419" t="s">
        <v>732</v>
      </c>
      <c r="F419">
        <v>630</v>
      </c>
      <c r="G419">
        <v>55.03</v>
      </c>
      <c r="H419">
        <v>181.95</v>
      </c>
      <c r="I419">
        <v>45.95</v>
      </c>
      <c r="J419">
        <v>151.91999999999999</v>
      </c>
      <c r="K419">
        <v>28</v>
      </c>
      <c r="T419">
        <v>4</v>
      </c>
      <c r="U419">
        <v>2</v>
      </c>
      <c r="V419" t="s">
        <v>82</v>
      </c>
      <c r="W419">
        <v>181</v>
      </c>
      <c r="X419">
        <v>15</v>
      </c>
      <c r="Y419">
        <v>10</v>
      </c>
      <c r="Z419" t="s">
        <v>733</v>
      </c>
      <c r="AA419" t="s">
        <v>734</v>
      </c>
      <c r="AB419" t="s">
        <v>86</v>
      </c>
      <c r="AC419" t="s">
        <v>87</v>
      </c>
      <c r="AD419" t="s">
        <v>88</v>
      </c>
      <c r="AE419" t="s">
        <v>720</v>
      </c>
      <c r="AG419" t="s">
        <v>735</v>
      </c>
      <c r="AH419">
        <v>0</v>
      </c>
      <c r="AI419">
        <v>219</v>
      </c>
    </row>
    <row r="420" spans="1:35" x14ac:dyDescent="0.3">
      <c r="A420" t="s">
        <v>715</v>
      </c>
      <c r="B420">
        <v>126779</v>
      </c>
      <c r="C420">
        <v>1</v>
      </c>
      <c r="D420" t="s">
        <v>736</v>
      </c>
      <c r="E420" t="s">
        <v>737</v>
      </c>
      <c r="F420">
        <v>50</v>
      </c>
      <c r="G420">
        <v>17.309999999999999</v>
      </c>
      <c r="H420">
        <v>57.24</v>
      </c>
      <c r="I420">
        <v>15</v>
      </c>
      <c r="J420">
        <v>49.59</v>
      </c>
      <c r="K420">
        <v>15</v>
      </c>
      <c r="T420">
        <v>2</v>
      </c>
      <c r="U420">
        <v>1</v>
      </c>
      <c r="V420" t="s">
        <v>82</v>
      </c>
      <c r="W420">
        <v>57</v>
      </c>
      <c r="X420">
        <v>5</v>
      </c>
      <c r="Y420">
        <v>5</v>
      </c>
      <c r="Z420" t="s">
        <v>738</v>
      </c>
      <c r="AA420" t="s">
        <v>739</v>
      </c>
      <c r="AB420" t="s">
        <v>86</v>
      </c>
      <c r="AC420" t="s">
        <v>87</v>
      </c>
      <c r="AD420" t="s">
        <v>88</v>
      </c>
      <c r="AE420" t="s">
        <v>720</v>
      </c>
      <c r="AG420" t="s">
        <v>740</v>
      </c>
      <c r="AH420">
        <v>0</v>
      </c>
      <c r="AI420">
        <v>0</v>
      </c>
    </row>
    <row r="421" spans="1:35" x14ac:dyDescent="0.3">
      <c r="A421" t="s">
        <v>715</v>
      </c>
      <c r="B421">
        <v>126779</v>
      </c>
      <c r="C421">
        <v>2</v>
      </c>
      <c r="D421" t="s">
        <v>736</v>
      </c>
      <c r="E421" t="s">
        <v>737</v>
      </c>
      <c r="F421">
        <v>50</v>
      </c>
      <c r="G421">
        <v>18.239999999999998</v>
      </c>
      <c r="H421">
        <v>60.3</v>
      </c>
      <c r="I421">
        <v>15.92</v>
      </c>
      <c r="J421">
        <v>52.65</v>
      </c>
      <c r="K421">
        <v>5</v>
      </c>
      <c r="T421">
        <v>3</v>
      </c>
      <c r="U421">
        <v>1</v>
      </c>
      <c r="V421" t="s">
        <v>82</v>
      </c>
      <c r="W421">
        <v>60</v>
      </c>
      <c r="X421">
        <v>5</v>
      </c>
      <c r="Y421">
        <v>5</v>
      </c>
      <c r="Z421" t="s">
        <v>738</v>
      </c>
      <c r="AA421" t="s">
        <v>739</v>
      </c>
      <c r="AB421" t="s">
        <v>86</v>
      </c>
      <c r="AC421" t="s">
        <v>87</v>
      </c>
      <c r="AD421" t="s">
        <v>88</v>
      </c>
      <c r="AE421" t="s">
        <v>720</v>
      </c>
      <c r="AG421" t="s">
        <v>740</v>
      </c>
      <c r="AH421">
        <v>0</v>
      </c>
      <c r="AI421">
        <v>0</v>
      </c>
    </row>
    <row r="422" spans="1:35" x14ac:dyDescent="0.3">
      <c r="A422" t="s">
        <v>715</v>
      </c>
      <c r="B422">
        <v>126779</v>
      </c>
      <c r="C422">
        <v>3</v>
      </c>
      <c r="D422" t="s">
        <v>736</v>
      </c>
      <c r="E422" t="s">
        <v>737</v>
      </c>
      <c r="F422">
        <v>50</v>
      </c>
      <c r="G422">
        <v>18.829999999999998</v>
      </c>
      <c r="H422">
        <v>62.28</v>
      </c>
      <c r="I422">
        <v>16.52</v>
      </c>
      <c r="J422">
        <v>54.63</v>
      </c>
      <c r="K422">
        <v>15</v>
      </c>
      <c r="T422">
        <v>3</v>
      </c>
      <c r="U422">
        <v>1</v>
      </c>
      <c r="V422" t="s">
        <v>82</v>
      </c>
      <c r="W422">
        <v>62</v>
      </c>
      <c r="X422">
        <v>5</v>
      </c>
      <c r="Y422">
        <v>5</v>
      </c>
      <c r="Z422" t="s">
        <v>738</v>
      </c>
      <c r="AA422" t="s">
        <v>739</v>
      </c>
      <c r="AB422" t="s">
        <v>86</v>
      </c>
      <c r="AC422" t="s">
        <v>87</v>
      </c>
      <c r="AD422" t="s">
        <v>88</v>
      </c>
      <c r="AE422" t="s">
        <v>720</v>
      </c>
      <c r="AG422" t="s">
        <v>740</v>
      </c>
      <c r="AH422">
        <v>0</v>
      </c>
      <c r="AI422">
        <v>0</v>
      </c>
    </row>
    <row r="423" spans="1:35" x14ac:dyDescent="0.3">
      <c r="A423" t="s">
        <v>715</v>
      </c>
      <c r="B423">
        <v>126779</v>
      </c>
      <c r="C423">
        <v>4</v>
      </c>
      <c r="D423" t="s">
        <v>736</v>
      </c>
      <c r="E423" t="s">
        <v>737</v>
      </c>
      <c r="F423">
        <v>50</v>
      </c>
      <c r="G423">
        <v>24.17</v>
      </c>
      <c r="H423">
        <v>79.92</v>
      </c>
      <c r="I423">
        <v>21.86</v>
      </c>
      <c r="J423">
        <v>72.27</v>
      </c>
      <c r="K423">
        <v>15</v>
      </c>
      <c r="T423">
        <v>3</v>
      </c>
      <c r="U423">
        <v>1</v>
      </c>
      <c r="V423" t="s">
        <v>82</v>
      </c>
      <c r="W423">
        <v>79</v>
      </c>
      <c r="X423">
        <v>5</v>
      </c>
      <c r="Y423">
        <v>5</v>
      </c>
      <c r="Z423" t="s">
        <v>738</v>
      </c>
      <c r="AA423" t="s">
        <v>739</v>
      </c>
      <c r="AB423" t="s">
        <v>86</v>
      </c>
      <c r="AC423" t="s">
        <v>87</v>
      </c>
      <c r="AD423" t="s">
        <v>88</v>
      </c>
      <c r="AE423" t="s">
        <v>720</v>
      </c>
      <c r="AG423" t="s">
        <v>740</v>
      </c>
      <c r="AH423">
        <v>0</v>
      </c>
      <c r="AI423">
        <v>0</v>
      </c>
    </row>
    <row r="424" spans="1:35" x14ac:dyDescent="0.3">
      <c r="A424" t="s">
        <v>741</v>
      </c>
      <c r="B424">
        <v>7825</v>
      </c>
      <c r="C424">
        <v>1</v>
      </c>
      <c r="D424" t="s">
        <v>742</v>
      </c>
      <c r="E424" t="s">
        <v>743</v>
      </c>
      <c r="F424">
        <v>243</v>
      </c>
      <c r="G424">
        <v>19.89</v>
      </c>
      <c r="H424">
        <v>65.760000000000005</v>
      </c>
      <c r="I424">
        <v>15.05</v>
      </c>
      <c r="J424">
        <v>49.77</v>
      </c>
      <c r="K424">
        <v>21</v>
      </c>
      <c r="T424">
        <v>2</v>
      </c>
      <c r="U424">
        <v>1</v>
      </c>
      <c r="V424" t="s">
        <v>99</v>
      </c>
      <c r="W424">
        <v>65</v>
      </c>
      <c r="X424">
        <v>15</v>
      </c>
      <c r="Y424">
        <v>9</v>
      </c>
      <c r="Z424" t="s">
        <v>744</v>
      </c>
      <c r="AA424" t="s">
        <v>745</v>
      </c>
      <c r="AB424" t="s">
        <v>86</v>
      </c>
      <c r="AC424" t="s">
        <v>87</v>
      </c>
      <c r="AD424" t="s">
        <v>88</v>
      </c>
      <c r="AE424" t="s">
        <v>746</v>
      </c>
      <c r="AG424" t="s">
        <v>747</v>
      </c>
      <c r="AH424">
        <v>0</v>
      </c>
      <c r="AI424">
        <v>0</v>
      </c>
    </row>
    <row r="425" spans="1:35" x14ac:dyDescent="0.3">
      <c r="A425" t="s">
        <v>741</v>
      </c>
      <c r="B425">
        <v>7825</v>
      </c>
      <c r="C425">
        <v>2</v>
      </c>
      <c r="D425" t="s">
        <v>742</v>
      </c>
      <c r="E425" t="s">
        <v>743</v>
      </c>
      <c r="F425">
        <v>243</v>
      </c>
      <c r="G425">
        <v>21.6</v>
      </c>
      <c r="H425">
        <v>71.430000000000007</v>
      </c>
      <c r="I425">
        <v>16.350000000000001</v>
      </c>
      <c r="J425">
        <v>54.06</v>
      </c>
      <c r="K425">
        <v>90</v>
      </c>
      <c r="T425">
        <v>3</v>
      </c>
      <c r="U425">
        <v>1</v>
      </c>
      <c r="V425" t="s">
        <v>99</v>
      </c>
      <c r="W425">
        <v>71</v>
      </c>
      <c r="X425">
        <v>15</v>
      </c>
      <c r="Y425">
        <v>9</v>
      </c>
      <c r="Z425" t="s">
        <v>744</v>
      </c>
      <c r="AA425" t="s">
        <v>745</v>
      </c>
      <c r="AB425" t="s">
        <v>86</v>
      </c>
      <c r="AC425" t="s">
        <v>87</v>
      </c>
      <c r="AD425" t="s">
        <v>88</v>
      </c>
      <c r="AE425" t="s">
        <v>746</v>
      </c>
      <c r="AG425" t="s">
        <v>747</v>
      </c>
      <c r="AH425">
        <v>0</v>
      </c>
      <c r="AI425">
        <v>0</v>
      </c>
    </row>
    <row r="426" spans="1:35" x14ac:dyDescent="0.3">
      <c r="A426" t="s">
        <v>741</v>
      </c>
      <c r="B426">
        <v>7825</v>
      </c>
      <c r="C426">
        <v>3</v>
      </c>
      <c r="D426" t="s">
        <v>742</v>
      </c>
      <c r="E426" t="s">
        <v>743</v>
      </c>
      <c r="F426">
        <v>243</v>
      </c>
      <c r="G426">
        <v>23.97</v>
      </c>
      <c r="H426">
        <v>79.27</v>
      </c>
      <c r="I426">
        <v>18.149999999999999</v>
      </c>
      <c r="J426">
        <v>60</v>
      </c>
      <c r="K426">
        <v>132</v>
      </c>
      <c r="T426">
        <v>3</v>
      </c>
      <c r="U426">
        <v>1</v>
      </c>
      <c r="V426" t="s">
        <v>99</v>
      </c>
      <c r="W426">
        <v>79</v>
      </c>
      <c r="X426">
        <v>15</v>
      </c>
      <c r="Y426">
        <v>9</v>
      </c>
      <c r="Z426" t="s">
        <v>744</v>
      </c>
      <c r="AA426" t="s">
        <v>745</v>
      </c>
      <c r="AB426" t="s">
        <v>86</v>
      </c>
      <c r="AC426" t="s">
        <v>87</v>
      </c>
      <c r="AD426" t="s">
        <v>88</v>
      </c>
      <c r="AE426" t="s">
        <v>746</v>
      </c>
      <c r="AG426" t="s">
        <v>747</v>
      </c>
      <c r="AH426">
        <v>0</v>
      </c>
      <c r="AI426">
        <v>0</v>
      </c>
    </row>
    <row r="427" spans="1:35" x14ac:dyDescent="0.3">
      <c r="A427" t="s">
        <v>741</v>
      </c>
      <c r="B427">
        <v>119181</v>
      </c>
      <c r="C427">
        <v>1</v>
      </c>
      <c r="D427" t="s">
        <v>748</v>
      </c>
      <c r="E427" t="s">
        <v>749</v>
      </c>
      <c r="F427">
        <v>40</v>
      </c>
      <c r="G427">
        <v>16.190000000000001</v>
      </c>
      <c r="H427">
        <v>53.55</v>
      </c>
      <c r="I427">
        <v>14.02</v>
      </c>
      <c r="J427">
        <v>46.35</v>
      </c>
      <c r="K427">
        <v>30</v>
      </c>
      <c r="T427">
        <v>2</v>
      </c>
      <c r="U427">
        <v>1</v>
      </c>
      <c r="V427" t="s">
        <v>82</v>
      </c>
      <c r="W427" t="s">
        <v>750</v>
      </c>
      <c r="X427">
        <v>5</v>
      </c>
      <c r="Y427">
        <v>5</v>
      </c>
      <c r="Z427" t="s">
        <v>751</v>
      </c>
      <c r="AA427" t="s">
        <v>752</v>
      </c>
      <c r="AB427" t="s">
        <v>86</v>
      </c>
      <c r="AC427" t="s">
        <v>87</v>
      </c>
      <c r="AD427" t="s">
        <v>88</v>
      </c>
      <c r="AE427" t="s">
        <v>746</v>
      </c>
      <c r="AG427" t="s">
        <v>753</v>
      </c>
      <c r="AH427">
        <v>0</v>
      </c>
      <c r="AI427">
        <v>0</v>
      </c>
    </row>
    <row r="428" spans="1:35" x14ac:dyDescent="0.3">
      <c r="A428" t="s">
        <v>741</v>
      </c>
      <c r="B428">
        <v>119181</v>
      </c>
      <c r="C428">
        <v>2</v>
      </c>
      <c r="D428" t="s">
        <v>748</v>
      </c>
      <c r="E428" t="s">
        <v>749</v>
      </c>
      <c r="F428">
        <v>40</v>
      </c>
      <c r="G428">
        <v>16.47</v>
      </c>
      <c r="H428">
        <v>54.45</v>
      </c>
      <c r="I428">
        <v>14.29</v>
      </c>
      <c r="J428">
        <v>47.25</v>
      </c>
      <c r="K428">
        <v>10</v>
      </c>
      <c r="T428">
        <v>2</v>
      </c>
      <c r="U428">
        <v>1</v>
      </c>
      <c r="V428" t="s">
        <v>82</v>
      </c>
      <c r="W428" t="s">
        <v>754</v>
      </c>
      <c r="X428">
        <v>5</v>
      </c>
      <c r="Y428">
        <v>5</v>
      </c>
      <c r="Z428" t="s">
        <v>751</v>
      </c>
      <c r="AA428" t="s">
        <v>752</v>
      </c>
      <c r="AB428" t="s">
        <v>86</v>
      </c>
      <c r="AC428" t="s">
        <v>87</v>
      </c>
      <c r="AD428" t="s">
        <v>88</v>
      </c>
      <c r="AE428" t="s">
        <v>746</v>
      </c>
      <c r="AG428" t="s">
        <v>753</v>
      </c>
      <c r="AH428">
        <v>0</v>
      </c>
      <c r="AI428">
        <v>0</v>
      </c>
    </row>
    <row r="429" spans="1:35" x14ac:dyDescent="0.3">
      <c r="A429" t="s">
        <v>755</v>
      </c>
      <c r="B429">
        <v>121043</v>
      </c>
      <c r="C429">
        <v>1</v>
      </c>
      <c r="D429" t="s">
        <v>756</v>
      </c>
      <c r="E429" t="s">
        <v>142</v>
      </c>
      <c r="F429">
        <v>48</v>
      </c>
      <c r="G429">
        <v>32.26</v>
      </c>
      <c r="H429">
        <v>106.67</v>
      </c>
      <c r="I429">
        <v>25.66</v>
      </c>
      <c r="J429">
        <v>84.85</v>
      </c>
      <c r="K429">
        <v>48</v>
      </c>
      <c r="T429">
        <v>3</v>
      </c>
      <c r="U429">
        <v>2</v>
      </c>
      <c r="V429" t="s">
        <v>82</v>
      </c>
      <c r="W429">
        <v>106</v>
      </c>
      <c r="X429">
        <v>6</v>
      </c>
      <c r="Y429">
        <v>6</v>
      </c>
      <c r="Z429" t="s">
        <v>757</v>
      </c>
      <c r="AA429" t="s">
        <v>758</v>
      </c>
      <c r="AB429" t="s">
        <v>86</v>
      </c>
      <c r="AC429" t="s">
        <v>87</v>
      </c>
      <c r="AD429" t="s">
        <v>88</v>
      </c>
      <c r="AE429" t="s">
        <v>759</v>
      </c>
      <c r="AG429" t="s">
        <v>760</v>
      </c>
      <c r="AH429">
        <v>0</v>
      </c>
      <c r="AI429">
        <v>0</v>
      </c>
    </row>
    <row r="430" spans="1:35" x14ac:dyDescent="0.3">
      <c r="A430" t="s">
        <v>755</v>
      </c>
      <c r="B430">
        <v>15794</v>
      </c>
      <c r="C430">
        <v>1</v>
      </c>
      <c r="D430" t="s">
        <v>761</v>
      </c>
      <c r="E430" t="s">
        <v>762</v>
      </c>
      <c r="F430">
        <v>82</v>
      </c>
      <c r="G430">
        <v>16.48</v>
      </c>
      <c r="H430">
        <v>54.51</v>
      </c>
      <c r="I430">
        <v>13.46</v>
      </c>
      <c r="J430">
        <v>44.52</v>
      </c>
      <c r="K430">
        <v>4</v>
      </c>
      <c r="T430">
        <v>2</v>
      </c>
      <c r="U430">
        <v>1</v>
      </c>
      <c r="V430" t="s">
        <v>82</v>
      </c>
      <c r="W430">
        <v>54</v>
      </c>
      <c r="X430">
        <v>15</v>
      </c>
      <c r="Y430">
        <v>13</v>
      </c>
      <c r="Z430" t="s">
        <v>763</v>
      </c>
      <c r="AA430" t="s">
        <v>764</v>
      </c>
      <c r="AB430" t="s">
        <v>86</v>
      </c>
      <c r="AC430" t="s">
        <v>87</v>
      </c>
      <c r="AD430" t="s">
        <v>88</v>
      </c>
      <c r="AE430" t="s">
        <v>759</v>
      </c>
      <c r="AG430" t="s">
        <v>765</v>
      </c>
      <c r="AH430">
        <v>0</v>
      </c>
      <c r="AI430">
        <v>362</v>
      </c>
    </row>
    <row r="431" spans="1:35" x14ac:dyDescent="0.3">
      <c r="A431" t="s">
        <v>755</v>
      </c>
      <c r="B431">
        <v>15794</v>
      </c>
      <c r="C431">
        <v>2</v>
      </c>
      <c r="D431" t="s">
        <v>761</v>
      </c>
      <c r="E431" t="s">
        <v>762</v>
      </c>
      <c r="F431">
        <v>82</v>
      </c>
      <c r="G431">
        <v>17.559999999999999</v>
      </c>
      <c r="H431">
        <v>58.05</v>
      </c>
      <c r="I431">
        <v>14.53</v>
      </c>
      <c r="J431">
        <v>48.06</v>
      </c>
      <c r="K431">
        <v>4</v>
      </c>
      <c r="T431">
        <v>2</v>
      </c>
      <c r="U431">
        <v>1</v>
      </c>
      <c r="V431" t="s">
        <v>82</v>
      </c>
      <c r="W431">
        <v>58</v>
      </c>
      <c r="X431">
        <v>15</v>
      </c>
      <c r="Y431">
        <v>13</v>
      </c>
      <c r="Z431" t="s">
        <v>763</v>
      </c>
      <c r="AA431" t="s">
        <v>764</v>
      </c>
      <c r="AB431" t="s">
        <v>86</v>
      </c>
      <c r="AC431" t="s">
        <v>87</v>
      </c>
      <c r="AD431" t="s">
        <v>88</v>
      </c>
      <c r="AE431" t="s">
        <v>759</v>
      </c>
      <c r="AG431" t="s">
        <v>765</v>
      </c>
      <c r="AH431">
        <v>0</v>
      </c>
      <c r="AI431">
        <v>362</v>
      </c>
    </row>
    <row r="432" spans="1:35" x14ac:dyDescent="0.3">
      <c r="A432" t="s">
        <v>755</v>
      </c>
      <c r="B432">
        <v>15794</v>
      </c>
      <c r="C432">
        <v>3</v>
      </c>
      <c r="D432" t="s">
        <v>761</v>
      </c>
      <c r="E432" t="s">
        <v>762</v>
      </c>
      <c r="F432">
        <v>82</v>
      </c>
      <c r="G432">
        <v>21.12</v>
      </c>
      <c r="H432">
        <v>69.84</v>
      </c>
      <c r="I432">
        <v>18.100000000000001</v>
      </c>
      <c r="J432">
        <v>59.85</v>
      </c>
      <c r="K432">
        <v>22</v>
      </c>
      <c r="T432">
        <v>3</v>
      </c>
      <c r="U432">
        <v>1</v>
      </c>
      <c r="V432" t="s">
        <v>82</v>
      </c>
      <c r="W432">
        <v>69</v>
      </c>
      <c r="X432">
        <v>15</v>
      </c>
      <c r="Y432">
        <v>13</v>
      </c>
      <c r="Z432" t="s">
        <v>763</v>
      </c>
      <c r="AA432" t="s">
        <v>764</v>
      </c>
      <c r="AB432" t="s">
        <v>86</v>
      </c>
      <c r="AC432" t="s">
        <v>87</v>
      </c>
      <c r="AD432" t="s">
        <v>88</v>
      </c>
      <c r="AE432" t="s">
        <v>759</v>
      </c>
      <c r="AG432" t="s">
        <v>765</v>
      </c>
      <c r="AH432">
        <v>0</v>
      </c>
      <c r="AI432">
        <v>362</v>
      </c>
    </row>
    <row r="433" spans="1:35" x14ac:dyDescent="0.3">
      <c r="A433" t="s">
        <v>755</v>
      </c>
      <c r="B433">
        <v>15794</v>
      </c>
      <c r="C433">
        <v>4</v>
      </c>
      <c r="D433" t="s">
        <v>761</v>
      </c>
      <c r="E433" t="s">
        <v>762</v>
      </c>
      <c r="F433">
        <v>82</v>
      </c>
      <c r="G433">
        <v>23.24</v>
      </c>
      <c r="H433">
        <v>76.84</v>
      </c>
      <c r="I433">
        <v>20.27</v>
      </c>
      <c r="J433">
        <v>67.02</v>
      </c>
      <c r="K433">
        <v>1</v>
      </c>
      <c r="T433">
        <v>3</v>
      </c>
      <c r="U433">
        <v>1</v>
      </c>
      <c r="V433" t="s">
        <v>82</v>
      </c>
      <c r="W433">
        <v>76</v>
      </c>
      <c r="X433">
        <v>15</v>
      </c>
      <c r="Y433">
        <v>13</v>
      </c>
      <c r="Z433" t="s">
        <v>763</v>
      </c>
      <c r="AA433" t="s">
        <v>764</v>
      </c>
      <c r="AB433" t="s">
        <v>86</v>
      </c>
      <c r="AC433" t="s">
        <v>87</v>
      </c>
      <c r="AD433" t="s">
        <v>88</v>
      </c>
      <c r="AE433" t="s">
        <v>759</v>
      </c>
      <c r="AG433" t="s">
        <v>765</v>
      </c>
      <c r="AH433">
        <v>0</v>
      </c>
      <c r="AI433">
        <v>362</v>
      </c>
    </row>
    <row r="434" spans="1:35" x14ac:dyDescent="0.3">
      <c r="A434" t="s">
        <v>755</v>
      </c>
      <c r="B434">
        <v>15794</v>
      </c>
      <c r="C434">
        <v>5</v>
      </c>
      <c r="D434" t="s">
        <v>761</v>
      </c>
      <c r="E434" t="s">
        <v>762</v>
      </c>
      <c r="F434">
        <v>82</v>
      </c>
      <c r="G434">
        <v>23.73</v>
      </c>
      <c r="H434">
        <v>78.45</v>
      </c>
      <c r="I434">
        <v>20.99</v>
      </c>
      <c r="J434">
        <v>69.39</v>
      </c>
      <c r="K434">
        <v>11</v>
      </c>
      <c r="T434">
        <v>3</v>
      </c>
      <c r="U434">
        <v>1</v>
      </c>
      <c r="V434" t="s">
        <v>82</v>
      </c>
      <c r="W434">
        <v>78</v>
      </c>
      <c r="X434">
        <v>15</v>
      </c>
      <c r="Y434">
        <v>13</v>
      </c>
      <c r="Z434" t="s">
        <v>763</v>
      </c>
      <c r="AA434" t="s">
        <v>764</v>
      </c>
      <c r="AB434" t="s">
        <v>86</v>
      </c>
      <c r="AC434" t="s">
        <v>87</v>
      </c>
      <c r="AD434" t="s">
        <v>88</v>
      </c>
      <c r="AE434" t="s">
        <v>759</v>
      </c>
      <c r="AG434" t="s">
        <v>765</v>
      </c>
      <c r="AH434">
        <v>0</v>
      </c>
      <c r="AI434">
        <v>362</v>
      </c>
    </row>
    <row r="435" spans="1:35" x14ac:dyDescent="0.3">
      <c r="A435" t="s">
        <v>755</v>
      </c>
      <c r="B435">
        <v>15794</v>
      </c>
      <c r="C435">
        <v>6</v>
      </c>
      <c r="D435" t="s">
        <v>761</v>
      </c>
      <c r="E435" t="s">
        <v>762</v>
      </c>
      <c r="F435">
        <v>82</v>
      </c>
      <c r="G435">
        <v>26.03</v>
      </c>
      <c r="H435">
        <v>86.08</v>
      </c>
      <c r="I435">
        <v>23.64</v>
      </c>
      <c r="J435">
        <v>78.150000000000006</v>
      </c>
      <c r="K435">
        <v>1</v>
      </c>
      <c r="T435">
        <v>3</v>
      </c>
      <c r="U435">
        <v>1</v>
      </c>
      <c r="V435" t="s">
        <v>82</v>
      </c>
      <c r="W435">
        <v>86</v>
      </c>
      <c r="X435">
        <v>15</v>
      </c>
      <c r="Y435">
        <v>13</v>
      </c>
      <c r="Z435" t="s">
        <v>763</v>
      </c>
      <c r="AA435" t="s">
        <v>764</v>
      </c>
      <c r="AB435" t="s">
        <v>86</v>
      </c>
      <c r="AC435" t="s">
        <v>87</v>
      </c>
      <c r="AD435" t="s">
        <v>88</v>
      </c>
      <c r="AE435" t="s">
        <v>759</v>
      </c>
      <c r="AG435" t="s">
        <v>765</v>
      </c>
      <c r="AH435">
        <v>0</v>
      </c>
      <c r="AI435">
        <v>362</v>
      </c>
    </row>
    <row r="436" spans="1:35" x14ac:dyDescent="0.3">
      <c r="A436" t="s">
        <v>755</v>
      </c>
      <c r="B436">
        <v>15794</v>
      </c>
      <c r="C436">
        <v>7</v>
      </c>
      <c r="D436" t="s">
        <v>761</v>
      </c>
      <c r="E436" t="s">
        <v>762</v>
      </c>
      <c r="F436">
        <v>82</v>
      </c>
      <c r="G436">
        <v>27.78</v>
      </c>
      <c r="H436">
        <v>91.86</v>
      </c>
      <c r="I436">
        <v>25.29</v>
      </c>
      <c r="J436">
        <v>83.61</v>
      </c>
      <c r="K436">
        <v>24</v>
      </c>
      <c r="T436">
        <v>3</v>
      </c>
      <c r="U436">
        <v>1</v>
      </c>
      <c r="V436" t="s">
        <v>82</v>
      </c>
      <c r="W436">
        <v>91</v>
      </c>
      <c r="X436">
        <v>15</v>
      </c>
      <c r="Y436">
        <v>13</v>
      </c>
      <c r="Z436" t="s">
        <v>763</v>
      </c>
      <c r="AA436" t="s">
        <v>764</v>
      </c>
      <c r="AB436" t="s">
        <v>86</v>
      </c>
      <c r="AC436" t="s">
        <v>87</v>
      </c>
      <c r="AD436" t="s">
        <v>88</v>
      </c>
      <c r="AE436" t="s">
        <v>759</v>
      </c>
      <c r="AG436" t="s">
        <v>765</v>
      </c>
      <c r="AH436">
        <v>0</v>
      </c>
      <c r="AI436">
        <v>362</v>
      </c>
    </row>
    <row r="437" spans="1:35" x14ac:dyDescent="0.3">
      <c r="A437" t="s">
        <v>755</v>
      </c>
      <c r="B437">
        <v>15794</v>
      </c>
      <c r="C437">
        <v>8</v>
      </c>
      <c r="D437" t="s">
        <v>761</v>
      </c>
      <c r="E437" t="s">
        <v>762</v>
      </c>
      <c r="F437">
        <v>82</v>
      </c>
      <c r="G437">
        <v>39.49</v>
      </c>
      <c r="H437">
        <v>130.56</v>
      </c>
      <c r="I437">
        <v>35.94</v>
      </c>
      <c r="J437">
        <v>118.83</v>
      </c>
      <c r="K437">
        <v>15</v>
      </c>
      <c r="T437">
        <v>4</v>
      </c>
      <c r="U437">
        <v>2</v>
      </c>
      <c r="V437" t="s">
        <v>82</v>
      </c>
      <c r="W437">
        <v>130</v>
      </c>
      <c r="X437">
        <v>15</v>
      </c>
      <c r="Y437">
        <v>13</v>
      </c>
      <c r="Z437" t="s">
        <v>763</v>
      </c>
      <c r="AA437" t="s">
        <v>764</v>
      </c>
      <c r="AB437" t="s">
        <v>86</v>
      </c>
      <c r="AC437" t="s">
        <v>87</v>
      </c>
      <c r="AD437" t="s">
        <v>88</v>
      </c>
      <c r="AE437" t="s">
        <v>759</v>
      </c>
      <c r="AG437" t="s">
        <v>765</v>
      </c>
      <c r="AH437">
        <v>0</v>
      </c>
      <c r="AI437">
        <v>362</v>
      </c>
    </row>
    <row r="438" spans="1:35" x14ac:dyDescent="0.3">
      <c r="A438" t="s">
        <v>755</v>
      </c>
      <c r="B438">
        <v>7831</v>
      </c>
      <c r="C438">
        <v>1</v>
      </c>
      <c r="D438" t="s">
        <v>766</v>
      </c>
      <c r="E438" t="s">
        <v>629</v>
      </c>
      <c r="F438">
        <v>80</v>
      </c>
      <c r="G438">
        <v>19.41</v>
      </c>
      <c r="H438">
        <v>64.180000000000007</v>
      </c>
      <c r="I438">
        <v>14.24</v>
      </c>
      <c r="J438">
        <v>47.1</v>
      </c>
      <c r="K438">
        <v>21</v>
      </c>
      <c r="T438">
        <v>2</v>
      </c>
      <c r="U438">
        <v>1</v>
      </c>
      <c r="V438" t="s">
        <v>99</v>
      </c>
      <c r="W438">
        <v>64</v>
      </c>
      <c r="X438">
        <v>12</v>
      </c>
      <c r="Y438">
        <v>9</v>
      </c>
      <c r="Z438" t="s">
        <v>767</v>
      </c>
      <c r="AA438" t="s">
        <v>768</v>
      </c>
      <c r="AB438" t="s">
        <v>86</v>
      </c>
      <c r="AC438" t="s">
        <v>87</v>
      </c>
      <c r="AD438" t="s">
        <v>88</v>
      </c>
      <c r="AE438" t="s">
        <v>759</v>
      </c>
      <c r="AG438" t="s">
        <v>769</v>
      </c>
      <c r="AH438">
        <v>0</v>
      </c>
      <c r="AI438">
        <v>0</v>
      </c>
    </row>
    <row r="439" spans="1:35" x14ac:dyDescent="0.3">
      <c r="A439" t="s">
        <v>755</v>
      </c>
      <c r="B439">
        <v>7831</v>
      </c>
      <c r="C439">
        <v>2</v>
      </c>
      <c r="D439" t="s">
        <v>766</v>
      </c>
      <c r="E439" t="s">
        <v>629</v>
      </c>
      <c r="F439">
        <v>80</v>
      </c>
      <c r="G439">
        <v>24.67</v>
      </c>
      <c r="H439">
        <v>81.56</v>
      </c>
      <c r="I439">
        <v>18.100000000000001</v>
      </c>
      <c r="J439">
        <v>59.85</v>
      </c>
      <c r="K439">
        <v>35</v>
      </c>
      <c r="T439">
        <v>3</v>
      </c>
      <c r="U439">
        <v>1</v>
      </c>
      <c r="V439" t="s">
        <v>99</v>
      </c>
      <c r="W439">
        <v>81</v>
      </c>
      <c r="X439">
        <v>12</v>
      </c>
      <c r="Y439">
        <v>9</v>
      </c>
      <c r="Z439" t="s">
        <v>767</v>
      </c>
      <c r="AA439" t="s">
        <v>768</v>
      </c>
      <c r="AB439" t="s">
        <v>86</v>
      </c>
      <c r="AC439" t="s">
        <v>87</v>
      </c>
      <c r="AD439" t="s">
        <v>88</v>
      </c>
      <c r="AE439" t="s">
        <v>759</v>
      </c>
      <c r="AG439" t="s">
        <v>769</v>
      </c>
      <c r="AH439">
        <v>0</v>
      </c>
      <c r="AI439">
        <v>0</v>
      </c>
    </row>
    <row r="440" spans="1:35" x14ac:dyDescent="0.3">
      <c r="A440" t="s">
        <v>755</v>
      </c>
      <c r="B440">
        <v>7831</v>
      </c>
      <c r="C440">
        <v>3</v>
      </c>
      <c r="D440" t="s">
        <v>766</v>
      </c>
      <c r="E440" t="s">
        <v>629</v>
      </c>
      <c r="F440">
        <v>80</v>
      </c>
      <c r="G440">
        <v>27.7</v>
      </c>
      <c r="H440">
        <v>91.58</v>
      </c>
      <c r="I440">
        <v>22.44</v>
      </c>
      <c r="J440">
        <v>74.2</v>
      </c>
      <c r="K440">
        <v>24</v>
      </c>
      <c r="T440">
        <v>3</v>
      </c>
      <c r="U440">
        <v>1</v>
      </c>
      <c r="V440" t="s">
        <v>82</v>
      </c>
      <c r="W440">
        <v>91</v>
      </c>
      <c r="X440">
        <v>12</v>
      </c>
      <c r="Y440">
        <v>9</v>
      </c>
      <c r="Z440" t="s">
        <v>767</v>
      </c>
      <c r="AA440" t="s">
        <v>768</v>
      </c>
      <c r="AB440" t="s">
        <v>86</v>
      </c>
      <c r="AC440" t="s">
        <v>87</v>
      </c>
      <c r="AD440" t="s">
        <v>88</v>
      </c>
      <c r="AE440" t="s">
        <v>759</v>
      </c>
      <c r="AG440" t="s">
        <v>769</v>
      </c>
      <c r="AH440">
        <v>0</v>
      </c>
      <c r="AI440">
        <v>0</v>
      </c>
    </row>
    <row r="441" spans="1:35" x14ac:dyDescent="0.3">
      <c r="A441" t="s">
        <v>755</v>
      </c>
      <c r="B441">
        <v>15787</v>
      </c>
      <c r="C441">
        <v>1</v>
      </c>
      <c r="D441" t="s">
        <v>770</v>
      </c>
      <c r="E441" t="s">
        <v>494</v>
      </c>
      <c r="F441">
        <v>43</v>
      </c>
      <c r="G441">
        <v>23.49</v>
      </c>
      <c r="H441">
        <v>77.680000000000007</v>
      </c>
      <c r="I441">
        <v>17.86</v>
      </c>
      <c r="J441">
        <v>59.07</v>
      </c>
      <c r="K441">
        <v>3</v>
      </c>
      <c r="T441">
        <v>3</v>
      </c>
      <c r="U441">
        <v>1</v>
      </c>
      <c r="V441" t="s">
        <v>99</v>
      </c>
      <c r="W441" t="s">
        <v>650</v>
      </c>
      <c r="X441">
        <v>9</v>
      </c>
      <c r="Y441">
        <v>8</v>
      </c>
      <c r="Z441" t="s">
        <v>771</v>
      </c>
      <c r="AA441" t="s">
        <v>772</v>
      </c>
      <c r="AB441" t="s">
        <v>86</v>
      </c>
      <c r="AC441" t="s">
        <v>87</v>
      </c>
      <c r="AD441" t="s">
        <v>88</v>
      </c>
      <c r="AE441" t="s">
        <v>759</v>
      </c>
      <c r="AG441" t="s">
        <v>773</v>
      </c>
      <c r="AH441">
        <v>0</v>
      </c>
      <c r="AI441">
        <v>261</v>
      </c>
    </row>
    <row r="442" spans="1:35" x14ac:dyDescent="0.3">
      <c r="A442" t="s">
        <v>755</v>
      </c>
      <c r="B442">
        <v>15787</v>
      </c>
      <c r="C442">
        <v>2</v>
      </c>
      <c r="D442" t="s">
        <v>770</v>
      </c>
      <c r="E442" t="s">
        <v>494</v>
      </c>
      <c r="F442">
        <v>43</v>
      </c>
      <c r="G442">
        <v>23.86</v>
      </c>
      <c r="H442">
        <v>78.89</v>
      </c>
      <c r="I442">
        <v>18.14</v>
      </c>
      <c r="J442">
        <v>59.99</v>
      </c>
      <c r="K442">
        <v>8</v>
      </c>
      <c r="T442">
        <v>3</v>
      </c>
      <c r="U442">
        <v>1</v>
      </c>
      <c r="V442" t="s">
        <v>99</v>
      </c>
      <c r="W442" t="s">
        <v>389</v>
      </c>
      <c r="X442">
        <v>9</v>
      </c>
      <c r="Y442">
        <v>8</v>
      </c>
      <c r="Z442" t="s">
        <v>771</v>
      </c>
      <c r="AA442" t="s">
        <v>772</v>
      </c>
      <c r="AB442" t="s">
        <v>86</v>
      </c>
      <c r="AC442" t="s">
        <v>87</v>
      </c>
      <c r="AD442" t="s">
        <v>88</v>
      </c>
      <c r="AE442" t="s">
        <v>759</v>
      </c>
      <c r="AG442" t="s">
        <v>773</v>
      </c>
      <c r="AH442">
        <v>0</v>
      </c>
      <c r="AI442">
        <v>261</v>
      </c>
    </row>
    <row r="443" spans="1:35" x14ac:dyDescent="0.3">
      <c r="A443" t="s">
        <v>755</v>
      </c>
      <c r="B443">
        <v>15787</v>
      </c>
      <c r="C443">
        <v>3</v>
      </c>
      <c r="D443" t="s">
        <v>770</v>
      </c>
      <c r="E443" t="s">
        <v>494</v>
      </c>
      <c r="F443">
        <v>43</v>
      </c>
      <c r="G443">
        <v>23.87</v>
      </c>
      <c r="H443">
        <v>78.91</v>
      </c>
      <c r="I443">
        <v>18.149999999999999</v>
      </c>
      <c r="J443">
        <v>60</v>
      </c>
      <c r="K443">
        <v>8</v>
      </c>
      <c r="T443">
        <v>3</v>
      </c>
      <c r="U443">
        <v>1</v>
      </c>
      <c r="V443" t="s">
        <v>99</v>
      </c>
      <c r="W443" t="s">
        <v>774</v>
      </c>
      <c r="X443">
        <v>9</v>
      </c>
      <c r="Y443">
        <v>8</v>
      </c>
      <c r="Z443" t="s">
        <v>771</v>
      </c>
      <c r="AA443" t="s">
        <v>772</v>
      </c>
      <c r="AB443" t="s">
        <v>86</v>
      </c>
      <c r="AC443" t="s">
        <v>87</v>
      </c>
      <c r="AD443" t="s">
        <v>88</v>
      </c>
      <c r="AE443" t="s">
        <v>759</v>
      </c>
      <c r="AG443" t="s">
        <v>773</v>
      </c>
      <c r="AH443">
        <v>0</v>
      </c>
      <c r="AI443">
        <v>261</v>
      </c>
    </row>
    <row r="444" spans="1:35" x14ac:dyDescent="0.3">
      <c r="A444" t="s">
        <v>755</v>
      </c>
      <c r="B444">
        <v>15787</v>
      </c>
      <c r="C444">
        <v>4</v>
      </c>
      <c r="D444" t="s">
        <v>770</v>
      </c>
      <c r="E444" t="s">
        <v>494</v>
      </c>
      <c r="F444">
        <v>43</v>
      </c>
      <c r="G444">
        <v>29.93</v>
      </c>
      <c r="H444">
        <v>98.96</v>
      </c>
      <c r="I444">
        <v>22.76</v>
      </c>
      <c r="J444">
        <v>75.25</v>
      </c>
      <c r="K444">
        <v>24</v>
      </c>
      <c r="T444">
        <v>3</v>
      </c>
      <c r="U444">
        <v>2</v>
      </c>
      <c r="V444" t="s">
        <v>99</v>
      </c>
      <c r="W444">
        <v>98</v>
      </c>
      <c r="X444">
        <v>9</v>
      </c>
      <c r="Y444">
        <v>8</v>
      </c>
      <c r="Z444" t="s">
        <v>771</v>
      </c>
      <c r="AA444" t="s">
        <v>772</v>
      </c>
      <c r="AB444" t="s">
        <v>86</v>
      </c>
      <c r="AC444" t="s">
        <v>87</v>
      </c>
      <c r="AD444" t="s">
        <v>88</v>
      </c>
      <c r="AE444" t="s">
        <v>759</v>
      </c>
      <c r="AG444" t="s">
        <v>773</v>
      </c>
      <c r="AH444">
        <v>0</v>
      </c>
      <c r="AI444">
        <v>261</v>
      </c>
    </row>
    <row r="445" spans="1:35" x14ac:dyDescent="0.3">
      <c r="A445" t="s">
        <v>755</v>
      </c>
      <c r="B445">
        <v>121869</v>
      </c>
      <c r="C445">
        <v>1</v>
      </c>
      <c r="D445" t="s">
        <v>775</v>
      </c>
      <c r="E445" t="s">
        <v>776</v>
      </c>
      <c r="F445">
        <v>19</v>
      </c>
      <c r="G445">
        <v>14.91</v>
      </c>
      <c r="H445">
        <v>49.32</v>
      </c>
      <c r="I445">
        <v>12.18</v>
      </c>
      <c r="J445">
        <v>40.270000000000003</v>
      </c>
      <c r="K445">
        <v>1</v>
      </c>
      <c r="T445">
        <v>1</v>
      </c>
      <c r="U445">
        <v>1</v>
      </c>
      <c r="V445" t="s">
        <v>82</v>
      </c>
      <c r="W445">
        <v>49</v>
      </c>
      <c r="X445">
        <v>8</v>
      </c>
      <c r="Y445">
        <v>8</v>
      </c>
      <c r="Z445" t="s">
        <v>777</v>
      </c>
      <c r="AA445" t="s">
        <v>778</v>
      </c>
      <c r="AB445" t="s">
        <v>86</v>
      </c>
      <c r="AC445" t="s">
        <v>87</v>
      </c>
      <c r="AD445" t="s">
        <v>88</v>
      </c>
      <c r="AE445" t="s">
        <v>759</v>
      </c>
      <c r="AG445" t="s">
        <v>779</v>
      </c>
      <c r="AH445">
        <v>0</v>
      </c>
      <c r="AI445">
        <v>219</v>
      </c>
    </row>
    <row r="446" spans="1:35" x14ac:dyDescent="0.3">
      <c r="A446" t="s">
        <v>755</v>
      </c>
      <c r="B446">
        <v>121869</v>
      </c>
      <c r="C446">
        <v>2</v>
      </c>
      <c r="D446" t="s">
        <v>775</v>
      </c>
      <c r="E446" t="s">
        <v>776</v>
      </c>
      <c r="F446">
        <v>19</v>
      </c>
      <c r="G446">
        <v>17.420000000000002</v>
      </c>
      <c r="H446">
        <v>57.61</v>
      </c>
      <c r="I446">
        <v>14.33</v>
      </c>
      <c r="J446">
        <v>47.39</v>
      </c>
      <c r="K446">
        <v>4</v>
      </c>
      <c r="T446">
        <v>1</v>
      </c>
      <c r="U446">
        <v>1</v>
      </c>
      <c r="V446" t="s">
        <v>82</v>
      </c>
      <c r="W446">
        <v>57</v>
      </c>
      <c r="X446">
        <v>8</v>
      </c>
      <c r="Y446">
        <v>8</v>
      </c>
      <c r="Z446" t="s">
        <v>777</v>
      </c>
      <c r="AA446" t="s">
        <v>778</v>
      </c>
      <c r="AB446" t="s">
        <v>86</v>
      </c>
      <c r="AC446" t="s">
        <v>87</v>
      </c>
      <c r="AD446" t="s">
        <v>88</v>
      </c>
      <c r="AE446" t="s">
        <v>759</v>
      </c>
      <c r="AG446" t="s">
        <v>779</v>
      </c>
      <c r="AH446">
        <v>0</v>
      </c>
      <c r="AI446">
        <v>219</v>
      </c>
    </row>
    <row r="447" spans="1:35" x14ac:dyDescent="0.3">
      <c r="A447" t="s">
        <v>755</v>
      </c>
      <c r="B447">
        <v>121869</v>
      </c>
      <c r="C447">
        <v>3</v>
      </c>
      <c r="D447" t="s">
        <v>775</v>
      </c>
      <c r="E447" t="s">
        <v>776</v>
      </c>
      <c r="F447">
        <v>19</v>
      </c>
      <c r="G447">
        <v>26.19</v>
      </c>
      <c r="H447">
        <v>86.58</v>
      </c>
      <c r="I447">
        <v>21.76</v>
      </c>
      <c r="J447">
        <v>71.94</v>
      </c>
      <c r="K447">
        <v>1</v>
      </c>
      <c r="T447">
        <v>3</v>
      </c>
      <c r="U447">
        <v>2</v>
      </c>
      <c r="V447" t="s">
        <v>82</v>
      </c>
      <c r="W447">
        <v>86</v>
      </c>
      <c r="X447">
        <v>8</v>
      </c>
      <c r="Y447">
        <v>8</v>
      </c>
      <c r="Z447" t="s">
        <v>777</v>
      </c>
      <c r="AA447" t="s">
        <v>778</v>
      </c>
      <c r="AB447" t="s">
        <v>86</v>
      </c>
      <c r="AC447" t="s">
        <v>87</v>
      </c>
      <c r="AD447" t="s">
        <v>88</v>
      </c>
      <c r="AE447" t="s">
        <v>759</v>
      </c>
      <c r="AG447" t="s">
        <v>779</v>
      </c>
      <c r="AH447">
        <v>0</v>
      </c>
      <c r="AI447">
        <v>219</v>
      </c>
    </row>
    <row r="448" spans="1:35" x14ac:dyDescent="0.3">
      <c r="A448" t="s">
        <v>755</v>
      </c>
      <c r="B448">
        <v>121869</v>
      </c>
      <c r="C448">
        <v>4</v>
      </c>
      <c r="D448" t="s">
        <v>775</v>
      </c>
      <c r="E448" t="s">
        <v>776</v>
      </c>
      <c r="F448">
        <v>19</v>
      </c>
      <c r="G448">
        <v>27.89</v>
      </c>
      <c r="H448">
        <v>92.21</v>
      </c>
      <c r="I448">
        <v>23.42</v>
      </c>
      <c r="J448">
        <v>77.44</v>
      </c>
      <c r="K448">
        <v>1</v>
      </c>
      <c r="T448">
        <v>3</v>
      </c>
      <c r="U448">
        <v>2</v>
      </c>
      <c r="V448" t="s">
        <v>82</v>
      </c>
      <c r="W448" t="s">
        <v>780</v>
      </c>
      <c r="X448">
        <v>8</v>
      </c>
      <c r="Y448">
        <v>8</v>
      </c>
      <c r="Z448" t="s">
        <v>777</v>
      </c>
      <c r="AA448" t="s">
        <v>778</v>
      </c>
      <c r="AB448" t="s">
        <v>86</v>
      </c>
      <c r="AC448" t="s">
        <v>87</v>
      </c>
      <c r="AD448" t="s">
        <v>88</v>
      </c>
      <c r="AE448" t="s">
        <v>759</v>
      </c>
      <c r="AG448" t="s">
        <v>779</v>
      </c>
      <c r="AH448">
        <v>0</v>
      </c>
      <c r="AI448">
        <v>219</v>
      </c>
    </row>
    <row r="449" spans="1:35" x14ac:dyDescent="0.3">
      <c r="A449" t="s">
        <v>755</v>
      </c>
      <c r="B449">
        <v>121869</v>
      </c>
      <c r="C449">
        <v>5</v>
      </c>
      <c r="D449" t="s">
        <v>775</v>
      </c>
      <c r="E449" t="s">
        <v>776</v>
      </c>
      <c r="F449">
        <v>19</v>
      </c>
      <c r="G449">
        <v>28.13</v>
      </c>
      <c r="H449">
        <v>93.01</v>
      </c>
      <c r="I449">
        <v>23.4</v>
      </c>
      <c r="J449">
        <v>77.37</v>
      </c>
      <c r="K449">
        <v>6</v>
      </c>
      <c r="T449">
        <v>3</v>
      </c>
      <c r="U449">
        <v>2</v>
      </c>
      <c r="V449" t="s">
        <v>82</v>
      </c>
      <c r="W449" t="s">
        <v>651</v>
      </c>
      <c r="X449">
        <v>8</v>
      </c>
      <c r="Y449">
        <v>8</v>
      </c>
      <c r="Z449" t="s">
        <v>777</v>
      </c>
      <c r="AA449" t="s">
        <v>778</v>
      </c>
      <c r="AB449" t="s">
        <v>86</v>
      </c>
      <c r="AC449" t="s">
        <v>87</v>
      </c>
      <c r="AD449" t="s">
        <v>88</v>
      </c>
      <c r="AE449" t="s">
        <v>759</v>
      </c>
      <c r="AG449" t="s">
        <v>779</v>
      </c>
      <c r="AH449">
        <v>0</v>
      </c>
      <c r="AI449">
        <v>219</v>
      </c>
    </row>
    <row r="450" spans="1:35" x14ac:dyDescent="0.3">
      <c r="A450" t="s">
        <v>755</v>
      </c>
      <c r="B450">
        <v>121869</v>
      </c>
      <c r="C450">
        <v>6</v>
      </c>
      <c r="D450" t="s">
        <v>775</v>
      </c>
      <c r="E450" t="s">
        <v>776</v>
      </c>
      <c r="F450">
        <v>19</v>
      </c>
      <c r="G450">
        <v>28.51</v>
      </c>
      <c r="H450">
        <v>94.27</v>
      </c>
      <c r="I450">
        <v>23.92</v>
      </c>
      <c r="J450">
        <v>79.09</v>
      </c>
      <c r="K450">
        <v>6</v>
      </c>
      <c r="T450">
        <v>3</v>
      </c>
      <c r="U450">
        <v>2</v>
      </c>
      <c r="V450" t="s">
        <v>82</v>
      </c>
      <c r="W450">
        <v>94</v>
      </c>
      <c r="X450">
        <v>8</v>
      </c>
      <c r="Y450">
        <v>8</v>
      </c>
      <c r="Z450" t="s">
        <v>777</v>
      </c>
      <c r="AA450" t="s">
        <v>778</v>
      </c>
      <c r="AB450" t="s">
        <v>86</v>
      </c>
      <c r="AC450" t="s">
        <v>87</v>
      </c>
      <c r="AD450" t="s">
        <v>88</v>
      </c>
      <c r="AE450" t="s">
        <v>759</v>
      </c>
      <c r="AG450" t="s">
        <v>779</v>
      </c>
      <c r="AH450">
        <v>0</v>
      </c>
      <c r="AI450">
        <v>219</v>
      </c>
    </row>
    <row r="451" spans="1:35" x14ac:dyDescent="0.3">
      <c r="A451" t="s">
        <v>755</v>
      </c>
      <c r="B451">
        <v>115206</v>
      </c>
      <c r="C451">
        <v>1</v>
      </c>
      <c r="D451" t="s">
        <v>781</v>
      </c>
      <c r="E451" t="s">
        <v>115</v>
      </c>
      <c r="F451">
        <v>88</v>
      </c>
      <c r="G451">
        <v>21.2</v>
      </c>
      <c r="H451">
        <v>70.11</v>
      </c>
      <c r="I451">
        <v>15.86</v>
      </c>
      <c r="J451">
        <v>52.44</v>
      </c>
      <c r="K451">
        <v>2</v>
      </c>
      <c r="T451">
        <v>2</v>
      </c>
      <c r="U451">
        <v>1</v>
      </c>
      <c r="V451" t="s">
        <v>99</v>
      </c>
      <c r="W451" t="s">
        <v>782</v>
      </c>
      <c r="X451">
        <v>14</v>
      </c>
      <c r="Y451">
        <v>8</v>
      </c>
      <c r="Z451" t="s">
        <v>783</v>
      </c>
      <c r="AA451" t="s">
        <v>784</v>
      </c>
      <c r="AB451" t="s">
        <v>86</v>
      </c>
      <c r="AC451" t="s">
        <v>87</v>
      </c>
      <c r="AD451" t="s">
        <v>88</v>
      </c>
      <c r="AE451" t="s">
        <v>759</v>
      </c>
      <c r="AG451" t="s">
        <v>785</v>
      </c>
      <c r="AH451">
        <v>0</v>
      </c>
      <c r="AI451">
        <v>335</v>
      </c>
    </row>
    <row r="452" spans="1:35" x14ac:dyDescent="0.3">
      <c r="A452" t="s">
        <v>755</v>
      </c>
      <c r="B452">
        <v>115206</v>
      </c>
      <c r="C452">
        <v>2</v>
      </c>
      <c r="D452" t="s">
        <v>781</v>
      </c>
      <c r="E452" t="s">
        <v>115</v>
      </c>
      <c r="F452">
        <v>88</v>
      </c>
      <c r="G452">
        <v>21.18</v>
      </c>
      <c r="H452">
        <v>70.02</v>
      </c>
      <c r="I452">
        <v>15.84</v>
      </c>
      <c r="J452">
        <v>52.38</v>
      </c>
      <c r="K452">
        <v>1</v>
      </c>
      <c r="T452">
        <v>2</v>
      </c>
      <c r="U452">
        <v>1</v>
      </c>
      <c r="V452" t="s">
        <v>99</v>
      </c>
      <c r="W452" t="s">
        <v>83</v>
      </c>
      <c r="X452">
        <v>14</v>
      </c>
      <c r="Y452">
        <v>8</v>
      </c>
      <c r="Z452" t="s">
        <v>783</v>
      </c>
      <c r="AA452" t="s">
        <v>784</v>
      </c>
      <c r="AB452" t="s">
        <v>86</v>
      </c>
      <c r="AC452" t="s">
        <v>87</v>
      </c>
      <c r="AD452" t="s">
        <v>88</v>
      </c>
      <c r="AE452" t="s">
        <v>759</v>
      </c>
      <c r="AG452" t="s">
        <v>785</v>
      </c>
      <c r="AH452">
        <v>0</v>
      </c>
      <c r="AI452">
        <v>335</v>
      </c>
    </row>
    <row r="453" spans="1:35" x14ac:dyDescent="0.3">
      <c r="A453" t="s">
        <v>755</v>
      </c>
      <c r="B453">
        <v>115206</v>
      </c>
      <c r="C453">
        <v>3</v>
      </c>
      <c r="D453" t="s">
        <v>781</v>
      </c>
      <c r="E453" t="s">
        <v>115</v>
      </c>
      <c r="F453">
        <v>88</v>
      </c>
      <c r="G453">
        <v>21.25</v>
      </c>
      <c r="H453">
        <v>70.28</v>
      </c>
      <c r="I453">
        <v>16.41</v>
      </c>
      <c r="J453">
        <v>54.27</v>
      </c>
      <c r="K453">
        <v>1</v>
      </c>
      <c r="T453">
        <v>2</v>
      </c>
      <c r="U453">
        <v>1</v>
      </c>
      <c r="V453" t="s">
        <v>82</v>
      </c>
      <c r="W453" t="s">
        <v>786</v>
      </c>
      <c r="X453">
        <v>14</v>
      </c>
      <c r="Y453">
        <v>8</v>
      </c>
      <c r="Z453" t="s">
        <v>783</v>
      </c>
      <c r="AA453" t="s">
        <v>784</v>
      </c>
      <c r="AB453" t="s">
        <v>86</v>
      </c>
      <c r="AC453" t="s">
        <v>87</v>
      </c>
      <c r="AD453" t="s">
        <v>88</v>
      </c>
      <c r="AE453" t="s">
        <v>759</v>
      </c>
      <c r="AG453" t="s">
        <v>785</v>
      </c>
      <c r="AH453">
        <v>0</v>
      </c>
      <c r="AI453">
        <v>335</v>
      </c>
    </row>
    <row r="454" spans="1:35" x14ac:dyDescent="0.3">
      <c r="A454" t="s">
        <v>755</v>
      </c>
      <c r="B454">
        <v>115206</v>
      </c>
      <c r="C454">
        <v>4</v>
      </c>
      <c r="D454" t="s">
        <v>781</v>
      </c>
      <c r="E454" t="s">
        <v>115</v>
      </c>
      <c r="F454">
        <v>88</v>
      </c>
      <c r="G454">
        <v>21.64</v>
      </c>
      <c r="H454">
        <v>71.540000000000006</v>
      </c>
      <c r="I454">
        <v>16.18</v>
      </c>
      <c r="J454">
        <v>53.52</v>
      </c>
      <c r="K454">
        <v>14</v>
      </c>
      <c r="T454">
        <v>2</v>
      </c>
      <c r="U454">
        <v>1</v>
      </c>
      <c r="V454" t="s">
        <v>99</v>
      </c>
      <c r="W454" t="s">
        <v>91</v>
      </c>
      <c r="X454">
        <v>14</v>
      </c>
      <c r="Y454">
        <v>8</v>
      </c>
      <c r="Z454" t="s">
        <v>783</v>
      </c>
      <c r="AA454" t="s">
        <v>784</v>
      </c>
      <c r="AB454" t="s">
        <v>86</v>
      </c>
      <c r="AC454" t="s">
        <v>87</v>
      </c>
      <c r="AD454" t="s">
        <v>88</v>
      </c>
      <c r="AE454" t="s">
        <v>759</v>
      </c>
      <c r="AG454" t="s">
        <v>785</v>
      </c>
      <c r="AH454">
        <v>0</v>
      </c>
      <c r="AI454">
        <v>335</v>
      </c>
    </row>
    <row r="455" spans="1:35" x14ac:dyDescent="0.3">
      <c r="A455" t="s">
        <v>755</v>
      </c>
      <c r="B455">
        <v>115206</v>
      </c>
      <c r="C455">
        <v>5</v>
      </c>
      <c r="D455" t="s">
        <v>781</v>
      </c>
      <c r="E455" t="s">
        <v>115</v>
      </c>
      <c r="F455">
        <v>88</v>
      </c>
      <c r="G455">
        <v>21.61</v>
      </c>
      <c r="H455">
        <v>71.45</v>
      </c>
      <c r="I455">
        <v>16.170000000000002</v>
      </c>
      <c r="J455">
        <v>53.46</v>
      </c>
      <c r="K455">
        <v>7</v>
      </c>
      <c r="T455">
        <v>2</v>
      </c>
      <c r="U455">
        <v>1</v>
      </c>
      <c r="V455" t="s">
        <v>99</v>
      </c>
      <c r="W455" t="s">
        <v>478</v>
      </c>
      <c r="X455">
        <v>14</v>
      </c>
      <c r="Y455">
        <v>8</v>
      </c>
      <c r="Z455" t="s">
        <v>783</v>
      </c>
      <c r="AA455" t="s">
        <v>784</v>
      </c>
      <c r="AB455" t="s">
        <v>86</v>
      </c>
      <c r="AC455" t="s">
        <v>87</v>
      </c>
      <c r="AD455" t="s">
        <v>88</v>
      </c>
      <c r="AE455" t="s">
        <v>759</v>
      </c>
      <c r="AG455" t="s">
        <v>785</v>
      </c>
      <c r="AH455">
        <v>0</v>
      </c>
      <c r="AI455">
        <v>335</v>
      </c>
    </row>
    <row r="456" spans="1:35" x14ac:dyDescent="0.3">
      <c r="A456" t="s">
        <v>755</v>
      </c>
      <c r="B456">
        <v>115206</v>
      </c>
      <c r="C456">
        <v>6</v>
      </c>
      <c r="D456" t="s">
        <v>781</v>
      </c>
      <c r="E456" t="s">
        <v>115</v>
      </c>
      <c r="F456">
        <v>88</v>
      </c>
      <c r="G456">
        <v>21.94</v>
      </c>
      <c r="H456">
        <v>72.540000000000006</v>
      </c>
      <c r="I456">
        <v>16.93</v>
      </c>
      <c r="J456">
        <v>55.99</v>
      </c>
      <c r="K456">
        <v>1</v>
      </c>
      <c r="T456">
        <v>1</v>
      </c>
      <c r="U456">
        <v>1</v>
      </c>
      <c r="V456" t="s">
        <v>82</v>
      </c>
      <c r="W456" t="s">
        <v>787</v>
      </c>
      <c r="X456">
        <v>14</v>
      </c>
      <c r="Y456">
        <v>8</v>
      </c>
      <c r="Z456" t="s">
        <v>783</v>
      </c>
      <c r="AA456" t="s">
        <v>784</v>
      </c>
      <c r="AB456" t="s">
        <v>86</v>
      </c>
      <c r="AC456" t="s">
        <v>87</v>
      </c>
      <c r="AD456" t="s">
        <v>88</v>
      </c>
      <c r="AE456" t="s">
        <v>759</v>
      </c>
      <c r="AG456" t="s">
        <v>785</v>
      </c>
      <c r="AH456">
        <v>0</v>
      </c>
      <c r="AI456">
        <v>335</v>
      </c>
    </row>
    <row r="457" spans="1:35" x14ac:dyDescent="0.3">
      <c r="A457" t="s">
        <v>755</v>
      </c>
      <c r="B457">
        <v>115206</v>
      </c>
      <c r="C457">
        <v>7</v>
      </c>
      <c r="D457" t="s">
        <v>781</v>
      </c>
      <c r="E457" t="s">
        <v>115</v>
      </c>
      <c r="F457">
        <v>88</v>
      </c>
      <c r="G457">
        <v>22.64</v>
      </c>
      <c r="H457">
        <v>74.849999999999994</v>
      </c>
      <c r="I457">
        <v>17.47</v>
      </c>
      <c r="J457">
        <v>57.78</v>
      </c>
      <c r="K457">
        <v>14</v>
      </c>
      <c r="T457">
        <v>2</v>
      </c>
      <c r="U457">
        <v>1</v>
      </c>
      <c r="V457" t="s">
        <v>82</v>
      </c>
      <c r="W457" t="s">
        <v>136</v>
      </c>
      <c r="X457">
        <v>14</v>
      </c>
      <c r="Y457">
        <v>8</v>
      </c>
      <c r="Z457" t="s">
        <v>783</v>
      </c>
      <c r="AA457" t="s">
        <v>784</v>
      </c>
      <c r="AB457" t="s">
        <v>86</v>
      </c>
      <c r="AC457" t="s">
        <v>87</v>
      </c>
      <c r="AD457" t="s">
        <v>88</v>
      </c>
      <c r="AE457" t="s">
        <v>759</v>
      </c>
      <c r="AG457" t="s">
        <v>785</v>
      </c>
      <c r="AH457">
        <v>0</v>
      </c>
      <c r="AI457">
        <v>335</v>
      </c>
    </row>
    <row r="458" spans="1:35" x14ac:dyDescent="0.3">
      <c r="A458" t="s">
        <v>755</v>
      </c>
      <c r="B458">
        <v>115206</v>
      </c>
      <c r="C458">
        <v>8</v>
      </c>
      <c r="D458" t="s">
        <v>781</v>
      </c>
      <c r="E458" t="s">
        <v>115</v>
      </c>
      <c r="F458">
        <v>88</v>
      </c>
      <c r="G458">
        <v>22.58</v>
      </c>
      <c r="H458">
        <v>74.650000000000006</v>
      </c>
      <c r="I458">
        <v>17.829999999999998</v>
      </c>
      <c r="J458">
        <v>58.96</v>
      </c>
      <c r="K458">
        <v>2</v>
      </c>
      <c r="T458">
        <v>2</v>
      </c>
      <c r="U458">
        <v>1</v>
      </c>
      <c r="V458" t="s">
        <v>82</v>
      </c>
      <c r="W458" t="s">
        <v>619</v>
      </c>
      <c r="X458">
        <v>14</v>
      </c>
      <c r="Y458">
        <v>8</v>
      </c>
      <c r="Z458" t="s">
        <v>783</v>
      </c>
      <c r="AA458" t="s">
        <v>784</v>
      </c>
      <c r="AB458" t="s">
        <v>86</v>
      </c>
      <c r="AC458" t="s">
        <v>87</v>
      </c>
      <c r="AD458" t="s">
        <v>88</v>
      </c>
      <c r="AE458" t="s">
        <v>759</v>
      </c>
      <c r="AG458" t="s">
        <v>785</v>
      </c>
      <c r="AH458">
        <v>0</v>
      </c>
      <c r="AI458">
        <v>335</v>
      </c>
    </row>
    <row r="459" spans="1:35" x14ac:dyDescent="0.3">
      <c r="A459" t="s">
        <v>755</v>
      </c>
      <c r="B459">
        <v>115206</v>
      </c>
      <c r="C459">
        <v>9</v>
      </c>
      <c r="D459" t="s">
        <v>781</v>
      </c>
      <c r="E459" t="s">
        <v>115</v>
      </c>
      <c r="F459">
        <v>88</v>
      </c>
      <c r="G459">
        <v>24.46</v>
      </c>
      <c r="H459">
        <v>80.86</v>
      </c>
      <c r="I459">
        <v>19.32</v>
      </c>
      <c r="J459">
        <v>63.88</v>
      </c>
      <c r="K459">
        <v>26</v>
      </c>
      <c r="T459">
        <v>3</v>
      </c>
      <c r="U459">
        <v>1</v>
      </c>
      <c r="V459" t="s">
        <v>82</v>
      </c>
      <c r="W459" t="s">
        <v>788</v>
      </c>
      <c r="X459">
        <v>14</v>
      </c>
      <c r="Y459">
        <v>8</v>
      </c>
      <c r="Z459" t="s">
        <v>783</v>
      </c>
      <c r="AA459" t="s">
        <v>784</v>
      </c>
      <c r="AB459" t="s">
        <v>86</v>
      </c>
      <c r="AC459" t="s">
        <v>87</v>
      </c>
      <c r="AD459" t="s">
        <v>88</v>
      </c>
      <c r="AE459" t="s">
        <v>759</v>
      </c>
      <c r="AG459" t="s">
        <v>785</v>
      </c>
      <c r="AH459">
        <v>0</v>
      </c>
      <c r="AI459">
        <v>335</v>
      </c>
    </row>
    <row r="460" spans="1:35" x14ac:dyDescent="0.3">
      <c r="A460" t="s">
        <v>755</v>
      </c>
      <c r="B460">
        <v>115206</v>
      </c>
      <c r="C460">
        <v>10</v>
      </c>
      <c r="D460" t="s">
        <v>781</v>
      </c>
      <c r="E460" t="s">
        <v>115</v>
      </c>
      <c r="F460">
        <v>88</v>
      </c>
      <c r="G460">
        <v>24.32</v>
      </c>
      <c r="H460">
        <v>80.42</v>
      </c>
      <c r="I460">
        <v>18.77</v>
      </c>
      <c r="J460">
        <v>62.08</v>
      </c>
      <c r="K460">
        <v>13</v>
      </c>
      <c r="T460">
        <v>3</v>
      </c>
      <c r="U460">
        <v>1</v>
      </c>
      <c r="V460" t="s">
        <v>82</v>
      </c>
      <c r="W460" t="s">
        <v>789</v>
      </c>
      <c r="X460">
        <v>14</v>
      </c>
      <c r="Y460">
        <v>8</v>
      </c>
      <c r="Z460" t="s">
        <v>783</v>
      </c>
      <c r="AA460" t="s">
        <v>784</v>
      </c>
      <c r="AB460" t="s">
        <v>86</v>
      </c>
      <c r="AC460" t="s">
        <v>87</v>
      </c>
      <c r="AD460" t="s">
        <v>88</v>
      </c>
      <c r="AE460" t="s">
        <v>759</v>
      </c>
      <c r="AG460" t="s">
        <v>785</v>
      </c>
      <c r="AH460">
        <v>0</v>
      </c>
      <c r="AI460">
        <v>335</v>
      </c>
    </row>
    <row r="461" spans="1:35" x14ac:dyDescent="0.3">
      <c r="A461" t="s">
        <v>755</v>
      </c>
      <c r="B461">
        <v>115206</v>
      </c>
      <c r="C461">
        <v>11</v>
      </c>
      <c r="D461" t="s">
        <v>781</v>
      </c>
      <c r="E461" t="s">
        <v>115</v>
      </c>
      <c r="F461">
        <v>88</v>
      </c>
      <c r="G461">
        <v>26.08</v>
      </c>
      <c r="H461">
        <v>86.22</v>
      </c>
      <c r="I461">
        <v>19.510000000000002</v>
      </c>
      <c r="J461">
        <v>64.5</v>
      </c>
      <c r="K461">
        <v>1</v>
      </c>
      <c r="T461">
        <v>3</v>
      </c>
      <c r="U461">
        <v>1</v>
      </c>
      <c r="V461" t="s">
        <v>82</v>
      </c>
      <c r="W461">
        <v>86</v>
      </c>
      <c r="X461">
        <v>14</v>
      </c>
      <c r="Y461">
        <v>8</v>
      </c>
      <c r="Z461" t="s">
        <v>783</v>
      </c>
      <c r="AA461" t="s">
        <v>784</v>
      </c>
      <c r="AB461" t="s">
        <v>86</v>
      </c>
      <c r="AC461" t="s">
        <v>87</v>
      </c>
      <c r="AD461" t="s">
        <v>88</v>
      </c>
      <c r="AE461" t="s">
        <v>759</v>
      </c>
      <c r="AG461" t="s">
        <v>785</v>
      </c>
      <c r="AH461">
        <v>0</v>
      </c>
      <c r="AI461">
        <v>335</v>
      </c>
    </row>
    <row r="462" spans="1:35" x14ac:dyDescent="0.3">
      <c r="A462" t="s">
        <v>755</v>
      </c>
      <c r="B462">
        <v>115206</v>
      </c>
      <c r="C462">
        <v>12</v>
      </c>
      <c r="D462" t="s">
        <v>781</v>
      </c>
      <c r="E462" t="s">
        <v>115</v>
      </c>
      <c r="F462">
        <v>88</v>
      </c>
      <c r="G462">
        <v>28.61</v>
      </c>
      <c r="H462">
        <v>94.61</v>
      </c>
      <c r="I462">
        <v>21.4</v>
      </c>
      <c r="J462">
        <v>70.77</v>
      </c>
      <c r="K462">
        <v>6</v>
      </c>
      <c r="T462">
        <v>3</v>
      </c>
      <c r="U462">
        <v>2</v>
      </c>
      <c r="V462" t="s">
        <v>82</v>
      </c>
      <c r="W462">
        <v>94</v>
      </c>
      <c r="X462">
        <v>14</v>
      </c>
      <c r="Y462">
        <v>8</v>
      </c>
      <c r="Z462" t="s">
        <v>783</v>
      </c>
      <c r="AA462" t="s">
        <v>784</v>
      </c>
      <c r="AB462" t="s">
        <v>86</v>
      </c>
      <c r="AC462" t="s">
        <v>87</v>
      </c>
      <c r="AD462" t="s">
        <v>88</v>
      </c>
      <c r="AE462" t="s">
        <v>759</v>
      </c>
      <c r="AG462" t="s">
        <v>785</v>
      </c>
      <c r="AH462">
        <v>0</v>
      </c>
      <c r="AI462">
        <v>335</v>
      </c>
    </row>
    <row r="463" spans="1:35" x14ac:dyDescent="0.3">
      <c r="A463" t="s">
        <v>755</v>
      </c>
      <c r="B463">
        <v>121870</v>
      </c>
      <c r="C463">
        <v>1</v>
      </c>
      <c r="D463" t="s">
        <v>790</v>
      </c>
      <c r="E463" t="s">
        <v>791</v>
      </c>
      <c r="F463">
        <v>31</v>
      </c>
      <c r="G463">
        <v>18.93</v>
      </c>
      <c r="H463">
        <v>62.6</v>
      </c>
      <c r="I463">
        <v>15.52</v>
      </c>
      <c r="J463">
        <v>51.32</v>
      </c>
      <c r="K463">
        <v>2</v>
      </c>
      <c r="T463">
        <v>2</v>
      </c>
      <c r="U463">
        <v>1</v>
      </c>
      <c r="V463" t="s">
        <v>82</v>
      </c>
      <c r="W463" t="s">
        <v>792</v>
      </c>
      <c r="X463">
        <v>8</v>
      </c>
      <c r="Y463">
        <v>8</v>
      </c>
      <c r="Z463" t="s">
        <v>793</v>
      </c>
      <c r="AA463" t="s">
        <v>794</v>
      </c>
      <c r="AB463" t="s">
        <v>86</v>
      </c>
      <c r="AC463" t="s">
        <v>87</v>
      </c>
      <c r="AD463" t="s">
        <v>88</v>
      </c>
      <c r="AE463" t="s">
        <v>759</v>
      </c>
      <c r="AG463" t="s">
        <v>795</v>
      </c>
      <c r="AH463">
        <v>0</v>
      </c>
      <c r="AI463">
        <v>263</v>
      </c>
    </row>
    <row r="464" spans="1:35" x14ac:dyDescent="0.3">
      <c r="A464" t="s">
        <v>755</v>
      </c>
      <c r="B464">
        <v>121870</v>
      </c>
      <c r="C464">
        <v>2</v>
      </c>
      <c r="D464" t="s">
        <v>790</v>
      </c>
      <c r="E464" t="s">
        <v>791</v>
      </c>
      <c r="F464">
        <v>31</v>
      </c>
      <c r="G464">
        <v>19.05</v>
      </c>
      <c r="H464">
        <v>63</v>
      </c>
      <c r="I464">
        <v>15.62</v>
      </c>
      <c r="J464">
        <v>51.65</v>
      </c>
      <c r="K464">
        <v>2</v>
      </c>
      <c r="T464">
        <v>2</v>
      </c>
      <c r="U464">
        <v>1</v>
      </c>
      <c r="V464" t="s">
        <v>82</v>
      </c>
      <c r="W464" t="s">
        <v>388</v>
      </c>
      <c r="X464">
        <v>8</v>
      </c>
      <c r="Y464">
        <v>8</v>
      </c>
      <c r="Z464" t="s">
        <v>793</v>
      </c>
      <c r="AA464" t="s">
        <v>794</v>
      </c>
      <c r="AB464" t="s">
        <v>86</v>
      </c>
      <c r="AC464" t="s">
        <v>87</v>
      </c>
      <c r="AD464" t="s">
        <v>88</v>
      </c>
      <c r="AE464" t="s">
        <v>759</v>
      </c>
      <c r="AG464" t="s">
        <v>795</v>
      </c>
      <c r="AH464">
        <v>0</v>
      </c>
      <c r="AI464">
        <v>263</v>
      </c>
    </row>
    <row r="465" spans="1:35" x14ac:dyDescent="0.3">
      <c r="A465" t="s">
        <v>755</v>
      </c>
      <c r="B465">
        <v>121870</v>
      </c>
      <c r="C465">
        <v>3</v>
      </c>
      <c r="D465" t="s">
        <v>790</v>
      </c>
      <c r="E465" t="s">
        <v>791</v>
      </c>
      <c r="F465">
        <v>31</v>
      </c>
      <c r="G465">
        <v>22.06</v>
      </c>
      <c r="H465">
        <v>72.930000000000007</v>
      </c>
      <c r="I465">
        <v>18.079999999999998</v>
      </c>
      <c r="J465">
        <v>59.78</v>
      </c>
      <c r="K465">
        <v>11</v>
      </c>
      <c r="T465">
        <v>3</v>
      </c>
      <c r="U465">
        <v>1</v>
      </c>
      <c r="V465" t="s">
        <v>82</v>
      </c>
      <c r="W465" t="s">
        <v>796</v>
      </c>
      <c r="X465">
        <v>8</v>
      </c>
      <c r="Y465">
        <v>8</v>
      </c>
      <c r="Z465" t="s">
        <v>793</v>
      </c>
      <c r="AA465" t="s">
        <v>794</v>
      </c>
      <c r="AB465" t="s">
        <v>86</v>
      </c>
      <c r="AC465" t="s">
        <v>87</v>
      </c>
      <c r="AD465" t="s">
        <v>88</v>
      </c>
      <c r="AE465" t="s">
        <v>759</v>
      </c>
      <c r="AG465" t="s">
        <v>795</v>
      </c>
      <c r="AH465">
        <v>0</v>
      </c>
      <c r="AI465">
        <v>263</v>
      </c>
    </row>
    <row r="466" spans="1:35" x14ac:dyDescent="0.3">
      <c r="A466" t="s">
        <v>755</v>
      </c>
      <c r="B466">
        <v>121870</v>
      </c>
      <c r="C466">
        <v>4</v>
      </c>
      <c r="D466" t="s">
        <v>790</v>
      </c>
      <c r="E466" t="s">
        <v>791</v>
      </c>
      <c r="F466">
        <v>31</v>
      </c>
      <c r="G466">
        <v>21.79</v>
      </c>
      <c r="H466">
        <v>72.05</v>
      </c>
      <c r="I466">
        <v>17.86</v>
      </c>
      <c r="J466">
        <v>59.06</v>
      </c>
      <c r="K466">
        <v>2</v>
      </c>
      <c r="T466">
        <v>3</v>
      </c>
      <c r="U466">
        <v>1</v>
      </c>
      <c r="V466" t="s">
        <v>82</v>
      </c>
      <c r="W466" t="s">
        <v>797</v>
      </c>
      <c r="X466">
        <v>8</v>
      </c>
      <c r="Y466">
        <v>8</v>
      </c>
      <c r="Z466" t="s">
        <v>793</v>
      </c>
      <c r="AA466" t="s">
        <v>794</v>
      </c>
      <c r="AB466" t="s">
        <v>86</v>
      </c>
      <c r="AC466" t="s">
        <v>87</v>
      </c>
      <c r="AD466" t="s">
        <v>88</v>
      </c>
      <c r="AE466" t="s">
        <v>759</v>
      </c>
      <c r="AG466" t="s">
        <v>795</v>
      </c>
      <c r="AH466">
        <v>0</v>
      </c>
      <c r="AI466">
        <v>263</v>
      </c>
    </row>
    <row r="467" spans="1:35" x14ac:dyDescent="0.3">
      <c r="A467" t="s">
        <v>755</v>
      </c>
      <c r="B467">
        <v>121870</v>
      </c>
      <c r="C467">
        <v>5</v>
      </c>
      <c r="D467" t="s">
        <v>790</v>
      </c>
      <c r="E467" t="s">
        <v>791</v>
      </c>
      <c r="F467">
        <v>31</v>
      </c>
      <c r="G467">
        <v>22.55</v>
      </c>
      <c r="H467">
        <v>74.55</v>
      </c>
      <c r="I467">
        <v>18.48</v>
      </c>
      <c r="J467">
        <v>61.11</v>
      </c>
      <c r="K467">
        <v>2</v>
      </c>
      <c r="T467">
        <v>3</v>
      </c>
      <c r="U467">
        <v>1</v>
      </c>
      <c r="V467" t="s">
        <v>82</v>
      </c>
      <c r="W467">
        <v>74</v>
      </c>
      <c r="X467">
        <v>8</v>
      </c>
      <c r="Y467">
        <v>8</v>
      </c>
      <c r="Z467" t="s">
        <v>793</v>
      </c>
      <c r="AA467" t="s">
        <v>794</v>
      </c>
      <c r="AB467" t="s">
        <v>86</v>
      </c>
      <c r="AC467" t="s">
        <v>87</v>
      </c>
      <c r="AD467" t="s">
        <v>88</v>
      </c>
      <c r="AE467" t="s">
        <v>759</v>
      </c>
      <c r="AG467" t="s">
        <v>795</v>
      </c>
      <c r="AH467">
        <v>0</v>
      </c>
      <c r="AI467">
        <v>263</v>
      </c>
    </row>
    <row r="468" spans="1:35" x14ac:dyDescent="0.3">
      <c r="A468" t="s">
        <v>755</v>
      </c>
      <c r="B468">
        <v>121870</v>
      </c>
      <c r="C468">
        <v>6</v>
      </c>
      <c r="D468" t="s">
        <v>790</v>
      </c>
      <c r="E468" t="s">
        <v>791</v>
      </c>
      <c r="F468">
        <v>31</v>
      </c>
      <c r="G468">
        <v>24.15</v>
      </c>
      <c r="H468">
        <v>79.84</v>
      </c>
      <c r="I468">
        <v>19.79</v>
      </c>
      <c r="J468">
        <v>65.430000000000007</v>
      </c>
      <c r="K468">
        <v>12</v>
      </c>
      <c r="T468">
        <v>3</v>
      </c>
      <c r="U468">
        <v>1</v>
      </c>
      <c r="V468" t="s">
        <v>82</v>
      </c>
      <c r="W468">
        <v>79</v>
      </c>
      <c r="X468">
        <v>8</v>
      </c>
      <c r="Y468">
        <v>8</v>
      </c>
      <c r="Z468" t="s">
        <v>793</v>
      </c>
      <c r="AA468" t="s">
        <v>794</v>
      </c>
      <c r="AB468" t="s">
        <v>86</v>
      </c>
      <c r="AC468" t="s">
        <v>87</v>
      </c>
      <c r="AD468" t="s">
        <v>88</v>
      </c>
      <c r="AE468" t="s">
        <v>759</v>
      </c>
      <c r="AG468" t="s">
        <v>795</v>
      </c>
      <c r="AH468">
        <v>0</v>
      </c>
      <c r="AI468">
        <v>263</v>
      </c>
    </row>
    <row r="469" spans="1:35" x14ac:dyDescent="0.3">
      <c r="A469" t="s">
        <v>755</v>
      </c>
      <c r="B469">
        <v>16820</v>
      </c>
      <c r="C469">
        <v>1</v>
      </c>
      <c r="D469" t="s">
        <v>798</v>
      </c>
      <c r="E469" t="s">
        <v>799</v>
      </c>
      <c r="F469">
        <v>34</v>
      </c>
      <c r="G469">
        <v>14.2</v>
      </c>
      <c r="H469">
        <v>46.97</v>
      </c>
      <c r="I469">
        <v>12.62</v>
      </c>
      <c r="J469">
        <v>41.73</v>
      </c>
      <c r="K469">
        <v>1</v>
      </c>
      <c r="T469">
        <v>1</v>
      </c>
      <c r="U469">
        <v>1</v>
      </c>
      <c r="V469" t="s">
        <v>82</v>
      </c>
      <c r="W469">
        <v>46</v>
      </c>
      <c r="X469">
        <v>9</v>
      </c>
      <c r="Y469">
        <v>9</v>
      </c>
      <c r="Z469" t="s">
        <v>800</v>
      </c>
      <c r="AA469" t="s">
        <v>801</v>
      </c>
      <c r="AB469" t="s">
        <v>86</v>
      </c>
      <c r="AC469" t="s">
        <v>87</v>
      </c>
      <c r="AD469" t="s">
        <v>88</v>
      </c>
      <c r="AE469" t="s">
        <v>759</v>
      </c>
      <c r="AG469" t="s">
        <v>802</v>
      </c>
      <c r="AH469">
        <v>0</v>
      </c>
      <c r="AI469">
        <v>285</v>
      </c>
    </row>
    <row r="470" spans="1:35" x14ac:dyDescent="0.3">
      <c r="A470" t="s">
        <v>755</v>
      </c>
      <c r="B470">
        <v>16820</v>
      </c>
      <c r="C470">
        <v>2</v>
      </c>
      <c r="D470" t="s">
        <v>798</v>
      </c>
      <c r="E470" t="s">
        <v>799</v>
      </c>
      <c r="F470">
        <v>34</v>
      </c>
      <c r="G470">
        <v>17.420000000000002</v>
      </c>
      <c r="H470">
        <v>57.61</v>
      </c>
      <c r="I470">
        <v>15.48</v>
      </c>
      <c r="J470">
        <v>51.18</v>
      </c>
      <c r="K470">
        <v>1</v>
      </c>
      <c r="T470">
        <v>2</v>
      </c>
      <c r="U470">
        <v>1</v>
      </c>
      <c r="V470" t="s">
        <v>82</v>
      </c>
      <c r="W470">
        <v>57</v>
      </c>
      <c r="X470">
        <v>9</v>
      </c>
      <c r="Y470">
        <v>9</v>
      </c>
      <c r="Z470" t="s">
        <v>800</v>
      </c>
      <c r="AA470" t="s">
        <v>801</v>
      </c>
      <c r="AB470" t="s">
        <v>86</v>
      </c>
      <c r="AC470" t="s">
        <v>87</v>
      </c>
      <c r="AD470" t="s">
        <v>88</v>
      </c>
      <c r="AE470" t="s">
        <v>759</v>
      </c>
      <c r="AG470" t="s">
        <v>802</v>
      </c>
      <c r="AH470">
        <v>0</v>
      </c>
      <c r="AI470">
        <v>285</v>
      </c>
    </row>
    <row r="471" spans="1:35" x14ac:dyDescent="0.3">
      <c r="A471" t="s">
        <v>755</v>
      </c>
      <c r="B471">
        <v>16820</v>
      </c>
      <c r="C471">
        <v>3</v>
      </c>
      <c r="D471" t="s">
        <v>798</v>
      </c>
      <c r="E471" t="s">
        <v>799</v>
      </c>
      <c r="F471">
        <v>34</v>
      </c>
      <c r="G471">
        <v>22.21</v>
      </c>
      <c r="H471">
        <v>73.44</v>
      </c>
      <c r="I471">
        <v>18.100000000000001</v>
      </c>
      <c r="J471">
        <v>59.85</v>
      </c>
      <c r="K471">
        <v>8</v>
      </c>
      <c r="T471">
        <v>3</v>
      </c>
      <c r="U471">
        <v>1</v>
      </c>
      <c r="V471" t="s">
        <v>82</v>
      </c>
      <c r="W471">
        <v>73</v>
      </c>
      <c r="X471">
        <v>9</v>
      </c>
      <c r="Y471">
        <v>9</v>
      </c>
      <c r="Z471" t="s">
        <v>800</v>
      </c>
      <c r="AA471" t="s">
        <v>801</v>
      </c>
      <c r="AB471" t="s">
        <v>86</v>
      </c>
      <c r="AC471" t="s">
        <v>87</v>
      </c>
      <c r="AD471" t="s">
        <v>88</v>
      </c>
      <c r="AE471" t="s">
        <v>759</v>
      </c>
      <c r="AG471" t="s">
        <v>802</v>
      </c>
      <c r="AH471">
        <v>0</v>
      </c>
      <c r="AI471">
        <v>285</v>
      </c>
    </row>
    <row r="472" spans="1:35" x14ac:dyDescent="0.3">
      <c r="A472" t="s">
        <v>755</v>
      </c>
      <c r="B472">
        <v>16820</v>
      </c>
      <c r="C472">
        <v>4</v>
      </c>
      <c r="D472" t="s">
        <v>798</v>
      </c>
      <c r="E472" t="s">
        <v>799</v>
      </c>
      <c r="F472">
        <v>34</v>
      </c>
      <c r="G472">
        <v>25.28</v>
      </c>
      <c r="H472">
        <v>83.58</v>
      </c>
      <c r="I472">
        <v>22.46</v>
      </c>
      <c r="J472">
        <v>74.25</v>
      </c>
      <c r="K472">
        <v>1</v>
      </c>
      <c r="T472">
        <v>3</v>
      </c>
      <c r="U472">
        <v>1</v>
      </c>
      <c r="V472" t="s">
        <v>82</v>
      </c>
      <c r="W472">
        <v>83</v>
      </c>
      <c r="X472">
        <v>9</v>
      </c>
      <c r="Y472">
        <v>9</v>
      </c>
      <c r="Z472" t="s">
        <v>800</v>
      </c>
      <c r="AA472" t="s">
        <v>801</v>
      </c>
      <c r="AB472" t="s">
        <v>86</v>
      </c>
      <c r="AC472" t="s">
        <v>87</v>
      </c>
      <c r="AD472" t="s">
        <v>88</v>
      </c>
      <c r="AE472" t="s">
        <v>759</v>
      </c>
      <c r="AG472" t="s">
        <v>802</v>
      </c>
      <c r="AH472">
        <v>0</v>
      </c>
      <c r="AI472">
        <v>285</v>
      </c>
    </row>
    <row r="473" spans="1:35" x14ac:dyDescent="0.3">
      <c r="A473" t="s">
        <v>755</v>
      </c>
      <c r="B473">
        <v>16820</v>
      </c>
      <c r="C473">
        <v>5</v>
      </c>
      <c r="D473" t="s">
        <v>798</v>
      </c>
      <c r="E473" t="s">
        <v>799</v>
      </c>
      <c r="F473">
        <v>34</v>
      </c>
      <c r="G473">
        <v>26.2</v>
      </c>
      <c r="H473">
        <v>86.62</v>
      </c>
      <c r="I473">
        <v>23.27</v>
      </c>
      <c r="J473">
        <v>76.95</v>
      </c>
      <c r="K473">
        <v>1</v>
      </c>
      <c r="T473">
        <v>3</v>
      </c>
      <c r="U473">
        <v>1</v>
      </c>
      <c r="V473" t="s">
        <v>82</v>
      </c>
      <c r="W473">
        <v>86</v>
      </c>
      <c r="X473">
        <v>9</v>
      </c>
      <c r="Y473">
        <v>9</v>
      </c>
      <c r="Z473" t="s">
        <v>800</v>
      </c>
      <c r="AA473" t="s">
        <v>801</v>
      </c>
      <c r="AB473" t="s">
        <v>86</v>
      </c>
      <c r="AC473" t="s">
        <v>87</v>
      </c>
      <c r="AD473" t="s">
        <v>88</v>
      </c>
      <c r="AE473" t="s">
        <v>759</v>
      </c>
      <c r="AG473" t="s">
        <v>802</v>
      </c>
      <c r="AH473">
        <v>0</v>
      </c>
      <c r="AI473">
        <v>285</v>
      </c>
    </row>
    <row r="474" spans="1:35" x14ac:dyDescent="0.3">
      <c r="A474" t="s">
        <v>755</v>
      </c>
      <c r="B474">
        <v>16820</v>
      </c>
      <c r="C474">
        <v>6</v>
      </c>
      <c r="D474" t="s">
        <v>798</v>
      </c>
      <c r="E474" t="s">
        <v>799</v>
      </c>
      <c r="F474">
        <v>34</v>
      </c>
      <c r="G474">
        <v>28.41</v>
      </c>
      <c r="H474">
        <v>93.93</v>
      </c>
      <c r="I474">
        <v>25.24</v>
      </c>
      <c r="J474">
        <v>83.44</v>
      </c>
      <c r="K474">
        <v>1</v>
      </c>
      <c r="T474">
        <v>3</v>
      </c>
      <c r="U474">
        <v>2</v>
      </c>
      <c r="V474" t="s">
        <v>82</v>
      </c>
      <c r="W474">
        <v>93</v>
      </c>
      <c r="X474">
        <v>9</v>
      </c>
      <c r="Y474">
        <v>9</v>
      </c>
      <c r="Z474" t="s">
        <v>800</v>
      </c>
      <c r="AA474" t="s">
        <v>801</v>
      </c>
      <c r="AB474" t="s">
        <v>86</v>
      </c>
      <c r="AC474" t="s">
        <v>87</v>
      </c>
      <c r="AD474" t="s">
        <v>88</v>
      </c>
      <c r="AE474" t="s">
        <v>759</v>
      </c>
      <c r="AG474" t="s">
        <v>802</v>
      </c>
      <c r="AH474">
        <v>0</v>
      </c>
      <c r="AI474">
        <v>285</v>
      </c>
    </row>
    <row r="475" spans="1:35" x14ac:dyDescent="0.3">
      <c r="A475" t="s">
        <v>755</v>
      </c>
      <c r="B475">
        <v>16820</v>
      </c>
      <c r="C475">
        <v>7</v>
      </c>
      <c r="D475" t="s">
        <v>798</v>
      </c>
      <c r="E475" t="s">
        <v>799</v>
      </c>
      <c r="F475">
        <v>34</v>
      </c>
      <c r="G475">
        <v>28.92</v>
      </c>
      <c r="H475">
        <v>95.62</v>
      </c>
      <c r="I475">
        <v>25.69</v>
      </c>
      <c r="J475">
        <v>84.94</v>
      </c>
      <c r="K475">
        <v>6</v>
      </c>
      <c r="T475">
        <v>3</v>
      </c>
      <c r="U475">
        <v>1</v>
      </c>
      <c r="V475" t="s">
        <v>82</v>
      </c>
      <c r="W475" t="s">
        <v>626</v>
      </c>
      <c r="X475">
        <v>9</v>
      </c>
      <c r="Y475">
        <v>9</v>
      </c>
      <c r="Z475" t="s">
        <v>800</v>
      </c>
      <c r="AA475" t="s">
        <v>801</v>
      </c>
      <c r="AB475" t="s">
        <v>86</v>
      </c>
      <c r="AC475" t="s">
        <v>87</v>
      </c>
      <c r="AD475" t="s">
        <v>88</v>
      </c>
      <c r="AE475" t="s">
        <v>759</v>
      </c>
      <c r="AG475" t="s">
        <v>802</v>
      </c>
      <c r="AH475">
        <v>0</v>
      </c>
      <c r="AI475">
        <v>285</v>
      </c>
    </row>
    <row r="476" spans="1:35" x14ac:dyDescent="0.3">
      <c r="A476" t="s">
        <v>755</v>
      </c>
      <c r="B476">
        <v>16820</v>
      </c>
      <c r="C476">
        <v>8</v>
      </c>
      <c r="D476" t="s">
        <v>798</v>
      </c>
      <c r="E476" t="s">
        <v>799</v>
      </c>
      <c r="F476">
        <v>34</v>
      </c>
      <c r="G476">
        <v>29.44</v>
      </c>
      <c r="H476">
        <v>97.33</v>
      </c>
      <c r="I476">
        <v>23.99</v>
      </c>
      <c r="J476">
        <v>79.319999999999993</v>
      </c>
      <c r="K476">
        <v>1</v>
      </c>
      <c r="T476">
        <v>3</v>
      </c>
      <c r="U476">
        <v>2</v>
      </c>
      <c r="V476" t="s">
        <v>82</v>
      </c>
      <c r="W476" t="s">
        <v>392</v>
      </c>
      <c r="X476">
        <v>9</v>
      </c>
      <c r="Y476">
        <v>9</v>
      </c>
      <c r="Z476" t="s">
        <v>800</v>
      </c>
      <c r="AA476" t="s">
        <v>801</v>
      </c>
      <c r="AB476" t="s">
        <v>86</v>
      </c>
      <c r="AC476" t="s">
        <v>87</v>
      </c>
      <c r="AD476" t="s">
        <v>88</v>
      </c>
      <c r="AE476" t="s">
        <v>759</v>
      </c>
      <c r="AG476" t="s">
        <v>802</v>
      </c>
      <c r="AH476">
        <v>0</v>
      </c>
      <c r="AI476">
        <v>285</v>
      </c>
    </row>
    <row r="477" spans="1:35" x14ac:dyDescent="0.3">
      <c r="A477" t="s">
        <v>755</v>
      </c>
      <c r="B477">
        <v>16820</v>
      </c>
      <c r="C477">
        <v>9</v>
      </c>
      <c r="D477" t="s">
        <v>798</v>
      </c>
      <c r="E477" t="s">
        <v>799</v>
      </c>
      <c r="F477">
        <v>34</v>
      </c>
      <c r="G477">
        <v>30.14</v>
      </c>
      <c r="H477">
        <v>99.66</v>
      </c>
      <c r="I477">
        <v>24.56</v>
      </c>
      <c r="J477">
        <v>81.22</v>
      </c>
      <c r="K477">
        <v>7</v>
      </c>
      <c r="T477">
        <v>3</v>
      </c>
      <c r="U477">
        <v>2</v>
      </c>
      <c r="V477" t="s">
        <v>82</v>
      </c>
      <c r="W477">
        <v>99</v>
      </c>
      <c r="X477">
        <v>9</v>
      </c>
      <c r="Y477">
        <v>9</v>
      </c>
      <c r="Z477" t="s">
        <v>800</v>
      </c>
      <c r="AA477" t="s">
        <v>801</v>
      </c>
      <c r="AB477" t="s">
        <v>86</v>
      </c>
      <c r="AC477" t="s">
        <v>87</v>
      </c>
      <c r="AD477" t="s">
        <v>88</v>
      </c>
      <c r="AE477" t="s">
        <v>759</v>
      </c>
      <c r="AG477" t="s">
        <v>802</v>
      </c>
      <c r="AH477">
        <v>0</v>
      </c>
      <c r="AI477">
        <v>285</v>
      </c>
    </row>
    <row r="478" spans="1:35" x14ac:dyDescent="0.3">
      <c r="A478" t="s">
        <v>755</v>
      </c>
      <c r="B478">
        <v>16820</v>
      </c>
      <c r="C478">
        <v>10</v>
      </c>
      <c r="D478" t="s">
        <v>798</v>
      </c>
      <c r="E478" t="s">
        <v>799</v>
      </c>
      <c r="F478">
        <v>34</v>
      </c>
      <c r="G478">
        <v>34.659999999999997</v>
      </c>
      <c r="H478">
        <v>114.6</v>
      </c>
      <c r="I478">
        <v>30.79</v>
      </c>
      <c r="J478">
        <v>101.8</v>
      </c>
      <c r="K478">
        <v>1</v>
      </c>
      <c r="T478">
        <v>3</v>
      </c>
      <c r="U478">
        <v>2</v>
      </c>
      <c r="V478" t="s">
        <v>82</v>
      </c>
      <c r="W478">
        <v>114</v>
      </c>
      <c r="X478">
        <v>9</v>
      </c>
      <c r="Y478">
        <v>9</v>
      </c>
      <c r="Z478" t="s">
        <v>800</v>
      </c>
      <c r="AA478" t="s">
        <v>801</v>
      </c>
      <c r="AB478" t="s">
        <v>86</v>
      </c>
      <c r="AC478" t="s">
        <v>87</v>
      </c>
      <c r="AD478" t="s">
        <v>88</v>
      </c>
      <c r="AE478" t="s">
        <v>759</v>
      </c>
      <c r="AG478" t="s">
        <v>802</v>
      </c>
      <c r="AH478">
        <v>0</v>
      </c>
      <c r="AI478">
        <v>285</v>
      </c>
    </row>
    <row r="479" spans="1:35" x14ac:dyDescent="0.3">
      <c r="A479" t="s">
        <v>755</v>
      </c>
      <c r="B479">
        <v>16820</v>
      </c>
      <c r="C479">
        <v>11</v>
      </c>
      <c r="D479" t="s">
        <v>798</v>
      </c>
      <c r="E479" t="s">
        <v>799</v>
      </c>
      <c r="F479">
        <v>34</v>
      </c>
      <c r="G479">
        <v>35.69</v>
      </c>
      <c r="H479">
        <v>118.01</v>
      </c>
      <c r="I479">
        <v>31.71</v>
      </c>
      <c r="J479">
        <v>104.83</v>
      </c>
      <c r="K479">
        <v>6</v>
      </c>
      <c r="T479">
        <v>3</v>
      </c>
      <c r="U479">
        <v>2</v>
      </c>
      <c r="V479" t="s">
        <v>82</v>
      </c>
      <c r="W479">
        <v>118</v>
      </c>
      <c r="X479">
        <v>9</v>
      </c>
      <c r="Y479">
        <v>9</v>
      </c>
      <c r="Z479" t="s">
        <v>800</v>
      </c>
      <c r="AA479" t="s">
        <v>801</v>
      </c>
      <c r="AB479" t="s">
        <v>86</v>
      </c>
      <c r="AC479" t="s">
        <v>87</v>
      </c>
      <c r="AD479" t="s">
        <v>88</v>
      </c>
      <c r="AE479" t="s">
        <v>759</v>
      </c>
      <c r="AG479" t="s">
        <v>802</v>
      </c>
      <c r="AH479">
        <v>0</v>
      </c>
      <c r="AI479">
        <v>285</v>
      </c>
    </row>
    <row r="480" spans="1:35" x14ac:dyDescent="0.3">
      <c r="A480" t="s">
        <v>755</v>
      </c>
      <c r="B480">
        <v>16821</v>
      </c>
      <c r="C480">
        <v>1</v>
      </c>
      <c r="D480" t="s">
        <v>803</v>
      </c>
      <c r="E480" t="s">
        <v>804</v>
      </c>
      <c r="F480">
        <v>30</v>
      </c>
      <c r="G480">
        <v>18.64</v>
      </c>
      <c r="H480">
        <v>61.62</v>
      </c>
      <c r="I480">
        <v>15.31</v>
      </c>
      <c r="J480">
        <v>50.62</v>
      </c>
      <c r="K480">
        <v>1</v>
      </c>
      <c r="T480">
        <v>3</v>
      </c>
      <c r="U480">
        <v>1</v>
      </c>
      <c r="V480" t="s">
        <v>82</v>
      </c>
      <c r="W480">
        <v>61</v>
      </c>
      <c r="X480">
        <v>10</v>
      </c>
      <c r="Y480">
        <v>10</v>
      </c>
      <c r="Z480" t="s">
        <v>805</v>
      </c>
      <c r="AA480" t="s">
        <v>806</v>
      </c>
      <c r="AB480" t="s">
        <v>86</v>
      </c>
      <c r="AC480" t="s">
        <v>87</v>
      </c>
      <c r="AD480" t="s">
        <v>88</v>
      </c>
      <c r="AE480" t="s">
        <v>759</v>
      </c>
      <c r="AG480" t="s">
        <v>807</v>
      </c>
      <c r="AH480">
        <v>0</v>
      </c>
      <c r="AI480">
        <v>346</v>
      </c>
    </row>
    <row r="481" spans="1:35" x14ac:dyDescent="0.3">
      <c r="A481" t="s">
        <v>755</v>
      </c>
      <c r="B481">
        <v>16821</v>
      </c>
      <c r="C481">
        <v>2</v>
      </c>
      <c r="D481" t="s">
        <v>803</v>
      </c>
      <c r="E481" t="s">
        <v>804</v>
      </c>
      <c r="F481">
        <v>30</v>
      </c>
      <c r="G481">
        <v>21.32</v>
      </c>
      <c r="H481">
        <v>70.489999999999995</v>
      </c>
      <c r="I481">
        <v>17.510000000000002</v>
      </c>
      <c r="J481">
        <v>57.91</v>
      </c>
      <c r="K481">
        <v>1</v>
      </c>
      <c r="T481">
        <v>3</v>
      </c>
      <c r="U481">
        <v>1</v>
      </c>
      <c r="V481" t="s">
        <v>82</v>
      </c>
      <c r="W481">
        <v>70</v>
      </c>
      <c r="X481">
        <v>10</v>
      </c>
      <c r="Y481">
        <v>10</v>
      </c>
      <c r="Z481" t="s">
        <v>805</v>
      </c>
      <c r="AA481" t="s">
        <v>806</v>
      </c>
      <c r="AB481" t="s">
        <v>86</v>
      </c>
      <c r="AC481" t="s">
        <v>87</v>
      </c>
      <c r="AD481" t="s">
        <v>88</v>
      </c>
      <c r="AE481" t="s">
        <v>759</v>
      </c>
      <c r="AG481" t="s">
        <v>807</v>
      </c>
      <c r="AH481">
        <v>0</v>
      </c>
      <c r="AI481">
        <v>346</v>
      </c>
    </row>
    <row r="482" spans="1:35" x14ac:dyDescent="0.3">
      <c r="A482" t="s">
        <v>755</v>
      </c>
      <c r="B482">
        <v>16821</v>
      </c>
      <c r="C482">
        <v>3</v>
      </c>
      <c r="D482" t="s">
        <v>803</v>
      </c>
      <c r="E482" t="s">
        <v>804</v>
      </c>
      <c r="F482">
        <v>30</v>
      </c>
      <c r="G482">
        <v>21.55</v>
      </c>
      <c r="H482">
        <v>71.260000000000005</v>
      </c>
      <c r="I482">
        <v>17.7</v>
      </c>
      <c r="J482">
        <v>58.54</v>
      </c>
      <c r="K482">
        <v>9</v>
      </c>
      <c r="T482">
        <v>3</v>
      </c>
      <c r="U482">
        <v>1</v>
      </c>
      <c r="V482" t="s">
        <v>82</v>
      </c>
      <c r="W482" t="s">
        <v>478</v>
      </c>
      <c r="X482">
        <v>10</v>
      </c>
      <c r="Y482">
        <v>10</v>
      </c>
      <c r="Z482" t="s">
        <v>805</v>
      </c>
      <c r="AA482" t="s">
        <v>806</v>
      </c>
      <c r="AB482" t="s">
        <v>86</v>
      </c>
      <c r="AC482" t="s">
        <v>87</v>
      </c>
      <c r="AD482" t="s">
        <v>88</v>
      </c>
      <c r="AE482" t="s">
        <v>759</v>
      </c>
      <c r="AG482" t="s">
        <v>807</v>
      </c>
      <c r="AH482">
        <v>0</v>
      </c>
      <c r="AI482">
        <v>346</v>
      </c>
    </row>
    <row r="483" spans="1:35" x14ac:dyDescent="0.3">
      <c r="A483" t="s">
        <v>755</v>
      </c>
      <c r="B483">
        <v>16821</v>
      </c>
      <c r="C483">
        <v>4</v>
      </c>
      <c r="D483" t="s">
        <v>803</v>
      </c>
      <c r="E483" t="s">
        <v>804</v>
      </c>
      <c r="F483">
        <v>30</v>
      </c>
      <c r="G483">
        <v>21.62</v>
      </c>
      <c r="H483">
        <v>71.48</v>
      </c>
      <c r="I483">
        <v>17.760000000000002</v>
      </c>
      <c r="J483">
        <v>58.72</v>
      </c>
      <c r="K483">
        <v>1</v>
      </c>
      <c r="T483">
        <v>3</v>
      </c>
      <c r="U483">
        <v>1</v>
      </c>
      <c r="V483" t="s">
        <v>82</v>
      </c>
      <c r="W483" t="s">
        <v>91</v>
      </c>
      <c r="X483">
        <v>10</v>
      </c>
      <c r="Y483">
        <v>10</v>
      </c>
      <c r="Z483" t="s">
        <v>805</v>
      </c>
      <c r="AA483" t="s">
        <v>806</v>
      </c>
      <c r="AB483" t="s">
        <v>86</v>
      </c>
      <c r="AC483" t="s">
        <v>87</v>
      </c>
      <c r="AD483" t="s">
        <v>88</v>
      </c>
      <c r="AE483" t="s">
        <v>759</v>
      </c>
      <c r="AG483" t="s">
        <v>807</v>
      </c>
      <c r="AH483">
        <v>0</v>
      </c>
      <c r="AI483">
        <v>346</v>
      </c>
    </row>
    <row r="484" spans="1:35" x14ac:dyDescent="0.3">
      <c r="A484" t="s">
        <v>755</v>
      </c>
      <c r="B484">
        <v>16821</v>
      </c>
      <c r="C484">
        <v>5</v>
      </c>
      <c r="D484" t="s">
        <v>803</v>
      </c>
      <c r="E484" t="s">
        <v>804</v>
      </c>
      <c r="F484">
        <v>30</v>
      </c>
      <c r="G484">
        <v>21.68</v>
      </c>
      <c r="H484">
        <v>71.69</v>
      </c>
      <c r="I484">
        <v>17.809999999999999</v>
      </c>
      <c r="J484">
        <v>58.9</v>
      </c>
      <c r="K484">
        <v>1</v>
      </c>
      <c r="T484">
        <v>3</v>
      </c>
      <c r="U484">
        <v>1</v>
      </c>
      <c r="V484" t="s">
        <v>82</v>
      </c>
      <c r="W484" t="s">
        <v>93</v>
      </c>
      <c r="X484">
        <v>10</v>
      </c>
      <c r="Y484">
        <v>10</v>
      </c>
      <c r="Z484" t="s">
        <v>805</v>
      </c>
      <c r="AA484" t="s">
        <v>806</v>
      </c>
      <c r="AB484" t="s">
        <v>86</v>
      </c>
      <c r="AC484" t="s">
        <v>87</v>
      </c>
      <c r="AD484" t="s">
        <v>88</v>
      </c>
      <c r="AE484" t="s">
        <v>759</v>
      </c>
      <c r="AG484" t="s">
        <v>807</v>
      </c>
      <c r="AH484">
        <v>0</v>
      </c>
      <c r="AI484">
        <v>346</v>
      </c>
    </row>
    <row r="485" spans="1:35" x14ac:dyDescent="0.3">
      <c r="A485" t="s">
        <v>755</v>
      </c>
      <c r="B485">
        <v>16821</v>
      </c>
      <c r="C485">
        <v>6</v>
      </c>
      <c r="D485" t="s">
        <v>803</v>
      </c>
      <c r="E485" t="s">
        <v>804</v>
      </c>
      <c r="F485">
        <v>30</v>
      </c>
      <c r="G485">
        <v>24.8</v>
      </c>
      <c r="H485">
        <v>81.99</v>
      </c>
      <c r="I485">
        <v>20.37</v>
      </c>
      <c r="J485">
        <v>67.36</v>
      </c>
      <c r="K485">
        <v>9</v>
      </c>
      <c r="T485">
        <v>3</v>
      </c>
      <c r="U485">
        <v>1</v>
      </c>
      <c r="V485" t="s">
        <v>82</v>
      </c>
      <c r="W485" t="s">
        <v>677</v>
      </c>
      <c r="X485">
        <v>10</v>
      </c>
      <c r="Y485">
        <v>10</v>
      </c>
      <c r="Z485" t="s">
        <v>805</v>
      </c>
      <c r="AA485" t="s">
        <v>806</v>
      </c>
      <c r="AB485" t="s">
        <v>86</v>
      </c>
      <c r="AC485" t="s">
        <v>87</v>
      </c>
      <c r="AD485" t="s">
        <v>88</v>
      </c>
      <c r="AE485" t="s">
        <v>759</v>
      </c>
      <c r="AG485" t="s">
        <v>807</v>
      </c>
      <c r="AH485">
        <v>0</v>
      </c>
      <c r="AI485">
        <v>346</v>
      </c>
    </row>
    <row r="486" spans="1:35" x14ac:dyDescent="0.3">
      <c r="A486" t="s">
        <v>755</v>
      </c>
      <c r="B486">
        <v>16821</v>
      </c>
      <c r="C486">
        <v>7</v>
      </c>
      <c r="D486" t="s">
        <v>803</v>
      </c>
      <c r="E486" t="s">
        <v>804</v>
      </c>
      <c r="F486">
        <v>30</v>
      </c>
      <c r="G486">
        <v>24.66</v>
      </c>
      <c r="H486">
        <v>81.55</v>
      </c>
      <c r="I486">
        <v>20.260000000000002</v>
      </c>
      <c r="J486">
        <v>67</v>
      </c>
      <c r="K486">
        <v>1</v>
      </c>
      <c r="T486">
        <v>3</v>
      </c>
      <c r="U486">
        <v>1</v>
      </c>
      <c r="V486" t="s">
        <v>82</v>
      </c>
      <c r="W486" t="s">
        <v>224</v>
      </c>
      <c r="X486">
        <v>10</v>
      </c>
      <c r="Y486">
        <v>10</v>
      </c>
      <c r="Z486" t="s">
        <v>805</v>
      </c>
      <c r="AA486" t="s">
        <v>806</v>
      </c>
      <c r="AB486" t="s">
        <v>86</v>
      </c>
      <c r="AC486" t="s">
        <v>87</v>
      </c>
      <c r="AD486" t="s">
        <v>88</v>
      </c>
      <c r="AE486" t="s">
        <v>759</v>
      </c>
      <c r="AG486" t="s">
        <v>807</v>
      </c>
      <c r="AH486">
        <v>0</v>
      </c>
      <c r="AI486">
        <v>346</v>
      </c>
    </row>
    <row r="487" spans="1:35" x14ac:dyDescent="0.3">
      <c r="A487" t="s">
        <v>755</v>
      </c>
      <c r="B487">
        <v>16821</v>
      </c>
      <c r="C487">
        <v>8</v>
      </c>
      <c r="D487" t="s">
        <v>803</v>
      </c>
      <c r="E487" t="s">
        <v>804</v>
      </c>
      <c r="F487">
        <v>30</v>
      </c>
      <c r="G487">
        <v>25.56</v>
      </c>
      <c r="H487">
        <v>84.51</v>
      </c>
      <c r="I487">
        <v>21</v>
      </c>
      <c r="J487">
        <v>69.430000000000007</v>
      </c>
      <c r="K487">
        <v>7</v>
      </c>
      <c r="T487">
        <v>3</v>
      </c>
      <c r="U487">
        <v>1</v>
      </c>
      <c r="V487" t="s">
        <v>82</v>
      </c>
      <c r="W487">
        <v>84</v>
      </c>
      <c r="X487">
        <v>10</v>
      </c>
      <c r="Y487">
        <v>10</v>
      </c>
      <c r="Z487" t="s">
        <v>805</v>
      </c>
      <c r="AA487" t="s">
        <v>806</v>
      </c>
      <c r="AB487" t="s">
        <v>86</v>
      </c>
      <c r="AC487" t="s">
        <v>87</v>
      </c>
      <c r="AD487" t="s">
        <v>88</v>
      </c>
      <c r="AE487" t="s">
        <v>759</v>
      </c>
      <c r="AG487" t="s">
        <v>807</v>
      </c>
      <c r="AH487">
        <v>0</v>
      </c>
      <c r="AI487">
        <v>346</v>
      </c>
    </row>
    <row r="488" spans="1:35" x14ac:dyDescent="0.3">
      <c r="A488" t="s">
        <v>755</v>
      </c>
      <c r="B488">
        <v>7837</v>
      </c>
      <c r="C488">
        <v>1</v>
      </c>
      <c r="D488" t="s">
        <v>808</v>
      </c>
      <c r="E488" t="s">
        <v>426</v>
      </c>
      <c r="F488">
        <v>48</v>
      </c>
      <c r="G488">
        <v>22</v>
      </c>
      <c r="H488">
        <v>72.75</v>
      </c>
      <c r="I488">
        <v>18.059999999999999</v>
      </c>
      <c r="J488">
        <v>59.73</v>
      </c>
      <c r="K488">
        <v>24</v>
      </c>
      <c r="T488">
        <v>3</v>
      </c>
      <c r="U488">
        <v>1</v>
      </c>
      <c r="V488" t="s">
        <v>82</v>
      </c>
      <c r="W488">
        <v>72</v>
      </c>
      <c r="X488">
        <v>13</v>
      </c>
      <c r="Y488">
        <v>13</v>
      </c>
      <c r="Z488" t="s">
        <v>809</v>
      </c>
      <c r="AA488" t="s">
        <v>810</v>
      </c>
      <c r="AB488" t="s">
        <v>86</v>
      </c>
      <c r="AC488" t="s">
        <v>87</v>
      </c>
      <c r="AD488" t="s">
        <v>88</v>
      </c>
      <c r="AE488" t="s">
        <v>759</v>
      </c>
      <c r="AG488" t="s">
        <v>811</v>
      </c>
      <c r="AH488">
        <v>0</v>
      </c>
      <c r="AI488">
        <v>0</v>
      </c>
    </row>
    <row r="489" spans="1:35" x14ac:dyDescent="0.3">
      <c r="A489" t="s">
        <v>755</v>
      </c>
      <c r="B489">
        <v>7837</v>
      </c>
      <c r="C489">
        <v>2</v>
      </c>
      <c r="D489" t="s">
        <v>808</v>
      </c>
      <c r="E489" t="s">
        <v>426</v>
      </c>
      <c r="F489">
        <v>48</v>
      </c>
      <c r="G489">
        <v>29.21</v>
      </c>
      <c r="H489">
        <v>96.57</v>
      </c>
      <c r="I489">
        <v>25.68</v>
      </c>
      <c r="J489">
        <v>84.9</v>
      </c>
      <c r="K489">
        <v>12</v>
      </c>
      <c r="T489">
        <v>3</v>
      </c>
      <c r="U489">
        <v>1</v>
      </c>
      <c r="V489" t="s">
        <v>82</v>
      </c>
      <c r="W489">
        <v>96</v>
      </c>
      <c r="X489">
        <v>13</v>
      </c>
      <c r="Y489">
        <v>13</v>
      </c>
      <c r="Z489" t="s">
        <v>809</v>
      </c>
      <c r="AA489" t="s">
        <v>810</v>
      </c>
      <c r="AB489" t="s">
        <v>86</v>
      </c>
      <c r="AC489" t="s">
        <v>87</v>
      </c>
      <c r="AD489" t="s">
        <v>88</v>
      </c>
      <c r="AE489" t="s">
        <v>759</v>
      </c>
      <c r="AG489" t="s">
        <v>811</v>
      </c>
      <c r="AH489">
        <v>0</v>
      </c>
      <c r="AI489">
        <v>0</v>
      </c>
    </row>
    <row r="490" spans="1:35" x14ac:dyDescent="0.3">
      <c r="A490" t="s">
        <v>755</v>
      </c>
      <c r="B490">
        <v>7837</v>
      </c>
      <c r="C490">
        <v>3</v>
      </c>
      <c r="D490" t="s">
        <v>808</v>
      </c>
      <c r="E490" t="s">
        <v>426</v>
      </c>
      <c r="F490">
        <v>48</v>
      </c>
      <c r="G490">
        <v>43.9</v>
      </c>
      <c r="H490">
        <v>145.13999999999999</v>
      </c>
      <c r="I490">
        <v>40.369999999999997</v>
      </c>
      <c r="J490">
        <v>133.47</v>
      </c>
      <c r="K490">
        <v>12</v>
      </c>
      <c r="T490">
        <v>4</v>
      </c>
      <c r="U490">
        <v>2</v>
      </c>
      <c r="V490" t="s">
        <v>82</v>
      </c>
      <c r="W490">
        <v>145</v>
      </c>
      <c r="X490">
        <v>13</v>
      </c>
      <c r="Y490">
        <v>13</v>
      </c>
      <c r="Z490" t="s">
        <v>809</v>
      </c>
      <c r="AA490" t="s">
        <v>810</v>
      </c>
      <c r="AB490" t="s">
        <v>86</v>
      </c>
      <c r="AC490" t="s">
        <v>87</v>
      </c>
      <c r="AD490" t="s">
        <v>88</v>
      </c>
      <c r="AE490" t="s">
        <v>759</v>
      </c>
      <c r="AG490" t="s">
        <v>811</v>
      </c>
      <c r="AH490">
        <v>0</v>
      </c>
      <c r="AI490">
        <v>0</v>
      </c>
    </row>
    <row r="491" spans="1:35" x14ac:dyDescent="0.3">
      <c r="A491" t="s">
        <v>755</v>
      </c>
      <c r="B491">
        <v>7840</v>
      </c>
      <c r="C491">
        <v>1</v>
      </c>
      <c r="D491" t="s">
        <v>812</v>
      </c>
      <c r="E491" t="s">
        <v>505</v>
      </c>
      <c r="F491">
        <v>111</v>
      </c>
      <c r="G491">
        <v>22.94</v>
      </c>
      <c r="H491">
        <v>75.86</v>
      </c>
      <c r="I491">
        <v>17.07</v>
      </c>
      <c r="J491">
        <v>56.46</v>
      </c>
      <c r="K491">
        <v>49</v>
      </c>
      <c r="T491">
        <v>3</v>
      </c>
      <c r="U491">
        <v>1</v>
      </c>
      <c r="V491" t="s">
        <v>99</v>
      </c>
      <c r="W491">
        <v>75</v>
      </c>
      <c r="X491">
        <v>14</v>
      </c>
      <c r="Y491">
        <v>8</v>
      </c>
      <c r="Z491" t="s">
        <v>813</v>
      </c>
      <c r="AA491" t="s">
        <v>814</v>
      </c>
      <c r="AB491" t="s">
        <v>86</v>
      </c>
      <c r="AC491" t="s">
        <v>87</v>
      </c>
      <c r="AD491" t="s">
        <v>88</v>
      </c>
      <c r="AE491" t="s">
        <v>759</v>
      </c>
      <c r="AG491" t="s">
        <v>815</v>
      </c>
      <c r="AH491">
        <v>0</v>
      </c>
      <c r="AI491">
        <v>215</v>
      </c>
    </row>
    <row r="492" spans="1:35" x14ac:dyDescent="0.3">
      <c r="A492" t="s">
        <v>755</v>
      </c>
      <c r="B492">
        <v>7840</v>
      </c>
      <c r="C492">
        <v>2</v>
      </c>
      <c r="D492" t="s">
        <v>812</v>
      </c>
      <c r="E492" t="s">
        <v>505</v>
      </c>
      <c r="F492">
        <v>111</v>
      </c>
      <c r="G492">
        <v>23.71</v>
      </c>
      <c r="H492">
        <v>78.41</v>
      </c>
      <c r="I492">
        <v>18.14</v>
      </c>
      <c r="J492">
        <v>59.98</v>
      </c>
      <c r="K492">
        <v>48</v>
      </c>
      <c r="T492">
        <v>3</v>
      </c>
      <c r="U492">
        <v>1</v>
      </c>
      <c r="V492" t="s">
        <v>82</v>
      </c>
      <c r="W492" t="s">
        <v>156</v>
      </c>
      <c r="X492">
        <v>14</v>
      </c>
      <c r="Y492">
        <v>8</v>
      </c>
      <c r="Z492" t="s">
        <v>813</v>
      </c>
      <c r="AA492" t="s">
        <v>814</v>
      </c>
      <c r="AB492" t="s">
        <v>86</v>
      </c>
      <c r="AC492" t="s">
        <v>87</v>
      </c>
      <c r="AD492" t="s">
        <v>88</v>
      </c>
      <c r="AE492" t="s">
        <v>759</v>
      </c>
      <c r="AG492" t="s">
        <v>815</v>
      </c>
      <c r="AH492">
        <v>0</v>
      </c>
      <c r="AI492">
        <v>215</v>
      </c>
    </row>
    <row r="493" spans="1:35" x14ac:dyDescent="0.3">
      <c r="A493" t="s">
        <v>755</v>
      </c>
      <c r="B493">
        <v>7840</v>
      </c>
      <c r="C493">
        <v>3</v>
      </c>
      <c r="D493" t="s">
        <v>812</v>
      </c>
      <c r="E493" t="s">
        <v>505</v>
      </c>
      <c r="F493">
        <v>111</v>
      </c>
      <c r="G493">
        <v>24.26</v>
      </c>
      <c r="H493">
        <v>80.209999999999994</v>
      </c>
      <c r="I493">
        <v>18.13</v>
      </c>
      <c r="J493">
        <v>59.94</v>
      </c>
      <c r="K493">
        <v>14</v>
      </c>
      <c r="T493">
        <v>3</v>
      </c>
      <c r="U493">
        <v>1</v>
      </c>
      <c r="V493" t="s">
        <v>82</v>
      </c>
      <c r="W493" t="s">
        <v>788</v>
      </c>
      <c r="X493">
        <v>14</v>
      </c>
      <c r="Y493">
        <v>8</v>
      </c>
      <c r="Z493" t="s">
        <v>813</v>
      </c>
      <c r="AA493" t="s">
        <v>814</v>
      </c>
      <c r="AB493" t="s">
        <v>86</v>
      </c>
      <c r="AC493" t="s">
        <v>87</v>
      </c>
      <c r="AD493" t="s">
        <v>88</v>
      </c>
      <c r="AE493" t="s">
        <v>759</v>
      </c>
      <c r="AG493" t="s">
        <v>815</v>
      </c>
      <c r="AH493">
        <v>0</v>
      </c>
      <c r="AI493">
        <v>215</v>
      </c>
    </row>
    <row r="494" spans="1:35" x14ac:dyDescent="0.3">
      <c r="A494" t="s">
        <v>755</v>
      </c>
      <c r="B494">
        <v>121868</v>
      </c>
      <c r="C494">
        <v>1</v>
      </c>
      <c r="D494" t="s">
        <v>816</v>
      </c>
      <c r="E494" t="s">
        <v>723</v>
      </c>
      <c r="F494">
        <v>65</v>
      </c>
      <c r="G494">
        <v>21.56</v>
      </c>
      <c r="H494">
        <v>71.3</v>
      </c>
      <c r="I494">
        <v>17.649999999999999</v>
      </c>
      <c r="J494">
        <v>58.38</v>
      </c>
      <c r="K494">
        <v>6</v>
      </c>
      <c r="T494">
        <v>3</v>
      </c>
      <c r="U494">
        <v>1</v>
      </c>
      <c r="V494" t="s">
        <v>82</v>
      </c>
      <c r="W494" t="s">
        <v>478</v>
      </c>
      <c r="X494">
        <v>6</v>
      </c>
      <c r="Y494">
        <v>6</v>
      </c>
      <c r="Z494" t="s">
        <v>817</v>
      </c>
      <c r="AA494" t="s">
        <v>818</v>
      </c>
      <c r="AB494" t="s">
        <v>86</v>
      </c>
      <c r="AC494" t="s">
        <v>87</v>
      </c>
      <c r="AD494" t="s">
        <v>88</v>
      </c>
      <c r="AE494" t="s">
        <v>759</v>
      </c>
      <c r="AG494" t="s">
        <v>819</v>
      </c>
      <c r="AH494">
        <v>0</v>
      </c>
      <c r="AI494">
        <v>0</v>
      </c>
    </row>
    <row r="495" spans="1:35" x14ac:dyDescent="0.3">
      <c r="A495" t="s">
        <v>755</v>
      </c>
      <c r="B495">
        <v>121868</v>
      </c>
      <c r="C495">
        <v>2</v>
      </c>
      <c r="D495" t="s">
        <v>816</v>
      </c>
      <c r="E495" t="s">
        <v>723</v>
      </c>
      <c r="F495">
        <v>65</v>
      </c>
      <c r="G495">
        <v>21.88</v>
      </c>
      <c r="H495">
        <v>72.36</v>
      </c>
      <c r="I495">
        <v>17.95</v>
      </c>
      <c r="J495">
        <v>59.34</v>
      </c>
      <c r="K495">
        <v>11</v>
      </c>
      <c r="T495">
        <v>3</v>
      </c>
      <c r="U495">
        <v>1</v>
      </c>
      <c r="V495" t="s">
        <v>82</v>
      </c>
      <c r="W495" t="s">
        <v>787</v>
      </c>
      <c r="X495">
        <v>6</v>
      </c>
      <c r="Y495">
        <v>6</v>
      </c>
      <c r="Z495" t="s">
        <v>817</v>
      </c>
      <c r="AA495" t="s">
        <v>818</v>
      </c>
      <c r="AB495" t="s">
        <v>86</v>
      </c>
      <c r="AC495" t="s">
        <v>87</v>
      </c>
      <c r="AD495" t="s">
        <v>88</v>
      </c>
      <c r="AE495" t="s">
        <v>759</v>
      </c>
      <c r="AG495" t="s">
        <v>819</v>
      </c>
      <c r="AH495">
        <v>0</v>
      </c>
      <c r="AI495">
        <v>0</v>
      </c>
    </row>
    <row r="496" spans="1:35" x14ac:dyDescent="0.3">
      <c r="A496" t="s">
        <v>755</v>
      </c>
      <c r="B496">
        <v>121868</v>
      </c>
      <c r="C496">
        <v>3</v>
      </c>
      <c r="D496" t="s">
        <v>816</v>
      </c>
      <c r="E496" t="s">
        <v>723</v>
      </c>
      <c r="F496">
        <v>65</v>
      </c>
      <c r="G496">
        <v>21.86</v>
      </c>
      <c r="H496">
        <v>72.27</v>
      </c>
      <c r="I496">
        <v>17.920000000000002</v>
      </c>
      <c r="J496">
        <v>59.26</v>
      </c>
      <c r="K496">
        <v>6</v>
      </c>
      <c r="T496">
        <v>3</v>
      </c>
      <c r="U496">
        <v>1</v>
      </c>
      <c r="V496" t="s">
        <v>82</v>
      </c>
      <c r="W496" t="s">
        <v>796</v>
      </c>
      <c r="X496">
        <v>6</v>
      </c>
      <c r="Y496">
        <v>6</v>
      </c>
      <c r="Z496" t="s">
        <v>817</v>
      </c>
      <c r="AA496" t="s">
        <v>818</v>
      </c>
      <c r="AB496" t="s">
        <v>86</v>
      </c>
      <c r="AC496" t="s">
        <v>87</v>
      </c>
      <c r="AD496" t="s">
        <v>88</v>
      </c>
      <c r="AE496" t="s">
        <v>759</v>
      </c>
      <c r="AG496" t="s">
        <v>819</v>
      </c>
      <c r="AH496">
        <v>0</v>
      </c>
      <c r="AI496">
        <v>0</v>
      </c>
    </row>
    <row r="497" spans="1:35" x14ac:dyDescent="0.3">
      <c r="A497" t="s">
        <v>755</v>
      </c>
      <c r="B497">
        <v>121868</v>
      </c>
      <c r="C497">
        <v>4</v>
      </c>
      <c r="D497" t="s">
        <v>816</v>
      </c>
      <c r="E497" t="s">
        <v>723</v>
      </c>
      <c r="F497">
        <v>65</v>
      </c>
      <c r="G497">
        <v>22.04</v>
      </c>
      <c r="H497">
        <v>72.87</v>
      </c>
      <c r="I497">
        <v>18.07</v>
      </c>
      <c r="J497">
        <v>59.74</v>
      </c>
      <c r="K497">
        <v>6</v>
      </c>
      <c r="T497">
        <v>3</v>
      </c>
      <c r="U497">
        <v>1</v>
      </c>
      <c r="V497" t="s">
        <v>82</v>
      </c>
      <c r="W497" t="s">
        <v>820</v>
      </c>
      <c r="X497">
        <v>6</v>
      </c>
      <c r="Y497">
        <v>6</v>
      </c>
      <c r="Z497" t="s">
        <v>817</v>
      </c>
      <c r="AA497" t="s">
        <v>818</v>
      </c>
      <c r="AB497" t="s">
        <v>86</v>
      </c>
      <c r="AC497" t="s">
        <v>87</v>
      </c>
      <c r="AD497" t="s">
        <v>88</v>
      </c>
      <c r="AE497" t="s">
        <v>759</v>
      </c>
      <c r="AG497" t="s">
        <v>819</v>
      </c>
      <c r="AH497">
        <v>0</v>
      </c>
      <c r="AI497">
        <v>0</v>
      </c>
    </row>
    <row r="498" spans="1:35" x14ac:dyDescent="0.3">
      <c r="A498" t="s">
        <v>755</v>
      </c>
      <c r="B498">
        <v>121868</v>
      </c>
      <c r="C498">
        <v>5</v>
      </c>
      <c r="D498" t="s">
        <v>816</v>
      </c>
      <c r="E498" t="s">
        <v>723</v>
      </c>
      <c r="F498">
        <v>65</v>
      </c>
      <c r="G498">
        <v>22.07</v>
      </c>
      <c r="H498">
        <v>72.959999999999994</v>
      </c>
      <c r="I498">
        <v>18.11</v>
      </c>
      <c r="J498">
        <v>59.88</v>
      </c>
      <c r="K498">
        <v>6</v>
      </c>
      <c r="T498">
        <v>3</v>
      </c>
      <c r="U498">
        <v>1</v>
      </c>
      <c r="V498" t="s">
        <v>82</v>
      </c>
      <c r="W498" t="s">
        <v>821</v>
      </c>
      <c r="X498">
        <v>6</v>
      </c>
      <c r="Y498">
        <v>6</v>
      </c>
      <c r="Z498" t="s">
        <v>817</v>
      </c>
      <c r="AA498" t="s">
        <v>818</v>
      </c>
      <c r="AB498" t="s">
        <v>86</v>
      </c>
      <c r="AC498" t="s">
        <v>87</v>
      </c>
      <c r="AD498" t="s">
        <v>88</v>
      </c>
      <c r="AE498" t="s">
        <v>759</v>
      </c>
      <c r="AG498" t="s">
        <v>819</v>
      </c>
      <c r="AH498">
        <v>0</v>
      </c>
      <c r="AI498">
        <v>0</v>
      </c>
    </row>
    <row r="499" spans="1:35" x14ac:dyDescent="0.3">
      <c r="A499" t="s">
        <v>755</v>
      </c>
      <c r="B499">
        <v>121868</v>
      </c>
      <c r="C499">
        <v>6</v>
      </c>
      <c r="D499" t="s">
        <v>816</v>
      </c>
      <c r="E499" t="s">
        <v>723</v>
      </c>
      <c r="F499">
        <v>65</v>
      </c>
      <c r="G499">
        <v>22.09</v>
      </c>
      <c r="H499">
        <v>73.03</v>
      </c>
      <c r="I499">
        <v>18.13</v>
      </c>
      <c r="J499">
        <v>59.94</v>
      </c>
      <c r="K499">
        <v>6</v>
      </c>
      <c r="T499">
        <v>3</v>
      </c>
      <c r="U499">
        <v>1</v>
      </c>
      <c r="V499" t="s">
        <v>82</v>
      </c>
      <c r="W499" t="s">
        <v>822</v>
      </c>
      <c r="X499">
        <v>6</v>
      </c>
      <c r="Y499">
        <v>6</v>
      </c>
      <c r="Z499" t="s">
        <v>817</v>
      </c>
      <c r="AA499" t="s">
        <v>818</v>
      </c>
      <c r="AB499" t="s">
        <v>86</v>
      </c>
      <c r="AC499" t="s">
        <v>87</v>
      </c>
      <c r="AD499" t="s">
        <v>88</v>
      </c>
      <c r="AE499" t="s">
        <v>759</v>
      </c>
      <c r="AG499" t="s">
        <v>819</v>
      </c>
      <c r="AH499">
        <v>0</v>
      </c>
      <c r="AI499">
        <v>0</v>
      </c>
    </row>
    <row r="500" spans="1:35" x14ac:dyDescent="0.3">
      <c r="A500" t="s">
        <v>755</v>
      </c>
      <c r="B500">
        <v>121868</v>
      </c>
      <c r="C500">
        <v>7</v>
      </c>
      <c r="D500" t="s">
        <v>816</v>
      </c>
      <c r="E500" t="s">
        <v>723</v>
      </c>
      <c r="F500">
        <v>65</v>
      </c>
      <c r="G500">
        <v>22.11</v>
      </c>
      <c r="H500">
        <v>73.099999999999994</v>
      </c>
      <c r="I500">
        <v>18.13</v>
      </c>
      <c r="J500">
        <v>59.95</v>
      </c>
      <c r="K500">
        <v>6</v>
      </c>
      <c r="T500">
        <v>3</v>
      </c>
      <c r="U500">
        <v>1</v>
      </c>
      <c r="V500" t="s">
        <v>82</v>
      </c>
      <c r="W500" t="s">
        <v>823</v>
      </c>
      <c r="X500">
        <v>6</v>
      </c>
      <c r="Y500">
        <v>6</v>
      </c>
      <c r="Z500" t="s">
        <v>817</v>
      </c>
      <c r="AA500" t="s">
        <v>818</v>
      </c>
      <c r="AB500" t="s">
        <v>86</v>
      </c>
      <c r="AC500" t="s">
        <v>87</v>
      </c>
      <c r="AD500" t="s">
        <v>88</v>
      </c>
      <c r="AE500" t="s">
        <v>759</v>
      </c>
      <c r="AG500" t="s">
        <v>819</v>
      </c>
      <c r="AH500">
        <v>0</v>
      </c>
      <c r="AI500">
        <v>0</v>
      </c>
    </row>
    <row r="501" spans="1:35" x14ac:dyDescent="0.3">
      <c r="A501" t="s">
        <v>755</v>
      </c>
      <c r="B501">
        <v>121868</v>
      </c>
      <c r="C501">
        <v>8</v>
      </c>
      <c r="D501" t="s">
        <v>816</v>
      </c>
      <c r="E501" t="s">
        <v>723</v>
      </c>
      <c r="F501">
        <v>65</v>
      </c>
      <c r="G501">
        <v>22.1</v>
      </c>
      <c r="H501">
        <v>73.06</v>
      </c>
      <c r="I501">
        <v>18.14</v>
      </c>
      <c r="J501">
        <v>59.97</v>
      </c>
      <c r="K501">
        <v>6</v>
      </c>
      <c r="T501">
        <v>3</v>
      </c>
      <c r="U501">
        <v>1</v>
      </c>
      <c r="V501" t="s">
        <v>82</v>
      </c>
      <c r="W501" t="s">
        <v>824</v>
      </c>
      <c r="X501">
        <v>6</v>
      </c>
      <c r="Y501">
        <v>6</v>
      </c>
      <c r="Z501" t="s">
        <v>817</v>
      </c>
      <c r="AA501" t="s">
        <v>818</v>
      </c>
      <c r="AB501" t="s">
        <v>86</v>
      </c>
      <c r="AC501" t="s">
        <v>87</v>
      </c>
      <c r="AD501" t="s">
        <v>88</v>
      </c>
      <c r="AE501" t="s">
        <v>759</v>
      </c>
      <c r="AG501" t="s">
        <v>819</v>
      </c>
      <c r="AH501">
        <v>0</v>
      </c>
      <c r="AI501">
        <v>0</v>
      </c>
    </row>
    <row r="502" spans="1:35" x14ac:dyDescent="0.3">
      <c r="A502" t="s">
        <v>755</v>
      </c>
      <c r="B502">
        <v>121868</v>
      </c>
      <c r="C502">
        <v>9</v>
      </c>
      <c r="D502" t="s">
        <v>816</v>
      </c>
      <c r="E502" t="s">
        <v>723</v>
      </c>
      <c r="F502">
        <v>65</v>
      </c>
      <c r="G502">
        <v>29.51</v>
      </c>
      <c r="H502">
        <v>97.56</v>
      </c>
      <c r="I502">
        <v>24.79</v>
      </c>
      <c r="J502">
        <v>81.96</v>
      </c>
      <c r="K502">
        <v>12</v>
      </c>
      <c r="T502">
        <v>3</v>
      </c>
      <c r="U502">
        <v>2</v>
      </c>
      <c r="V502" t="s">
        <v>82</v>
      </c>
      <c r="W502">
        <v>97</v>
      </c>
      <c r="X502">
        <v>6</v>
      </c>
      <c r="Y502">
        <v>6</v>
      </c>
      <c r="Z502" t="s">
        <v>817</v>
      </c>
      <c r="AA502" t="s">
        <v>818</v>
      </c>
      <c r="AB502" t="s">
        <v>86</v>
      </c>
      <c r="AC502" t="s">
        <v>87</v>
      </c>
      <c r="AD502" t="s">
        <v>88</v>
      </c>
      <c r="AE502" t="s">
        <v>759</v>
      </c>
      <c r="AG502" t="s">
        <v>819</v>
      </c>
      <c r="AH502">
        <v>0</v>
      </c>
      <c r="AI502">
        <v>0</v>
      </c>
    </row>
    <row r="503" spans="1:35" x14ac:dyDescent="0.3">
      <c r="A503" t="s">
        <v>755</v>
      </c>
      <c r="B503">
        <v>7834</v>
      </c>
      <c r="C503">
        <v>1</v>
      </c>
      <c r="D503" t="s">
        <v>825</v>
      </c>
      <c r="E503" t="s">
        <v>826</v>
      </c>
      <c r="F503">
        <v>28</v>
      </c>
      <c r="G503">
        <v>24.95</v>
      </c>
      <c r="H503">
        <v>82.5</v>
      </c>
      <c r="I503">
        <v>15.44</v>
      </c>
      <c r="J503">
        <v>51.06</v>
      </c>
      <c r="K503">
        <v>1</v>
      </c>
      <c r="T503">
        <v>2</v>
      </c>
      <c r="U503">
        <v>1</v>
      </c>
      <c r="V503" t="s">
        <v>99</v>
      </c>
      <c r="W503">
        <v>82</v>
      </c>
      <c r="X503">
        <v>8</v>
      </c>
      <c r="Y503">
        <v>7</v>
      </c>
      <c r="Z503" t="s">
        <v>827</v>
      </c>
      <c r="AA503" t="s">
        <v>828</v>
      </c>
      <c r="AB503" t="s">
        <v>86</v>
      </c>
      <c r="AC503" t="s">
        <v>87</v>
      </c>
      <c r="AD503" t="s">
        <v>88</v>
      </c>
      <c r="AE503" t="s">
        <v>759</v>
      </c>
      <c r="AG503" t="s">
        <v>829</v>
      </c>
      <c r="AH503">
        <v>0</v>
      </c>
      <c r="AI503">
        <v>260</v>
      </c>
    </row>
    <row r="504" spans="1:35" x14ac:dyDescent="0.3">
      <c r="A504" t="s">
        <v>755</v>
      </c>
      <c r="B504">
        <v>7834</v>
      </c>
      <c r="C504">
        <v>2</v>
      </c>
      <c r="D504" t="s">
        <v>825</v>
      </c>
      <c r="E504" t="s">
        <v>826</v>
      </c>
      <c r="F504">
        <v>28</v>
      </c>
      <c r="G504">
        <v>28.98</v>
      </c>
      <c r="H504">
        <v>95.82</v>
      </c>
      <c r="I504">
        <v>17.940000000000001</v>
      </c>
      <c r="J504">
        <v>59.31</v>
      </c>
      <c r="K504">
        <v>7</v>
      </c>
      <c r="T504">
        <v>2</v>
      </c>
      <c r="U504">
        <v>1</v>
      </c>
      <c r="V504" t="s">
        <v>99</v>
      </c>
      <c r="W504" t="s">
        <v>622</v>
      </c>
      <c r="X504">
        <v>8</v>
      </c>
      <c r="Y504">
        <v>7</v>
      </c>
      <c r="Z504" t="s">
        <v>827</v>
      </c>
      <c r="AA504" t="s">
        <v>828</v>
      </c>
      <c r="AB504" t="s">
        <v>86</v>
      </c>
      <c r="AC504" t="s">
        <v>87</v>
      </c>
      <c r="AD504" t="s">
        <v>88</v>
      </c>
      <c r="AE504" t="s">
        <v>759</v>
      </c>
      <c r="AG504" t="s">
        <v>829</v>
      </c>
      <c r="AH504">
        <v>0</v>
      </c>
      <c r="AI504">
        <v>260</v>
      </c>
    </row>
    <row r="505" spans="1:35" x14ac:dyDescent="0.3">
      <c r="A505" t="s">
        <v>755</v>
      </c>
      <c r="B505">
        <v>7834</v>
      </c>
      <c r="C505">
        <v>3</v>
      </c>
      <c r="D505" t="s">
        <v>825</v>
      </c>
      <c r="E505" t="s">
        <v>826</v>
      </c>
      <c r="F505">
        <v>28</v>
      </c>
      <c r="G505">
        <v>29.27</v>
      </c>
      <c r="H505">
        <v>96.79</v>
      </c>
      <c r="I505">
        <v>18.12</v>
      </c>
      <c r="J505">
        <v>59.91</v>
      </c>
      <c r="K505">
        <v>7</v>
      </c>
      <c r="T505">
        <v>2</v>
      </c>
      <c r="U505">
        <v>1</v>
      </c>
      <c r="V505" t="s">
        <v>99</v>
      </c>
      <c r="W505" t="s">
        <v>230</v>
      </c>
      <c r="X505">
        <v>8</v>
      </c>
      <c r="Y505">
        <v>7</v>
      </c>
      <c r="Z505" t="s">
        <v>827</v>
      </c>
      <c r="AA505" t="s">
        <v>828</v>
      </c>
      <c r="AB505" t="s">
        <v>86</v>
      </c>
      <c r="AC505" t="s">
        <v>87</v>
      </c>
      <c r="AD505" t="s">
        <v>88</v>
      </c>
      <c r="AE505" t="s">
        <v>759</v>
      </c>
      <c r="AG505" t="s">
        <v>829</v>
      </c>
      <c r="AH505">
        <v>0</v>
      </c>
      <c r="AI505">
        <v>260</v>
      </c>
    </row>
    <row r="506" spans="1:35" x14ac:dyDescent="0.3">
      <c r="A506" t="s">
        <v>755</v>
      </c>
      <c r="B506">
        <v>7834</v>
      </c>
      <c r="C506">
        <v>4</v>
      </c>
      <c r="D506" t="s">
        <v>825</v>
      </c>
      <c r="E506" t="s">
        <v>826</v>
      </c>
      <c r="F506">
        <v>28</v>
      </c>
      <c r="G506">
        <v>41.28</v>
      </c>
      <c r="H506">
        <v>136.49</v>
      </c>
      <c r="I506">
        <v>25.55</v>
      </c>
      <c r="J506">
        <v>84.48</v>
      </c>
      <c r="K506">
        <v>13</v>
      </c>
      <c r="T506">
        <v>3</v>
      </c>
      <c r="U506">
        <v>1</v>
      </c>
      <c r="V506" t="s">
        <v>99</v>
      </c>
      <c r="W506">
        <v>136</v>
      </c>
      <c r="X506">
        <v>8</v>
      </c>
      <c r="Y506">
        <v>7</v>
      </c>
      <c r="Z506" t="s">
        <v>827</v>
      </c>
      <c r="AA506" t="s">
        <v>828</v>
      </c>
      <c r="AB506" t="s">
        <v>86</v>
      </c>
      <c r="AC506" t="s">
        <v>87</v>
      </c>
      <c r="AD506" t="s">
        <v>88</v>
      </c>
      <c r="AE506" t="s">
        <v>759</v>
      </c>
      <c r="AG506" t="s">
        <v>829</v>
      </c>
      <c r="AH506">
        <v>0</v>
      </c>
      <c r="AI506">
        <v>260</v>
      </c>
    </row>
    <row r="507" spans="1:35" x14ac:dyDescent="0.3">
      <c r="A507" t="s">
        <v>755</v>
      </c>
      <c r="B507">
        <v>100909</v>
      </c>
      <c r="C507">
        <v>1</v>
      </c>
      <c r="D507" t="s">
        <v>830</v>
      </c>
      <c r="E507" t="s">
        <v>831</v>
      </c>
      <c r="F507">
        <v>97</v>
      </c>
      <c r="G507">
        <v>24.74</v>
      </c>
      <c r="H507">
        <v>81.81</v>
      </c>
      <c r="I507">
        <v>18.149999999999999</v>
      </c>
      <c r="J507">
        <v>60</v>
      </c>
      <c r="K507">
        <v>28</v>
      </c>
      <c r="T507">
        <v>3</v>
      </c>
      <c r="U507">
        <v>1</v>
      </c>
      <c r="V507" t="s">
        <v>82</v>
      </c>
      <c r="W507" t="s">
        <v>677</v>
      </c>
      <c r="X507">
        <v>14</v>
      </c>
      <c r="Y507">
        <v>8</v>
      </c>
      <c r="Z507" t="s">
        <v>832</v>
      </c>
      <c r="AA507" t="s">
        <v>833</v>
      </c>
      <c r="AB507" t="s">
        <v>86</v>
      </c>
      <c r="AC507" t="s">
        <v>87</v>
      </c>
      <c r="AD507" t="s">
        <v>88</v>
      </c>
      <c r="AE507" t="s">
        <v>759</v>
      </c>
      <c r="AG507" t="s">
        <v>834</v>
      </c>
      <c r="AH507">
        <v>0</v>
      </c>
      <c r="AI507">
        <v>317</v>
      </c>
    </row>
    <row r="508" spans="1:35" x14ac:dyDescent="0.3">
      <c r="A508" t="s">
        <v>755</v>
      </c>
      <c r="B508">
        <v>100909</v>
      </c>
      <c r="C508">
        <v>2</v>
      </c>
      <c r="D508" t="s">
        <v>830</v>
      </c>
      <c r="E508" t="s">
        <v>831</v>
      </c>
      <c r="F508">
        <v>97</v>
      </c>
      <c r="G508">
        <v>24.98</v>
      </c>
      <c r="H508">
        <v>82.61</v>
      </c>
      <c r="I508">
        <v>18.09</v>
      </c>
      <c r="J508">
        <v>59.81</v>
      </c>
      <c r="K508">
        <v>42</v>
      </c>
      <c r="T508">
        <v>3</v>
      </c>
      <c r="U508">
        <v>1</v>
      </c>
      <c r="V508" t="s">
        <v>99</v>
      </c>
      <c r="W508" t="s">
        <v>184</v>
      </c>
      <c r="X508">
        <v>14</v>
      </c>
      <c r="Y508">
        <v>8</v>
      </c>
      <c r="Z508" t="s">
        <v>832</v>
      </c>
      <c r="AA508" t="s">
        <v>833</v>
      </c>
      <c r="AB508" t="s">
        <v>86</v>
      </c>
      <c r="AC508" t="s">
        <v>87</v>
      </c>
      <c r="AD508" t="s">
        <v>88</v>
      </c>
      <c r="AE508" t="s">
        <v>759</v>
      </c>
      <c r="AG508" t="s">
        <v>834</v>
      </c>
      <c r="AH508">
        <v>0</v>
      </c>
      <c r="AI508">
        <v>317</v>
      </c>
    </row>
    <row r="509" spans="1:35" x14ac:dyDescent="0.3">
      <c r="A509" t="s">
        <v>755</v>
      </c>
      <c r="B509">
        <v>100909</v>
      </c>
      <c r="C509">
        <v>3</v>
      </c>
      <c r="D509" t="s">
        <v>830</v>
      </c>
      <c r="E509" t="s">
        <v>831</v>
      </c>
      <c r="F509">
        <v>97</v>
      </c>
      <c r="G509">
        <v>31.22</v>
      </c>
      <c r="H509">
        <v>103.22</v>
      </c>
      <c r="I509">
        <v>25.61</v>
      </c>
      <c r="J509">
        <v>84.69</v>
      </c>
      <c r="K509">
        <v>27</v>
      </c>
      <c r="T509">
        <v>3</v>
      </c>
      <c r="U509">
        <v>1</v>
      </c>
      <c r="V509" t="s">
        <v>82</v>
      </c>
      <c r="W509">
        <v>103</v>
      </c>
      <c r="X509">
        <v>14</v>
      </c>
      <c r="Y509">
        <v>8</v>
      </c>
      <c r="Z509" t="s">
        <v>832</v>
      </c>
      <c r="AA509" t="s">
        <v>833</v>
      </c>
      <c r="AB509" t="s">
        <v>86</v>
      </c>
      <c r="AC509" t="s">
        <v>87</v>
      </c>
      <c r="AD509" t="s">
        <v>88</v>
      </c>
      <c r="AE509" t="s">
        <v>759</v>
      </c>
      <c r="AG509" t="s">
        <v>834</v>
      </c>
      <c r="AH509">
        <v>0</v>
      </c>
      <c r="AI509">
        <v>317</v>
      </c>
    </row>
    <row r="510" spans="1:35" x14ac:dyDescent="0.3">
      <c r="A510" t="s">
        <v>755</v>
      </c>
      <c r="B510">
        <v>7841</v>
      </c>
      <c r="C510">
        <v>1</v>
      </c>
      <c r="D510" t="s">
        <v>835</v>
      </c>
      <c r="E510" t="s">
        <v>171</v>
      </c>
      <c r="F510">
        <v>75</v>
      </c>
      <c r="G510">
        <v>19.98</v>
      </c>
      <c r="H510">
        <v>66.069999999999993</v>
      </c>
      <c r="I510">
        <v>16.2</v>
      </c>
      <c r="J510">
        <v>53.56</v>
      </c>
      <c r="K510">
        <v>1</v>
      </c>
      <c r="T510">
        <v>3</v>
      </c>
      <c r="U510">
        <v>1</v>
      </c>
      <c r="V510" t="s">
        <v>82</v>
      </c>
      <c r="W510">
        <v>66</v>
      </c>
      <c r="X510">
        <v>15</v>
      </c>
      <c r="Y510">
        <v>6</v>
      </c>
      <c r="Z510" t="s">
        <v>836</v>
      </c>
      <c r="AA510" t="s">
        <v>837</v>
      </c>
      <c r="AB510" t="s">
        <v>86</v>
      </c>
      <c r="AC510" t="s">
        <v>87</v>
      </c>
      <c r="AD510" t="s">
        <v>88</v>
      </c>
      <c r="AE510" t="s">
        <v>759</v>
      </c>
      <c r="AG510" t="s">
        <v>838</v>
      </c>
      <c r="AH510">
        <v>0</v>
      </c>
      <c r="AI510">
        <v>304</v>
      </c>
    </row>
    <row r="511" spans="1:35" x14ac:dyDescent="0.3">
      <c r="A511" t="s">
        <v>755</v>
      </c>
      <c r="B511">
        <v>7841</v>
      </c>
      <c r="C511">
        <v>2</v>
      </c>
      <c r="D511" t="s">
        <v>835</v>
      </c>
      <c r="E511" t="s">
        <v>171</v>
      </c>
      <c r="F511">
        <v>75</v>
      </c>
      <c r="G511">
        <v>22.13</v>
      </c>
      <c r="H511">
        <v>73.180000000000007</v>
      </c>
      <c r="I511">
        <v>17.940000000000001</v>
      </c>
      <c r="J511">
        <v>59.32</v>
      </c>
      <c r="K511">
        <v>44</v>
      </c>
      <c r="T511">
        <v>3</v>
      </c>
      <c r="U511">
        <v>1</v>
      </c>
      <c r="V511" t="s">
        <v>82</v>
      </c>
      <c r="W511">
        <v>73</v>
      </c>
      <c r="X511">
        <v>15</v>
      </c>
      <c r="Y511">
        <v>6</v>
      </c>
      <c r="Z511" t="s">
        <v>836</v>
      </c>
      <c r="AA511" t="s">
        <v>837</v>
      </c>
      <c r="AB511" t="s">
        <v>86</v>
      </c>
      <c r="AC511" t="s">
        <v>87</v>
      </c>
      <c r="AD511" t="s">
        <v>88</v>
      </c>
      <c r="AE511" t="s">
        <v>759</v>
      </c>
      <c r="AG511" t="s">
        <v>838</v>
      </c>
      <c r="AH511">
        <v>0</v>
      </c>
      <c r="AI511">
        <v>304</v>
      </c>
    </row>
    <row r="512" spans="1:35" x14ac:dyDescent="0.3">
      <c r="A512" t="s">
        <v>755</v>
      </c>
      <c r="B512">
        <v>7841</v>
      </c>
      <c r="C512">
        <v>3</v>
      </c>
      <c r="D512" t="s">
        <v>835</v>
      </c>
      <c r="E512" t="s">
        <v>171</v>
      </c>
      <c r="F512">
        <v>75</v>
      </c>
      <c r="G512">
        <v>29.1</v>
      </c>
      <c r="H512">
        <v>96.2</v>
      </c>
      <c r="I512">
        <v>23.58</v>
      </c>
      <c r="J512">
        <v>77.98</v>
      </c>
      <c r="K512">
        <v>2</v>
      </c>
      <c r="T512">
        <v>3</v>
      </c>
      <c r="U512">
        <v>2</v>
      </c>
      <c r="V512" t="s">
        <v>82</v>
      </c>
      <c r="W512">
        <v>96</v>
      </c>
      <c r="X512">
        <v>15</v>
      </c>
      <c r="Y512">
        <v>6</v>
      </c>
      <c r="Z512" t="s">
        <v>836</v>
      </c>
      <c r="AA512" t="s">
        <v>837</v>
      </c>
      <c r="AB512" t="s">
        <v>86</v>
      </c>
      <c r="AC512" t="s">
        <v>87</v>
      </c>
      <c r="AD512" t="s">
        <v>88</v>
      </c>
      <c r="AE512" t="s">
        <v>759</v>
      </c>
      <c r="AG512" t="s">
        <v>838</v>
      </c>
      <c r="AH512">
        <v>0</v>
      </c>
      <c r="AI512">
        <v>304</v>
      </c>
    </row>
    <row r="513" spans="1:35" x14ac:dyDescent="0.3">
      <c r="A513" t="s">
        <v>755</v>
      </c>
      <c r="B513">
        <v>7841</v>
      </c>
      <c r="C513">
        <v>4</v>
      </c>
      <c r="D513" t="s">
        <v>835</v>
      </c>
      <c r="E513" t="s">
        <v>171</v>
      </c>
      <c r="F513">
        <v>75</v>
      </c>
      <c r="G513">
        <v>31.6</v>
      </c>
      <c r="H513">
        <v>104.49</v>
      </c>
      <c r="I513">
        <v>25.62</v>
      </c>
      <c r="J513">
        <v>84.7</v>
      </c>
      <c r="K513">
        <v>28</v>
      </c>
      <c r="T513">
        <v>3</v>
      </c>
      <c r="U513">
        <v>2</v>
      </c>
      <c r="V513" t="s">
        <v>82</v>
      </c>
      <c r="W513">
        <v>104</v>
      </c>
      <c r="X513">
        <v>15</v>
      </c>
      <c r="Y513">
        <v>6</v>
      </c>
      <c r="Z513" t="s">
        <v>836</v>
      </c>
      <c r="AA513" t="s">
        <v>837</v>
      </c>
      <c r="AB513" t="s">
        <v>86</v>
      </c>
      <c r="AC513" t="s">
        <v>87</v>
      </c>
      <c r="AD513" t="s">
        <v>88</v>
      </c>
      <c r="AE513" t="s">
        <v>759</v>
      </c>
      <c r="AG513" t="s">
        <v>838</v>
      </c>
      <c r="AH513">
        <v>0</v>
      </c>
      <c r="AI513">
        <v>304</v>
      </c>
    </row>
    <row r="514" spans="1:35" x14ac:dyDescent="0.3">
      <c r="A514" t="s">
        <v>755</v>
      </c>
      <c r="B514">
        <v>15790</v>
      </c>
      <c r="C514">
        <v>1</v>
      </c>
      <c r="D514" t="s">
        <v>839</v>
      </c>
      <c r="E514" t="s">
        <v>723</v>
      </c>
      <c r="F514">
        <v>70</v>
      </c>
      <c r="G514">
        <v>25.64</v>
      </c>
      <c r="H514">
        <v>84.79</v>
      </c>
      <c r="I514">
        <v>21.6</v>
      </c>
      <c r="J514">
        <v>71.430000000000007</v>
      </c>
      <c r="K514">
        <v>30</v>
      </c>
      <c r="T514">
        <v>3</v>
      </c>
      <c r="U514">
        <v>1</v>
      </c>
      <c r="V514" t="s">
        <v>82</v>
      </c>
      <c r="W514">
        <v>84</v>
      </c>
      <c r="X514">
        <v>5</v>
      </c>
      <c r="Y514">
        <v>5</v>
      </c>
      <c r="Z514" t="s">
        <v>840</v>
      </c>
      <c r="AA514" t="s">
        <v>841</v>
      </c>
      <c r="AB514" t="s">
        <v>86</v>
      </c>
      <c r="AC514" t="s">
        <v>87</v>
      </c>
      <c r="AD514" t="s">
        <v>88</v>
      </c>
      <c r="AE514" t="s">
        <v>759</v>
      </c>
      <c r="AG514" t="s">
        <v>842</v>
      </c>
      <c r="AH514">
        <v>0</v>
      </c>
      <c r="AI514">
        <v>0</v>
      </c>
    </row>
    <row r="515" spans="1:35" x14ac:dyDescent="0.3">
      <c r="A515" t="s">
        <v>755</v>
      </c>
      <c r="B515">
        <v>15790</v>
      </c>
      <c r="C515">
        <v>2</v>
      </c>
      <c r="D515" t="s">
        <v>839</v>
      </c>
      <c r="E515" t="s">
        <v>723</v>
      </c>
      <c r="F515">
        <v>70</v>
      </c>
      <c r="G515">
        <v>26.87</v>
      </c>
      <c r="H515">
        <v>88.85</v>
      </c>
      <c r="I515">
        <v>22.64</v>
      </c>
      <c r="J515">
        <v>74.849999999999994</v>
      </c>
      <c r="K515">
        <v>30</v>
      </c>
      <c r="T515">
        <v>3</v>
      </c>
      <c r="U515">
        <v>1</v>
      </c>
      <c r="V515" t="s">
        <v>82</v>
      </c>
      <c r="W515">
        <v>88</v>
      </c>
      <c r="X515">
        <v>5</v>
      </c>
      <c r="Y515">
        <v>5</v>
      </c>
      <c r="Z515" t="s">
        <v>840</v>
      </c>
      <c r="AA515" t="s">
        <v>841</v>
      </c>
      <c r="AB515" t="s">
        <v>86</v>
      </c>
      <c r="AC515" t="s">
        <v>87</v>
      </c>
      <c r="AD515" t="s">
        <v>88</v>
      </c>
      <c r="AE515" t="s">
        <v>759</v>
      </c>
      <c r="AG515" t="s">
        <v>842</v>
      </c>
      <c r="AH515">
        <v>0</v>
      </c>
      <c r="AI515">
        <v>0</v>
      </c>
    </row>
    <row r="516" spans="1:35" x14ac:dyDescent="0.3">
      <c r="A516" t="s">
        <v>755</v>
      </c>
      <c r="B516">
        <v>15790</v>
      </c>
      <c r="C516">
        <v>3</v>
      </c>
      <c r="D516" t="s">
        <v>839</v>
      </c>
      <c r="E516" t="s">
        <v>723</v>
      </c>
      <c r="F516">
        <v>70</v>
      </c>
      <c r="G516">
        <v>30.08</v>
      </c>
      <c r="H516">
        <v>99.45</v>
      </c>
      <c r="I516">
        <v>25.34</v>
      </c>
      <c r="J516">
        <v>83.78</v>
      </c>
      <c r="K516">
        <v>10</v>
      </c>
      <c r="T516">
        <v>3</v>
      </c>
      <c r="U516">
        <v>1</v>
      </c>
      <c r="V516" t="s">
        <v>82</v>
      </c>
      <c r="W516">
        <v>99</v>
      </c>
      <c r="X516">
        <v>5</v>
      </c>
      <c r="Y516">
        <v>5</v>
      </c>
      <c r="Z516" t="s">
        <v>840</v>
      </c>
      <c r="AA516" t="s">
        <v>841</v>
      </c>
      <c r="AB516" t="s">
        <v>86</v>
      </c>
      <c r="AC516" t="s">
        <v>87</v>
      </c>
      <c r="AD516" t="s">
        <v>88</v>
      </c>
      <c r="AE516" t="s">
        <v>759</v>
      </c>
      <c r="AG516" t="s">
        <v>842</v>
      </c>
      <c r="AH516">
        <v>0</v>
      </c>
      <c r="AI516">
        <v>0</v>
      </c>
    </row>
    <row r="517" spans="1:35" x14ac:dyDescent="0.3">
      <c r="A517" t="s">
        <v>755</v>
      </c>
      <c r="B517">
        <v>16818</v>
      </c>
      <c r="C517">
        <v>1</v>
      </c>
      <c r="D517" t="s">
        <v>843</v>
      </c>
      <c r="E517" t="s">
        <v>844</v>
      </c>
      <c r="F517">
        <v>15</v>
      </c>
      <c r="G517">
        <v>32.979999999999997</v>
      </c>
      <c r="H517">
        <v>109.05</v>
      </c>
      <c r="I517">
        <v>25.68</v>
      </c>
      <c r="J517">
        <v>84.9</v>
      </c>
      <c r="K517">
        <v>15</v>
      </c>
      <c r="T517">
        <v>3</v>
      </c>
      <c r="U517">
        <v>2</v>
      </c>
      <c r="V517" t="s">
        <v>82</v>
      </c>
      <c r="W517">
        <v>109</v>
      </c>
      <c r="X517">
        <v>8</v>
      </c>
      <c r="Y517">
        <v>8</v>
      </c>
      <c r="Z517" t="s">
        <v>845</v>
      </c>
      <c r="AA517" t="s">
        <v>846</v>
      </c>
      <c r="AB517" t="s">
        <v>86</v>
      </c>
      <c r="AC517" t="s">
        <v>87</v>
      </c>
      <c r="AD517" t="s">
        <v>88</v>
      </c>
      <c r="AE517" t="s">
        <v>759</v>
      </c>
      <c r="AG517" t="s">
        <v>359</v>
      </c>
      <c r="AH517">
        <v>0</v>
      </c>
      <c r="AI517">
        <v>219</v>
      </c>
    </row>
    <row r="518" spans="1:35" x14ac:dyDescent="0.3">
      <c r="A518" t="s">
        <v>755</v>
      </c>
      <c r="B518">
        <v>16817</v>
      </c>
      <c r="C518">
        <v>1</v>
      </c>
      <c r="D518" t="s">
        <v>847</v>
      </c>
      <c r="E518" t="s">
        <v>848</v>
      </c>
      <c r="F518">
        <v>8</v>
      </c>
      <c r="G518">
        <v>19.72</v>
      </c>
      <c r="H518">
        <v>65.22</v>
      </c>
      <c r="I518">
        <v>18.14</v>
      </c>
      <c r="J518">
        <v>59.97</v>
      </c>
      <c r="K518">
        <v>2</v>
      </c>
      <c r="T518">
        <v>3</v>
      </c>
      <c r="U518">
        <v>1</v>
      </c>
      <c r="V518" t="s">
        <v>99</v>
      </c>
      <c r="W518">
        <v>65</v>
      </c>
      <c r="X518">
        <v>5</v>
      </c>
      <c r="Y518">
        <v>5</v>
      </c>
      <c r="Z518" t="s">
        <v>849</v>
      </c>
      <c r="AA518" t="s">
        <v>850</v>
      </c>
      <c r="AB518" t="s">
        <v>86</v>
      </c>
      <c r="AC518" t="s">
        <v>87</v>
      </c>
      <c r="AD518" t="s">
        <v>88</v>
      </c>
      <c r="AE518" t="s">
        <v>759</v>
      </c>
      <c r="AG518" t="s">
        <v>851</v>
      </c>
      <c r="AH518">
        <v>0</v>
      </c>
      <c r="AI518">
        <v>230</v>
      </c>
    </row>
    <row r="519" spans="1:35" x14ac:dyDescent="0.3">
      <c r="A519" t="s">
        <v>755</v>
      </c>
      <c r="B519">
        <v>16817</v>
      </c>
      <c r="C519">
        <v>2</v>
      </c>
      <c r="D519" t="s">
        <v>847</v>
      </c>
      <c r="E519" t="s">
        <v>848</v>
      </c>
      <c r="F519">
        <v>8</v>
      </c>
      <c r="G519">
        <v>23.38</v>
      </c>
      <c r="H519">
        <v>77.31</v>
      </c>
      <c r="I519">
        <v>21.49</v>
      </c>
      <c r="J519">
        <v>71.069999999999993</v>
      </c>
      <c r="K519">
        <v>6</v>
      </c>
      <c r="T519">
        <v>3</v>
      </c>
      <c r="U519">
        <v>2</v>
      </c>
      <c r="V519" t="s">
        <v>82</v>
      </c>
      <c r="W519">
        <v>77</v>
      </c>
      <c r="X519">
        <v>5</v>
      </c>
      <c r="Y519">
        <v>5</v>
      </c>
      <c r="Z519" t="s">
        <v>849</v>
      </c>
      <c r="AA519" t="s">
        <v>850</v>
      </c>
      <c r="AB519" t="s">
        <v>86</v>
      </c>
      <c r="AC519" t="s">
        <v>87</v>
      </c>
      <c r="AD519" t="s">
        <v>88</v>
      </c>
      <c r="AE519" t="s">
        <v>759</v>
      </c>
      <c r="AG519" t="s">
        <v>851</v>
      </c>
      <c r="AH519">
        <v>0</v>
      </c>
      <c r="AI519">
        <v>230</v>
      </c>
    </row>
    <row r="520" spans="1:35" x14ac:dyDescent="0.3">
      <c r="A520" t="s">
        <v>755</v>
      </c>
      <c r="B520">
        <v>15789</v>
      </c>
      <c r="C520">
        <v>1</v>
      </c>
      <c r="D520" t="s">
        <v>852</v>
      </c>
      <c r="E520" t="s">
        <v>853</v>
      </c>
      <c r="F520">
        <v>60</v>
      </c>
      <c r="G520">
        <v>19.940000000000001</v>
      </c>
      <c r="H520">
        <v>65.92</v>
      </c>
      <c r="I520">
        <v>17.7</v>
      </c>
      <c r="J520">
        <v>58.52</v>
      </c>
      <c r="K520">
        <v>12</v>
      </c>
      <c r="T520">
        <v>3</v>
      </c>
      <c r="U520">
        <v>1</v>
      </c>
      <c r="V520" t="s">
        <v>99</v>
      </c>
      <c r="W520" t="s">
        <v>854</v>
      </c>
      <c r="X520">
        <v>12</v>
      </c>
      <c r="Y520">
        <v>12</v>
      </c>
      <c r="Z520" t="s">
        <v>855</v>
      </c>
      <c r="AA520" t="s">
        <v>856</v>
      </c>
      <c r="AB520" t="s">
        <v>86</v>
      </c>
      <c r="AC520" t="s">
        <v>87</v>
      </c>
      <c r="AD520" t="s">
        <v>88</v>
      </c>
      <c r="AE520" t="s">
        <v>759</v>
      </c>
      <c r="AG520" t="s">
        <v>857</v>
      </c>
      <c r="AH520">
        <v>0</v>
      </c>
      <c r="AI520">
        <v>335</v>
      </c>
    </row>
    <row r="521" spans="1:35" x14ac:dyDescent="0.3">
      <c r="A521" t="s">
        <v>755</v>
      </c>
      <c r="B521">
        <v>15789</v>
      </c>
      <c r="C521">
        <v>2</v>
      </c>
      <c r="D521" t="s">
        <v>852</v>
      </c>
      <c r="E521" t="s">
        <v>853</v>
      </c>
      <c r="F521">
        <v>60</v>
      </c>
      <c r="G521">
        <v>20.399999999999999</v>
      </c>
      <c r="H521">
        <v>67.44</v>
      </c>
      <c r="I521">
        <v>18.11</v>
      </c>
      <c r="J521">
        <v>59.87</v>
      </c>
      <c r="K521">
        <v>48</v>
      </c>
      <c r="T521">
        <v>3</v>
      </c>
      <c r="U521">
        <v>1</v>
      </c>
      <c r="V521" t="s">
        <v>99</v>
      </c>
      <c r="W521" t="s">
        <v>273</v>
      </c>
      <c r="X521">
        <v>12</v>
      </c>
      <c r="Y521">
        <v>12</v>
      </c>
      <c r="Z521" t="s">
        <v>855</v>
      </c>
      <c r="AA521" t="s">
        <v>856</v>
      </c>
      <c r="AB521" t="s">
        <v>86</v>
      </c>
      <c r="AC521" t="s">
        <v>87</v>
      </c>
      <c r="AD521" t="s">
        <v>88</v>
      </c>
      <c r="AE521" t="s">
        <v>759</v>
      </c>
      <c r="AG521" t="s">
        <v>857</v>
      </c>
      <c r="AH521">
        <v>0</v>
      </c>
      <c r="AI521">
        <v>335</v>
      </c>
    </row>
    <row r="522" spans="1:35" x14ac:dyDescent="0.3">
      <c r="A522" t="s">
        <v>858</v>
      </c>
      <c r="B522">
        <v>115396</v>
      </c>
      <c r="C522">
        <v>1</v>
      </c>
      <c r="D522" t="s">
        <v>859</v>
      </c>
      <c r="E522" t="s">
        <v>860</v>
      </c>
      <c r="F522">
        <v>1803</v>
      </c>
      <c r="G522">
        <v>25.34</v>
      </c>
      <c r="H522">
        <v>83.8</v>
      </c>
      <c r="I522">
        <v>18.14</v>
      </c>
      <c r="J522">
        <v>59.98</v>
      </c>
      <c r="K522">
        <v>162</v>
      </c>
      <c r="T522">
        <v>3</v>
      </c>
      <c r="U522">
        <v>2</v>
      </c>
      <c r="V522" t="s">
        <v>82</v>
      </c>
      <c r="W522">
        <v>83</v>
      </c>
      <c r="X522">
        <v>42</v>
      </c>
      <c r="Y522">
        <v>26</v>
      </c>
      <c r="Z522" t="s">
        <v>861</v>
      </c>
      <c r="AA522" t="s">
        <v>862</v>
      </c>
      <c r="AB522" t="s">
        <v>86</v>
      </c>
      <c r="AC522" t="s">
        <v>87</v>
      </c>
      <c r="AD522" t="s">
        <v>88</v>
      </c>
      <c r="AE522" t="s">
        <v>863</v>
      </c>
      <c r="AG522" t="s">
        <v>864</v>
      </c>
      <c r="AH522">
        <v>0</v>
      </c>
      <c r="AI522">
        <v>247</v>
      </c>
    </row>
    <row r="523" spans="1:35" x14ac:dyDescent="0.3">
      <c r="A523" t="s">
        <v>858</v>
      </c>
      <c r="B523">
        <v>115396</v>
      </c>
      <c r="C523">
        <v>2</v>
      </c>
      <c r="D523" t="s">
        <v>859</v>
      </c>
      <c r="E523" t="s">
        <v>860</v>
      </c>
      <c r="F523">
        <v>1803</v>
      </c>
      <c r="G523">
        <v>30.47</v>
      </c>
      <c r="H523">
        <v>100.76</v>
      </c>
      <c r="I523">
        <v>22.04</v>
      </c>
      <c r="J523">
        <v>72.88</v>
      </c>
      <c r="K523">
        <v>182</v>
      </c>
      <c r="T523">
        <v>3</v>
      </c>
      <c r="U523">
        <v>2</v>
      </c>
      <c r="V523" t="s">
        <v>82</v>
      </c>
      <c r="W523">
        <v>100</v>
      </c>
      <c r="X523">
        <v>42</v>
      </c>
      <c r="Y523">
        <v>26</v>
      </c>
      <c r="Z523" t="s">
        <v>861</v>
      </c>
      <c r="AA523" t="s">
        <v>862</v>
      </c>
      <c r="AB523" t="s">
        <v>86</v>
      </c>
      <c r="AC523" t="s">
        <v>87</v>
      </c>
      <c r="AD523" t="s">
        <v>88</v>
      </c>
      <c r="AE523" t="s">
        <v>863</v>
      </c>
      <c r="AG523" t="s">
        <v>864</v>
      </c>
      <c r="AH523">
        <v>0</v>
      </c>
      <c r="AI523">
        <v>247</v>
      </c>
    </row>
    <row r="524" spans="1:35" x14ac:dyDescent="0.3">
      <c r="A524" t="s">
        <v>858</v>
      </c>
      <c r="B524">
        <v>115396</v>
      </c>
      <c r="C524">
        <v>3</v>
      </c>
      <c r="D524" t="s">
        <v>859</v>
      </c>
      <c r="E524" t="s">
        <v>860</v>
      </c>
      <c r="F524">
        <v>1803</v>
      </c>
      <c r="G524">
        <v>35.340000000000003</v>
      </c>
      <c r="H524">
        <v>116.84</v>
      </c>
      <c r="I524">
        <v>25.44</v>
      </c>
      <c r="J524">
        <v>84.1</v>
      </c>
      <c r="K524">
        <v>269</v>
      </c>
      <c r="T524">
        <v>3</v>
      </c>
      <c r="U524">
        <v>2</v>
      </c>
      <c r="V524" t="s">
        <v>82</v>
      </c>
      <c r="W524" t="s">
        <v>865</v>
      </c>
      <c r="X524">
        <v>42</v>
      </c>
      <c r="Y524">
        <v>26</v>
      </c>
      <c r="Z524" t="s">
        <v>861</v>
      </c>
      <c r="AA524" t="s">
        <v>862</v>
      </c>
      <c r="AB524" t="s">
        <v>86</v>
      </c>
      <c r="AC524" t="s">
        <v>87</v>
      </c>
      <c r="AD524" t="s">
        <v>88</v>
      </c>
      <c r="AE524" t="s">
        <v>863</v>
      </c>
      <c r="AG524" t="s">
        <v>864</v>
      </c>
      <c r="AH524">
        <v>0</v>
      </c>
      <c r="AI524">
        <v>247</v>
      </c>
    </row>
    <row r="525" spans="1:35" x14ac:dyDescent="0.3">
      <c r="A525" t="s">
        <v>858</v>
      </c>
      <c r="B525">
        <v>115396</v>
      </c>
      <c r="C525">
        <v>4</v>
      </c>
      <c r="D525" t="s">
        <v>859</v>
      </c>
      <c r="E525" t="s">
        <v>860</v>
      </c>
      <c r="F525">
        <v>1803</v>
      </c>
      <c r="G525">
        <v>35.43</v>
      </c>
      <c r="H525">
        <v>117.13</v>
      </c>
      <c r="I525">
        <v>25.52</v>
      </c>
      <c r="J525">
        <v>84.38</v>
      </c>
      <c r="K525">
        <v>506</v>
      </c>
      <c r="T525">
        <v>3</v>
      </c>
      <c r="U525">
        <v>2</v>
      </c>
      <c r="V525" t="s">
        <v>82</v>
      </c>
      <c r="W525" t="s">
        <v>866</v>
      </c>
      <c r="X525">
        <v>42</v>
      </c>
      <c r="Y525">
        <v>26</v>
      </c>
      <c r="Z525" t="s">
        <v>861</v>
      </c>
      <c r="AA525" t="s">
        <v>862</v>
      </c>
      <c r="AB525" t="s">
        <v>86</v>
      </c>
      <c r="AC525" t="s">
        <v>87</v>
      </c>
      <c r="AD525" t="s">
        <v>88</v>
      </c>
      <c r="AE525" t="s">
        <v>863</v>
      </c>
      <c r="AG525" t="s">
        <v>864</v>
      </c>
      <c r="AH525">
        <v>0</v>
      </c>
      <c r="AI525">
        <v>247</v>
      </c>
    </row>
    <row r="526" spans="1:35" x14ac:dyDescent="0.3">
      <c r="A526" t="s">
        <v>858</v>
      </c>
      <c r="B526">
        <v>115396</v>
      </c>
      <c r="C526">
        <v>5</v>
      </c>
      <c r="D526" t="s">
        <v>859</v>
      </c>
      <c r="E526" t="s">
        <v>860</v>
      </c>
      <c r="F526">
        <v>1803</v>
      </c>
      <c r="G526">
        <v>41.28</v>
      </c>
      <c r="H526">
        <v>136.47999999999999</v>
      </c>
      <c r="I526">
        <v>29.99</v>
      </c>
      <c r="J526">
        <v>99.17</v>
      </c>
      <c r="K526">
        <v>474</v>
      </c>
      <c r="T526">
        <v>3</v>
      </c>
      <c r="U526">
        <v>2</v>
      </c>
      <c r="V526" t="s">
        <v>82</v>
      </c>
      <c r="W526">
        <v>136</v>
      </c>
      <c r="X526">
        <v>42</v>
      </c>
      <c r="Y526">
        <v>26</v>
      </c>
      <c r="Z526" t="s">
        <v>861</v>
      </c>
      <c r="AA526" t="s">
        <v>862</v>
      </c>
      <c r="AB526" t="s">
        <v>86</v>
      </c>
      <c r="AC526" t="s">
        <v>87</v>
      </c>
      <c r="AD526" t="s">
        <v>88</v>
      </c>
      <c r="AE526" t="s">
        <v>863</v>
      </c>
      <c r="AG526" t="s">
        <v>864</v>
      </c>
      <c r="AH526">
        <v>0</v>
      </c>
      <c r="AI526">
        <v>247</v>
      </c>
    </row>
    <row r="527" spans="1:35" x14ac:dyDescent="0.3">
      <c r="A527" t="s">
        <v>858</v>
      </c>
      <c r="B527">
        <v>115396</v>
      </c>
      <c r="C527">
        <v>6</v>
      </c>
      <c r="D527" t="s">
        <v>859</v>
      </c>
      <c r="E527" t="s">
        <v>860</v>
      </c>
      <c r="F527">
        <v>1803</v>
      </c>
      <c r="G527">
        <v>47.96</v>
      </c>
      <c r="H527">
        <v>158.56</v>
      </c>
      <c r="I527">
        <v>35</v>
      </c>
      <c r="J527">
        <v>115.72</v>
      </c>
      <c r="K527">
        <v>128</v>
      </c>
      <c r="T527">
        <v>4</v>
      </c>
      <c r="U527">
        <v>2</v>
      </c>
      <c r="V527" t="s">
        <v>82</v>
      </c>
      <c r="W527">
        <v>158</v>
      </c>
      <c r="X527">
        <v>42</v>
      </c>
      <c r="Y527">
        <v>26</v>
      </c>
      <c r="Z527" t="s">
        <v>861</v>
      </c>
      <c r="AA527" t="s">
        <v>862</v>
      </c>
      <c r="AB527" t="s">
        <v>86</v>
      </c>
      <c r="AC527" t="s">
        <v>87</v>
      </c>
      <c r="AD527" t="s">
        <v>88</v>
      </c>
      <c r="AE527" t="s">
        <v>863</v>
      </c>
      <c r="AG527" t="s">
        <v>864</v>
      </c>
      <c r="AH527">
        <v>0</v>
      </c>
      <c r="AI527">
        <v>247</v>
      </c>
    </row>
    <row r="528" spans="1:35" x14ac:dyDescent="0.3">
      <c r="A528" t="s">
        <v>858</v>
      </c>
      <c r="B528">
        <v>115396</v>
      </c>
      <c r="C528">
        <v>7</v>
      </c>
      <c r="D528" t="s">
        <v>859</v>
      </c>
      <c r="E528" t="s">
        <v>860</v>
      </c>
      <c r="F528">
        <v>1803</v>
      </c>
      <c r="G528">
        <v>56.21</v>
      </c>
      <c r="H528">
        <v>185.84</v>
      </c>
      <c r="I528">
        <v>41.1</v>
      </c>
      <c r="J528">
        <v>135.9</v>
      </c>
      <c r="K528">
        <v>41</v>
      </c>
      <c r="T528">
        <v>4</v>
      </c>
      <c r="U528">
        <v>2</v>
      </c>
      <c r="V528" t="s">
        <v>82</v>
      </c>
      <c r="W528" t="s">
        <v>867</v>
      </c>
      <c r="X528">
        <v>42</v>
      </c>
      <c r="Y528">
        <v>26</v>
      </c>
      <c r="Z528" t="s">
        <v>861</v>
      </c>
      <c r="AA528" t="s">
        <v>862</v>
      </c>
      <c r="AB528" t="s">
        <v>86</v>
      </c>
      <c r="AC528" t="s">
        <v>87</v>
      </c>
      <c r="AD528" t="s">
        <v>88</v>
      </c>
      <c r="AE528" t="s">
        <v>863</v>
      </c>
      <c r="AG528" t="s">
        <v>864</v>
      </c>
      <c r="AH528">
        <v>0</v>
      </c>
      <c r="AI528">
        <v>247</v>
      </c>
    </row>
    <row r="529" spans="1:35" x14ac:dyDescent="0.3">
      <c r="A529" t="s">
        <v>858</v>
      </c>
      <c r="B529">
        <v>115396</v>
      </c>
      <c r="C529">
        <v>8</v>
      </c>
      <c r="D529" t="s">
        <v>859</v>
      </c>
      <c r="E529" t="s">
        <v>860</v>
      </c>
      <c r="F529">
        <v>1803</v>
      </c>
      <c r="G529">
        <v>56.52</v>
      </c>
      <c r="H529">
        <v>186.85</v>
      </c>
      <c r="I529">
        <v>41.06</v>
      </c>
      <c r="J529">
        <v>135.76</v>
      </c>
      <c r="K529">
        <v>41</v>
      </c>
      <c r="T529">
        <v>3</v>
      </c>
      <c r="U529">
        <v>2</v>
      </c>
      <c r="V529" t="s">
        <v>82</v>
      </c>
      <c r="W529" t="s">
        <v>868</v>
      </c>
      <c r="X529">
        <v>42</v>
      </c>
      <c r="Y529">
        <v>26</v>
      </c>
      <c r="Z529" t="s">
        <v>861</v>
      </c>
      <c r="AA529" t="s">
        <v>862</v>
      </c>
      <c r="AB529" t="s">
        <v>86</v>
      </c>
      <c r="AC529" t="s">
        <v>87</v>
      </c>
      <c r="AD529" t="s">
        <v>88</v>
      </c>
      <c r="AE529" t="s">
        <v>863</v>
      </c>
      <c r="AG529" t="s">
        <v>864</v>
      </c>
      <c r="AH529">
        <v>0</v>
      </c>
      <c r="AI529">
        <v>247</v>
      </c>
    </row>
    <row r="530" spans="1:35" x14ac:dyDescent="0.3">
      <c r="A530" t="s">
        <v>858</v>
      </c>
      <c r="B530">
        <v>115529</v>
      </c>
      <c r="C530">
        <v>1</v>
      </c>
      <c r="D530" t="s">
        <v>869</v>
      </c>
      <c r="E530" t="s">
        <v>870</v>
      </c>
      <c r="F530">
        <v>1768</v>
      </c>
      <c r="G530">
        <v>25</v>
      </c>
      <c r="H530">
        <v>82.66</v>
      </c>
      <c r="I530">
        <v>18.13</v>
      </c>
      <c r="J530">
        <v>59.96</v>
      </c>
      <c r="K530">
        <v>104</v>
      </c>
      <c r="T530">
        <v>3</v>
      </c>
      <c r="U530">
        <v>2</v>
      </c>
      <c r="V530" t="s">
        <v>82</v>
      </c>
      <c r="W530">
        <v>82</v>
      </c>
      <c r="X530">
        <v>42</v>
      </c>
      <c r="Y530">
        <v>26</v>
      </c>
      <c r="Z530" t="s">
        <v>871</v>
      </c>
      <c r="AA530" t="s">
        <v>872</v>
      </c>
      <c r="AB530" t="s">
        <v>86</v>
      </c>
      <c r="AC530" t="s">
        <v>87</v>
      </c>
      <c r="AD530" t="s">
        <v>88</v>
      </c>
      <c r="AE530" t="s">
        <v>863</v>
      </c>
      <c r="AG530" t="s">
        <v>873</v>
      </c>
      <c r="AH530">
        <v>0</v>
      </c>
      <c r="AI530">
        <v>0</v>
      </c>
    </row>
    <row r="531" spans="1:35" x14ac:dyDescent="0.3">
      <c r="A531" t="s">
        <v>858</v>
      </c>
      <c r="B531">
        <v>115529</v>
      </c>
      <c r="C531">
        <v>2</v>
      </c>
      <c r="D531" t="s">
        <v>869</v>
      </c>
      <c r="E531" t="s">
        <v>870</v>
      </c>
      <c r="F531">
        <v>1768</v>
      </c>
      <c r="G531">
        <v>30.01</v>
      </c>
      <c r="H531">
        <v>99.23</v>
      </c>
      <c r="I531">
        <v>22.05</v>
      </c>
      <c r="J531">
        <v>72.92</v>
      </c>
      <c r="K531">
        <v>104</v>
      </c>
      <c r="T531">
        <v>3</v>
      </c>
      <c r="U531">
        <v>2</v>
      </c>
      <c r="V531" t="s">
        <v>82</v>
      </c>
      <c r="W531">
        <v>99</v>
      </c>
      <c r="X531">
        <v>42</v>
      </c>
      <c r="Y531">
        <v>26</v>
      </c>
      <c r="Z531" t="s">
        <v>871</v>
      </c>
      <c r="AA531" t="s">
        <v>872</v>
      </c>
      <c r="AB531" t="s">
        <v>86</v>
      </c>
      <c r="AC531" t="s">
        <v>87</v>
      </c>
      <c r="AD531" t="s">
        <v>88</v>
      </c>
      <c r="AE531" t="s">
        <v>863</v>
      </c>
      <c r="AG531" t="s">
        <v>873</v>
      </c>
      <c r="AH531">
        <v>0</v>
      </c>
      <c r="AI531">
        <v>0</v>
      </c>
    </row>
    <row r="532" spans="1:35" x14ac:dyDescent="0.3">
      <c r="A532" t="s">
        <v>858</v>
      </c>
      <c r="B532">
        <v>115529</v>
      </c>
      <c r="C532">
        <v>3</v>
      </c>
      <c r="D532" t="s">
        <v>869</v>
      </c>
      <c r="E532" t="s">
        <v>870</v>
      </c>
      <c r="F532">
        <v>1768</v>
      </c>
      <c r="G532">
        <v>34.99</v>
      </c>
      <c r="H532">
        <v>115.7</v>
      </c>
      <c r="I532">
        <v>25.62</v>
      </c>
      <c r="J532">
        <v>84.71</v>
      </c>
      <c r="K532">
        <v>686</v>
      </c>
      <c r="T532">
        <v>3</v>
      </c>
      <c r="U532">
        <v>2</v>
      </c>
      <c r="V532" t="s">
        <v>82</v>
      </c>
      <c r="W532" t="s">
        <v>697</v>
      </c>
      <c r="X532">
        <v>42</v>
      </c>
      <c r="Y532">
        <v>26</v>
      </c>
      <c r="Z532" t="s">
        <v>871</v>
      </c>
      <c r="AA532" t="s">
        <v>872</v>
      </c>
      <c r="AB532" t="s">
        <v>86</v>
      </c>
      <c r="AC532" t="s">
        <v>87</v>
      </c>
      <c r="AD532" t="s">
        <v>88</v>
      </c>
      <c r="AE532" t="s">
        <v>863</v>
      </c>
      <c r="AG532" t="s">
        <v>873</v>
      </c>
      <c r="AH532">
        <v>0</v>
      </c>
      <c r="AI532">
        <v>0</v>
      </c>
    </row>
    <row r="533" spans="1:35" x14ac:dyDescent="0.3">
      <c r="A533" t="s">
        <v>858</v>
      </c>
      <c r="B533">
        <v>115529</v>
      </c>
      <c r="C533">
        <v>4</v>
      </c>
      <c r="D533" t="s">
        <v>869</v>
      </c>
      <c r="E533" t="s">
        <v>870</v>
      </c>
      <c r="F533">
        <v>1768</v>
      </c>
      <c r="G533">
        <v>35.06</v>
      </c>
      <c r="H533">
        <v>115.93</v>
      </c>
      <c r="I533">
        <v>25.64</v>
      </c>
      <c r="J533">
        <v>84.78</v>
      </c>
      <c r="K533">
        <v>308</v>
      </c>
      <c r="T533">
        <v>3</v>
      </c>
      <c r="U533">
        <v>2</v>
      </c>
      <c r="V533" t="s">
        <v>82</v>
      </c>
      <c r="W533" t="s">
        <v>627</v>
      </c>
      <c r="X533">
        <v>42</v>
      </c>
      <c r="Y533">
        <v>26</v>
      </c>
      <c r="Z533" t="s">
        <v>871</v>
      </c>
      <c r="AA533" t="s">
        <v>872</v>
      </c>
      <c r="AB533" t="s">
        <v>86</v>
      </c>
      <c r="AC533" t="s">
        <v>87</v>
      </c>
      <c r="AD533" t="s">
        <v>88</v>
      </c>
      <c r="AE533" t="s">
        <v>863</v>
      </c>
      <c r="AG533" t="s">
        <v>873</v>
      </c>
      <c r="AH533">
        <v>0</v>
      </c>
      <c r="AI533">
        <v>0</v>
      </c>
    </row>
    <row r="534" spans="1:35" x14ac:dyDescent="0.3">
      <c r="A534" t="s">
        <v>858</v>
      </c>
      <c r="B534">
        <v>115529</v>
      </c>
      <c r="C534">
        <v>5</v>
      </c>
      <c r="D534" t="s">
        <v>869</v>
      </c>
      <c r="E534" t="s">
        <v>870</v>
      </c>
      <c r="F534">
        <v>1768</v>
      </c>
      <c r="G534">
        <v>41.02</v>
      </c>
      <c r="H534">
        <v>135.62</v>
      </c>
      <c r="I534">
        <v>30.34</v>
      </c>
      <c r="J534">
        <v>100.3</v>
      </c>
      <c r="K534">
        <v>372</v>
      </c>
      <c r="T534">
        <v>3</v>
      </c>
      <c r="U534">
        <v>2</v>
      </c>
      <c r="V534" t="s">
        <v>82</v>
      </c>
      <c r="W534">
        <v>135</v>
      </c>
      <c r="X534">
        <v>42</v>
      </c>
      <c r="Y534">
        <v>26</v>
      </c>
      <c r="Z534" t="s">
        <v>871</v>
      </c>
      <c r="AA534" t="s">
        <v>872</v>
      </c>
      <c r="AB534" t="s">
        <v>86</v>
      </c>
      <c r="AC534" t="s">
        <v>87</v>
      </c>
      <c r="AD534" t="s">
        <v>88</v>
      </c>
      <c r="AE534" t="s">
        <v>863</v>
      </c>
      <c r="AG534" t="s">
        <v>873</v>
      </c>
      <c r="AH534">
        <v>0</v>
      </c>
      <c r="AI534">
        <v>0</v>
      </c>
    </row>
    <row r="535" spans="1:35" x14ac:dyDescent="0.3">
      <c r="A535" t="s">
        <v>858</v>
      </c>
      <c r="B535">
        <v>115529</v>
      </c>
      <c r="C535">
        <v>6</v>
      </c>
      <c r="D535" t="s">
        <v>869</v>
      </c>
      <c r="E535" t="s">
        <v>870</v>
      </c>
      <c r="F535">
        <v>1768</v>
      </c>
      <c r="G535">
        <v>48.02</v>
      </c>
      <c r="H535">
        <v>158.75</v>
      </c>
      <c r="I535">
        <v>35.67</v>
      </c>
      <c r="J535">
        <v>117.92</v>
      </c>
      <c r="K535">
        <v>112</v>
      </c>
      <c r="T535">
        <v>4</v>
      </c>
      <c r="U535">
        <v>2</v>
      </c>
      <c r="V535" t="s">
        <v>82</v>
      </c>
      <c r="W535">
        <v>158</v>
      </c>
      <c r="X535">
        <v>42</v>
      </c>
      <c r="Y535">
        <v>26</v>
      </c>
      <c r="Z535" t="s">
        <v>871</v>
      </c>
      <c r="AA535" t="s">
        <v>872</v>
      </c>
      <c r="AB535" t="s">
        <v>86</v>
      </c>
      <c r="AC535" t="s">
        <v>87</v>
      </c>
      <c r="AD535" t="s">
        <v>88</v>
      </c>
      <c r="AE535" t="s">
        <v>863</v>
      </c>
      <c r="AG535" t="s">
        <v>873</v>
      </c>
      <c r="AH535">
        <v>0</v>
      </c>
      <c r="AI535">
        <v>0</v>
      </c>
    </row>
    <row r="536" spans="1:35" x14ac:dyDescent="0.3">
      <c r="A536" t="s">
        <v>858</v>
      </c>
      <c r="B536">
        <v>115529</v>
      </c>
      <c r="C536">
        <v>7</v>
      </c>
      <c r="D536" t="s">
        <v>869</v>
      </c>
      <c r="E536" t="s">
        <v>870</v>
      </c>
      <c r="F536">
        <v>1768</v>
      </c>
      <c r="G536">
        <v>56.05</v>
      </c>
      <c r="H536">
        <v>185.29</v>
      </c>
      <c r="I536">
        <v>41.72</v>
      </c>
      <c r="J536">
        <v>137.93</v>
      </c>
      <c r="K536">
        <v>41</v>
      </c>
      <c r="T536">
        <v>4</v>
      </c>
      <c r="U536">
        <v>2</v>
      </c>
      <c r="V536" t="s">
        <v>82</v>
      </c>
      <c r="W536" t="s">
        <v>867</v>
      </c>
      <c r="X536">
        <v>42</v>
      </c>
      <c r="Y536">
        <v>26</v>
      </c>
      <c r="Z536" t="s">
        <v>871</v>
      </c>
      <c r="AA536" t="s">
        <v>872</v>
      </c>
      <c r="AB536" t="s">
        <v>86</v>
      </c>
      <c r="AC536" t="s">
        <v>87</v>
      </c>
      <c r="AD536" t="s">
        <v>88</v>
      </c>
      <c r="AE536" t="s">
        <v>863</v>
      </c>
      <c r="AG536" t="s">
        <v>873</v>
      </c>
      <c r="AH536">
        <v>0</v>
      </c>
      <c r="AI536">
        <v>0</v>
      </c>
    </row>
    <row r="537" spans="1:35" x14ac:dyDescent="0.3">
      <c r="A537" t="s">
        <v>858</v>
      </c>
      <c r="B537">
        <v>115529</v>
      </c>
      <c r="C537">
        <v>8</v>
      </c>
      <c r="D537" t="s">
        <v>869</v>
      </c>
      <c r="E537" t="s">
        <v>870</v>
      </c>
      <c r="F537">
        <v>1768</v>
      </c>
      <c r="G537">
        <v>56.14</v>
      </c>
      <c r="H537">
        <v>185.59</v>
      </c>
      <c r="I537">
        <v>41.49</v>
      </c>
      <c r="J537">
        <v>137.18</v>
      </c>
      <c r="K537">
        <v>41</v>
      </c>
      <c r="T537">
        <v>4</v>
      </c>
      <c r="U537">
        <v>2</v>
      </c>
      <c r="V537" t="s">
        <v>82</v>
      </c>
      <c r="W537" t="s">
        <v>874</v>
      </c>
      <c r="X537">
        <v>42</v>
      </c>
      <c r="Y537">
        <v>26</v>
      </c>
      <c r="Z537" t="s">
        <v>871</v>
      </c>
      <c r="AA537" t="s">
        <v>872</v>
      </c>
      <c r="AB537" t="s">
        <v>86</v>
      </c>
      <c r="AC537" t="s">
        <v>87</v>
      </c>
      <c r="AD537" t="s">
        <v>88</v>
      </c>
      <c r="AE537" t="s">
        <v>863</v>
      </c>
      <c r="AG537" t="s">
        <v>873</v>
      </c>
      <c r="AH537">
        <v>0</v>
      </c>
      <c r="AI537">
        <v>0</v>
      </c>
    </row>
    <row r="538" spans="1:35" x14ac:dyDescent="0.3">
      <c r="A538" t="s">
        <v>858</v>
      </c>
      <c r="B538">
        <v>115528</v>
      </c>
      <c r="C538">
        <v>1</v>
      </c>
      <c r="D538" t="s">
        <v>875</v>
      </c>
      <c r="E538" t="s">
        <v>870</v>
      </c>
      <c r="F538">
        <v>1465</v>
      </c>
      <c r="G538">
        <v>25.41</v>
      </c>
      <c r="H538">
        <v>84.02</v>
      </c>
      <c r="I538">
        <v>18.13</v>
      </c>
      <c r="J538">
        <v>59.96</v>
      </c>
      <c r="K538">
        <v>160</v>
      </c>
      <c r="T538">
        <v>3</v>
      </c>
      <c r="U538">
        <v>2</v>
      </c>
      <c r="V538" t="s">
        <v>82</v>
      </c>
      <c r="W538">
        <v>84</v>
      </c>
      <c r="X538">
        <v>42</v>
      </c>
      <c r="Y538">
        <v>25</v>
      </c>
      <c r="Z538" t="s">
        <v>876</v>
      </c>
      <c r="AA538" t="s">
        <v>877</v>
      </c>
      <c r="AB538" t="s">
        <v>86</v>
      </c>
      <c r="AC538" t="s">
        <v>87</v>
      </c>
      <c r="AD538" t="s">
        <v>88</v>
      </c>
      <c r="AE538" t="s">
        <v>863</v>
      </c>
      <c r="AG538" t="s">
        <v>878</v>
      </c>
      <c r="AH538">
        <v>0</v>
      </c>
      <c r="AI538">
        <v>0</v>
      </c>
    </row>
    <row r="539" spans="1:35" x14ac:dyDescent="0.3">
      <c r="A539" t="s">
        <v>858</v>
      </c>
      <c r="B539">
        <v>115528</v>
      </c>
      <c r="C539">
        <v>2</v>
      </c>
      <c r="D539" t="s">
        <v>875</v>
      </c>
      <c r="E539" t="s">
        <v>870</v>
      </c>
      <c r="F539">
        <v>1465</v>
      </c>
      <c r="G539">
        <v>30.51</v>
      </c>
      <c r="H539">
        <v>100.89</v>
      </c>
      <c r="I539">
        <v>22.05</v>
      </c>
      <c r="J539">
        <v>72.92</v>
      </c>
      <c r="K539">
        <v>50</v>
      </c>
      <c r="T539">
        <v>3</v>
      </c>
      <c r="U539">
        <v>2</v>
      </c>
      <c r="V539" t="s">
        <v>82</v>
      </c>
      <c r="W539">
        <v>100</v>
      </c>
      <c r="X539">
        <v>42</v>
      </c>
      <c r="Y539">
        <v>25</v>
      </c>
      <c r="Z539" t="s">
        <v>876</v>
      </c>
      <c r="AA539" t="s">
        <v>877</v>
      </c>
      <c r="AB539" t="s">
        <v>86</v>
      </c>
      <c r="AC539" t="s">
        <v>87</v>
      </c>
      <c r="AD539" t="s">
        <v>88</v>
      </c>
      <c r="AE539" t="s">
        <v>863</v>
      </c>
      <c r="AG539" t="s">
        <v>878</v>
      </c>
      <c r="AH539">
        <v>0</v>
      </c>
      <c r="AI539">
        <v>0</v>
      </c>
    </row>
    <row r="540" spans="1:35" x14ac:dyDescent="0.3">
      <c r="A540" t="s">
        <v>858</v>
      </c>
      <c r="B540">
        <v>115528</v>
      </c>
      <c r="C540">
        <v>3</v>
      </c>
      <c r="D540" t="s">
        <v>875</v>
      </c>
      <c r="E540" t="s">
        <v>870</v>
      </c>
      <c r="F540">
        <v>1465</v>
      </c>
      <c r="G540">
        <v>35.58</v>
      </c>
      <c r="H540">
        <v>117.63</v>
      </c>
      <c r="I540">
        <v>25.62</v>
      </c>
      <c r="J540">
        <v>84.71</v>
      </c>
      <c r="K540">
        <v>658</v>
      </c>
      <c r="T540">
        <v>3</v>
      </c>
      <c r="U540">
        <v>2</v>
      </c>
      <c r="V540" t="s">
        <v>82</v>
      </c>
      <c r="W540" t="s">
        <v>866</v>
      </c>
      <c r="X540">
        <v>42</v>
      </c>
      <c r="Y540">
        <v>25</v>
      </c>
      <c r="Z540" t="s">
        <v>876</v>
      </c>
      <c r="AA540" t="s">
        <v>877</v>
      </c>
      <c r="AB540" t="s">
        <v>86</v>
      </c>
      <c r="AC540" t="s">
        <v>87</v>
      </c>
      <c r="AD540" t="s">
        <v>88</v>
      </c>
      <c r="AE540" t="s">
        <v>863</v>
      </c>
      <c r="AG540" t="s">
        <v>878</v>
      </c>
      <c r="AH540">
        <v>0</v>
      </c>
      <c r="AI540">
        <v>0</v>
      </c>
    </row>
    <row r="541" spans="1:35" x14ac:dyDescent="0.3">
      <c r="A541" t="s">
        <v>858</v>
      </c>
      <c r="B541">
        <v>115528</v>
      </c>
      <c r="C541">
        <v>4</v>
      </c>
      <c r="D541" t="s">
        <v>875</v>
      </c>
      <c r="E541" t="s">
        <v>870</v>
      </c>
      <c r="F541">
        <v>1465</v>
      </c>
      <c r="G541">
        <v>35.65</v>
      </c>
      <c r="H541">
        <v>117.86</v>
      </c>
      <c r="I541">
        <v>25.64</v>
      </c>
      <c r="J541">
        <v>84.78</v>
      </c>
      <c r="K541">
        <v>273</v>
      </c>
      <c r="T541">
        <v>3</v>
      </c>
      <c r="U541">
        <v>2</v>
      </c>
      <c r="V541" t="s">
        <v>82</v>
      </c>
      <c r="W541" t="s">
        <v>879</v>
      </c>
      <c r="X541">
        <v>42</v>
      </c>
      <c r="Y541">
        <v>25</v>
      </c>
      <c r="Z541" t="s">
        <v>876</v>
      </c>
      <c r="AA541" t="s">
        <v>877</v>
      </c>
      <c r="AB541" t="s">
        <v>86</v>
      </c>
      <c r="AC541" t="s">
        <v>87</v>
      </c>
      <c r="AD541" t="s">
        <v>88</v>
      </c>
      <c r="AE541" t="s">
        <v>863</v>
      </c>
      <c r="AG541" t="s">
        <v>878</v>
      </c>
      <c r="AH541">
        <v>0</v>
      </c>
      <c r="AI541">
        <v>0</v>
      </c>
    </row>
    <row r="542" spans="1:35" x14ac:dyDescent="0.3">
      <c r="A542" t="s">
        <v>858</v>
      </c>
      <c r="B542">
        <v>115528</v>
      </c>
      <c r="C542">
        <v>5</v>
      </c>
      <c r="D542" t="s">
        <v>875</v>
      </c>
      <c r="E542" t="s">
        <v>870</v>
      </c>
      <c r="F542">
        <v>1465</v>
      </c>
      <c r="G542">
        <v>41.71</v>
      </c>
      <c r="H542">
        <v>137.9</v>
      </c>
      <c r="I542">
        <v>30.34</v>
      </c>
      <c r="J542">
        <v>100.3</v>
      </c>
      <c r="K542">
        <v>324</v>
      </c>
      <c r="T542">
        <v>3</v>
      </c>
      <c r="U542">
        <v>2</v>
      </c>
      <c r="V542" t="s">
        <v>82</v>
      </c>
      <c r="W542">
        <v>137</v>
      </c>
      <c r="X542">
        <v>42</v>
      </c>
      <c r="Y542">
        <v>25</v>
      </c>
      <c r="Z542" t="s">
        <v>876</v>
      </c>
      <c r="AA542" t="s">
        <v>877</v>
      </c>
      <c r="AB542" t="s">
        <v>86</v>
      </c>
      <c r="AC542" t="s">
        <v>87</v>
      </c>
      <c r="AD542" t="s">
        <v>88</v>
      </c>
      <c r="AE542" t="s">
        <v>863</v>
      </c>
      <c r="AG542" t="s">
        <v>878</v>
      </c>
      <c r="AH542">
        <v>0</v>
      </c>
      <c r="AI542">
        <v>0</v>
      </c>
    </row>
    <row r="543" spans="1:35" x14ac:dyDescent="0.3">
      <c r="A543" t="s">
        <v>858</v>
      </c>
      <c r="B543">
        <v>115143</v>
      </c>
      <c r="C543">
        <v>1</v>
      </c>
      <c r="D543" t="s">
        <v>880</v>
      </c>
      <c r="E543" t="s">
        <v>881</v>
      </c>
      <c r="F543">
        <v>44</v>
      </c>
      <c r="G543">
        <v>23.58</v>
      </c>
      <c r="H543">
        <v>77.959999999999994</v>
      </c>
      <c r="I543">
        <v>15.04</v>
      </c>
      <c r="J543">
        <v>49.73</v>
      </c>
      <c r="K543">
        <v>4</v>
      </c>
      <c r="T543">
        <v>2</v>
      </c>
      <c r="U543">
        <v>1</v>
      </c>
      <c r="V543" t="s">
        <v>82</v>
      </c>
      <c r="W543" t="s">
        <v>650</v>
      </c>
      <c r="X543">
        <v>9</v>
      </c>
      <c r="Y543">
        <v>6</v>
      </c>
      <c r="Z543" t="s">
        <v>882</v>
      </c>
      <c r="AA543" t="s">
        <v>883</v>
      </c>
      <c r="AB543" t="s">
        <v>86</v>
      </c>
      <c r="AC543" t="s">
        <v>87</v>
      </c>
      <c r="AD543" t="s">
        <v>88</v>
      </c>
      <c r="AE543" t="s">
        <v>863</v>
      </c>
      <c r="AG543" t="s">
        <v>884</v>
      </c>
      <c r="AH543">
        <v>0</v>
      </c>
      <c r="AI543">
        <v>288</v>
      </c>
    </row>
    <row r="544" spans="1:35" x14ac:dyDescent="0.3">
      <c r="A544" t="s">
        <v>858</v>
      </c>
      <c r="B544">
        <v>115143</v>
      </c>
      <c r="C544">
        <v>2</v>
      </c>
      <c r="D544" t="s">
        <v>880</v>
      </c>
      <c r="E544" t="s">
        <v>881</v>
      </c>
      <c r="F544">
        <v>44</v>
      </c>
      <c r="G544">
        <v>24.02</v>
      </c>
      <c r="H544">
        <v>79.430000000000007</v>
      </c>
      <c r="I544">
        <v>15.9</v>
      </c>
      <c r="J544">
        <v>52.58</v>
      </c>
      <c r="K544">
        <v>8</v>
      </c>
      <c r="T544">
        <v>2</v>
      </c>
      <c r="U544">
        <v>1</v>
      </c>
      <c r="V544" t="s">
        <v>82</v>
      </c>
      <c r="W544" t="s">
        <v>157</v>
      </c>
      <c r="X544">
        <v>9</v>
      </c>
      <c r="Y544">
        <v>6</v>
      </c>
      <c r="Z544" t="s">
        <v>882</v>
      </c>
      <c r="AA544" t="s">
        <v>883</v>
      </c>
      <c r="AB544" t="s">
        <v>86</v>
      </c>
      <c r="AC544" t="s">
        <v>87</v>
      </c>
      <c r="AD544" t="s">
        <v>88</v>
      </c>
      <c r="AE544" t="s">
        <v>863</v>
      </c>
      <c r="AG544" t="s">
        <v>884</v>
      </c>
      <c r="AH544">
        <v>0</v>
      </c>
      <c r="AI544">
        <v>288</v>
      </c>
    </row>
    <row r="545" spans="1:35" x14ac:dyDescent="0.3">
      <c r="A545" t="s">
        <v>858</v>
      </c>
      <c r="B545">
        <v>115143</v>
      </c>
      <c r="C545">
        <v>3</v>
      </c>
      <c r="D545" t="s">
        <v>880</v>
      </c>
      <c r="E545" t="s">
        <v>881</v>
      </c>
      <c r="F545">
        <v>44</v>
      </c>
      <c r="G545">
        <v>28.29</v>
      </c>
      <c r="H545">
        <v>93.53</v>
      </c>
      <c r="I545">
        <v>18.04</v>
      </c>
      <c r="J545">
        <v>59.66</v>
      </c>
      <c r="K545">
        <v>6</v>
      </c>
      <c r="T545">
        <v>2</v>
      </c>
      <c r="U545">
        <v>1</v>
      </c>
      <c r="V545" t="s">
        <v>82</v>
      </c>
      <c r="W545">
        <v>93</v>
      </c>
      <c r="X545">
        <v>9</v>
      </c>
      <c r="Y545">
        <v>6</v>
      </c>
      <c r="Z545" t="s">
        <v>882</v>
      </c>
      <c r="AA545" t="s">
        <v>883</v>
      </c>
      <c r="AB545" t="s">
        <v>86</v>
      </c>
      <c r="AC545" t="s">
        <v>87</v>
      </c>
      <c r="AD545" t="s">
        <v>88</v>
      </c>
      <c r="AE545" t="s">
        <v>863</v>
      </c>
      <c r="AG545" t="s">
        <v>884</v>
      </c>
      <c r="AH545">
        <v>0</v>
      </c>
      <c r="AI545">
        <v>288</v>
      </c>
    </row>
    <row r="546" spans="1:35" x14ac:dyDescent="0.3">
      <c r="A546" t="s">
        <v>858</v>
      </c>
      <c r="B546">
        <v>115143</v>
      </c>
      <c r="C546">
        <v>4</v>
      </c>
      <c r="D546" t="s">
        <v>880</v>
      </c>
      <c r="E546" t="s">
        <v>881</v>
      </c>
      <c r="F546">
        <v>44</v>
      </c>
      <c r="G546">
        <v>30.42</v>
      </c>
      <c r="H546">
        <v>100.59</v>
      </c>
      <c r="I546">
        <v>19.399999999999999</v>
      </c>
      <c r="J546">
        <v>64.16</v>
      </c>
      <c r="K546">
        <v>26</v>
      </c>
      <c r="T546">
        <v>2</v>
      </c>
      <c r="U546">
        <v>1</v>
      </c>
      <c r="V546" t="s">
        <v>82</v>
      </c>
      <c r="W546">
        <v>100</v>
      </c>
      <c r="X546">
        <v>9</v>
      </c>
      <c r="Y546">
        <v>6</v>
      </c>
      <c r="Z546" t="s">
        <v>882</v>
      </c>
      <c r="AA546" t="s">
        <v>883</v>
      </c>
      <c r="AB546" t="s">
        <v>86</v>
      </c>
      <c r="AC546" t="s">
        <v>87</v>
      </c>
      <c r="AD546" t="s">
        <v>88</v>
      </c>
      <c r="AE546" t="s">
        <v>863</v>
      </c>
      <c r="AG546" t="s">
        <v>884</v>
      </c>
      <c r="AH546">
        <v>0</v>
      </c>
      <c r="AI546">
        <v>288</v>
      </c>
    </row>
    <row r="547" spans="1:35" x14ac:dyDescent="0.3">
      <c r="A547" t="s">
        <v>858</v>
      </c>
      <c r="B547">
        <v>115397</v>
      </c>
      <c r="C547">
        <v>1</v>
      </c>
      <c r="D547" t="s">
        <v>885</v>
      </c>
      <c r="E547" t="s">
        <v>860</v>
      </c>
      <c r="F547">
        <v>1064</v>
      </c>
      <c r="G547">
        <v>25.73</v>
      </c>
      <c r="H547">
        <v>85.07</v>
      </c>
      <c r="I547">
        <v>18.14</v>
      </c>
      <c r="J547">
        <v>59.98</v>
      </c>
      <c r="K547">
        <v>60</v>
      </c>
      <c r="T547">
        <v>3</v>
      </c>
      <c r="U547">
        <v>2</v>
      </c>
      <c r="V547" t="s">
        <v>82</v>
      </c>
      <c r="W547">
        <v>85</v>
      </c>
      <c r="X547">
        <v>42</v>
      </c>
      <c r="Y547">
        <v>31</v>
      </c>
      <c r="Z547" t="s">
        <v>886</v>
      </c>
      <c r="AA547" t="s">
        <v>887</v>
      </c>
      <c r="AB547" t="s">
        <v>86</v>
      </c>
      <c r="AC547" t="s">
        <v>87</v>
      </c>
      <c r="AD547" t="s">
        <v>88</v>
      </c>
      <c r="AE547" t="s">
        <v>863</v>
      </c>
      <c r="AG547" t="s">
        <v>888</v>
      </c>
      <c r="AH547">
        <v>0</v>
      </c>
      <c r="AI547">
        <v>247</v>
      </c>
    </row>
    <row r="548" spans="1:35" x14ac:dyDescent="0.3">
      <c r="A548" t="s">
        <v>858</v>
      </c>
      <c r="B548">
        <v>115397</v>
      </c>
      <c r="C548">
        <v>2</v>
      </c>
      <c r="D548" t="s">
        <v>885</v>
      </c>
      <c r="E548" t="s">
        <v>860</v>
      </c>
      <c r="F548">
        <v>1064</v>
      </c>
      <c r="G548">
        <v>30.94</v>
      </c>
      <c r="H548">
        <v>102.3</v>
      </c>
      <c r="I548">
        <v>22.04</v>
      </c>
      <c r="J548">
        <v>72.88</v>
      </c>
      <c r="K548">
        <v>124</v>
      </c>
      <c r="T548">
        <v>3</v>
      </c>
      <c r="U548">
        <v>2</v>
      </c>
      <c r="V548" t="s">
        <v>82</v>
      </c>
      <c r="W548">
        <v>102</v>
      </c>
      <c r="X548">
        <v>42</v>
      </c>
      <c r="Y548">
        <v>31</v>
      </c>
      <c r="Z548" t="s">
        <v>886</v>
      </c>
      <c r="AA548" t="s">
        <v>887</v>
      </c>
      <c r="AB548" t="s">
        <v>86</v>
      </c>
      <c r="AC548" t="s">
        <v>87</v>
      </c>
      <c r="AD548" t="s">
        <v>88</v>
      </c>
      <c r="AE548" t="s">
        <v>863</v>
      </c>
      <c r="AG548" t="s">
        <v>888</v>
      </c>
      <c r="AH548">
        <v>0</v>
      </c>
      <c r="AI548">
        <v>247</v>
      </c>
    </row>
    <row r="549" spans="1:35" x14ac:dyDescent="0.3">
      <c r="A549" t="s">
        <v>858</v>
      </c>
      <c r="B549">
        <v>115397</v>
      </c>
      <c r="C549">
        <v>3</v>
      </c>
      <c r="D549" t="s">
        <v>885</v>
      </c>
      <c r="E549" t="s">
        <v>860</v>
      </c>
      <c r="F549">
        <v>1064</v>
      </c>
      <c r="G549">
        <v>35.97</v>
      </c>
      <c r="H549">
        <v>118.92</v>
      </c>
      <c r="I549">
        <v>25.52</v>
      </c>
      <c r="J549">
        <v>84.38</v>
      </c>
      <c r="K549">
        <v>411</v>
      </c>
      <c r="T549">
        <v>3</v>
      </c>
      <c r="U549">
        <v>2</v>
      </c>
      <c r="V549" t="s">
        <v>82</v>
      </c>
      <c r="W549" t="s">
        <v>889</v>
      </c>
      <c r="X549">
        <v>42</v>
      </c>
      <c r="Y549">
        <v>31</v>
      </c>
      <c r="Z549" t="s">
        <v>886</v>
      </c>
      <c r="AA549" t="s">
        <v>887</v>
      </c>
      <c r="AB549" t="s">
        <v>86</v>
      </c>
      <c r="AC549" t="s">
        <v>87</v>
      </c>
      <c r="AD549" t="s">
        <v>88</v>
      </c>
      <c r="AE549" t="s">
        <v>863</v>
      </c>
      <c r="AG549" t="s">
        <v>888</v>
      </c>
      <c r="AH549">
        <v>0</v>
      </c>
      <c r="AI549">
        <v>247</v>
      </c>
    </row>
    <row r="550" spans="1:35" x14ac:dyDescent="0.3">
      <c r="A550" t="s">
        <v>858</v>
      </c>
      <c r="B550">
        <v>115397</v>
      </c>
      <c r="C550">
        <v>4</v>
      </c>
      <c r="D550" t="s">
        <v>885</v>
      </c>
      <c r="E550" t="s">
        <v>860</v>
      </c>
      <c r="F550">
        <v>1064</v>
      </c>
      <c r="G550">
        <v>35.880000000000003</v>
      </c>
      <c r="H550">
        <v>118.62</v>
      </c>
      <c r="I550">
        <v>25.44</v>
      </c>
      <c r="J550">
        <v>84.1</v>
      </c>
      <c r="K550">
        <v>223</v>
      </c>
      <c r="T550">
        <v>3</v>
      </c>
      <c r="U550">
        <v>2</v>
      </c>
      <c r="V550" t="s">
        <v>82</v>
      </c>
      <c r="W550" t="s">
        <v>890</v>
      </c>
      <c r="X550">
        <v>42</v>
      </c>
      <c r="Y550">
        <v>31</v>
      </c>
      <c r="Z550" t="s">
        <v>886</v>
      </c>
      <c r="AA550" t="s">
        <v>887</v>
      </c>
      <c r="AB550" t="s">
        <v>86</v>
      </c>
      <c r="AC550" t="s">
        <v>87</v>
      </c>
      <c r="AD550" t="s">
        <v>88</v>
      </c>
      <c r="AE550" t="s">
        <v>863</v>
      </c>
      <c r="AG550" t="s">
        <v>888</v>
      </c>
      <c r="AH550">
        <v>0</v>
      </c>
      <c r="AI550">
        <v>247</v>
      </c>
    </row>
    <row r="551" spans="1:35" x14ac:dyDescent="0.3">
      <c r="A551" t="s">
        <v>858</v>
      </c>
      <c r="B551">
        <v>115397</v>
      </c>
      <c r="C551">
        <v>5</v>
      </c>
      <c r="D551" t="s">
        <v>885</v>
      </c>
      <c r="E551" t="s">
        <v>860</v>
      </c>
      <c r="F551">
        <v>1064</v>
      </c>
      <c r="G551">
        <v>41.92</v>
      </c>
      <c r="H551">
        <v>138.58000000000001</v>
      </c>
      <c r="I551">
        <v>29.99</v>
      </c>
      <c r="J551">
        <v>99.17</v>
      </c>
      <c r="K551">
        <v>246</v>
      </c>
      <c r="T551">
        <v>3</v>
      </c>
      <c r="U551">
        <v>2</v>
      </c>
      <c r="V551" t="s">
        <v>82</v>
      </c>
      <c r="W551">
        <v>138</v>
      </c>
      <c r="X551">
        <v>42</v>
      </c>
      <c r="Y551">
        <v>31</v>
      </c>
      <c r="Z551" t="s">
        <v>886</v>
      </c>
      <c r="AA551" t="s">
        <v>887</v>
      </c>
      <c r="AB551" t="s">
        <v>86</v>
      </c>
      <c r="AC551" t="s">
        <v>87</v>
      </c>
      <c r="AD551" t="s">
        <v>88</v>
      </c>
      <c r="AE551" t="s">
        <v>863</v>
      </c>
      <c r="AG551" t="s">
        <v>888</v>
      </c>
      <c r="AH551">
        <v>0</v>
      </c>
      <c r="AI551">
        <v>247</v>
      </c>
    </row>
    <row r="552" spans="1:35" x14ac:dyDescent="0.3">
      <c r="A552" t="s">
        <v>891</v>
      </c>
      <c r="B552">
        <v>16847</v>
      </c>
      <c r="C552">
        <v>1</v>
      </c>
      <c r="D552" t="s">
        <v>892</v>
      </c>
      <c r="E552" t="s">
        <v>853</v>
      </c>
      <c r="F552">
        <v>192</v>
      </c>
      <c r="G552">
        <v>20.88</v>
      </c>
      <c r="H552">
        <v>69.05</v>
      </c>
      <c r="I552">
        <v>15.11</v>
      </c>
      <c r="J552">
        <v>49.98</v>
      </c>
      <c r="K552">
        <v>192</v>
      </c>
      <c r="T552">
        <v>2</v>
      </c>
      <c r="U552">
        <v>1</v>
      </c>
      <c r="V552" t="s">
        <v>99</v>
      </c>
      <c r="W552">
        <v>69</v>
      </c>
      <c r="X552">
        <v>12</v>
      </c>
      <c r="Y552">
        <v>12</v>
      </c>
      <c r="Z552" t="s">
        <v>893</v>
      </c>
      <c r="AA552" t="s">
        <v>894</v>
      </c>
      <c r="AB552" t="s">
        <v>86</v>
      </c>
      <c r="AC552" t="s">
        <v>87</v>
      </c>
      <c r="AD552" t="s">
        <v>88</v>
      </c>
      <c r="AE552" t="s">
        <v>895</v>
      </c>
      <c r="AG552" t="s">
        <v>896</v>
      </c>
      <c r="AH552">
        <v>0</v>
      </c>
      <c r="AI552">
        <v>248</v>
      </c>
    </row>
    <row r="553" spans="1:35" x14ac:dyDescent="0.3">
      <c r="A553" t="s">
        <v>891</v>
      </c>
      <c r="B553">
        <v>7821</v>
      </c>
      <c r="C553">
        <v>1</v>
      </c>
      <c r="D553" t="s">
        <v>897</v>
      </c>
      <c r="E553" t="s">
        <v>898</v>
      </c>
      <c r="F553">
        <v>672</v>
      </c>
      <c r="G553">
        <v>24.17</v>
      </c>
      <c r="H553">
        <v>79.930000000000007</v>
      </c>
      <c r="I553">
        <v>18.14</v>
      </c>
      <c r="J553">
        <v>59.97</v>
      </c>
      <c r="K553">
        <v>592</v>
      </c>
      <c r="T553">
        <v>3</v>
      </c>
      <c r="U553">
        <v>1</v>
      </c>
      <c r="V553" t="s">
        <v>82</v>
      </c>
      <c r="W553">
        <v>79</v>
      </c>
      <c r="X553">
        <v>20</v>
      </c>
      <c r="Y553">
        <v>18</v>
      </c>
      <c r="Z553" t="s">
        <v>899</v>
      </c>
      <c r="AA553" t="s">
        <v>900</v>
      </c>
      <c r="AB553" t="s">
        <v>86</v>
      </c>
      <c r="AC553" t="s">
        <v>87</v>
      </c>
      <c r="AD553" t="s">
        <v>88</v>
      </c>
      <c r="AE553" t="s">
        <v>895</v>
      </c>
      <c r="AG553" t="s">
        <v>901</v>
      </c>
      <c r="AH553">
        <v>0</v>
      </c>
      <c r="AI553">
        <v>275</v>
      </c>
    </row>
    <row r="554" spans="1:35" x14ac:dyDescent="0.3">
      <c r="A554" t="s">
        <v>891</v>
      </c>
      <c r="B554">
        <v>7821</v>
      </c>
      <c r="C554">
        <v>2</v>
      </c>
      <c r="D554" t="s">
        <v>897</v>
      </c>
      <c r="E554" t="s">
        <v>898</v>
      </c>
      <c r="F554">
        <v>672</v>
      </c>
      <c r="G554">
        <v>32.340000000000003</v>
      </c>
      <c r="H554">
        <v>106.93</v>
      </c>
      <c r="I554">
        <v>25.68</v>
      </c>
      <c r="J554">
        <v>84.9</v>
      </c>
      <c r="K554">
        <v>80</v>
      </c>
      <c r="T554">
        <v>3</v>
      </c>
      <c r="U554">
        <v>2</v>
      </c>
      <c r="V554" t="s">
        <v>82</v>
      </c>
      <c r="W554">
        <v>106</v>
      </c>
      <c r="X554">
        <v>20</v>
      </c>
      <c r="Y554">
        <v>18</v>
      </c>
      <c r="Z554" t="s">
        <v>899</v>
      </c>
      <c r="AA554" t="s">
        <v>900</v>
      </c>
      <c r="AB554" t="s">
        <v>86</v>
      </c>
      <c r="AC554" t="s">
        <v>87</v>
      </c>
      <c r="AD554" t="s">
        <v>88</v>
      </c>
      <c r="AE554" t="s">
        <v>895</v>
      </c>
      <c r="AG554" t="s">
        <v>901</v>
      </c>
      <c r="AH554">
        <v>0</v>
      </c>
      <c r="AI554">
        <v>275</v>
      </c>
    </row>
    <row r="555" spans="1:35" x14ac:dyDescent="0.3">
      <c r="A555" t="s">
        <v>891</v>
      </c>
      <c r="B555">
        <v>7822</v>
      </c>
      <c r="C555">
        <v>1</v>
      </c>
      <c r="D555" t="s">
        <v>902</v>
      </c>
      <c r="E555" t="s">
        <v>351</v>
      </c>
      <c r="F555">
        <v>1650</v>
      </c>
      <c r="G555">
        <v>24.14</v>
      </c>
      <c r="H555">
        <v>79.81</v>
      </c>
      <c r="I555">
        <v>18.14</v>
      </c>
      <c r="J555">
        <v>59.97</v>
      </c>
      <c r="K555">
        <v>360</v>
      </c>
      <c r="T555">
        <v>3</v>
      </c>
      <c r="U555">
        <v>1</v>
      </c>
      <c r="V555" t="s">
        <v>82</v>
      </c>
      <c r="W555">
        <v>79</v>
      </c>
      <c r="X555">
        <v>20</v>
      </c>
      <c r="Y555">
        <v>16</v>
      </c>
      <c r="Z555" t="s">
        <v>903</v>
      </c>
      <c r="AA555" t="s">
        <v>904</v>
      </c>
      <c r="AB555" t="s">
        <v>86</v>
      </c>
      <c r="AC555" t="s">
        <v>87</v>
      </c>
      <c r="AD555" t="s">
        <v>88</v>
      </c>
      <c r="AE555" t="s">
        <v>895</v>
      </c>
      <c r="AG555" t="s">
        <v>905</v>
      </c>
      <c r="AH555">
        <v>0</v>
      </c>
      <c r="AI555">
        <v>290</v>
      </c>
    </row>
    <row r="556" spans="1:35" x14ac:dyDescent="0.3">
      <c r="A556" t="s">
        <v>891</v>
      </c>
      <c r="B556">
        <v>7822</v>
      </c>
      <c r="C556">
        <v>2</v>
      </c>
      <c r="D556" t="s">
        <v>902</v>
      </c>
      <c r="E556" t="s">
        <v>351</v>
      </c>
      <c r="F556">
        <v>1650</v>
      </c>
      <c r="G556">
        <v>28.75</v>
      </c>
      <c r="H556">
        <v>95.05</v>
      </c>
      <c r="I556">
        <v>22.38</v>
      </c>
      <c r="J556">
        <v>74.010000000000005</v>
      </c>
      <c r="K556">
        <v>570</v>
      </c>
      <c r="T556">
        <v>3</v>
      </c>
      <c r="U556">
        <v>1</v>
      </c>
      <c r="V556" t="s">
        <v>82</v>
      </c>
      <c r="W556">
        <v>95</v>
      </c>
      <c r="X556">
        <v>20</v>
      </c>
      <c r="Y556">
        <v>16</v>
      </c>
      <c r="Z556" t="s">
        <v>903</v>
      </c>
      <c r="AA556" t="s">
        <v>904</v>
      </c>
      <c r="AB556" t="s">
        <v>86</v>
      </c>
      <c r="AC556" t="s">
        <v>87</v>
      </c>
      <c r="AD556" t="s">
        <v>88</v>
      </c>
      <c r="AE556" t="s">
        <v>895</v>
      </c>
      <c r="AG556" t="s">
        <v>905</v>
      </c>
      <c r="AH556">
        <v>0</v>
      </c>
      <c r="AI556">
        <v>290</v>
      </c>
    </row>
    <row r="557" spans="1:35" x14ac:dyDescent="0.3">
      <c r="A557" t="s">
        <v>891</v>
      </c>
      <c r="B557">
        <v>7822</v>
      </c>
      <c r="C557">
        <v>3</v>
      </c>
      <c r="D557" t="s">
        <v>902</v>
      </c>
      <c r="E557" t="s">
        <v>351</v>
      </c>
      <c r="F557">
        <v>1650</v>
      </c>
      <c r="G557">
        <v>32.700000000000003</v>
      </c>
      <c r="H557">
        <v>108.1</v>
      </c>
      <c r="I557">
        <v>25.68</v>
      </c>
      <c r="J557">
        <v>84.9</v>
      </c>
      <c r="K557">
        <v>720</v>
      </c>
      <c r="T557">
        <v>3</v>
      </c>
      <c r="U557">
        <v>2</v>
      </c>
      <c r="V557" t="s">
        <v>82</v>
      </c>
      <c r="W557">
        <v>108</v>
      </c>
      <c r="X557">
        <v>20</v>
      </c>
      <c r="Y557">
        <v>16</v>
      </c>
      <c r="Z557" t="s">
        <v>903</v>
      </c>
      <c r="AA557" t="s">
        <v>904</v>
      </c>
      <c r="AB557" t="s">
        <v>86</v>
      </c>
      <c r="AC557" t="s">
        <v>87</v>
      </c>
      <c r="AD557" t="s">
        <v>88</v>
      </c>
      <c r="AE557" t="s">
        <v>895</v>
      </c>
      <c r="AG557" t="s">
        <v>905</v>
      </c>
      <c r="AH557">
        <v>0</v>
      </c>
      <c r="AI557">
        <v>290</v>
      </c>
    </row>
    <row r="558" spans="1:35" x14ac:dyDescent="0.3">
      <c r="A558" t="s">
        <v>891</v>
      </c>
      <c r="B558">
        <v>16851</v>
      </c>
      <c r="C558">
        <v>1</v>
      </c>
      <c r="D558" t="s">
        <v>906</v>
      </c>
      <c r="E558" t="s">
        <v>907</v>
      </c>
      <c r="F558">
        <v>594</v>
      </c>
      <c r="G558">
        <v>24.08</v>
      </c>
      <c r="H558">
        <v>79.61</v>
      </c>
      <c r="I558">
        <v>18.14</v>
      </c>
      <c r="J558">
        <v>59.97</v>
      </c>
      <c r="K558">
        <v>231</v>
      </c>
      <c r="T558">
        <v>3</v>
      </c>
      <c r="U558">
        <v>1</v>
      </c>
      <c r="V558" t="s">
        <v>82</v>
      </c>
      <c r="W558">
        <v>79</v>
      </c>
      <c r="X558">
        <v>18</v>
      </c>
      <c r="Y558">
        <v>16</v>
      </c>
      <c r="Z558" t="s">
        <v>908</v>
      </c>
      <c r="AA558" t="s">
        <v>909</v>
      </c>
      <c r="AB558" t="s">
        <v>86</v>
      </c>
      <c r="AC558" t="s">
        <v>87</v>
      </c>
      <c r="AD558" t="s">
        <v>88</v>
      </c>
      <c r="AE558" t="s">
        <v>895</v>
      </c>
      <c r="AG558" t="s">
        <v>910</v>
      </c>
      <c r="AH558">
        <v>0</v>
      </c>
      <c r="AI558">
        <v>283</v>
      </c>
    </row>
    <row r="559" spans="1:35" x14ac:dyDescent="0.3">
      <c r="A559" t="s">
        <v>891</v>
      </c>
      <c r="B559">
        <v>16851</v>
      </c>
      <c r="C559">
        <v>2</v>
      </c>
      <c r="D559" t="s">
        <v>906</v>
      </c>
      <c r="E559" t="s">
        <v>907</v>
      </c>
      <c r="F559">
        <v>594</v>
      </c>
      <c r="G559">
        <v>28.65</v>
      </c>
      <c r="H559">
        <v>94.74</v>
      </c>
      <c r="I559">
        <v>22.38</v>
      </c>
      <c r="J559">
        <v>74.010000000000005</v>
      </c>
      <c r="K559">
        <v>87</v>
      </c>
      <c r="T559">
        <v>3</v>
      </c>
      <c r="U559">
        <v>1</v>
      </c>
      <c r="V559" t="s">
        <v>82</v>
      </c>
      <c r="W559">
        <v>94</v>
      </c>
      <c r="X559">
        <v>18</v>
      </c>
      <c r="Y559">
        <v>16</v>
      </c>
      <c r="Z559" t="s">
        <v>908</v>
      </c>
      <c r="AA559" t="s">
        <v>909</v>
      </c>
      <c r="AB559" t="s">
        <v>86</v>
      </c>
      <c r="AC559" t="s">
        <v>87</v>
      </c>
      <c r="AD559" t="s">
        <v>88</v>
      </c>
      <c r="AE559" t="s">
        <v>895</v>
      </c>
      <c r="AG559" t="s">
        <v>910</v>
      </c>
      <c r="AH559">
        <v>0</v>
      </c>
      <c r="AI559">
        <v>283</v>
      </c>
    </row>
    <row r="560" spans="1:35" x14ac:dyDescent="0.3">
      <c r="A560" t="s">
        <v>891</v>
      </c>
      <c r="B560">
        <v>16851</v>
      </c>
      <c r="C560">
        <v>3</v>
      </c>
      <c r="D560" t="s">
        <v>906</v>
      </c>
      <c r="E560" t="s">
        <v>907</v>
      </c>
      <c r="F560">
        <v>594</v>
      </c>
      <c r="G560">
        <v>32.21</v>
      </c>
      <c r="H560">
        <v>106.48</v>
      </c>
      <c r="I560">
        <v>25.68</v>
      </c>
      <c r="J560">
        <v>84.9</v>
      </c>
      <c r="K560">
        <v>276</v>
      </c>
      <c r="T560">
        <v>3</v>
      </c>
      <c r="U560">
        <v>2</v>
      </c>
      <c r="V560" t="s">
        <v>82</v>
      </c>
      <c r="W560">
        <v>106</v>
      </c>
      <c r="X560">
        <v>18</v>
      </c>
      <c r="Y560">
        <v>16</v>
      </c>
      <c r="Z560" t="s">
        <v>908</v>
      </c>
      <c r="AA560" t="s">
        <v>909</v>
      </c>
      <c r="AB560" t="s">
        <v>86</v>
      </c>
      <c r="AC560" t="s">
        <v>87</v>
      </c>
      <c r="AD560" t="s">
        <v>88</v>
      </c>
      <c r="AE560" t="s">
        <v>895</v>
      </c>
      <c r="AG560" t="s">
        <v>910</v>
      </c>
      <c r="AH560">
        <v>0</v>
      </c>
      <c r="AI560">
        <v>283</v>
      </c>
    </row>
    <row r="561" spans="1:35" x14ac:dyDescent="0.3">
      <c r="A561" t="s">
        <v>891</v>
      </c>
      <c r="B561">
        <v>16849</v>
      </c>
      <c r="C561">
        <v>1</v>
      </c>
      <c r="D561" t="s">
        <v>911</v>
      </c>
      <c r="E561" t="s">
        <v>912</v>
      </c>
      <c r="F561">
        <v>143</v>
      </c>
      <c r="G561">
        <v>34.57</v>
      </c>
      <c r="H561">
        <v>114.29</v>
      </c>
      <c r="I561">
        <v>25.56</v>
      </c>
      <c r="J561">
        <v>84.52</v>
      </c>
      <c r="K561">
        <v>143</v>
      </c>
      <c r="T561">
        <v>3</v>
      </c>
      <c r="U561">
        <v>2</v>
      </c>
      <c r="V561" t="s">
        <v>82</v>
      </c>
      <c r="W561">
        <v>114</v>
      </c>
      <c r="X561">
        <v>12</v>
      </c>
      <c r="Y561">
        <v>12</v>
      </c>
      <c r="Z561" t="s">
        <v>913</v>
      </c>
      <c r="AA561" t="s">
        <v>914</v>
      </c>
      <c r="AB561" t="s">
        <v>86</v>
      </c>
      <c r="AC561" t="s">
        <v>87</v>
      </c>
      <c r="AD561" t="s">
        <v>88</v>
      </c>
      <c r="AE561" t="s">
        <v>895</v>
      </c>
      <c r="AG561" t="s">
        <v>915</v>
      </c>
      <c r="AH561">
        <v>0</v>
      </c>
      <c r="AI561">
        <v>219</v>
      </c>
    </row>
    <row r="562" spans="1:35" x14ac:dyDescent="0.3">
      <c r="A562" t="s">
        <v>891</v>
      </c>
      <c r="B562">
        <v>115640</v>
      </c>
      <c r="C562">
        <v>1</v>
      </c>
      <c r="D562" t="s">
        <v>916</v>
      </c>
      <c r="E562" t="s">
        <v>917</v>
      </c>
      <c r="F562">
        <v>1132</v>
      </c>
      <c r="G562">
        <v>34.14</v>
      </c>
      <c r="H562">
        <v>112.86</v>
      </c>
      <c r="I562">
        <v>25.67</v>
      </c>
      <c r="J562">
        <v>84.86</v>
      </c>
      <c r="K562">
        <v>378</v>
      </c>
      <c r="T562">
        <v>3</v>
      </c>
      <c r="U562">
        <v>2</v>
      </c>
      <c r="V562" t="s">
        <v>82</v>
      </c>
      <c r="W562" t="s">
        <v>245</v>
      </c>
      <c r="X562">
        <v>49</v>
      </c>
      <c r="Y562">
        <v>49</v>
      </c>
      <c r="Z562" t="s">
        <v>918</v>
      </c>
      <c r="AA562" t="s">
        <v>919</v>
      </c>
      <c r="AB562" t="s">
        <v>86</v>
      </c>
      <c r="AC562" t="s">
        <v>87</v>
      </c>
      <c r="AD562" t="s">
        <v>88</v>
      </c>
      <c r="AE562" t="s">
        <v>895</v>
      </c>
      <c r="AG562" t="s">
        <v>920</v>
      </c>
      <c r="AH562">
        <v>0</v>
      </c>
      <c r="AI562">
        <v>687</v>
      </c>
    </row>
    <row r="563" spans="1:35" x14ac:dyDescent="0.3">
      <c r="A563" t="s">
        <v>891</v>
      </c>
      <c r="B563">
        <v>115640</v>
      </c>
      <c r="C563">
        <v>2</v>
      </c>
      <c r="D563" t="s">
        <v>916</v>
      </c>
      <c r="E563" t="s">
        <v>917</v>
      </c>
      <c r="F563">
        <v>1132</v>
      </c>
      <c r="G563">
        <v>34.58</v>
      </c>
      <c r="H563">
        <v>114.33</v>
      </c>
      <c r="I563">
        <v>25.59</v>
      </c>
      <c r="J563">
        <v>84.62</v>
      </c>
      <c r="K563">
        <v>378</v>
      </c>
      <c r="T563">
        <v>3</v>
      </c>
      <c r="U563">
        <v>2</v>
      </c>
      <c r="V563" t="s">
        <v>82</v>
      </c>
      <c r="W563" t="s">
        <v>688</v>
      </c>
      <c r="X563">
        <v>49</v>
      </c>
      <c r="Y563">
        <v>49</v>
      </c>
      <c r="Z563" t="s">
        <v>918</v>
      </c>
      <c r="AA563" t="s">
        <v>919</v>
      </c>
      <c r="AB563" t="s">
        <v>86</v>
      </c>
      <c r="AC563" t="s">
        <v>87</v>
      </c>
      <c r="AD563" t="s">
        <v>88</v>
      </c>
      <c r="AE563" t="s">
        <v>895</v>
      </c>
      <c r="AG563" t="s">
        <v>920</v>
      </c>
      <c r="AH563">
        <v>0</v>
      </c>
      <c r="AI563">
        <v>687</v>
      </c>
    </row>
    <row r="564" spans="1:35" x14ac:dyDescent="0.3">
      <c r="A564" t="s">
        <v>891</v>
      </c>
      <c r="B564">
        <v>115640</v>
      </c>
      <c r="C564">
        <v>3</v>
      </c>
      <c r="D564" t="s">
        <v>916</v>
      </c>
      <c r="E564" t="s">
        <v>917</v>
      </c>
      <c r="F564">
        <v>1132</v>
      </c>
      <c r="G564">
        <v>34.74</v>
      </c>
      <c r="H564">
        <v>114.85</v>
      </c>
      <c r="I564">
        <v>25.67</v>
      </c>
      <c r="J564">
        <v>84.86</v>
      </c>
      <c r="K564">
        <v>376</v>
      </c>
      <c r="T564">
        <v>3</v>
      </c>
      <c r="U564">
        <v>2</v>
      </c>
      <c r="V564" t="s">
        <v>82</v>
      </c>
      <c r="W564" t="s">
        <v>210</v>
      </c>
      <c r="X564">
        <v>49</v>
      </c>
      <c r="Y564">
        <v>49</v>
      </c>
      <c r="Z564" t="s">
        <v>918</v>
      </c>
      <c r="AA564" t="s">
        <v>919</v>
      </c>
      <c r="AB564" t="s">
        <v>86</v>
      </c>
      <c r="AC564" t="s">
        <v>87</v>
      </c>
      <c r="AD564" t="s">
        <v>88</v>
      </c>
      <c r="AE564" t="s">
        <v>895</v>
      </c>
      <c r="AG564" t="s">
        <v>920</v>
      </c>
      <c r="AH564">
        <v>0</v>
      </c>
      <c r="AI564">
        <v>687</v>
      </c>
    </row>
    <row r="565" spans="1:35" x14ac:dyDescent="0.3">
      <c r="A565" t="s">
        <v>891</v>
      </c>
      <c r="B565">
        <v>7816</v>
      </c>
      <c r="C565">
        <v>1</v>
      </c>
      <c r="D565" t="s">
        <v>921</v>
      </c>
      <c r="E565" t="s">
        <v>922</v>
      </c>
      <c r="F565">
        <v>1059</v>
      </c>
      <c r="G565">
        <v>22.05</v>
      </c>
      <c r="H565">
        <v>72.92</v>
      </c>
      <c r="I565">
        <v>15.09</v>
      </c>
      <c r="J565">
        <v>49.9</v>
      </c>
      <c r="K565">
        <v>108</v>
      </c>
      <c r="T565">
        <v>2</v>
      </c>
      <c r="U565">
        <v>1</v>
      </c>
      <c r="V565" t="s">
        <v>99</v>
      </c>
      <c r="W565">
        <v>72</v>
      </c>
      <c r="X565">
        <v>20</v>
      </c>
      <c r="Y565">
        <v>16</v>
      </c>
      <c r="Z565" t="s">
        <v>923</v>
      </c>
      <c r="AA565" t="s">
        <v>924</v>
      </c>
      <c r="AB565" t="s">
        <v>86</v>
      </c>
      <c r="AC565" t="s">
        <v>87</v>
      </c>
      <c r="AD565" t="s">
        <v>88</v>
      </c>
      <c r="AE565" t="s">
        <v>895</v>
      </c>
      <c r="AG565" t="s">
        <v>925</v>
      </c>
      <c r="AH565">
        <v>0</v>
      </c>
      <c r="AI565">
        <v>321</v>
      </c>
    </row>
    <row r="566" spans="1:35" x14ac:dyDescent="0.3">
      <c r="A566" t="s">
        <v>891</v>
      </c>
      <c r="B566">
        <v>7816</v>
      </c>
      <c r="C566">
        <v>2</v>
      </c>
      <c r="D566" t="s">
        <v>921</v>
      </c>
      <c r="E566" t="s">
        <v>922</v>
      </c>
      <c r="F566">
        <v>1059</v>
      </c>
      <c r="G566">
        <v>26.22</v>
      </c>
      <c r="H566">
        <v>86.71</v>
      </c>
      <c r="I566">
        <v>17.95</v>
      </c>
      <c r="J566">
        <v>59.34</v>
      </c>
      <c r="K566">
        <v>299</v>
      </c>
      <c r="T566">
        <v>3</v>
      </c>
      <c r="U566">
        <v>1</v>
      </c>
      <c r="V566" t="s">
        <v>99</v>
      </c>
      <c r="W566">
        <v>86</v>
      </c>
      <c r="X566">
        <v>20</v>
      </c>
      <c r="Y566">
        <v>16</v>
      </c>
      <c r="Z566" t="s">
        <v>923</v>
      </c>
      <c r="AA566" t="s">
        <v>924</v>
      </c>
      <c r="AB566" t="s">
        <v>86</v>
      </c>
      <c r="AC566" t="s">
        <v>87</v>
      </c>
      <c r="AD566" t="s">
        <v>88</v>
      </c>
      <c r="AE566" t="s">
        <v>895</v>
      </c>
      <c r="AG566" t="s">
        <v>925</v>
      </c>
      <c r="AH566">
        <v>0</v>
      </c>
      <c r="AI566">
        <v>321</v>
      </c>
    </row>
    <row r="567" spans="1:35" x14ac:dyDescent="0.3">
      <c r="A567" t="s">
        <v>891</v>
      </c>
      <c r="B567">
        <v>7816</v>
      </c>
      <c r="C567">
        <v>3</v>
      </c>
      <c r="D567" t="s">
        <v>921</v>
      </c>
      <c r="E567" t="s">
        <v>922</v>
      </c>
      <c r="F567">
        <v>1059</v>
      </c>
      <c r="G567">
        <v>31.91</v>
      </c>
      <c r="H567">
        <v>105.49</v>
      </c>
      <c r="I567">
        <v>25.67</v>
      </c>
      <c r="J567">
        <v>84.88</v>
      </c>
      <c r="K567">
        <v>360</v>
      </c>
      <c r="T567">
        <v>3</v>
      </c>
      <c r="U567">
        <v>2</v>
      </c>
      <c r="V567" t="s">
        <v>82</v>
      </c>
      <c r="W567">
        <v>105</v>
      </c>
      <c r="X567">
        <v>20</v>
      </c>
      <c r="Y567">
        <v>16</v>
      </c>
      <c r="Z567" t="s">
        <v>923</v>
      </c>
      <c r="AA567" t="s">
        <v>924</v>
      </c>
      <c r="AB567" t="s">
        <v>86</v>
      </c>
      <c r="AC567" t="s">
        <v>87</v>
      </c>
      <c r="AD567" t="s">
        <v>88</v>
      </c>
      <c r="AE567" t="s">
        <v>895</v>
      </c>
      <c r="AG567" t="s">
        <v>925</v>
      </c>
      <c r="AH567">
        <v>0</v>
      </c>
      <c r="AI567">
        <v>321</v>
      </c>
    </row>
    <row r="568" spans="1:35" x14ac:dyDescent="0.3">
      <c r="A568" t="s">
        <v>891</v>
      </c>
      <c r="B568">
        <v>7816</v>
      </c>
      <c r="C568">
        <v>4</v>
      </c>
      <c r="D568" t="s">
        <v>921</v>
      </c>
      <c r="E568" t="s">
        <v>922</v>
      </c>
      <c r="F568">
        <v>1059</v>
      </c>
      <c r="G568">
        <v>40.869999999999997</v>
      </c>
      <c r="H568">
        <v>135.12</v>
      </c>
      <c r="I568">
        <v>32.880000000000003</v>
      </c>
      <c r="J568">
        <v>108.72</v>
      </c>
      <c r="K568">
        <v>292</v>
      </c>
      <c r="T568">
        <v>4</v>
      </c>
      <c r="U568">
        <v>2</v>
      </c>
      <c r="V568" t="s">
        <v>82</v>
      </c>
      <c r="W568">
        <v>135</v>
      </c>
      <c r="X568">
        <v>20</v>
      </c>
      <c r="Y568">
        <v>16</v>
      </c>
      <c r="Z568" t="s">
        <v>923</v>
      </c>
      <c r="AA568" t="s">
        <v>924</v>
      </c>
      <c r="AB568" t="s">
        <v>86</v>
      </c>
      <c r="AC568" t="s">
        <v>87</v>
      </c>
      <c r="AD568" t="s">
        <v>88</v>
      </c>
      <c r="AE568" t="s">
        <v>895</v>
      </c>
      <c r="AG568" t="s">
        <v>925</v>
      </c>
      <c r="AH568">
        <v>0</v>
      </c>
      <c r="AI568">
        <v>321</v>
      </c>
    </row>
    <row r="569" spans="1:35" x14ac:dyDescent="0.3">
      <c r="A569" t="s">
        <v>891</v>
      </c>
      <c r="B569">
        <v>124719</v>
      </c>
      <c r="C569">
        <v>1</v>
      </c>
      <c r="D569" t="s">
        <v>926</v>
      </c>
      <c r="E569" t="s">
        <v>927</v>
      </c>
      <c r="F569">
        <v>15</v>
      </c>
      <c r="G569">
        <v>34.07</v>
      </c>
      <c r="H569">
        <v>112.63</v>
      </c>
      <c r="I569">
        <v>25.66</v>
      </c>
      <c r="J569">
        <v>84.85</v>
      </c>
      <c r="K569">
        <v>15</v>
      </c>
      <c r="T569">
        <v>3</v>
      </c>
      <c r="U569">
        <v>1</v>
      </c>
      <c r="V569" t="s">
        <v>82</v>
      </c>
      <c r="W569">
        <v>112</v>
      </c>
      <c r="X569">
        <v>9</v>
      </c>
      <c r="Y569">
        <v>9</v>
      </c>
      <c r="Z569" t="s">
        <v>928</v>
      </c>
      <c r="AA569" t="s">
        <v>929</v>
      </c>
      <c r="AB569" t="s">
        <v>86</v>
      </c>
      <c r="AC569" t="s">
        <v>87</v>
      </c>
      <c r="AD569" t="s">
        <v>88</v>
      </c>
      <c r="AE569" t="s">
        <v>895</v>
      </c>
      <c r="AG569" t="s">
        <v>930</v>
      </c>
      <c r="AH569">
        <v>0</v>
      </c>
      <c r="AI569">
        <v>256</v>
      </c>
    </row>
    <row r="570" spans="1:35" x14ac:dyDescent="0.3">
      <c r="A570" t="s">
        <v>891</v>
      </c>
      <c r="B570">
        <v>16845</v>
      </c>
      <c r="C570">
        <v>1</v>
      </c>
      <c r="D570" t="s">
        <v>931</v>
      </c>
      <c r="E570" t="s">
        <v>927</v>
      </c>
      <c r="F570">
        <v>60</v>
      </c>
      <c r="G570">
        <v>18.54</v>
      </c>
      <c r="H570">
        <v>61.32</v>
      </c>
      <c r="I570">
        <v>16.170000000000002</v>
      </c>
      <c r="J570">
        <v>53.46</v>
      </c>
      <c r="K570">
        <v>4</v>
      </c>
      <c r="T570">
        <v>3</v>
      </c>
      <c r="U570">
        <v>1</v>
      </c>
      <c r="V570" t="s">
        <v>82</v>
      </c>
      <c r="W570">
        <v>61</v>
      </c>
      <c r="X570">
        <v>6</v>
      </c>
      <c r="Y570">
        <v>5</v>
      </c>
      <c r="Z570" t="s">
        <v>932</v>
      </c>
      <c r="AA570" t="s">
        <v>933</v>
      </c>
      <c r="AB570" t="s">
        <v>86</v>
      </c>
      <c r="AC570" t="s">
        <v>87</v>
      </c>
      <c r="AD570" t="s">
        <v>88</v>
      </c>
      <c r="AE570" t="s">
        <v>895</v>
      </c>
      <c r="AG570" t="s">
        <v>934</v>
      </c>
      <c r="AH570">
        <v>0</v>
      </c>
      <c r="AI570">
        <v>0</v>
      </c>
    </row>
    <row r="571" spans="1:35" x14ac:dyDescent="0.3">
      <c r="A571" t="s">
        <v>891</v>
      </c>
      <c r="B571">
        <v>16845</v>
      </c>
      <c r="C571">
        <v>2</v>
      </c>
      <c r="D571" t="s">
        <v>931</v>
      </c>
      <c r="E571" t="s">
        <v>927</v>
      </c>
      <c r="F571">
        <v>60</v>
      </c>
      <c r="G571">
        <v>23.52</v>
      </c>
      <c r="H571">
        <v>77.78</v>
      </c>
      <c r="I571">
        <v>20.51</v>
      </c>
      <c r="J571">
        <v>67.81</v>
      </c>
      <c r="K571">
        <v>4</v>
      </c>
      <c r="T571">
        <v>3</v>
      </c>
      <c r="U571">
        <v>1</v>
      </c>
      <c r="V571" t="s">
        <v>82</v>
      </c>
      <c r="W571" t="s">
        <v>650</v>
      </c>
      <c r="X571">
        <v>6</v>
      </c>
      <c r="Y571">
        <v>5</v>
      </c>
      <c r="Z571" t="s">
        <v>932</v>
      </c>
      <c r="AA571" t="s">
        <v>933</v>
      </c>
      <c r="AB571" t="s">
        <v>86</v>
      </c>
      <c r="AC571" t="s">
        <v>87</v>
      </c>
      <c r="AD571" t="s">
        <v>88</v>
      </c>
      <c r="AE571" t="s">
        <v>895</v>
      </c>
      <c r="AG571" t="s">
        <v>934</v>
      </c>
      <c r="AH571">
        <v>0</v>
      </c>
      <c r="AI571">
        <v>0</v>
      </c>
    </row>
    <row r="572" spans="1:35" x14ac:dyDescent="0.3">
      <c r="A572" t="s">
        <v>891</v>
      </c>
      <c r="B572">
        <v>16845</v>
      </c>
      <c r="C572">
        <v>3</v>
      </c>
      <c r="D572" t="s">
        <v>931</v>
      </c>
      <c r="E572" t="s">
        <v>927</v>
      </c>
      <c r="F572">
        <v>60</v>
      </c>
      <c r="G572">
        <v>24.46</v>
      </c>
      <c r="H572">
        <v>80.87</v>
      </c>
      <c r="I572">
        <v>21.32</v>
      </c>
      <c r="J572">
        <v>70.5</v>
      </c>
      <c r="K572">
        <v>1</v>
      </c>
      <c r="T572">
        <v>3</v>
      </c>
      <c r="U572">
        <v>1</v>
      </c>
      <c r="V572" t="s">
        <v>82</v>
      </c>
      <c r="W572" t="s">
        <v>788</v>
      </c>
      <c r="X572">
        <v>6</v>
      </c>
      <c r="Y572">
        <v>5</v>
      </c>
      <c r="Z572" t="s">
        <v>932</v>
      </c>
      <c r="AA572" t="s">
        <v>933</v>
      </c>
      <c r="AB572" t="s">
        <v>86</v>
      </c>
      <c r="AC572" t="s">
        <v>87</v>
      </c>
      <c r="AD572" t="s">
        <v>88</v>
      </c>
      <c r="AE572" t="s">
        <v>895</v>
      </c>
      <c r="AG572" t="s">
        <v>934</v>
      </c>
      <c r="AH572">
        <v>0</v>
      </c>
      <c r="AI572">
        <v>0</v>
      </c>
    </row>
    <row r="573" spans="1:35" x14ac:dyDescent="0.3">
      <c r="A573" t="s">
        <v>891</v>
      </c>
      <c r="B573">
        <v>16845</v>
      </c>
      <c r="C573">
        <v>4</v>
      </c>
      <c r="D573" t="s">
        <v>931</v>
      </c>
      <c r="E573" t="s">
        <v>927</v>
      </c>
      <c r="F573">
        <v>60</v>
      </c>
      <c r="G573">
        <v>26.36</v>
      </c>
      <c r="H573">
        <v>87.16</v>
      </c>
      <c r="I573">
        <v>22.98</v>
      </c>
      <c r="J573">
        <v>75.989999999999995</v>
      </c>
      <c r="K573">
        <v>32</v>
      </c>
      <c r="T573">
        <v>3</v>
      </c>
      <c r="U573">
        <v>1</v>
      </c>
      <c r="V573" t="s">
        <v>82</v>
      </c>
      <c r="W573">
        <v>87</v>
      </c>
      <c r="X573">
        <v>6</v>
      </c>
      <c r="Y573">
        <v>5</v>
      </c>
      <c r="Z573" t="s">
        <v>932</v>
      </c>
      <c r="AA573" t="s">
        <v>933</v>
      </c>
      <c r="AB573" t="s">
        <v>86</v>
      </c>
      <c r="AC573" t="s">
        <v>87</v>
      </c>
      <c r="AD573" t="s">
        <v>88</v>
      </c>
      <c r="AE573" t="s">
        <v>895</v>
      </c>
      <c r="AG573" t="s">
        <v>934</v>
      </c>
      <c r="AH573">
        <v>0</v>
      </c>
      <c r="AI573">
        <v>0</v>
      </c>
    </row>
    <row r="574" spans="1:35" x14ac:dyDescent="0.3">
      <c r="A574" t="s">
        <v>891</v>
      </c>
      <c r="B574">
        <v>16845</v>
      </c>
      <c r="C574">
        <v>5</v>
      </c>
      <c r="D574" t="s">
        <v>931</v>
      </c>
      <c r="E574" t="s">
        <v>927</v>
      </c>
      <c r="F574">
        <v>60</v>
      </c>
      <c r="G574">
        <v>26.51</v>
      </c>
      <c r="H574">
        <v>87.64</v>
      </c>
      <c r="I574">
        <v>23.11</v>
      </c>
      <c r="J574">
        <v>76.41</v>
      </c>
      <c r="K574">
        <v>3</v>
      </c>
      <c r="T574">
        <v>3</v>
      </c>
      <c r="U574">
        <v>1</v>
      </c>
      <c r="V574" t="s">
        <v>82</v>
      </c>
      <c r="W574" t="s">
        <v>437</v>
      </c>
      <c r="X574">
        <v>6</v>
      </c>
      <c r="Y574">
        <v>5</v>
      </c>
      <c r="Z574" t="s">
        <v>932</v>
      </c>
      <c r="AA574" t="s">
        <v>933</v>
      </c>
      <c r="AB574" t="s">
        <v>86</v>
      </c>
      <c r="AC574" t="s">
        <v>87</v>
      </c>
      <c r="AD574" t="s">
        <v>88</v>
      </c>
      <c r="AE574" t="s">
        <v>895</v>
      </c>
      <c r="AG574" t="s">
        <v>934</v>
      </c>
      <c r="AH574">
        <v>0</v>
      </c>
      <c r="AI574">
        <v>0</v>
      </c>
    </row>
    <row r="575" spans="1:35" x14ac:dyDescent="0.3">
      <c r="A575" t="s">
        <v>891</v>
      </c>
      <c r="B575">
        <v>16845</v>
      </c>
      <c r="C575">
        <v>6</v>
      </c>
      <c r="D575" t="s">
        <v>931</v>
      </c>
      <c r="E575" t="s">
        <v>927</v>
      </c>
      <c r="F575">
        <v>60</v>
      </c>
      <c r="G575">
        <v>27.31</v>
      </c>
      <c r="H575">
        <v>90.29</v>
      </c>
      <c r="I575">
        <v>23.81</v>
      </c>
      <c r="J575">
        <v>78.72</v>
      </c>
      <c r="K575">
        <v>5</v>
      </c>
      <c r="T575">
        <v>3</v>
      </c>
      <c r="U575">
        <v>2</v>
      </c>
      <c r="V575" t="s">
        <v>82</v>
      </c>
      <c r="W575" t="s">
        <v>169</v>
      </c>
      <c r="X575">
        <v>6</v>
      </c>
      <c r="Y575">
        <v>5</v>
      </c>
      <c r="Z575" t="s">
        <v>932</v>
      </c>
      <c r="AA575" t="s">
        <v>933</v>
      </c>
      <c r="AB575" t="s">
        <v>86</v>
      </c>
      <c r="AC575" t="s">
        <v>87</v>
      </c>
      <c r="AD575" t="s">
        <v>88</v>
      </c>
      <c r="AE575" t="s">
        <v>895</v>
      </c>
      <c r="AG575" t="s">
        <v>934</v>
      </c>
      <c r="AH575">
        <v>0</v>
      </c>
      <c r="AI575">
        <v>0</v>
      </c>
    </row>
    <row r="576" spans="1:35" x14ac:dyDescent="0.3">
      <c r="A576" t="s">
        <v>891</v>
      </c>
      <c r="B576">
        <v>16845</v>
      </c>
      <c r="C576">
        <v>7</v>
      </c>
      <c r="D576" t="s">
        <v>931</v>
      </c>
      <c r="E576" t="s">
        <v>927</v>
      </c>
      <c r="F576">
        <v>60</v>
      </c>
      <c r="G576">
        <v>33.72</v>
      </c>
      <c r="H576">
        <v>111.49</v>
      </c>
      <c r="I576">
        <v>29.4</v>
      </c>
      <c r="J576">
        <v>97.2</v>
      </c>
      <c r="K576">
        <v>1</v>
      </c>
      <c r="T576">
        <v>3</v>
      </c>
      <c r="U576">
        <v>2</v>
      </c>
      <c r="V576" t="s">
        <v>82</v>
      </c>
      <c r="W576">
        <v>111</v>
      </c>
      <c r="X576">
        <v>6</v>
      </c>
      <c r="Y576">
        <v>5</v>
      </c>
      <c r="Z576" t="s">
        <v>932</v>
      </c>
      <c r="AA576" t="s">
        <v>933</v>
      </c>
      <c r="AB576" t="s">
        <v>86</v>
      </c>
      <c r="AC576" t="s">
        <v>87</v>
      </c>
      <c r="AD576" t="s">
        <v>88</v>
      </c>
      <c r="AE576" t="s">
        <v>895</v>
      </c>
      <c r="AG576" t="s">
        <v>934</v>
      </c>
      <c r="AH576">
        <v>0</v>
      </c>
      <c r="AI576">
        <v>0</v>
      </c>
    </row>
    <row r="577" spans="1:35" x14ac:dyDescent="0.3">
      <c r="A577" t="s">
        <v>891</v>
      </c>
      <c r="B577">
        <v>16845</v>
      </c>
      <c r="C577">
        <v>8</v>
      </c>
      <c r="D577" t="s">
        <v>931</v>
      </c>
      <c r="E577" t="s">
        <v>927</v>
      </c>
      <c r="F577">
        <v>60</v>
      </c>
      <c r="G577">
        <v>37.229999999999997</v>
      </c>
      <c r="H577">
        <v>123.09</v>
      </c>
      <c r="I577">
        <v>32.46</v>
      </c>
      <c r="J577">
        <v>107.31</v>
      </c>
      <c r="K577">
        <v>8</v>
      </c>
      <c r="T577">
        <v>3</v>
      </c>
      <c r="U577">
        <v>2</v>
      </c>
      <c r="V577" t="s">
        <v>82</v>
      </c>
      <c r="W577">
        <v>123</v>
      </c>
      <c r="X577">
        <v>6</v>
      </c>
      <c r="Y577">
        <v>5</v>
      </c>
      <c r="Z577" t="s">
        <v>932</v>
      </c>
      <c r="AA577" t="s">
        <v>933</v>
      </c>
      <c r="AB577" t="s">
        <v>86</v>
      </c>
      <c r="AC577" t="s">
        <v>87</v>
      </c>
      <c r="AD577" t="s">
        <v>88</v>
      </c>
      <c r="AE577" t="s">
        <v>895</v>
      </c>
      <c r="AG577" t="s">
        <v>934</v>
      </c>
      <c r="AH577">
        <v>0</v>
      </c>
      <c r="AI577">
        <v>0</v>
      </c>
    </row>
    <row r="578" spans="1:35" x14ac:dyDescent="0.3">
      <c r="A578" t="s">
        <v>891</v>
      </c>
      <c r="B578">
        <v>16845</v>
      </c>
      <c r="C578">
        <v>9</v>
      </c>
      <c r="D578" t="s">
        <v>931</v>
      </c>
      <c r="E578" t="s">
        <v>927</v>
      </c>
      <c r="F578">
        <v>60</v>
      </c>
      <c r="G578">
        <v>40.36</v>
      </c>
      <c r="H578">
        <v>133.43</v>
      </c>
      <c r="I578">
        <v>35.18</v>
      </c>
      <c r="J578">
        <v>116.32</v>
      </c>
      <c r="K578">
        <v>1</v>
      </c>
      <c r="T578">
        <v>4</v>
      </c>
      <c r="U578">
        <v>2</v>
      </c>
      <c r="V578" t="s">
        <v>82</v>
      </c>
      <c r="W578">
        <v>133</v>
      </c>
      <c r="X578">
        <v>6</v>
      </c>
      <c r="Y578">
        <v>5</v>
      </c>
      <c r="Z578" t="s">
        <v>932</v>
      </c>
      <c r="AA578" t="s">
        <v>933</v>
      </c>
      <c r="AB578" t="s">
        <v>86</v>
      </c>
      <c r="AC578" t="s">
        <v>87</v>
      </c>
      <c r="AD578" t="s">
        <v>88</v>
      </c>
      <c r="AE578" t="s">
        <v>895</v>
      </c>
      <c r="AG578" t="s">
        <v>934</v>
      </c>
      <c r="AH578">
        <v>0</v>
      </c>
      <c r="AI578">
        <v>0</v>
      </c>
    </row>
    <row r="579" spans="1:35" x14ac:dyDescent="0.3">
      <c r="A579" t="s">
        <v>891</v>
      </c>
      <c r="B579">
        <v>16845</v>
      </c>
      <c r="C579">
        <v>10</v>
      </c>
      <c r="D579" t="s">
        <v>931</v>
      </c>
      <c r="E579" t="s">
        <v>927</v>
      </c>
      <c r="F579">
        <v>60</v>
      </c>
      <c r="G579">
        <v>44.44</v>
      </c>
      <c r="H579">
        <v>146.91999999999999</v>
      </c>
      <c r="I579">
        <v>41.38</v>
      </c>
      <c r="J579">
        <v>136.80000000000001</v>
      </c>
      <c r="K579">
        <v>1</v>
      </c>
      <c r="T579">
        <v>4</v>
      </c>
      <c r="U579">
        <v>2</v>
      </c>
      <c r="V579" t="s">
        <v>82</v>
      </c>
      <c r="W579">
        <v>146</v>
      </c>
      <c r="X579">
        <v>6</v>
      </c>
      <c r="Y579">
        <v>5</v>
      </c>
      <c r="Z579" t="s">
        <v>932</v>
      </c>
      <c r="AA579" t="s">
        <v>933</v>
      </c>
      <c r="AB579" t="s">
        <v>86</v>
      </c>
      <c r="AC579" t="s">
        <v>87</v>
      </c>
      <c r="AD579" t="s">
        <v>88</v>
      </c>
      <c r="AE579" t="s">
        <v>895</v>
      </c>
      <c r="AG579" t="s">
        <v>934</v>
      </c>
      <c r="AH579">
        <v>0</v>
      </c>
      <c r="AI579">
        <v>0</v>
      </c>
    </row>
    <row r="580" spans="1:35" x14ac:dyDescent="0.3">
      <c r="A580" t="s">
        <v>891</v>
      </c>
      <c r="B580">
        <v>7819</v>
      </c>
      <c r="C580">
        <v>1</v>
      </c>
      <c r="D580" t="s">
        <v>935</v>
      </c>
      <c r="E580" t="s">
        <v>936</v>
      </c>
      <c r="F580">
        <v>1040</v>
      </c>
      <c r="G580">
        <v>21.07</v>
      </c>
      <c r="H580">
        <v>69.680000000000007</v>
      </c>
      <c r="I580">
        <v>18.11</v>
      </c>
      <c r="J580">
        <v>59.9</v>
      </c>
      <c r="K580">
        <v>830</v>
      </c>
      <c r="T580">
        <v>3</v>
      </c>
      <c r="U580">
        <v>1</v>
      </c>
      <c r="V580" t="s">
        <v>82</v>
      </c>
      <c r="W580">
        <v>69</v>
      </c>
      <c r="X580">
        <v>20</v>
      </c>
      <c r="Y580">
        <v>15</v>
      </c>
      <c r="Z580" t="s">
        <v>937</v>
      </c>
      <c r="AA580" t="s">
        <v>938</v>
      </c>
      <c r="AB580" t="s">
        <v>86</v>
      </c>
      <c r="AC580" t="s">
        <v>87</v>
      </c>
      <c r="AD580" t="s">
        <v>88</v>
      </c>
      <c r="AE580" t="s">
        <v>895</v>
      </c>
      <c r="AG580" t="s">
        <v>939</v>
      </c>
      <c r="AH580">
        <v>0</v>
      </c>
      <c r="AI580">
        <v>235</v>
      </c>
    </row>
    <row r="581" spans="1:35" x14ac:dyDescent="0.3">
      <c r="A581" t="s">
        <v>891</v>
      </c>
      <c r="B581">
        <v>7819</v>
      </c>
      <c r="C581">
        <v>2</v>
      </c>
      <c r="D581" t="s">
        <v>935</v>
      </c>
      <c r="E581" t="s">
        <v>936</v>
      </c>
      <c r="F581">
        <v>1040</v>
      </c>
      <c r="G581">
        <v>21</v>
      </c>
      <c r="H581">
        <v>69.44</v>
      </c>
      <c r="I581">
        <v>18.04</v>
      </c>
      <c r="J581">
        <v>59.66</v>
      </c>
      <c r="K581">
        <v>120</v>
      </c>
      <c r="T581">
        <v>3</v>
      </c>
      <c r="U581">
        <v>1</v>
      </c>
      <c r="V581" t="s">
        <v>82</v>
      </c>
      <c r="W581" t="s">
        <v>345</v>
      </c>
      <c r="X581">
        <v>20</v>
      </c>
      <c r="Y581">
        <v>15</v>
      </c>
      <c r="Z581" t="s">
        <v>937</v>
      </c>
      <c r="AA581" t="s">
        <v>938</v>
      </c>
      <c r="AB581" t="s">
        <v>86</v>
      </c>
      <c r="AC581" t="s">
        <v>87</v>
      </c>
      <c r="AD581" t="s">
        <v>88</v>
      </c>
      <c r="AE581" t="s">
        <v>895</v>
      </c>
      <c r="AG581" t="s">
        <v>939</v>
      </c>
      <c r="AH581">
        <v>0</v>
      </c>
      <c r="AI581">
        <v>235</v>
      </c>
    </row>
    <row r="582" spans="1:35" x14ac:dyDescent="0.3">
      <c r="A582" t="s">
        <v>891</v>
      </c>
      <c r="B582">
        <v>7819</v>
      </c>
      <c r="C582">
        <v>3</v>
      </c>
      <c r="D582" t="s">
        <v>935</v>
      </c>
      <c r="E582" t="s">
        <v>936</v>
      </c>
      <c r="F582">
        <v>1040</v>
      </c>
      <c r="G582">
        <v>21.09</v>
      </c>
      <c r="H582">
        <v>69.72</v>
      </c>
      <c r="I582">
        <v>18.12</v>
      </c>
      <c r="J582">
        <v>59.92</v>
      </c>
      <c r="K582">
        <v>90</v>
      </c>
      <c r="T582">
        <v>3</v>
      </c>
      <c r="U582">
        <v>1</v>
      </c>
      <c r="V582" t="s">
        <v>82</v>
      </c>
      <c r="W582" t="s">
        <v>349</v>
      </c>
      <c r="X582">
        <v>20</v>
      </c>
      <c r="Y582">
        <v>15</v>
      </c>
      <c r="Z582" t="s">
        <v>937</v>
      </c>
      <c r="AA582" t="s">
        <v>938</v>
      </c>
      <c r="AB582" t="s">
        <v>86</v>
      </c>
      <c r="AC582" t="s">
        <v>87</v>
      </c>
      <c r="AD582" t="s">
        <v>88</v>
      </c>
      <c r="AE582" t="s">
        <v>895</v>
      </c>
      <c r="AG582" t="s">
        <v>939</v>
      </c>
      <c r="AH582">
        <v>0</v>
      </c>
      <c r="AI582">
        <v>235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도계동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102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도계동 한마음코아('92.08.,225^)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275</v>
      </c>
      <c r="B6" s="10" t="s">
        <v>942</v>
      </c>
      <c r="C6" s="107">
        <v>225</v>
      </c>
      <c r="D6" s="104">
        <v>64</v>
      </c>
      <c r="E6" s="106">
        <v>19</v>
      </c>
      <c r="F6" s="104">
        <v>49.4</v>
      </c>
      <c r="G6" s="17">
        <v>15</v>
      </c>
      <c r="H6" s="107">
        <v>225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1</v>
      </c>
      <c r="S6" s="75" t="s">
        <v>943</v>
      </c>
      <c r="T6" s="5">
        <v>63</v>
      </c>
      <c r="U6" s="9"/>
      <c r="W6" s="104">
        <f>D6</f>
        <v>64</v>
      </c>
      <c r="X6" s="106">
        <f>E6</f>
        <v>19</v>
      </c>
      <c r="Y6" s="102">
        <f>H6</f>
        <v>225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복</v>
      </c>
      <c r="AF6" s="75" t="str">
        <f>Q6&amp;"/"&amp;R6</f>
        <v>3/1</v>
      </c>
      <c r="AH6" s="20" t="str">
        <f>IF(A6="","",A6)</f>
        <v>한마음코아</v>
      </c>
      <c r="AI6" s="106">
        <f>IF(E6="","",E6)</f>
        <v>19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3349" priority="20">
      <formula>AV4="X"</formula>
    </cfRule>
    <cfRule type="expression" dxfId="3348" priority="21">
      <formula>AV4="후보"</formula>
    </cfRule>
  </conditionalFormatting>
  <conditionalFormatting sqref="AC1:AC2 AC4:AC6 N4:N5">
    <cfRule type="cellIs" dxfId="3347" priority="17" operator="greaterThan">
      <formula>0.9</formula>
    </cfRule>
    <cfRule type="cellIs" dxfId="3346" priority="18" operator="greaterThan">
      <formula>0.85</formula>
    </cfRule>
  </conditionalFormatting>
  <conditionalFormatting sqref="N1:N2">
    <cfRule type="cellIs" dxfId="3345" priority="15" operator="greaterThan">
      <formula>0.9</formula>
    </cfRule>
    <cfRule type="cellIs" dxfId="3344" priority="16" operator="greaterThan">
      <formula>0.85</formula>
    </cfRule>
  </conditionalFormatting>
  <conditionalFormatting sqref="N6">
    <cfRule type="cellIs" dxfId="3343" priority="13" operator="greaterThan">
      <formula>0.9</formula>
    </cfRule>
    <cfRule type="cellIs" dxfId="3342" priority="14" operator="greaterThan">
      <formula>0.85</formula>
    </cfRule>
  </conditionalFormatting>
  <conditionalFormatting sqref="E6">
    <cfRule type="expression" dxfId="3341" priority="9">
      <formula>AND(IF(OR($Q6=1,$Q6=2),1,0),IF($X6&lt;=20,1,0))</formula>
    </cfRule>
    <cfRule type="expression" dxfId="3340" priority="10">
      <formula>AND(IF($Q6=2,1,0),IF($X6&lt;30,1,0))</formula>
    </cfRule>
    <cfRule type="expression" dxfId="3339" priority="11">
      <formula>AND(IF($Q6=3,1,0),IF($X6&lt;30,1,0))</formula>
    </cfRule>
    <cfRule type="expression" dxfId="3338" priority="12">
      <formula>AND(IF($Q6=3,1,IF($Q6=4,1,0)),IF($F6&lt;=85,1,0))</formula>
    </cfRule>
  </conditionalFormatting>
  <conditionalFormatting sqref="X6">
    <cfRule type="expression" dxfId="3337" priority="5">
      <formula>AND(IF(OR($Q6=1,$Q6=2),1,0),IF($X6&lt;=20,1,0))</formula>
    </cfRule>
    <cfRule type="expression" dxfId="3336" priority="6">
      <formula>AND(IF($Q6=2,1,0),IF($X6&lt;30,1,0))</formula>
    </cfRule>
    <cfRule type="expression" dxfId="3335" priority="7">
      <formula>AND(IF($Q6=3,1,0),IF($X6&lt;30,1,0))</formula>
    </cfRule>
    <cfRule type="expression" dxfId="3334" priority="8">
      <formula>AND(IF($Q6=3,1,IF($Q6=4,1,0)),IF($F6&lt;=85,1,0))</formula>
    </cfRule>
  </conditionalFormatting>
  <conditionalFormatting sqref="AI6">
    <cfRule type="expression" dxfId="3333" priority="1">
      <formula>AND(IF(OR($Q6=1,$Q6=2),1,0),IF($X6&lt;=20,1,0))</formula>
    </cfRule>
    <cfRule type="expression" dxfId="3332" priority="2">
      <formula>AND(IF($Q6=2,1,0),IF($X6&lt;30,1,0))</formula>
    </cfRule>
    <cfRule type="expression" dxfId="3331" priority="3">
      <formula>AND(IF($Q6=3,1,0),IF($X6&lt;30,1,0))</formula>
    </cfRule>
    <cfRule type="expression" dxfId="333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동읍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316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동읍 창원한양립스더퍼스트('23.12.,515^)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355</v>
      </c>
      <c r="B6" s="10" t="s">
        <v>946</v>
      </c>
      <c r="C6" s="107">
        <v>515</v>
      </c>
      <c r="D6" s="104">
        <v>94.6</v>
      </c>
      <c r="E6" s="106">
        <v>29</v>
      </c>
      <c r="F6" s="104">
        <v>68.8</v>
      </c>
      <c r="G6" s="17">
        <v>21</v>
      </c>
      <c r="H6" s="107">
        <v>263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947</v>
      </c>
      <c r="T6" s="5">
        <v>94</v>
      </c>
      <c r="U6" s="9"/>
      <c r="W6" s="104">
        <f t="shared" ref="W6:X8" si="2">D6</f>
        <v>94.6</v>
      </c>
      <c r="X6" s="106">
        <f t="shared" si="2"/>
        <v>29</v>
      </c>
      <c r="Y6" s="102">
        <f t="shared" ref="Y6:Z8" si="3">H6</f>
        <v>263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창원한양립스더퍼스트</v>
      </c>
      <c r="AI6" s="106">
        <f t="shared" si="0"/>
        <v>29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355</v>
      </c>
      <c r="B7" s="10" t="s">
        <v>946</v>
      </c>
      <c r="C7" s="107">
        <v>515</v>
      </c>
      <c r="D7" s="104">
        <v>99</v>
      </c>
      <c r="E7" s="106">
        <v>30</v>
      </c>
      <c r="F7" s="104">
        <v>70.900000000000006</v>
      </c>
      <c r="G7" s="17">
        <v>21</v>
      </c>
      <c r="H7" s="107">
        <v>146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2</v>
      </c>
      <c r="S7" s="75" t="s">
        <v>947</v>
      </c>
      <c r="T7" s="5">
        <v>98</v>
      </c>
      <c r="U7" s="9"/>
      <c r="W7" s="104">
        <f t="shared" si="2"/>
        <v>99</v>
      </c>
      <c r="X7" s="106">
        <f t="shared" si="2"/>
        <v>30</v>
      </c>
      <c r="Y7" s="102">
        <f t="shared" si="3"/>
        <v>146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창원한양립스더퍼스트</v>
      </c>
      <c r="AI7" s="106">
        <f t="shared" si="0"/>
        <v>30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355</v>
      </c>
      <c r="B8" s="10" t="s">
        <v>946</v>
      </c>
      <c r="C8" s="107">
        <v>515</v>
      </c>
      <c r="D8" s="104">
        <v>116.3</v>
      </c>
      <c r="E8" s="106">
        <v>35</v>
      </c>
      <c r="F8" s="104">
        <v>84.9</v>
      </c>
      <c r="G8" s="17">
        <v>26</v>
      </c>
      <c r="H8" s="107">
        <v>106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4</v>
      </c>
      <c r="R8" s="75">
        <v>2</v>
      </c>
      <c r="S8" s="75" t="s">
        <v>947</v>
      </c>
      <c r="T8" s="5">
        <v>116</v>
      </c>
      <c r="U8" s="9"/>
      <c r="W8" s="104">
        <f t="shared" si="2"/>
        <v>116.3</v>
      </c>
      <c r="X8" s="106">
        <f t="shared" si="2"/>
        <v>35</v>
      </c>
      <c r="Y8" s="102">
        <f t="shared" si="3"/>
        <v>106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4/2</v>
      </c>
      <c r="AH8" s="20" t="str">
        <f t="shared" si="1"/>
        <v>창원한양립스더퍼스트</v>
      </c>
      <c r="AI8" s="106">
        <f t="shared" si="0"/>
        <v>35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동읍 삼진('89.03.,325^)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443</v>
      </c>
      <c r="B10" s="10" t="s">
        <v>948</v>
      </c>
      <c r="C10" s="107">
        <v>325</v>
      </c>
      <c r="D10" s="104">
        <v>48.8</v>
      </c>
      <c r="E10" s="106">
        <v>15</v>
      </c>
      <c r="F10" s="104">
        <v>42.6</v>
      </c>
      <c r="G10" s="17">
        <v>13</v>
      </c>
      <c r="H10" s="107">
        <v>50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2</v>
      </c>
      <c r="R10" s="75">
        <v>1</v>
      </c>
      <c r="S10" s="75" t="s">
        <v>947</v>
      </c>
      <c r="T10" s="5">
        <v>48</v>
      </c>
      <c r="U10" s="9"/>
      <c r="W10" s="104">
        <f t="shared" ref="W10:X13" si="5">D10</f>
        <v>48.8</v>
      </c>
      <c r="X10" s="106">
        <f t="shared" si="5"/>
        <v>15</v>
      </c>
      <c r="Y10" s="102">
        <f t="shared" ref="Y10:Z13" si="6">H10</f>
        <v>50</v>
      </c>
      <c r="Z10" s="109">
        <f t="shared" si="6"/>
        <v>0</v>
      </c>
      <c r="AA10" s="109">
        <f>K10</f>
        <v>0</v>
      </c>
      <c r="AB10" s="109">
        <f t="shared" ref="AB10:AD13" si="7">M10</f>
        <v>0</v>
      </c>
      <c r="AC10" s="4" t="str">
        <f t="shared" si="7"/>
        <v/>
      </c>
      <c r="AD10" s="105">
        <f t="shared" si="7"/>
        <v>0</v>
      </c>
      <c r="AE10" s="75" t="str">
        <f>S10</f>
        <v>계</v>
      </c>
      <c r="AF10" s="75" t="str">
        <f>Q10&amp;"/"&amp;R10</f>
        <v>2/1</v>
      </c>
      <c r="AH10" s="20" t="str">
        <f t="shared" si="1"/>
        <v>삼진</v>
      </c>
      <c r="AI10" s="106">
        <f t="shared" si="0"/>
        <v>15</v>
      </c>
      <c r="AJ10" s="75" t="str">
        <f>IF(AI10="","",$AJ$2)</f>
        <v>A-</v>
      </c>
      <c r="AK10" s="75" t="s">
        <v>14</v>
      </c>
      <c r="AL10" s="75" t="s">
        <v>944</v>
      </c>
      <c r="AM10" s="75" t="s">
        <v>945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  <row r="11" spans="1:48" x14ac:dyDescent="0.3">
      <c r="A11" s="9" t="s">
        <v>443</v>
      </c>
      <c r="B11" s="10" t="s">
        <v>948</v>
      </c>
      <c r="C11" s="107">
        <v>325</v>
      </c>
      <c r="D11" s="104">
        <v>55.7</v>
      </c>
      <c r="E11" s="106">
        <v>17</v>
      </c>
      <c r="F11" s="104">
        <v>49.6</v>
      </c>
      <c r="G11" s="17">
        <v>15</v>
      </c>
      <c r="H11" s="107">
        <v>70</v>
      </c>
      <c r="I11" s="108">
        <v>6500</v>
      </c>
      <c r="J11" s="108" t="s">
        <v>949</v>
      </c>
      <c r="K11" s="108"/>
      <c r="L11" s="108"/>
      <c r="M11" s="109">
        <f>I11-K11</f>
        <v>6500</v>
      </c>
      <c r="N11" s="4">
        <f>IF(ISERROR(K11/I11),"",K11/I11)</f>
        <v>0</v>
      </c>
      <c r="O11" s="105">
        <f>I11/E11</f>
        <v>382.35294117647061</v>
      </c>
      <c r="P11" s="105">
        <f>K11/E11</f>
        <v>0</v>
      </c>
      <c r="Q11" s="75">
        <v>2</v>
      </c>
      <c r="R11" s="75">
        <v>1</v>
      </c>
      <c r="S11" s="75" t="s">
        <v>947</v>
      </c>
      <c r="T11" s="5">
        <v>55</v>
      </c>
      <c r="U11" s="9"/>
      <c r="W11" s="104">
        <f t="shared" si="5"/>
        <v>55.7</v>
      </c>
      <c r="X11" s="106">
        <f t="shared" si="5"/>
        <v>17</v>
      </c>
      <c r="Y11" s="102">
        <f t="shared" si="6"/>
        <v>70</v>
      </c>
      <c r="Z11" s="109">
        <f t="shared" si="6"/>
        <v>6500</v>
      </c>
      <c r="AA11" s="109">
        <f>K11</f>
        <v>0</v>
      </c>
      <c r="AB11" s="109">
        <f t="shared" si="7"/>
        <v>6500</v>
      </c>
      <c r="AC11" s="4">
        <f t="shared" si="7"/>
        <v>0</v>
      </c>
      <c r="AD11" s="105">
        <f t="shared" si="7"/>
        <v>382.35294117647061</v>
      </c>
      <c r="AE11" s="75" t="str">
        <f>S11</f>
        <v>계</v>
      </c>
      <c r="AF11" s="75" t="str">
        <f>Q11&amp;"/"&amp;R11</f>
        <v>2/1</v>
      </c>
      <c r="AH11" s="20" t="str">
        <f t="shared" si="1"/>
        <v>삼진</v>
      </c>
      <c r="AI11" s="106">
        <f t="shared" si="0"/>
        <v>17</v>
      </c>
      <c r="AJ11" s="75" t="str">
        <f>IF(AI11="","",$AJ$2)</f>
        <v>A-</v>
      </c>
      <c r="AK11" s="75" t="s">
        <v>14</v>
      </c>
      <c r="AL11" s="75" t="s">
        <v>944</v>
      </c>
      <c r="AM11" s="75" t="s">
        <v>945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O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  <row r="12" spans="1:48" x14ac:dyDescent="0.3">
      <c r="A12" s="9" t="s">
        <v>443</v>
      </c>
      <c r="B12" s="10" t="s">
        <v>948</v>
      </c>
      <c r="C12" s="107">
        <v>325</v>
      </c>
      <c r="D12" s="104">
        <v>58.7</v>
      </c>
      <c r="E12" s="106">
        <v>18</v>
      </c>
      <c r="F12" s="104">
        <v>52.2</v>
      </c>
      <c r="G12" s="17">
        <v>16</v>
      </c>
      <c r="H12" s="107">
        <v>200</v>
      </c>
      <c r="I12" s="108"/>
      <c r="J12" s="108"/>
      <c r="K12" s="108"/>
      <c r="L12" s="108"/>
      <c r="M12" s="109">
        <f>I12-K12</f>
        <v>0</v>
      </c>
      <c r="N12" s="4" t="str">
        <f>IF(ISERROR(K12/I12),"",K12/I12)</f>
        <v/>
      </c>
      <c r="O12" s="105">
        <f>I12/E12</f>
        <v>0</v>
      </c>
      <c r="P12" s="105">
        <f>K12/E12</f>
        <v>0</v>
      </c>
      <c r="Q12" s="75">
        <v>2</v>
      </c>
      <c r="R12" s="75">
        <v>1</v>
      </c>
      <c r="S12" s="75" t="s">
        <v>947</v>
      </c>
      <c r="T12" s="5">
        <v>58</v>
      </c>
      <c r="U12" s="9"/>
      <c r="W12" s="104">
        <f t="shared" si="5"/>
        <v>58.7</v>
      </c>
      <c r="X12" s="106">
        <f t="shared" si="5"/>
        <v>18</v>
      </c>
      <c r="Y12" s="102">
        <f t="shared" si="6"/>
        <v>200</v>
      </c>
      <c r="Z12" s="109">
        <f t="shared" si="6"/>
        <v>0</v>
      </c>
      <c r="AA12" s="109">
        <f>K12</f>
        <v>0</v>
      </c>
      <c r="AB12" s="109">
        <f t="shared" si="7"/>
        <v>0</v>
      </c>
      <c r="AC12" s="4" t="str">
        <f t="shared" si="7"/>
        <v/>
      </c>
      <c r="AD12" s="105">
        <f t="shared" si="7"/>
        <v>0</v>
      </c>
      <c r="AE12" s="75" t="str">
        <f>S12</f>
        <v>계</v>
      </c>
      <c r="AF12" s="75" t="str">
        <f>Q12&amp;"/"&amp;R12</f>
        <v>2/1</v>
      </c>
      <c r="AH12" s="20" t="str">
        <f t="shared" si="1"/>
        <v>삼진</v>
      </c>
      <c r="AI12" s="106">
        <f t="shared" si="0"/>
        <v>18</v>
      </c>
      <c r="AJ12" s="75" t="str">
        <f>IF(AI12="","",$AJ$2)</f>
        <v>A-</v>
      </c>
      <c r="AK12" s="75" t="s">
        <v>14</v>
      </c>
      <c r="AL12" s="75" t="s">
        <v>944</v>
      </c>
      <c r="AM12" s="75" t="s">
        <v>945</v>
      </c>
      <c r="AN12" s="75" t="str">
        <f>IF(AI12="","",$AN$2)</f>
        <v>C</v>
      </c>
      <c r="AO12" s="75" t="str">
        <f>IF(N12="","",IF(N12&gt;=$AO$1/100,"O","X"))</f>
        <v/>
      </c>
      <c r="AP12" s="75" t="str">
        <f>IF(I12="","",IF(I12&lt;=$AP$1,"O","X"))</f>
        <v/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/>
      </c>
    </row>
    <row r="13" spans="1:48" x14ac:dyDescent="0.3">
      <c r="A13" s="9" t="s">
        <v>443</v>
      </c>
      <c r="B13" s="10" t="s">
        <v>948</v>
      </c>
      <c r="C13" s="107">
        <v>325</v>
      </c>
      <c r="D13" s="104">
        <v>69.3</v>
      </c>
      <c r="E13" s="106">
        <v>21</v>
      </c>
      <c r="F13" s="104">
        <v>56.6</v>
      </c>
      <c r="G13" s="17">
        <v>17</v>
      </c>
      <c r="H13" s="107">
        <v>5</v>
      </c>
      <c r="I13" s="108"/>
      <c r="J13" s="108"/>
      <c r="K13" s="108"/>
      <c r="L13" s="108"/>
      <c r="M13" s="109">
        <f>I13-K13</f>
        <v>0</v>
      </c>
      <c r="N13" s="4" t="str">
        <f>IF(ISERROR(K13/I13),"",K13/I13)</f>
        <v/>
      </c>
      <c r="O13" s="105">
        <f>I13/E13</f>
        <v>0</v>
      </c>
      <c r="P13" s="105">
        <f>K13/E13</f>
        <v>0</v>
      </c>
      <c r="Q13" s="75">
        <v>3</v>
      </c>
      <c r="R13" s="75">
        <v>1</v>
      </c>
      <c r="S13" s="75" t="s">
        <v>947</v>
      </c>
      <c r="T13" s="5">
        <v>69</v>
      </c>
      <c r="U13" s="9"/>
      <c r="W13" s="104">
        <f t="shared" si="5"/>
        <v>69.3</v>
      </c>
      <c r="X13" s="106">
        <f t="shared" si="5"/>
        <v>21</v>
      </c>
      <c r="Y13" s="102">
        <f t="shared" si="6"/>
        <v>5</v>
      </c>
      <c r="Z13" s="109">
        <f t="shared" si="6"/>
        <v>0</v>
      </c>
      <c r="AA13" s="109">
        <f>K13</f>
        <v>0</v>
      </c>
      <c r="AB13" s="109">
        <f t="shared" si="7"/>
        <v>0</v>
      </c>
      <c r="AC13" s="4" t="str">
        <f t="shared" si="7"/>
        <v/>
      </c>
      <c r="AD13" s="105">
        <f t="shared" si="7"/>
        <v>0</v>
      </c>
      <c r="AE13" s="75" t="str">
        <f>S13</f>
        <v>계</v>
      </c>
      <c r="AF13" s="75" t="str">
        <f>Q13&amp;"/"&amp;R13</f>
        <v>3/1</v>
      </c>
      <c r="AH13" s="20" t="str">
        <f t="shared" si="1"/>
        <v>삼진</v>
      </c>
      <c r="AI13" s="106">
        <f t="shared" si="0"/>
        <v>21</v>
      </c>
      <c r="AJ13" s="75" t="str">
        <f>IF(AI13="","",$AJ$2)</f>
        <v>A-</v>
      </c>
      <c r="AK13" s="75" t="s">
        <v>14</v>
      </c>
      <c r="AL13" s="75" t="s">
        <v>944</v>
      </c>
      <c r="AM13" s="75" t="s">
        <v>945</v>
      </c>
      <c r="AN13" s="75" t="str">
        <f>IF(AI13="","",$AN$2)</f>
        <v>C</v>
      </c>
      <c r="AO13" s="75" t="str">
        <f>IF(N13="","",IF(N13&gt;=$AO$1/100,"O","X"))</f>
        <v/>
      </c>
      <c r="AP13" s="75" t="str">
        <f>IF(I13="","",IF(I13&lt;=$AP$1,"O","X"))</f>
        <v/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/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동읍 동읍대한('97.02.,275^)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466</v>
      </c>
      <c r="B15" s="10" t="s">
        <v>950</v>
      </c>
      <c r="C15" s="107">
        <v>275</v>
      </c>
      <c r="D15" s="104">
        <v>76.8</v>
      </c>
      <c r="E15" s="106">
        <v>23</v>
      </c>
      <c r="F15" s="104">
        <v>59.9</v>
      </c>
      <c r="G15" s="17">
        <v>18</v>
      </c>
      <c r="H15" s="107">
        <v>121</v>
      </c>
      <c r="I15" s="108"/>
      <c r="J15" s="108"/>
      <c r="K15" s="108"/>
      <c r="L15" s="108"/>
      <c r="M15" s="109">
        <f>I15-K15</f>
        <v>0</v>
      </c>
      <c r="N15" s="4" t="str">
        <f>IF(ISERROR(K15/I15),"",K15/I15)</f>
        <v/>
      </c>
      <c r="O15" s="105">
        <f>I15/E15</f>
        <v>0</v>
      </c>
      <c r="P15" s="105">
        <f>K15/E15</f>
        <v>0</v>
      </c>
      <c r="Q15" s="75">
        <v>3</v>
      </c>
      <c r="R15" s="75">
        <v>1</v>
      </c>
      <c r="S15" s="75" t="s">
        <v>947</v>
      </c>
      <c r="T15" s="5">
        <v>76</v>
      </c>
      <c r="U15" s="9"/>
      <c r="W15" s="104">
        <f t="shared" ref="W15:X17" si="8">D15</f>
        <v>76.8</v>
      </c>
      <c r="X15" s="106">
        <f t="shared" si="8"/>
        <v>23</v>
      </c>
      <c r="Y15" s="102">
        <f t="shared" ref="Y15:Z17" si="9">H15</f>
        <v>121</v>
      </c>
      <c r="Z15" s="109">
        <f t="shared" si="9"/>
        <v>0</v>
      </c>
      <c r="AA15" s="109">
        <f>K15</f>
        <v>0</v>
      </c>
      <c r="AB15" s="109">
        <f t="shared" ref="AB15:AD17" si="10">M15</f>
        <v>0</v>
      </c>
      <c r="AC15" s="4" t="str">
        <f t="shared" si="10"/>
        <v/>
      </c>
      <c r="AD15" s="105">
        <f t="shared" si="10"/>
        <v>0</v>
      </c>
      <c r="AE15" s="75" t="str">
        <f>S15</f>
        <v>계</v>
      </c>
      <c r="AF15" s="75" t="str">
        <f>Q15&amp;"/"&amp;R15</f>
        <v>3/1</v>
      </c>
      <c r="AH15" s="20" t="str">
        <f t="shared" si="1"/>
        <v>동읍대한</v>
      </c>
      <c r="AI15" s="106">
        <f t="shared" si="0"/>
        <v>23</v>
      </c>
      <c r="AJ15" s="75" t="str">
        <f>IF(AI15="","",$AJ$2)</f>
        <v>A-</v>
      </c>
      <c r="AK15" s="75" t="s">
        <v>14</v>
      </c>
      <c r="AL15" s="75" t="s">
        <v>944</v>
      </c>
      <c r="AM15" s="75" t="s">
        <v>945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X</v>
      </c>
      <c r="AV15" s="75" t="str">
        <f>IF(AO15="","",IF(AND(AO15="O",AP15="O",AR15="O",AT15="O",AU15="O"),"후보","X"))</f>
        <v/>
      </c>
    </row>
    <row r="16" spans="1:48" x14ac:dyDescent="0.3">
      <c r="A16" s="9" t="s">
        <v>466</v>
      </c>
      <c r="B16" s="10" t="s">
        <v>950</v>
      </c>
      <c r="C16" s="107">
        <v>275</v>
      </c>
      <c r="D16" s="104">
        <v>101.3</v>
      </c>
      <c r="E16" s="106">
        <v>31</v>
      </c>
      <c r="F16" s="104">
        <v>79</v>
      </c>
      <c r="G16" s="17">
        <v>24</v>
      </c>
      <c r="H16" s="107">
        <v>40</v>
      </c>
      <c r="I16" s="108"/>
      <c r="J16" s="108"/>
      <c r="K16" s="108"/>
      <c r="L16" s="108"/>
      <c r="M16" s="109">
        <f>I16-K16</f>
        <v>0</v>
      </c>
      <c r="N16" s="4" t="str">
        <f>IF(ISERROR(K16/I16),"",K16/I16)</f>
        <v/>
      </c>
      <c r="O16" s="105">
        <f>I16/E16</f>
        <v>0</v>
      </c>
      <c r="P16" s="105">
        <f>K16/E16</f>
        <v>0</v>
      </c>
      <c r="Q16" s="75">
        <v>3</v>
      </c>
      <c r="R16" s="75">
        <v>1</v>
      </c>
      <c r="S16" s="75" t="s">
        <v>947</v>
      </c>
      <c r="T16" s="5">
        <v>101</v>
      </c>
      <c r="U16" s="9"/>
      <c r="W16" s="104">
        <f t="shared" si="8"/>
        <v>101.3</v>
      </c>
      <c r="X16" s="106">
        <f t="shared" si="8"/>
        <v>31</v>
      </c>
      <c r="Y16" s="102">
        <f t="shared" si="9"/>
        <v>40</v>
      </c>
      <c r="Z16" s="109">
        <f t="shared" si="9"/>
        <v>0</v>
      </c>
      <c r="AA16" s="109">
        <f>K16</f>
        <v>0</v>
      </c>
      <c r="AB16" s="109">
        <f t="shared" si="10"/>
        <v>0</v>
      </c>
      <c r="AC16" s="4" t="str">
        <f t="shared" si="10"/>
        <v/>
      </c>
      <c r="AD16" s="105">
        <f t="shared" si="10"/>
        <v>0</v>
      </c>
      <c r="AE16" s="75" t="str">
        <f>S16</f>
        <v>계</v>
      </c>
      <c r="AF16" s="75" t="str">
        <f>Q16&amp;"/"&amp;R16</f>
        <v>3/1</v>
      </c>
      <c r="AH16" s="20" t="str">
        <f t="shared" si="1"/>
        <v>동읍대한</v>
      </c>
      <c r="AI16" s="106">
        <f t="shared" si="0"/>
        <v>31</v>
      </c>
      <c r="AJ16" s="75" t="str">
        <f>IF(AI16="","",$AJ$2)</f>
        <v>A-</v>
      </c>
      <c r="AK16" s="75" t="s">
        <v>14</v>
      </c>
      <c r="AL16" s="75" t="s">
        <v>944</v>
      </c>
      <c r="AM16" s="75" t="s">
        <v>945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X</v>
      </c>
      <c r="AV16" s="75" t="str">
        <f>IF(AO16="","",IF(AND(AO16="O",AP16="O",AR16="O",AT16="O",AU16="O"),"후보","X"))</f>
        <v/>
      </c>
    </row>
    <row r="17" spans="1:48" x14ac:dyDescent="0.3">
      <c r="A17" s="9" t="s">
        <v>466</v>
      </c>
      <c r="B17" s="10" t="s">
        <v>950</v>
      </c>
      <c r="C17" s="107">
        <v>275</v>
      </c>
      <c r="D17" s="104">
        <v>108.9</v>
      </c>
      <c r="E17" s="106">
        <v>33</v>
      </c>
      <c r="F17" s="104">
        <v>85</v>
      </c>
      <c r="G17" s="17">
        <v>26</v>
      </c>
      <c r="H17" s="107">
        <v>114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3</v>
      </c>
      <c r="R17" s="75">
        <v>2</v>
      </c>
      <c r="S17" s="75" t="s">
        <v>947</v>
      </c>
      <c r="T17" s="5">
        <v>108</v>
      </c>
      <c r="U17" s="9"/>
      <c r="W17" s="104">
        <f t="shared" si="8"/>
        <v>108.9</v>
      </c>
      <c r="X17" s="106">
        <f t="shared" si="8"/>
        <v>33</v>
      </c>
      <c r="Y17" s="102">
        <f t="shared" si="9"/>
        <v>114</v>
      </c>
      <c r="Z17" s="109">
        <f t="shared" si="9"/>
        <v>0</v>
      </c>
      <c r="AA17" s="109">
        <f>K17</f>
        <v>0</v>
      </c>
      <c r="AB17" s="109">
        <f t="shared" si="10"/>
        <v>0</v>
      </c>
      <c r="AC17" s="4" t="str">
        <f t="shared" si="10"/>
        <v/>
      </c>
      <c r="AD17" s="105">
        <f t="shared" si="10"/>
        <v>0</v>
      </c>
      <c r="AE17" s="75" t="str">
        <f>S17</f>
        <v>계</v>
      </c>
      <c r="AF17" s="75" t="str">
        <f>Q17&amp;"/"&amp;R17</f>
        <v>3/2</v>
      </c>
      <c r="AH17" s="20" t="str">
        <f t="shared" si="1"/>
        <v>동읍대한</v>
      </c>
      <c r="AI17" s="106">
        <f t="shared" si="0"/>
        <v>33</v>
      </c>
      <c r="AJ17" s="75" t="str">
        <f>IF(AI17="","",$AJ$2)</f>
        <v>A-</v>
      </c>
      <c r="AK17" s="75" t="s">
        <v>14</v>
      </c>
      <c r="AL17" s="75" t="s">
        <v>944</v>
      </c>
      <c r="AM17" s="75" t="s">
        <v>945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X</v>
      </c>
      <c r="AV17" s="75" t="str">
        <f>IF(AO17="","",IF(AND(AO17="O",AP17="O",AR17="O",AT17="O",AU17="O"),"후보","X"))</f>
        <v/>
      </c>
    </row>
    <row r="18" spans="1:48" x14ac:dyDescent="0.3">
      <c r="A18" s="9"/>
      <c r="B18" s="75"/>
      <c r="C18" s="6"/>
      <c r="D18" s="9"/>
      <c r="E18" s="14"/>
      <c r="F18" s="104"/>
      <c r="G18" s="9"/>
      <c r="H18" s="9"/>
      <c r="I18" s="9"/>
      <c r="J18" s="9"/>
      <c r="K18" s="9"/>
      <c r="L18" s="9"/>
      <c r="M18" s="9"/>
      <c r="N18" s="9"/>
      <c r="O18" s="105"/>
      <c r="P18" s="105"/>
      <c r="Q18" s="106"/>
      <c r="R18" s="106"/>
      <c r="S18" s="9"/>
      <c r="T18" s="48"/>
      <c r="U18" s="9"/>
      <c r="W18" s="70" t="str">
        <f>$A$4&amp;" "&amp;A19&amp;"("&amp;B19&amp;","&amp;C19&amp;"^)"</f>
        <v>동읍 우성전원('91.12.,220^)</v>
      </c>
      <c r="X18" s="71"/>
      <c r="Y18" s="71"/>
      <c r="Z18" s="71"/>
      <c r="AA18" s="71"/>
      <c r="AB18" s="71"/>
      <c r="AC18" s="71"/>
      <c r="AD18" s="71"/>
      <c r="AE18" s="71"/>
      <c r="AF18" s="72"/>
      <c r="AH18" s="20" t="str">
        <f t="shared" si="1"/>
        <v/>
      </c>
      <c r="AI18" s="103" t="str">
        <f t="shared" si="0"/>
        <v/>
      </c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</row>
    <row r="19" spans="1:48" x14ac:dyDescent="0.3">
      <c r="A19" s="9" t="s">
        <v>483</v>
      </c>
      <c r="B19" s="10" t="s">
        <v>951</v>
      </c>
      <c r="C19" s="107">
        <v>220</v>
      </c>
      <c r="D19" s="104">
        <v>65.599999999999994</v>
      </c>
      <c r="E19" s="106">
        <v>20</v>
      </c>
      <c r="F19" s="104">
        <v>59.4</v>
      </c>
      <c r="G19" s="17">
        <v>18</v>
      </c>
      <c r="H19" s="107">
        <v>6</v>
      </c>
      <c r="I19" s="108"/>
      <c r="J19" s="108"/>
      <c r="K19" s="108"/>
      <c r="L19" s="108"/>
      <c r="M19" s="109">
        <f t="shared" ref="M19:M26" si="11">I19-K19</f>
        <v>0</v>
      </c>
      <c r="N19" s="4" t="str">
        <f t="shared" ref="N19:N26" si="12">IF(ISERROR(K19/I19),"",K19/I19)</f>
        <v/>
      </c>
      <c r="O19" s="105">
        <f t="shared" ref="O19:O26" si="13">I19/E19</f>
        <v>0</v>
      </c>
      <c r="P19" s="105">
        <f t="shared" ref="P19:P26" si="14">K19/E19</f>
        <v>0</v>
      </c>
      <c r="Q19" s="75">
        <v>2</v>
      </c>
      <c r="R19" s="75">
        <v>1</v>
      </c>
      <c r="S19" s="75" t="s">
        <v>947</v>
      </c>
      <c r="T19" s="5">
        <v>65</v>
      </c>
      <c r="U19" s="9"/>
      <c r="W19" s="104">
        <f t="shared" ref="W19:X26" si="15">D19</f>
        <v>65.599999999999994</v>
      </c>
      <c r="X19" s="106">
        <f t="shared" si="15"/>
        <v>20</v>
      </c>
      <c r="Y19" s="102">
        <f t="shared" ref="Y19:Z26" si="16">H19</f>
        <v>6</v>
      </c>
      <c r="Z19" s="109">
        <f t="shared" si="16"/>
        <v>0</v>
      </c>
      <c r="AA19" s="109">
        <f t="shared" ref="AA19:AA26" si="17">K19</f>
        <v>0</v>
      </c>
      <c r="AB19" s="109">
        <f t="shared" ref="AB19:AD26" si="18">M19</f>
        <v>0</v>
      </c>
      <c r="AC19" s="4" t="str">
        <f t="shared" si="18"/>
        <v/>
      </c>
      <c r="AD19" s="105">
        <f t="shared" si="18"/>
        <v>0</v>
      </c>
      <c r="AE19" s="75" t="str">
        <f t="shared" ref="AE19:AE26" si="19">S19</f>
        <v>계</v>
      </c>
      <c r="AF19" s="75" t="str">
        <f t="shared" ref="AF19:AF26" si="20">Q19&amp;"/"&amp;R19</f>
        <v>2/1</v>
      </c>
      <c r="AH19" s="20" t="str">
        <f t="shared" si="1"/>
        <v>우성전원</v>
      </c>
      <c r="AI19" s="106">
        <f t="shared" si="0"/>
        <v>20</v>
      </c>
      <c r="AJ19" s="75" t="str">
        <f t="shared" ref="AJ19:AJ26" si="21">IF(AI19="","",$AJ$2)</f>
        <v>A-</v>
      </c>
      <c r="AK19" s="75" t="s">
        <v>14</v>
      </c>
      <c r="AL19" s="75" t="s">
        <v>944</v>
      </c>
      <c r="AM19" s="75" t="s">
        <v>945</v>
      </c>
      <c r="AN19" s="75" t="str">
        <f t="shared" ref="AN19:AN26" si="22">IF(AI19="","",$AN$2)</f>
        <v>C</v>
      </c>
      <c r="AO19" s="75" t="str">
        <f t="shared" ref="AO19:AO26" si="23">IF(N19="","",IF(N19&gt;=$AO$1/100,"O","X"))</f>
        <v/>
      </c>
      <c r="AP19" s="75" t="str">
        <f t="shared" ref="AP19:AP26" si="24">IF(I19="","",IF(I19&lt;=$AP$1,"O","X"))</f>
        <v/>
      </c>
      <c r="AQ19" s="75" t="str">
        <f t="shared" ref="AQ19:AQ26" si="25">IF(O19="","",IF(O19&lt;=$AQ$1,"O","X"))</f>
        <v>O</v>
      </c>
      <c r="AR19" s="75" t="str">
        <f t="shared" ref="AR19:AR26" si="26">IF(M19="","",IF(M19&lt;=$AR$1,"O","X"))</f>
        <v>O</v>
      </c>
      <c r="AS19" s="75" t="s">
        <v>2</v>
      </c>
      <c r="AT19" s="75" t="str">
        <f t="shared" ref="AT19:AT26" si="27">IF(OR(F19="",AI19=""),"",IF(AND((F19&lt;=85),(AI19&gt;=15)),"O","X"))</f>
        <v>O</v>
      </c>
      <c r="AU19" s="75" t="str">
        <f t="shared" ref="AU19:AU26" si="28">IF(C19="","",IF(C19&gt;=$AU$1,"O","X"))</f>
        <v>X</v>
      </c>
      <c r="AV19" s="75" t="str">
        <f t="shared" ref="AV19:AV26" si="29">IF(AO19="","",IF(AND(AO19="O",AP19="O",AR19="O",AT19="O",AU19="O"),"후보","X"))</f>
        <v/>
      </c>
    </row>
    <row r="20" spans="1:48" x14ac:dyDescent="0.3">
      <c r="A20" s="9" t="s">
        <v>483</v>
      </c>
      <c r="B20" s="10" t="s">
        <v>951</v>
      </c>
      <c r="C20" s="107">
        <v>220</v>
      </c>
      <c r="D20" s="104">
        <v>72.599999999999994</v>
      </c>
      <c r="E20" s="106">
        <v>22</v>
      </c>
      <c r="F20" s="104">
        <v>66.400000000000006</v>
      </c>
      <c r="G20" s="17">
        <v>20</v>
      </c>
      <c r="H20" s="107">
        <v>78</v>
      </c>
      <c r="I20" s="108"/>
      <c r="J20" s="108"/>
      <c r="K20" s="108"/>
      <c r="L20" s="108"/>
      <c r="M20" s="109">
        <f t="shared" si="11"/>
        <v>0</v>
      </c>
      <c r="N20" s="4" t="str">
        <f t="shared" si="12"/>
        <v/>
      </c>
      <c r="O20" s="105">
        <f t="shared" si="13"/>
        <v>0</v>
      </c>
      <c r="P20" s="105">
        <f t="shared" si="14"/>
        <v>0</v>
      </c>
      <c r="Q20" s="75">
        <v>3</v>
      </c>
      <c r="R20" s="75">
        <v>1</v>
      </c>
      <c r="S20" s="75" t="s">
        <v>947</v>
      </c>
      <c r="T20" s="5">
        <v>72</v>
      </c>
      <c r="U20" s="9"/>
      <c r="W20" s="104">
        <f t="shared" si="15"/>
        <v>72.599999999999994</v>
      </c>
      <c r="X20" s="106">
        <f t="shared" si="15"/>
        <v>22</v>
      </c>
      <c r="Y20" s="102">
        <f t="shared" si="16"/>
        <v>78</v>
      </c>
      <c r="Z20" s="109">
        <f t="shared" si="16"/>
        <v>0</v>
      </c>
      <c r="AA20" s="109">
        <f t="shared" si="17"/>
        <v>0</v>
      </c>
      <c r="AB20" s="109">
        <f t="shared" si="18"/>
        <v>0</v>
      </c>
      <c r="AC20" s="4" t="str">
        <f t="shared" si="18"/>
        <v/>
      </c>
      <c r="AD20" s="105">
        <f t="shared" si="18"/>
        <v>0</v>
      </c>
      <c r="AE20" s="75" t="str">
        <f t="shared" si="19"/>
        <v>계</v>
      </c>
      <c r="AF20" s="75" t="str">
        <f t="shared" si="20"/>
        <v>3/1</v>
      </c>
      <c r="AH20" s="20" t="str">
        <f t="shared" si="1"/>
        <v>우성전원</v>
      </c>
      <c r="AI20" s="106">
        <f t="shared" si="0"/>
        <v>22</v>
      </c>
      <c r="AJ20" s="75" t="str">
        <f t="shared" si="21"/>
        <v>A-</v>
      </c>
      <c r="AK20" s="75" t="s">
        <v>14</v>
      </c>
      <c r="AL20" s="75" t="s">
        <v>944</v>
      </c>
      <c r="AM20" s="75" t="s">
        <v>945</v>
      </c>
      <c r="AN20" s="75" t="str">
        <f t="shared" si="22"/>
        <v>C</v>
      </c>
      <c r="AO20" s="75" t="str">
        <f t="shared" si="23"/>
        <v/>
      </c>
      <c r="AP20" s="75" t="str">
        <f t="shared" si="24"/>
        <v/>
      </c>
      <c r="AQ20" s="75" t="str">
        <f t="shared" si="25"/>
        <v>O</v>
      </c>
      <c r="AR20" s="75" t="str">
        <f t="shared" si="26"/>
        <v>O</v>
      </c>
      <c r="AS20" s="75" t="s">
        <v>2</v>
      </c>
      <c r="AT20" s="75" t="str">
        <f t="shared" si="27"/>
        <v>O</v>
      </c>
      <c r="AU20" s="75" t="str">
        <f t="shared" si="28"/>
        <v>X</v>
      </c>
      <c r="AV20" s="75" t="str">
        <f t="shared" si="29"/>
        <v/>
      </c>
    </row>
    <row r="21" spans="1:48" x14ac:dyDescent="0.3">
      <c r="A21" s="9" t="s">
        <v>483</v>
      </c>
      <c r="B21" s="10" t="s">
        <v>951</v>
      </c>
      <c r="C21" s="107">
        <v>220</v>
      </c>
      <c r="D21" s="104">
        <v>75.8</v>
      </c>
      <c r="E21" s="106">
        <v>23</v>
      </c>
      <c r="F21" s="104">
        <v>69.599999999999994</v>
      </c>
      <c r="G21" s="17">
        <v>21</v>
      </c>
      <c r="H21" s="107">
        <v>72</v>
      </c>
      <c r="I21" s="108"/>
      <c r="J21" s="108"/>
      <c r="K21" s="108"/>
      <c r="L21" s="108"/>
      <c r="M21" s="109">
        <f t="shared" si="11"/>
        <v>0</v>
      </c>
      <c r="N21" s="4" t="str">
        <f t="shared" si="12"/>
        <v/>
      </c>
      <c r="O21" s="105">
        <f t="shared" si="13"/>
        <v>0</v>
      </c>
      <c r="P21" s="105">
        <f t="shared" si="14"/>
        <v>0</v>
      </c>
      <c r="Q21" s="75">
        <v>3</v>
      </c>
      <c r="R21" s="75">
        <v>1</v>
      </c>
      <c r="S21" s="75" t="s">
        <v>947</v>
      </c>
      <c r="T21" s="5">
        <v>75</v>
      </c>
      <c r="U21" s="9"/>
      <c r="W21" s="104">
        <f t="shared" si="15"/>
        <v>75.8</v>
      </c>
      <c r="X21" s="106">
        <f t="shared" si="15"/>
        <v>23</v>
      </c>
      <c r="Y21" s="102">
        <f t="shared" si="16"/>
        <v>72</v>
      </c>
      <c r="Z21" s="109">
        <f t="shared" si="16"/>
        <v>0</v>
      </c>
      <c r="AA21" s="109">
        <f t="shared" si="17"/>
        <v>0</v>
      </c>
      <c r="AB21" s="109">
        <f t="shared" si="18"/>
        <v>0</v>
      </c>
      <c r="AC21" s="4" t="str">
        <f t="shared" si="18"/>
        <v/>
      </c>
      <c r="AD21" s="105">
        <f t="shared" si="18"/>
        <v>0</v>
      </c>
      <c r="AE21" s="75" t="str">
        <f t="shared" si="19"/>
        <v>계</v>
      </c>
      <c r="AF21" s="75" t="str">
        <f t="shared" si="20"/>
        <v>3/1</v>
      </c>
      <c r="AH21" s="20" t="str">
        <f t="shared" si="1"/>
        <v>우성전원</v>
      </c>
      <c r="AI21" s="106">
        <f t="shared" si="0"/>
        <v>23</v>
      </c>
      <c r="AJ21" s="75" t="str">
        <f t="shared" si="21"/>
        <v>A-</v>
      </c>
      <c r="AK21" s="75" t="s">
        <v>14</v>
      </c>
      <c r="AL21" s="75" t="s">
        <v>944</v>
      </c>
      <c r="AM21" s="75" t="s">
        <v>945</v>
      </c>
      <c r="AN21" s="75" t="str">
        <f t="shared" si="22"/>
        <v>C</v>
      </c>
      <c r="AO21" s="75" t="str">
        <f t="shared" si="23"/>
        <v/>
      </c>
      <c r="AP21" s="75" t="str">
        <f t="shared" si="24"/>
        <v/>
      </c>
      <c r="AQ21" s="75" t="str">
        <f t="shared" si="25"/>
        <v>O</v>
      </c>
      <c r="AR21" s="75" t="str">
        <f t="shared" si="26"/>
        <v>O</v>
      </c>
      <c r="AS21" s="75" t="s">
        <v>2</v>
      </c>
      <c r="AT21" s="75" t="str">
        <f t="shared" si="27"/>
        <v>O</v>
      </c>
      <c r="AU21" s="75" t="str">
        <f t="shared" si="28"/>
        <v>X</v>
      </c>
      <c r="AV21" s="75" t="str">
        <f t="shared" si="29"/>
        <v/>
      </c>
    </row>
    <row r="22" spans="1:48" x14ac:dyDescent="0.3">
      <c r="A22" s="9" t="s">
        <v>483</v>
      </c>
      <c r="B22" s="10" t="s">
        <v>951</v>
      </c>
      <c r="C22" s="107">
        <v>220</v>
      </c>
      <c r="D22" s="104">
        <v>81.7</v>
      </c>
      <c r="E22" s="106">
        <v>25</v>
      </c>
      <c r="F22" s="104">
        <v>75.400000000000006</v>
      </c>
      <c r="G22" s="17">
        <v>23</v>
      </c>
      <c r="H22" s="107">
        <v>40</v>
      </c>
      <c r="I22" s="108"/>
      <c r="J22" s="108"/>
      <c r="K22" s="108"/>
      <c r="L22" s="108"/>
      <c r="M22" s="109">
        <f t="shared" si="11"/>
        <v>0</v>
      </c>
      <c r="N22" s="4" t="str">
        <f t="shared" si="12"/>
        <v/>
      </c>
      <c r="O22" s="105">
        <f t="shared" si="13"/>
        <v>0</v>
      </c>
      <c r="P22" s="105">
        <f t="shared" si="14"/>
        <v>0</v>
      </c>
      <c r="Q22" s="75">
        <v>3</v>
      </c>
      <c r="R22" s="75">
        <v>1</v>
      </c>
      <c r="S22" s="75" t="s">
        <v>947</v>
      </c>
      <c r="T22" s="5">
        <v>81</v>
      </c>
      <c r="U22" s="9"/>
      <c r="W22" s="104">
        <f t="shared" si="15"/>
        <v>81.7</v>
      </c>
      <c r="X22" s="106">
        <f t="shared" si="15"/>
        <v>25</v>
      </c>
      <c r="Y22" s="102">
        <f t="shared" si="16"/>
        <v>40</v>
      </c>
      <c r="Z22" s="109">
        <f t="shared" si="16"/>
        <v>0</v>
      </c>
      <c r="AA22" s="109">
        <f t="shared" si="17"/>
        <v>0</v>
      </c>
      <c r="AB22" s="109">
        <f t="shared" si="18"/>
        <v>0</v>
      </c>
      <c r="AC22" s="4" t="str">
        <f t="shared" si="18"/>
        <v/>
      </c>
      <c r="AD22" s="105">
        <f t="shared" si="18"/>
        <v>0</v>
      </c>
      <c r="AE22" s="75" t="str">
        <f t="shared" si="19"/>
        <v>계</v>
      </c>
      <c r="AF22" s="75" t="str">
        <f t="shared" si="20"/>
        <v>3/1</v>
      </c>
      <c r="AH22" s="20" t="str">
        <f t="shared" si="1"/>
        <v>우성전원</v>
      </c>
      <c r="AI22" s="106">
        <f t="shared" si="0"/>
        <v>25</v>
      </c>
      <c r="AJ22" s="75" t="str">
        <f t="shared" si="21"/>
        <v>A-</v>
      </c>
      <c r="AK22" s="75" t="s">
        <v>14</v>
      </c>
      <c r="AL22" s="75" t="s">
        <v>944</v>
      </c>
      <c r="AM22" s="75" t="s">
        <v>945</v>
      </c>
      <c r="AN22" s="75" t="str">
        <f t="shared" si="22"/>
        <v>C</v>
      </c>
      <c r="AO22" s="75" t="str">
        <f t="shared" si="23"/>
        <v/>
      </c>
      <c r="AP22" s="75" t="str">
        <f t="shared" si="24"/>
        <v/>
      </c>
      <c r="AQ22" s="75" t="str">
        <f t="shared" si="25"/>
        <v>O</v>
      </c>
      <c r="AR22" s="75" t="str">
        <f t="shared" si="26"/>
        <v>O</v>
      </c>
      <c r="AS22" s="75" t="s">
        <v>2</v>
      </c>
      <c r="AT22" s="75" t="str">
        <f t="shared" si="27"/>
        <v>O</v>
      </c>
      <c r="AU22" s="75" t="str">
        <f t="shared" si="28"/>
        <v>X</v>
      </c>
      <c r="AV22" s="75" t="str">
        <f t="shared" si="29"/>
        <v/>
      </c>
    </row>
    <row r="23" spans="1:48" x14ac:dyDescent="0.3">
      <c r="A23" s="9" t="s">
        <v>483</v>
      </c>
      <c r="B23" s="10" t="s">
        <v>951</v>
      </c>
      <c r="C23" s="107">
        <v>220</v>
      </c>
      <c r="D23" s="104">
        <v>85.6</v>
      </c>
      <c r="E23" s="106">
        <v>26</v>
      </c>
      <c r="F23" s="104">
        <v>79.3</v>
      </c>
      <c r="G23" s="17">
        <v>24</v>
      </c>
      <c r="H23" s="107">
        <v>6</v>
      </c>
      <c r="I23" s="108"/>
      <c r="J23" s="108"/>
      <c r="K23" s="108"/>
      <c r="L23" s="108"/>
      <c r="M23" s="109">
        <f t="shared" si="11"/>
        <v>0</v>
      </c>
      <c r="N23" s="4" t="str">
        <f t="shared" si="12"/>
        <v/>
      </c>
      <c r="O23" s="105">
        <f t="shared" si="13"/>
        <v>0</v>
      </c>
      <c r="P23" s="105">
        <f t="shared" si="14"/>
        <v>0</v>
      </c>
      <c r="Q23" s="75">
        <v>3</v>
      </c>
      <c r="R23" s="75">
        <v>1</v>
      </c>
      <c r="S23" s="75" t="s">
        <v>947</v>
      </c>
      <c r="T23" s="5" t="s">
        <v>188</v>
      </c>
      <c r="U23" s="9"/>
      <c r="W23" s="104">
        <f t="shared" si="15"/>
        <v>85.6</v>
      </c>
      <c r="X23" s="106">
        <f t="shared" si="15"/>
        <v>26</v>
      </c>
      <c r="Y23" s="102">
        <f t="shared" si="16"/>
        <v>6</v>
      </c>
      <c r="Z23" s="109">
        <f t="shared" si="16"/>
        <v>0</v>
      </c>
      <c r="AA23" s="109">
        <f t="shared" si="17"/>
        <v>0</v>
      </c>
      <c r="AB23" s="109">
        <f t="shared" si="18"/>
        <v>0</v>
      </c>
      <c r="AC23" s="4" t="str">
        <f t="shared" si="18"/>
        <v/>
      </c>
      <c r="AD23" s="105">
        <f t="shared" si="18"/>
        <v>0</v>
      </c>
      <c r="AE23" s="75" t="str">
        <f t="shared" si="19"/>
        <v>계</v>
      </c>
      <c r="AF23" s="75" t="str">
        <f t="shared" si="20"/>
        <v>3/1</v>
      </c>
      <c r="AH23" s="20" t="str">
        <f t="shared" si="1"/>
        <v>우성전원</v>
      </c>
      <c r="AI23" s="106">
        <f t="shared" si="0"/>
        <v>26</v>
      </c>
      <c r="AJ23" s="75" t="str">
        <f t="shared" si="21"/>
        <v>A-</v>
      </c>
      <c r="AK23" s="75" t="s">
        <v>14</v>
      </c>
      <c r="AL23" s="75" t="s">
        <v>944</v>
      </c>
      <c r="AM23" s="75" t="s">
        <v>945</v>
      </c>
      <c r="AN23" s="75" t="str">
        <f t="shared" si="22"/>
        <v>C</v>
      </c>
      <c r="AO23" s="75" t="str">
        <f t="shared" si="23"/>
        <v/>
      </c>
      <c r="AP23" s="75" t="str">
        <f t="shared" si="24"/>
        <v/>
      </c>
      <c r="AQ23" s="75" t="str">
        <f t="shared" si="25"/>
        <v>O</v>
      </c>
      <c r="AR23" s="75" t="str">
        <f t="shared" si="26"/>
        <v>O</v>
      </c>
      <c r="AS23" s="75" t="s">
        <v>2</v>
      </c>
      <c r="AT23" s="75" t="str">
        <f t="shared" si="27"/>
        <v>O</v>
      </c>
      <c r="AU23" s="75" t="str">
        <f t="shared" si="28"/>
        <v>X</v>
      </c>
      <c r="AV23" s="75" t="str">
        <f t="shared" si="29"/>
        <v/>
      </c>
    </row>
    <row r="24" spans="1:48" x14ac:dyDescent="0.3">
      <c r="A24" s="9" t="s">
        <v>483</v>
      </c>
      <c r="B24" s="10" t="s">
        <v>951</v>
      </c>
      <c r="C24" s="107">
        <v>220</v>
      </c>
      <c r="D24" s="104">
        <v>86.6</v>
      </c>
      <c r="E24" s="106">
        <v>26</v>
      </c>
      <c r="F24" s="104">
        <v>80.400000000000006</v>
      </c>
      <c r="G24" s="17">
        <v>24</v>
      </c>
      <c r="H24" s="107">
        <v>6</v>
      </c>
      <c r="I24" s="108"/>
      <c r="J24" s="108"/>
      <c r="K24" s="108"/>
      <c r="L24" s="108"/>
      <c r="M24" s="109">
        <f t="shared" si="11"/>
        <v>0</v>
      </c>
      <c r="N24" s="4" t="str">
        <f t="shared" si="12"/>
        <v/>
      </c>
      <c r="O24" s="105">
        <f t="shared" si="13"/>
        <v>0</v>
      </c>
      <c r="P24" s="105">
        <f t="shared" si="14"/>
        <v>0</v>
      </c>
      <c r="Q24" s="75">
        <v>3</v>
      </c>
      <c r="R24" s="75">
        <v>1</v>
      </c>
      <c r="S24" s="75" t="s">
        <v>947</v>
      </c>
      <c r="T24" s="5" t="s">
        <v>228</v>
      </c>
      <c r="U24" s="9"/>
      <c r="W24" s="104">
        <f t="shared" si="15"/>
        <v>86.6</v>
      </c>
      <c r="X24" s="106">
        <f t="shared" si="15"/>
        <v>26</v>
      </c>
      <c r="Y24" s="102">
        <f t="shared" si="16"/>
        <v>6</v>
      </c>
      <c r="Z24" s="109">
        <f t="shared" si="16"/>
        <v>0</v>
      </c>
      <c r="AA24" s="109">
        <f t="shared" si="17"/>
        <v>0</v>
      </c>
      <c r="AB24" s="109">
        <f t="shared" si="18"/>
        <v>0</v>
      </c>
      <c r="AC24" s="4" t="str">
        <f t="shared" si="18"/>
        <v/>
      </c>
      <c r="AD24" s="105">
        <f t="shared" si="18"/>
        <v>0</v>
      </c>
      <c r="AE24" s="75" t="str">
        <f t="shared" si="19"/>
        <v>계</v>
      </c>
      <c r="AF24" s="75" t="str">
        <f t="shared" si="20"/>
        <v>3/1</v>
      </c>
      <c r="AH24" s="20" t="str">
        <f t="shared" si="1"/>
        <v>우성전원</v>
      </c>
      <c r="AI24" s="106">
        <f t="shared" si="0"/>
        <v>26</v>
      </c>
      <c r="AJ24" s="75" t="str">
        <f t="shared" si="21"/>
        <v>A-</v>
      </c>
      <c r="AK24" s="75" t="s">
        <v>14</v>
      </c>
      <c r="AL24" s="75" t="s">
        <v>944</v>
      </c>
      <c r="AM24" s="75" t="s">
        <v>945</v>
      </c>
      <c r="AN24" s="75" t="str">
        <f t="shared" si="22"/>
        <v>C</v>
      </c>
      <c r="AO24" s="75" t="str">
        <f t="shared" si="23"/>
        <v/>
      </c>
      <c r="AP24" s="75" t="str">
        <f t="shared" si="24"/>
        <v/>
      </c>
      <c r="AQ24" s="75" t="str">
        <f t="shared" si="25"/>
        <v>O</v>
      </c>
      <c r="AR24" s="75" t="str">
        <f t="shared" si="26"/>
        <v>O</v>
      </c>
      <c r="AS24" s="75" t="s">
        <v>2</v>
      </c>
      <c r="AT24" s="75" t="str">
        <f t="shared" si="27"/>
        <v>O</v>
      </c>
      <c r="AU24" s="75" t="str">
        <f t="shared" si="28"/>
        <v>X</v>
      </c>
      <c r="AV24" s="75" t="str">
        <f t="shared" si="29"/>
        <v/>
      </c>
    </row>
    <row r="25" spans="1:48" x14ac:dyDescent="0.3">
      <c r="A25" s="9" t="s">
        <v>483</v>
      </c>
      <c r="B25" s="10" t="s">
        <v>951</v>
      </c>
      <c r="C25" s="107">
        <v>220</v>
      </c>
      <c r="D25" s="104">
        <v>87.4</v>
      </c>
      <c r="E25" s="106">
        <v>26</v>
      </c>
      <c r="F25" s="104">
        <v>81.2</v>
      </c>
      <c r="G25" s="17">
        <v>25</v>
      </c>
      <c r="H25" s="107">
        <v>6</v>
      </c>
      <c r="I25" s="108"/>
      <c r="J25" s="108"/>
      <c r="K25" s="108"/>
      <c r="L25" s="108"/>
      <c r="M25" s="109">
        <f t="shared" si="11"/>
        <v>0</v>
      </c>
      <c r="N25" s="4" t="str">
        <f t="shared" si="12"/>
        <v/>
      </c>
      <c r="O25" s="105">
        <f t="shared" si="13"/>
        <v>0</v>
      </c>
      <c r="P25" s="105">
        <f t="shared" si="14"/>
        <v>0</v>
      </c>
      <c r="Q25" s="75">
        <v>3</v>
      </c>
      <c r="R25" s="75">
        <v>1</v>
      </c>
      <c r="S25" s="75" t="s">
        <v>947</v>
      </c>
      <c r="T25" s="5" t="s">
        <v>437</v>
      </c>
      <c r="U25" s="9"/>
      <c r="W25" s="104">
        <f t="shared" si="15"/>
        <v>87.4</v>
      </c>
      <c r="X25" s="106">
        <f t="shared" si="15"/>
        <v>26</v>
      </c>
      <c r="Y25" s="102">
        <f t="shared" si="16"/>
        <v>6</v>
      </c>
      <c r="Z25" s="109">
        <f t="shared" si="16"/>
        <v>0</v>
      </c>
      <c r="AA25" s="109">
        <f t="shared" si="17"/>
        <v>0</v>
      </c>
      <c r="AB25" s="109">
        <f t="shared" si="18"/>
        <v>0</v>
      </c>
      <c r="AC25" s="4" t="str">
        <f t="shared" si="18"/>
        <v/>
      </c>
      <c r="AD25" s="105">
        <f t="shared" si="18"/>
        <v>0</v>
      </c>
      <c r="AE25" s="75" t="str">
        <f t="shared" si="19"/>
        <v>계</v>
      </c>
      <c r="AF25" s="75" t="str">
        <f t="shared" si="20"/>
        <v>3/1</v>
      </c>
      <c r="AH25" s="20" t="str">
        <f t="shared" si="1"/>
        <v>우성전원</v>
      </c>
      <c r="AI25" s="106">
        <f t="shared" si="0"/>
        <v>26</v>
      </c>
      <c r="AJ25" s="75" t="str">
        <f t="shared" si="21"/>
        <v>A-</v>
      </c>
      <c r="AK25" s="75" t="s">
        <v>14</v>
      </c>
      <c r="AL25" s="75" t="s">
        <v>944</v>
      </c>
      <c r="AM25" s="75" t="s">
        <v>945</v>
      </c>
      <c r="AN25" s="75" t="str">
        <f t="shared" si="22"/>
        <v>C</v>
      </c>
      <c r="AO25" s="75" t="str">
        <f t="shared" si="23"/>
        <v/>
      </c>
      <c r="AP25" s="75" t="str">
        <f t="shared" si="24"/>
        <v/>
      </c>
      <c r="AQ25" s="75" t="str">
        <f t="shared" si="25"/>
        <v>O</v>
      </c>
      <c r="AR25" s="75" t="str">
        <f t="shared" si="26"/>
        <v>O</v>
      </c>
      <c r="AS25" s="75" t="s">
        <v>2</v>
      </c>
      <c r="AT25" s="75" t="str">
        <f t="shared" si="27"/>
        <v>O</v>
      </c>
      <c r="AU25" s="75" t="str">
        <f t="shared" si="28"/>
        <v>X</v>
      </c>
      <c r="AV25" s="75" t="str">
        <f t="shared" si="29"/>
        <v/>
      </c>
    </row>
    <row r="26" spans="1:48" x14ac:dyDescent="0.3">
      <c r="A26" s="9" t="s">
        <v>483</v>
      </c>
      <c r="B26" s="10" t="s">
        <v>951</v>
      </c>
      <c r="C26" s="107">
        <v>220</v>
      </c>
      <c r="D26" s="104">
        <v>93.7</v>
      </c>
      <c r="E26" s="106">
        <v>28</v>
      </c>
      <c r="F26" s="104">
        <v>81.2</v>
      </c>
      <c r="G26" s="17">
        <v>25</v>
      </c>
      <c r="H26" s="107">
        <v>6</v>
      </c>
      <c r="I26" s="108"/>
      <c r="J26" s="108"/>
      <c r="K26" s="108"/>
      <c r="L26" s="108"/>
      <c r="M26" s="109">
        <f t="shared" si="11"/>
        <v>0</v>
      </c>
      <c r="N26" s="4" t="str">
        <f t="shared" si="12"/>
        <v/>
      </c>
      <c r="O26" s="105">
        <f t="shared" si="13"/>
        <v>0</v>
      </c>
      <c r="P26" s="105">
        <f t="shared" si="14"/>
        <v>0</v>
      </c>
      <c r="Q26" s="75">
        <v>3</v>
      </c>
      <c r="R26" s="75">
        <v>1</v>
      </c>
      <c r="S26" s="75" t="s">
        <v>947</v>
      </c>
      <c r="T26" s="5">
        <v>93</v>
      </c>
      <c r="U26" s="9"/>
      <c r="W26" s="104">
        <f t="shared" si="15"/>
        <v>93.7</v>
      </c>
      <c r="X26" s="106">
        <f t="shared" si="15"/>
        <v>28</v>
      </c>
      <c r="Y26" s="102">
        <f t="shared" si="16"/>
        <v>6</v>
      </c>
      <c r="Z26" s="109">
        <f t="shared" si="16"/>
        <v>0</v>
      </c>
      <c r="AA26" s="109">
        <f t="shared" si="17"/>
        <v>0</v>
      </c>
      <c r="AB26" s="109">
        <f t="shared" si="18"/>
        <v>0</v>
      </c>
      <c r="AC26" s="4" t="str">
        <f t="shared" si="18"/>
        <v/>
      </c>
      <c r="AD26" s="105">
        <f t="shared" si="18"/>
        <v>0</v>
      </c>
      <c r="AE26" s="75" t="str">
        <f t="shared" si="19"/>
        <v>계</v>
      </c>
      <c r="AF26" s="75" t="str">
        <f t="shared" si="20"/>
        <v>3/1</v>
      </c>
      <c r="AH26" s="20" t="str">
        <f t="shared" si="1"/>
        <v>우성전원</v>
      </c>
      <c r="AI26" s="106">
        <f t="shared" si="0"/>
        <v>28</v>
      </c>
      <c r="AJ26" s="75" t="str">
        <f t="shared" si="21"/>
        <v>A-</v>
      </c>
      <c r="AK26" s="75" t="s">
        <v>14</v>
      </c>
      <c r="AL26" s="75" t="s">
        <v>944</v>
      </c>
      <c r="AM26" s="75" t="s">
        <v>945</v>
      </c>
      <c r="AN26" s="75" t="str">
        <f t="shared" si="22"/>
        <v>C</v>
      </c>
      <c r="AO26" s="75" t="str">
        <f t="shared" si="23"/>
        <v/>
      </c>
      <c r="AP26" s="75" t="str">
        <f t="shared" si="24"/>
        <v/>
      </c>
      <c r="AQ26" s="75" t="str">
        <f t="shared" si="25"/>
        <v>O</v>
      </c>
      <c r="AR26" s="75" t="str">
        <f t="shared" si="26"/>
        <v>O</v>
      </c>
      <c r="AS26" s="75" t="s">
        <v>2</v>
      </c>
      <c r="AT26" s="75" t="str">
        <f t="shared" si="27"/>
        <v>O</v>
      </c>
      <c r="AU26" s="75" t="str">
        <f t="shared" si="28"/>
        <v>X</v>
      </c>
      <c r="AV26" s="75" t="str">
        <f t="shared" si="29"/>
        <v/>
      </c>
    </row>
  </sheetData>
  <mergeCells count="1">
    <mergeCell ref="AJ1:AN1"/>
  </mergeCells>
  <phoneticPr fontId="2" type="noConversion"/>
  <conditionalFormatting sqref="AV4:AV6">
    <cfRule type="expression" dxfId="3329" priority="358">
      <formula>AV4="X"</formula>
    </cfRule>
    <cfRule type="expression" dxfId="3328" priority="359">
      <formula>AV4="후보"</formula>
    </cfRule>
  </conditionalFormatting>
  <conditionalFormatting sqref="AC1:AC2 AC4:AC6 N4:N5">
    <cfRule type="cellIs" dxfId="3327" priority="355" operator="greaterThan">
      <formula>0.9</formula>
    </cfRule>
    <cfRule type="cellIs" dxfId="3326" priority="356" operator="greaterThan">
      <formula>0.85</formula>
    </cfRule>
  </conditionalFormatting>
  <conditionalFormatting sqref="N1:N2">
    <cfRule type="cellIs" dxfId="3325" priority="353" operator="greaterThan">
      <formula>0.9</formula>
    </cfRule>
    <cfRule type="cellIs" dxfId="3324" priority="354" operator="greaterThan">
      <formula>0.85</formula>
    </cfRule>
  </conditionalFormatting>
  <conditionalFormatting sqref="N6">
    <cfRule type="cellIs" dxfId="3323" priority="351" operator="greaterThan">
      <formula>0.9</formula>
    </cfRule>
    <cfRule type="cellIs" dxfId="3322" priority="352" operator="greaterThan">
      <formula>0.85</formula>
    </cfRule>
  </conditionalFormatting>
  <conditionalFormatting sqref="E6">
    <cfRule type="expression" dxfId="3321" priority="347">
      <formula>AND(IF(OR($Q6=1,$Q6=2),1,0),IF($X6&lt;=20,1,0))</formula>
    </cfRule>
    <cfRule type="expression" dxfId="3320" priority="348">
      <formula>AND(IF($Q6=2,1,0),IF($X6&lt;30,1,0))</formula>
    </cfRule>
    <cfRule type="expression" dxfId="3319" priority="349">
      <formula>AND(IF($Q6=3,1,0),IF($X6&lt;30,1,0))</formula>
    </cfRule>
    <cfRule type="expression" dxfId="3318" priority="350">
      <formula>AND(IF($Q6=3,1,IF($Q6=4,1,0)),IF($F6&lt;=85,1,0))</formula>
    </cfRule>
  </conditionalFormatting>
  <conditionalFormatting sqref="X6">
    <cfRule type="expression" dxfId="3317" priority="343">
      <formula>AND(IF(OR($Q6=1,$Q6=2),1,0),IF($X6&lt;=20,1,0))</formula>
    </cfRule>
    <cfRule type="expression" dxfId="3316" priority="344">
      <formula>AND(IF($Q6=2,1,0),IF($X6&lt;30,1,0))</formula>
    </cfRule>
    <cfRule type="expression" dxfId="3315" priority="345">
      <formula>AND(IF($Q6=3,1,0),IF($X6&lt;30,1,0))</formula>
    </cfRule>
    <cfRule type="expression" dxfId="3314" priority="346">
      <formula>AND(IF($Q6=3,1,IF($Q6=4,1,0)),IF($F6&lt;=85,1,0))</formula>
    </cfRule>
  </conditionalFormatting>
  <conditionalFormatting sqref="AI6">
    <cfRule type="expression" dxfId="3313" priority="339">
      <formula>AND(IF(OR($Q6=1,$Q6=2),1,0),IF($X6&lt;=20,1,0))</formula>
    </cfRule>
    <cfRule type="expression" dxfId="3312" priority="340">
      <formula>AND(IF($Q6=2,1,0),IF($X6&lt;30,1,0))</formula>
    </cfRule>
    <cfRule type="expression" dxfId="3311" priority="341">
      <formula>AND(IF($Q6=3,1,0),IF($X6&lt;30,1,0))</formula>
    </cfRule>
    <cfRule type="expression" dxfId="3310" priority="342">
      <formula>AND(IF($Q6=3,1,IF($Q6=4,1,0)),IF($F6&lt;=85,1,0))</formula>
    </cfRule>
  </conditionalFormatting>
  <conditionalFormatting sqref="AV7">
    <cfRule type="expression" dxfId="3309" priority="337">
      <formula>AV7="X"</formula>
    </cfRule>
    <cfRule type="expression" dxfId="3308" priority="338">
      <formula>AV7="후보"</formula>
    </cfRule>
  </conditionalFormatting>
  <conditionalFormatting sqref="AC7">
    <cfRule type="cellIs" dxfId="3307" priority="334" operator="greaterThan">
      <formula>0.9</formula>
    </cfRule>
    <cfRule type="cellIs" dxfId="3306" priority="335" operator="greaterThan">
      <formula>0.85</formula>
    </cfRule>
  </conditionalFormatting>
  <conditionalFormatting sqref="N7">
    <cfRule type="cellIs" dxfId="3305" priority="332" operator="greaterThan">
      <formula>0.9</formula>
    </cfRule>
    <cfRule type="cellIs" dxfId="3304" priority="333" operator="greaterThan">
      <formula>0.85</formula>
    </cfRule>
  </conditionalFormatting>
  <conditionalFormatting sqref="E7">
    <cfRule type="expression" dxfId="3303" priority="328">
      <formula>AND(IF(OR($Q7=1,$Q7=2),1,0),IF($X7&lt;=20,1,0))</formula>
    </cfRule>
    <cfRule type="expression" dxfId="3302" priority="329">
      <formula>AND(IF($Q7=2,1,0),IF($X7&lt;30,1,0))</formula>
    </cfRule>
    <cfRule type="expression" dxfId="3301" priority="330">
      <formula>AND(IF($Q7=3,1,0),IF($X7&lt;30,1,0))</formula>
    </cfRule>
    <cfRule type="expression" dxfId="3300" priority="331">
      <formula>AND(IF($Q7=3,1,IF($Q7=4,1,0)),IF($F7&lt;=85,1,0))</formula>
    </cfRule>
  </conditionalFormatting>
  <conditionalFormatting sqref="X7">
    <cfRule type="expression" dxfId="3299" priority="324">
      <formula>AND(IF(OR($Q7=1,$Q7=2),1,0),IF($X7&lt;=20,1,0))</formula>
    </cfRule>
    <cfRule type="expression" dxfId="3298" priority="325">
      <formula>AND(IF($Q7=2,1,0),IF($X7&lt;30,1,0))</formula>
    </cfRule>
    <cfRule type="expression" dxfId="3297" priority="326">
      <formula>AND(IF($Q7=3,1,0),IF($X7&lt;30,1,0))</formula>
    </cfRule>
    <cfRule type="expression" dxfId="3296" priority="327">
      <formula>AND(IF($Q7=3,1,IF($Q7=4,1,0)),IF($F7&lt;=85,1,0))</formula>
    </cfRule>
  </conditionalFormatting>
  <conditionalFormatting sqref="AI7">
    <cfRule type="expression" dxfId="3295" priority="320">
      <formula>AND(IF(OR($Q7=1,$Q7=2),1,0),IF($X7&lt;=20,1,0))</formula>
    </cfRule>
    <cfRule type="expression" dxfId="3294" priority="321">
      <formula>AND(IF($Q7=2,1,0),IF($X7&lt;30,1,0))</formula>
    </cfRule>
    <cfRule type="expression" dxfId="3293" priority="322">
      <formula>AND(IF($Q7=3,1,0),IF($X7&lt;30,1,0))</formula>
    </cfRule>
    <cfRule type="expression" dxfId="3292" priority="323">
      <formula>AND(IF($Q7=3,1,IF($Q7=4,1,0)),IF($F7&lt;=85,1,0))</formula>
    </cfRule>
  </conditionalFormatting>
  <conditionalFormatting sqref="AV8">
    <cfRule type="expression" dxfId="3291" priority="318">
      <formula>AV8="X"</formula>
    </cfRule>
    <cfRule type="expression" dxfId="3290" priority="319">
      <formula>AV8="후보"</formula>
    </cfRule>
  </conditionalFormatting>
  <conditionalFormatting sqref="AC8">
    <cfRule type="cellIs" dxfId="3289" priority="315" operator="greaterThan">
      <formula>0.9</formula>
    </cfRule>
    <cfRule type="cellIs" dxfId="3288" priority="316" operator="greaterThan">
      <formula>0.85</formula>
    </cfRule>
  </conditionalFormatting>
  <conditionalFormatting sqref="N8">
    <cfRule type="cellIs" dxfId="3287" priority="313" operator="greaterThan">
      <formula>0.9</formula>
    </cfRule>
    <cfRule type="cellIs" dxfId="3286" priority="314" operator="greaterThan">
      <formula>0.85</formula>
    </cfRule>
  </conditionalFormatting>
  <conditionalFormatting sqref="E8">
    <cfRule type="expression" dxfId="3285" priority="309">
      <formula>AND(IF(OR($Q8=1,$Q8=2),1,0),IF($X8&lt;=20,1,0))</formula>
    </cfRule>
    <cfRule type="expression" dxfId="3284" priority="310">
      <formula>AND(IF($Q8=2,1,0),IF($X8&lt;30,1,0))</formula>
    </cfRule>
    <cfRule type="expression" dxfId="3283" priority="311">
      <formula>AND(IF($Q8=3,1,0),IF($X8&lt;30,1,0))</formula>
    </cfRule>
    <cfRule type="expression" dxfId="3282" priority="312">
      <formula>AND(IF($Q8=3,1,IF($Q8=4,1,0)),IF($F8&lt;=85,1,0))</formula>
    </cfRule>
  </conditionalFormatting>
  <conditionalFormatting sqref="X8">
    <cfRule type="expression" dxfId="3281" priority="305">
      <formula>AND(IF(OR($Q8=1,$Q8=2),1,0),IF($X8&lt;=20,1,0))</formula>
    </cfRule>
    <cfRule type="expression" dxfId="3280" priority="306">
      <formula>AND(IF($Q8=2,1,0),IF($X8&lt;30,1,0))</formula>
    </cfRule>
    <cfRule type="expression" dxfId="3279" priority="307">
      <formula>AND(IF($Q8=3,1,0),IF($X8&lt;30,1,0))</formula>
    </cfRule>
    <cfRule type="expression" dxfId="3278" priority="308">
      <formula>AND(IF($Q8=3,1,IF($Q8=4,1,0)),IF($F8&lt;=85,1,0))</formula>
    </cfRule>
  </conditionalFormatting>
  <conditionalFormatting sqref="AI8">
    <cfRule type="expression" dxfId="3277" priority="301">
      <formula>AND(IF(OR($Q8=1,$Q8=2),1,0),IF($X8&lt;=20,1,0))</formula>
    </cfRule>
    <cfRule type="expression" dxfId="3276" priority="302">
      <formula>AND(IF($Q8=2,1,0),IF($X8&lt;30,1,0))</formula>
    </cfRule>
    <cfRule type="expression" dxfId="3275" priority="303">
      <formula>AND(IF($Q8=3,1,0),IF($X8&lt;30,1,0))</formula>
    </cfRule>
    <cfRule type="expression" dxfId="3274" priority="304">
      <formula>AND(IF($Q8=3,1,IF($Q8=4,1,0)),IF($F8&lt;=85,1,0))</formula>
    </cfRule>
  </conditionalFormatting>
  <conditionalFormatting sqref="AV9">
    <cfRule type="expression" dxfId="3273" priority="299">
      <formula>AV9="X"</formula>
    </cfRule>
    <cfRule type="expression" dxfId="3272" priority="300">
      <formula>AV9="후보"</formula>
    </cfRule>
  </conditionalFormatting>
  <conditionalFormatting sqref="AC9 N9">
    <cfRule type="cellIs" dxfId="3271" priority="296" operator="greaterThan">
      <formula>0.9</formula>
    </cfRule>
    <cfRule type="cellIs" dxfId="3270" priority="297" operator="greaterThan">
      <formula>0.85</formula>
    </cfRule>
  </conditionalFormatting>
  <conditionalFormatting sqref="AV10">
    <cfRule type="expression" dxfId="3269" priority="294">
      <formula>AV10="X"</formula>
    </cfRule>
    <cfRule type="expression" dxfId="3268" priority="295">
      <formula>AV10="후보"</formula>
    </cfRule>
  </conditionalFormatting>
  <conditionalFormatting sqref="AC10">
    <cfRule type="cellIs" dxfId="3267" priority="291" operator="greaterThan">
      <formula>0.9</formula>
    </cfRule>
    <cfRule type="cellIs" dxfId="3266" priority="292" operator="greaterThan">
      <formula>0.85</formula>
    </cfRule>
  </conditionalFormatting>
  <conditionalFormatting sqref="N10">
    <cfRule type="cellIs" dxfId="3265" priority="289" operator="greaterThan">
      <formula>0.9</formula>
    </cfRule>
    <cfRule type="cellIs" dxfId="3264" priority="290" operator="greaterThan">
      <formula>0.85</formula>
    </cfRule>
  </conditionalFormatting>
  <conditionalFormatting sqref="E10">
    <cfRule type="expression" dxfId="3263" priority="285">
      <formula>AND(IF(OR($Q10=1,$Q10=2),1,0),IF($X10&lt;=20,1,0))</formula>
    </cfRule>
    <cfRule type="expression" dxfId="3262" priority="286">
      <formula>AND(IF($Q10=2,1,0),IF($X10&lt;30,1,0))</formula>
    </cfRule>
    <cfRule type="expression" dxfId="3261" priority="287">
      <formula>AND(IF($Q10=3,1,0),IF($X10&lt;30,1,0))</formula>
    </cfRule>
    <cfRule type="expression" dxfId="3260" priority="288">
      <formula>AND(IF($Q10=3,1,IF($Q10=4,1,0)),IF($F10&lt;=85,1,0))</formula>
    </cfRule>
  </conditionalFormatting>
  <conditionalFormatting sqref="X10">
    <cfRule type="expression" dxfId="3259" priority="281">
      <formula>AND(IF(OR($Q10=1,$Q10=2),1,0),IF($X10&lt;=20,1,0))</formula>
    </cfRule>
    <cfRule type="expression" dxfId="3258" priority="282">
      <formula>AND(IF($Q10=2,1,0),IF($X10&lt;30,1,0))</formula>
    </cfRule>
    <cfRule type="expression" dxfId="3257" priority="283">
      <formula>AND(IF($Q10=3,1,0),IF($X10&lt;30,1,0))</formula>
    </cfRule>
    <cfRule type="expression" dxfId="3256" priority="284">
      <formula>AND(IF($Q10=3,1,IF($Q10=4,1,0)),IF($F10&lt;=85,1,0))</formula>
    </cfRule>
  </conditionalFormatting>
  <conditionalFormatting sqref="AI10">
    <cfRule type="expression" dxfId="3255" priority="277">
      <formula>AND(IF(OR($Q10=1,$Q10=2),1,0),IF($X10&lt;=20,1,0))</formula>
    </cfRule>
    <cfRule type="expression" dxfId="3254" priority="278">
      <formula>AND(IF($Q10=2,1,0),IF($X10&lt;30,1,0))</formula>
    </cfRule>
    <cfRule type="expression" dxfId="3253" priority="279">
      <formula>AND(IF($Q10=3,1,0),IF($X10&lt;30,1,0))</formula>
    </cfRule>
    <cfRule type="expression" dxfId="3252" priority="280">
      <formula>AND(IF($Q10=3,1,IF($Q10=4,1,0)),IF($F10&lt;=85,1,0))</formula>
    </cfRule>
  </conditionalFormatting>
  <conditionalFormatting sqref="AV11">
    <cfRule type="expression" dxfId="3251" priority="275">
      <formula>AV11="X"</formula>
    </cfRule>
    <cfRule type="expression" dxfId="3250" priority="276">
      <formula>AV11="후보"</formula>
    </cfRule>
  </conditionalFormatting>
  <conditionalFormatting sqref="AC11">
    <cfRule type="cellIs" dxfId="3249" priority="272" operator="greaterThan">
      <formula>0.9</formula>
    </cfRule>
    <cfRule type="cellIs" dxfId="3248" priority="273" operator="greaterThan">
      <formula>0.85</formula>
    </cfRule>
  </conditionalFormatting>
  <conditionalFormatting sqref="N11">
    <cfRule type="cellIs" dxfId="3247" priority="270" operator="greaterThan">
      <formula>0.9</formula>
    </cfRule>
    <cfRule type="cellIs" dxfId="3246" priority="271" operator="greaterThan">
      <formula>0.85</formula>
    </cfRule>
  </conditionalFormatting>
  <conditionalFormatting sqref="E11">
    <cfRule type="expression" dxfId="3245" priority="266">
      <formula>AND(IF(OR($Q11=1,$Q11=2),1,0),IF($X11&lt;=20,1,0))</formula>
    </cfRule>
    <cfRule type="expression" dxfId="3244" priority="267">
      <formula>AND(IF($Q11=2,1,0),IF($X11&lt;30,1,0))</formula>
    </cfRule>
    <cfRule type="expression" dxfId="3243" priority="268">
      <formula>AND(IF($Q11=3,1,0),IF($X11&lt;30,1,0))</formula>
    </cfRule>
    <cfRule type="expression" dxfId="3242" priority="269">
      <formula>AND(IF($Q11=3,1,IF($Q11=4,1,0)),IF($F11&lt;=85,1,0))</formula>
    </cfRule>
  </conditionalFormatting>
  <conditionalFormatting sqref="X11">
    <cfRule type="expression" dxfId="3241" priority="262">
      <formula>AND(IF(OR($Q11=1,$Q11=2),1,0),IF($X11&lt;=20,1,0))</formula>
    </cfRule>
    <cfRule type="expression" dxfId="3240" priority="263">
      <formula>AND(IF($Q11=2,1,0),IF($X11&lt;30,1,0))</formula>
    </cfRule>
    <cfRule type="expression" dxfId="3239" priority="264">
      <formula>AND(IF($Q11=3,1,0),IF($X11&lt;30,1,0))</formula>
    </cfRule>
    <cfRule type="expression" dxfId="3238" priority="265">
      <formula>AND(IF($Q11=3,1,IF($Q11=4,1,0)),IF($F11&lt;=85,1,0))</formula>
    </cfRule>
  </conditionalFormatting>
  <conditionalFormatting sqref="AI11">
    <cfRule type="expression" dxfId="3237" priority="258">
      <formula>AND(IF(OR($Q11=1,$Q11=2),1,0),IF($X11&lt;=20,1,0))</formula>
    </cfRule>
    <cfRule type="expression" dxfId="3236" priority="259">
      <formula>AND(IF($Q11=2,1,0),IF($X11&lt;30,1,0))</formula>
    </cfRule>
    <cfRule type="expression" dxfId="3235" priority="260">
      <formula>AND(IF($Q11=3,1,0),IF($X11&lt;30,1,0))</formula>
    </cfRule>
    <cfRule type="expression" dxfId="3234" priority="261">
      <formula>AND(IF($Q11=3,1,IF($Q11=4,1,0)),IF($F11&lt;=85,1,0))</formula>
    </cfRule>
  </conditionalFormatting>
  <conditionalFormatting sqref="AV12">
    <cfRule type="expression" dxfId="3233" priority="256">
      <formula>AV12="X"</formula>
    </cfRule>
    <cfRule type="expression" dxfId="3232" priority="257">
      <formula>AV12="후보"</formula>
    </cfRule>
  </conditionalFormatting>
  <conditionalFormatting sqref="AC12">
    <cfRule type="cellIs" dxfId="3231" priority="253" operator="greaterThan">
      <formula>0.9</formula>
    </cfRule>
    <cfRule type="cellIs" dxfId="3230" priority="254" operator="greaterThan">
      <formula>0.85</formula>
    </cfRule>
  </conditionalFormatting>
  <conditionalFormatting sqref="N12">
    <cfRule type="cellIs" dxfId="3229" priority="251" operator="greaterThan">
      <formula>0.9</formula>
    </cfRule>
    <cfRule type="cellIs" dxfId="3228" priority="252" operator="greaterThan">
      <formula>0.85</formula>
    </cfRule>
  </conditionalFormatting>
  <conditionalFormatting sqref="E12">
    <cfRule type="expression" dxfId="3227" priority="247">
      <formula>AND(IF(OR($Q12=1,$Q12=2),1,0),IF($X12&lt;=20,1,0))</formula>
    </cfRule>
    <cfRule type="expression" dxfId="3226" priority="248">
      <formula>AND(IF($Q12=2,1,0),IF($X12&lt;30,1,0))</formula>
    </cfRule>
    <cfRule type="expression" dxfId="3225" priority="249">
      <formula>AND(IF($Q12=3,1,0),IF($X12&lt;30,1,0))</formula>
    </cfRule>
    <cfRule type="expression" dxfId="3224" priority="250">
      <formula>AND(IF($Q12=3,1,IF($Q12=4,1,0)),IF($F12&lt;=85,1,0))</formula>
    </cfRule>
  </conditionalFormatting>
  <conditionalFormatting sqref="X12">
    <cfRule type="expression" dxfId="3223" priority="243">
      <formula>AND(IF(OR($Q12=1,$Q12=2),1,0),IF($X12&lt;=20,1,0))</formula>
    </cfRule>
    <cfRule type="expression" dxfId="3222" priority="244">
      <formula>AND(IF($Q12=2,1,0),IF($X12&lt;30,1,0))</formula>
    </cfRule>
    <cfRule type="expression" dxfId="3221" priority="245">
      <formula>AND(IF($Q12=3,1,0),IF($X12&lt;30,1,0))</formula>
    </cfRule>
    <cfRule type="expression" dxfId="3220" priority="246">
      <formula>AND(IF($Q12=3,1,IF($Q12=4,1,0)),IF($F12&lt;=85,1,0))</formula>
    </cfRule>
  </conditionalFormatting>
  <conditionalFormatting sqref="AI12">
    <cfRule type="expression" dxfId="3219" priority="239">
      <formula>AND(IF(OR($Q12=1,$Q12=2),1,0),IF($X12&lt;=20,1,0))</formula>
    </cfRule>
    <cfRule type="expression" dxfId="3218" priority="240">
      <formula>AND(IF($Q12=2,1,0),IF($X12&lt;30,1,0))</formula>
    </cfRule>
    <cfRule type="expression" dxfId="3217" priority="241">
      <formula>AND(IF($Q12=3,1,0),IF($X12&lt;30,1,0))</formula>
    </cfRule>
    <cfRule type="expression" dxfId="3216" priority="242">
      <formula>AND(IF($Q12=3,1,IF($Q12=4,1,0)),IF($F12&lt;=85,1,0))</formula>
    </cfRule>
  </conditionalFormatting>
  <conditionalFormatting sqref="AV13">
    <cfRule type="expression" dxfId="3215" priority="237">
      <formula>AV13="X"</formula>
    </cfRule>
    <cfRule type="expression" dxfId="3214" priority="238">
      <formula>AV13="후보"</formula>
    </cfRule>
  </conditionalFormatting>
  <conditionalFormatting sqref="AC13">
    <cfRule type="cellIs" dxfId="3213" priority="234" operator="greaterThan">
      <formula>0.9</formula>
    </cfRule>
    <cfRule type="cellIs" dxfId="3212" priority="235" operator="greaterThan">
      <formula>0.85</formula>
    </cfRule>
  </conditionalFormatting>
  <conditionalFormatting sqref="N13">
    <cfRule type="cellIs" dxfId="3211" priority="232" operator="greaterThan">
      <formula>0.9</formula>
    </cfRule>
    <cfRule type="cellIs" dxfId="3210" priority="233" operator="greaterThan">
      <formula>0.85</formula>
    </cfRule>
  </conditionalFormatting>
  <conditionalFormatting sqref="E13">
    <cfRule type="expression" dxfId="3209" priority="228">
      <formula>AND(IF(OR($Q13=1,$Q13=2),1,0),IF($X13&lt;=20,1,0))</formula>
    </cfRule>
    <cfRule type="expression" dxfId="3208" priority="229">
      <formula>AND(IF($Q13=2,1,0),IF($X13&lt;30,1,0))</formula>
    </cfRule>
    <cfRule type="expression" dxfId="3207" priority="230">
      <formula>AND(IF($Q13=3,1,0),IF($X13&lt;30,1,0))</formula>
    </cfRule>
    <cfRule type="expression" dxfId="3206" priority="231">
      <formula>AND(IF($Q13=3,1,IF($Q13=4,1,0)),IF($F13&lt;=85,1,0))</formula>
    </cfRule>
  </conditionalFormatting>
  <conditionalFormatting sqref="X13">
    <cfRule type="expression" dxfId="3205" priority="224">
      <formula>AND(IF(OR($Q13=1,$Q13=2),1,0),IF($X13&lt;=20,1,0))</formula>
    </cfRule>
    <cfRule type="expression" dxfId="3204" priority="225">
      <formula>AND(IF($Q13=2,1,0),IF($X13&lt;30,1,0))</formula>
    </cfRule>
    <cfRule type="expression" dxfId="3203" priority="226">
      <formula>AND(IF($Q13=3,1,0),IF($X13&lt;30,1,0))</formula>
    </cfRule>
    <cfRule type="expression" dxfId="3202" priority="227">
      <formula>AND(IF($Q13=3,1,IF($Q13=4,1,0)),IF($F13&lt;=85,1,0))</formula>
    </cfRule>
  </conditionalFormatting>
  <conditionalFormatting sqref="AI13">
    <cfRule type="expression" dxfId="3201" priority="220">
      <formula>AND(IF(OR($Q13=1,$Q13=2),1,0),IF($X13&lt;=20,1,0))</formula>
    </cfRule>
    <cfRule type="expression" dxfId="3200" priority="221">
      <formula>AND(IF($Q13=2,1,0),IF($X13&lt;30,1,0))</formula>
    </cfRule>
    <cfRule type="expression" dxfId="3199" priority="222">
      <formula>AND(IF($Q13=3,1,0),IF($X13&lt;30,1,0))</formula>
    </cfRule>
    <cfRule type="expression" dxfId="3198" priority="223">
      <formula>AND(IF($Q13=3,1,IF($Q13=4,1,0)),IF($F13&lt;=85,1,0))</formula>
    </cfRule>
  </conditionalFormatting>
  <conditionalFormatting sqref="AV14">
    <cfRule type="expression" dxfId="3197" priority="218">
      <formula>AV14="X"</formula>
    </cfRule>
    <cfRule type="expression" dxfId="3196" priority="219">
      <formula>AV14="후보"</formula>
    </cfRule>
  </conditionalFormatting>
  <conditionalFormatting sqref="AC14 N14">
    <cfRule type="cellIs" dxfId="3195" priority="215" operator="greaterThan">
      <formula>0.9</formula>
    </cfRule>
    <cfRule type="cellIs" dxfId="3194" priority="216" operator="greaterThan">
      <formula>0.85</formula>
    </cfRule>
  </conditionalFormatting>
  <conditionalFormatting sqref="AV15">
    <cfRule type="expression" dxfId="3193" priority="213">
      <formula>AV15="X"</formula>
    </cfRule>
    <cfRule type="expression" dxfId="3192" priority="214">
      <formula>AV15="후보"</formula>
    </cfRule>
  </conditionalFormatting>
  <conditionalFormatting sqref="AC15">
    <cfRule type="cellIs" dxfId="3191" priority="210" operator="greaterThan">
      <formula>0.9</formula>
    </cfRule>
    <cfRule type="cellIs" dxfId="3190" priority="211" operator="greaterThan">
      <formula>0.85</formula>
    </cfRule>
  </conditionalFormatting>
  <conditionalFormatting sqref="N15">
    <cfRule type="cellIs" dxfId="3189" priority="208" operator="greaterThan">
      <formula>0.9</formula>
    </cfRule>
    <cfRule type="cellIs" dxfId="3188" priority="209" operator="greaterThan">
      <formula>0.85</formula>
    </cfRule>
  </conditionalFormatting>
  <conditionalFormatting sqref="E15">
    <cfRule type="expression" dxfId="3187" priority="204">
      <formula>AND(IF(OR($Q15=1,$Q15=2),1,0),IF($X15&lt;=20,1,0))</formula>
    </cfRule>
    <cfRule type="expression" dxfId="3186" priority="205">
      <formula>AND(IF($Q15=2,1,0),IF($X15&lt;30,1,0))</formula>
    </cfRule>
    <cfRule type="expression" dxfId="3185" priority="206">
      <formula>AND(IF($Q15=3,1,0),IF($X15&lt;30,1,0))</formula>
    </cfRule>
    <cfRule type="expression" dxfId="3184" priority="207">
      <formula>AND(IF($Q15=3,1,IF($Q15=4,1,0)),IF($F15&lt;=85,1,0))</formula>
    </cfRule>
  </conditionalFormatting>
  <conditionalFormatting sqref="X15">
    <cfRule type="expression" dxfId="3183" priority="200">
      <formula>AND(IF(OR($Q15=1,$Q15=2),1,0),IF($X15&lt;=20,1,0))</formula>
    </cfRule>
    <cfRule type="expression" dxfId="3182" priority="201">
      <formula>AND(IF($Q15=2,1,0),IF($X15&lt;30,1,0))</formula>
    </cfRule>
    <cfRule type="expression" dxfId="3181" priority="202">
      <formula>AND(IF($Q15=3,1,0),IF($X15&lt;30,1,0))</formula>
    </cfRule>
    <cfRule type="expression" dxfId="3180" priority="203">
      <formula>AND(IF($Q15=3,1,IF($Q15=4,1,0)),IF($F15&lt;=85,1,0))</formula>
    </cfRule>
  </conditionalFormatting>
  <conditionalFormatting sqref="AI15">
    <cfRule type="expression" dxfId="3179" priority="196">
      <formula>AND(IF(OR($Q15=1,$Q15=2),1,0),IF($X15&lt;=20,1,0))</formula>
    </cfRule>
    <cfRule type="expression" dxfId="3178" priority="197">
      <formula>AND(IF($Q15=2,1,0),IF($X15&lt;30,1,0))</formula>
    </cfRule>
    <cfRule type="expression" dxfId="3177" priority="198">
      <formula>AND(IF($Q15=3,1,0),IF($X15&lt;30,1,0))</formula>
    </cfRule>
    <cfRule type="expression" dxfId="3176" priority="199">
      <formula>AND(IF($Q15=3,1,IF($Q15=4,1,0)),IF($F15&lt;=85,1,0))</formula>
    </cfRule>
  </conditionalFormatting>
  <conditionalFormatting sqref="AV16">
    <cfRule type="expression" dxfId="3175" priority="194">
      <formula>AV16="X"</formula>
    </cfRule>
    <cfRule type="expression" dxfId="3174" priority="195">
      <formula>AV16="후보"</formula>
    </cfRule>
  </conditionalFormatting>
  <conditionalFormatting sqref="AC16">
    <cfRule type="cellIs" dxfId="3173" priority="191" operator="greaterThan">
      <formula>0.9</formula>
    </cfRule>
    <cfRule type="cellIs" dxfId="3172" priority="192" operator="greaterThan">
      <formula>0.85</formula>
    </cfRule>
  </conditionalFormatting>
  <conditionalFormatting sqref="N16">
    <cfRule type="cellIs" dxfId="3171" priority="189" operator="greaterThan">
      <formula>0.9</formula>
    </cfRule>
    <cfRule type="cellIs" dxfId="3170" priority="190" operator="greaterThan">
      <formula>0.85</formula>
    </cfRule>
  </conditionalFormatting>
  <conditionalFormatting sqref="E16">
    <cfRule type="expression" dxfId="3169" priority="185">
      <formula>AND(IF(OR($Q16=1,$Q16=2),1,0),IF($X16&lt;=20,1,0))</formula>
    </cfRule>
    <cfRule type="expression" dxfId="3168" priority="186">
      <formula>AND(IF($Q16=2,1,0),IF($X16&lt;30,1,0))</formula>
    </cfRule>
    <cfRule type="expression" dxfId="3167" priority="187">
      <formula>AND(IF($Q16=3,1,0),IF($X16&lt;30,1,0))</formula>
    </cfRule>
    <cfRule type="expression" dxfId="3166" priority="188">
      <formula>AND(IF($Q16=3,1,IF($Q16=4,1,0)),IF($F16&lt;=85,1,0))</formula>
    </cfRule>
  </conditionalFormatting>
  <conditionalFormatting sqref="X16">
    <cfRule type="expression" dxfId="3165" priority="181">
      <formula>AND(IF(OR($Q16=1,$Q16=2),1,0),IF($X16&lt;=20,1,0))</formula>
    </cfRule>
    <cfRule type="expression" dxfId="3164" priority="182">
      <formula>AND(IF($Q16=2,1,0),IF($X16&lt;30,1,0))</formula>
    </cfRule>
    <cfRule type="expression" dxfId="3163" priority="183">
      <formula>AND(IF($Q16=3,1,0),IF($X16&lt;30,1,0))</formula>
    </cfRule>
    <cfRule type="expression" dxfId="3162" priority="184">
      <formula>AND(IF($Q16=3,1,IF($Q16=4,1,0)),IF($F16&lt;=85,1,0))</formula>
    </cfRule>
  </conditionalFormatting>
  <conditionalFormatting sqref="AI16">
    <cfRule type="expression" dxfId="3161" priority="177">
      <formula>AND(IF(OR($Q16=1,$Q16=2),1,0),IF($X16&lt;=20,1,0))</formula>
    </cfRule>
    <cfRule type="expression" dxfId="3160" priority="178">
      <formula>AND(IF($Q16=2,1,0),IF($X16&lt;30,1,0))</formula>
    </cfRule>
    <cfRule type="expression" dxfId="3159" priority="179">
      <formula>AND(IF($Q16=3,1,0),IF($X16&lt;30,1,0))</formula>
    </cfRule>
    <cfRule type="expression" dxfId="3158" priority="180">
      <formula>AND(IF($Q16=3,1,IF($Q16=4,1,0)),IF($F16&lt;=85,1,0))</formula>
    </cfRule>
  </conditionalFormatting>
  <conditionalFormatting sqref="AV17">
    <cfRule type="expression" dxfId="3157" priority="175">
      <formula>AV17="X"</formula>
    </cfRule>
    <cfRule type="expression" dxfId="3156" priority="176">
      <formula>AV17="후보"</formula>
    </cfRule>
  </conditionalFormatting>
  <conditionalFormatting sqref="AC17">
    <cfRule type="cellIs" dxfId="3155" priority="172" operator="greaterThan">
      <formula>0.9</formula>
    </cfRule>
    <cfRule type="cellIs" dxfId="3154" priority="173" operator="greaterThan">
      <formula>0.85</formula>
    </cfRule>
  </conditionalFormatting>
  <conditionalFormatting sqref="N17">
    <cfRule type="cellIs" dxfId="3153" priority="170" operator="greaterThan">
      <formula>0.9</formula>
    </cfRule>
    <cfRule type="cellIs" dxfId="3152" priority="171" operator="greaterThan">
      <formula>0.85</formula>
    </cfRule>
  </conditionalFormatting>
  <conditionalFormatting sqref="E17">
    <cfRule type="expression" dxfId="3151" priority="166">
      <formula>AND(IF(OR($Q17=1,$Q17=2),1,0),IF($X17&lt;=20,1,0))</formula>
    </cfRule>
    <cfRule type="expression" dxfId="3150" priority="167">
      <formula>AND(IF($Q17=2,1,0),IF($X17&lt;30,1,0))</formula>
    </cfRule>
    <cfRule type="expression" dxfId="3149" priority="168">
      <formula>AND(IF($Q17=3,1,0),IF($X17&lt;30,1,0))</formula>
    </cfRule>
    <cfRule type="expression" dxfId="3148" priority="169">
      <formula>AND(IF($Q17=3,1,IF($Q17=4,1,0)),IF($F17&lt;=85,1,0))</formula>
    </cfRule>
  </conditionalFormatting>
  <conditionalFormatting sqref="X17">
    <cfRule type="expression" dxfId="3147" priority="162">
      <formula>AND(IF(OR($Q17=1,$Q17=2),1,0),IF($X17&lt;=20,1,0))</formula>
    </cfRule>
    <cfRule type="expression" dxfId="3146" priority="163">
      <formula>AND(IF($Q17=2,1,0),IF($X17&lt;30,1,0))</formula>
    </cfRule>
    <cfRule type="expression" dxfId="3145" priority="164">
      <formula>AND(IF($Q17=3,1,0),IF($X17&lt;30,1,0))</formula>
    </cfRule>
    <cfRule type="expression" dxfId="3144" priority="165">
      <formula>AND(IF($Q17=3,1,IF($Q17=4,1,0)),IF($F17&lt;=85,1,0))</formula>
    </cfRule>
  </conditionalFormatting>
  <conditionalFormatting sqref="AI17">
    <cfRule type="expression" dxfId="3143" priority="158">
      <formula>AND(IF(OR($Q17=1,$Q17=2),1,0),IF($X17&lt;=20,1,0))</formula>
    </cfRule>
    <cfRule type="expression" dxfId="3142" priority="159">
      <formula>AND(IF($Q17=2,1,0),IF($X17&lt;30,1,0))</formula>
    </cfRule>
    <cfRule type="expression" dxfId="3141" priority="160">
      <formula>AND(IF($Q17=3,1,0),IF($X17&lt;30,1,0))</formula>
    </cfRule>
    <cfRule type="expression" dxfId="3140" priority="161">
      <formula>AND(IF($Q17=3,1,IF($Q17=4,1,0)),IF($F17&lt;=85,1,0))</formula>
    </cfRule>
  </conditionalFormatting>
  <conditionalFormatting sqref="AV18">
    <cfRule type="expression" dxfId="3139" priority="156">
      <formula>AV18="X"</formula>
    </cfRule>
    <cfRule type="expression" dxfId="3138" priority="157">
      <formula>AV18="후보"</formula>
    </cfRule>
  </conditionalFormatting>
  <conditionalFormatting sqref="AC18 N18">
    <cfRule type="cellIs" dxfId="3137" priority="153" operator="greaterThan">
      <formula>0.9</formula>
    </cfRule>
    <cfRule type="cellIs" dxfId="3136" priority="154" operator="greaterThan">
      <formula>0.85</formula>
    </cfRule>
  </conditionalFormatting>
  <conditionalFormatting sqref="AV19">
    <cfRule type="expression" dxfId="3135" priority="151">
      <formula>AV19="X"</formula>
    </cfRule>
    <cfRule type="expression" dxfId="3134" priority="152">
      <formula>AV19="후보"</formula>
    </cfRule>
  </conditionalFormatting>
  <conditionalFormatting sqref="AC19">
    <cfRule type="cellIs" dxfId="3133" priority="148" operator="greaterThan">
      <formula>0.9</formula>
    </cfRule>
    <cfRule type="cellIs" dxfId="3132" priority="149" operator="greaterThan">
      <formula>0.85</formula>
    </cfRule>
  </conditionalFormatting>
  <conditionalFormatting sqref="N19">
    <cfRule type="cellIs" dxfId="3131" priority="146" operator="greaterThan">
      <formula>0.9</formula>
    </cfRule>
    <cfRule type="cellIs" dxfId="3130" priority="147" operator="greaterThan">
      <formula>0.85</formula>
    </cfRule>
  </conditionalFormatting>
  <conditionalFormatting sqref="E19">
    <cfRule type="expression" dxfId="3129" priority="142">
      <formula>AND(IF(OR($Q19=1,$Q19=2),1,0),IF($X19&lt;=20,1,0))</formula>
    </cfRule>
    <cfRule type="expression" dxfId="3128" priority="143">
      <formula>AND(IF($Q19=2,1,0),IF($X19&lt;30,1,0))</formula>
    </cfRule>
    <cfRule type="expression" dxfId="3127" priority="144">
      <formula>AND(IF($Q19=3,1,0),IF($X19&lt;30,1,0))</formula>
    </cfRule>
    <cfRule type="expression" dxfId="3126" priority="145">
      <formula>AND(IF($Q19=3,1,IF($Q19=4,1,0)),IF($F19&lt;=85,1,0))</formula>
    </cfRule>
  </conditionalFormatting>
  <conditionalFormatting sqref="X19">
    <cfRule type="expression" dxfId="3125" priority="138">
      <formula>AND(IF(OR($Q19=1,$Q19=2),1,0),IF($X19&lt;=20,1,0))</formula>
    </cfRule>
    <cfRule type="expression" dxfId="3124" priority="139">
      <formula>AND(IF($Q19=2,1,0),IF($X19&lt;30,1,0))</formula>
    </cfRule>
    <cfRule type="expression" dxfId="3123" priority="140">
      <formula>AND(IF($Q19=3,1,0),IF($X19&lt;30,1,0))</formula>
    </cfRule>
    <cfRule type="expression" dxfId="3122" priority="141">
      <formula>AND(IF($Q19=3,1,IF($Q19=4,1,0)),IF($F19&lt;=85,1,0))</formula>
    </cfRule>
  </conditionalFormatting>
  <conditionalFormatting sqref="AI19">
    <cfRule type="expression" dxfId="3121" priority="134">
      <formula>AND(IF(OR($Q19=1,$Q19=2),1,0),IF($X19&lt;=20,1,0))</formula>
    </cfRule>
    <cfRule type="expression" dxfId="3120" priority="135">
      <formula>AND(IF($Q19=2,1,0),IF($X19&lt;30,1,0))</formula>
    </cfRule>
    <cfRule type="expression" dxfId="3119" priority="136">
      <formula>AND(IF($Q19=3,1,0),IF($X19&lt;30,1,0))</formula>
    </cfRule>
    <cfRule type="expression" dxfId="3118" priority="137">
      <formula>AND(IF($Q19=3,1,IF($Q19=4,1,0)),IF($F19&lt;=85,1,0))</formula>
    </cfRule>
  </conditionalFormatting>
  <conditionalFormatting sqref="AV20">
    <cfRule type="expression" dxfId="3117" priority="132">
      <formula>AV20="X"</formula>
    </cfRule>
    <cfRule type="expression" dxfId="3116" priority="133">
      <formula>AV20="후보"</formula>
    </cfRule>
  </conditionalFormatting>
  <conditionalFormatting sqref="AC20">
    <cfRule type="cellIs" dxfId="3115" priority="129" operator="greaterThan">
      <formula>0.9</formula>
    </cfRule>
    <cfRule type="cellIs" dxfId="3114" priority="130" operator="greaterThan">
      <formula>0.85</formula>
    </cfRule>
  </conditionalFormatting>
  <conditionalFormatting sqref="N20">
    <cfRule type="cellIs" dxfId="3113" priority="127" operator="greaterThan">
      <formula>0.9</formula>
    </cfRule>
    <cfRule type="cellIs" dxfId="3112" priority="128" operator="greaterThan">
      <formula>0.85</formula>
    </cfRule>
  </conditionalFormatting>
  <conditionalFormatting sqref="E20">
    <cfRule type="expression" dxfId="3111" priority="123">
      <formula>AND(IF(OR($Q20=1,$Q20=2),1,0),IF($X20&lt;=20,1,0))</formula>
    </cfRule>
    <cfRule type="expression" dxfId="3110" priority="124">
      <formula>AND(IF($Q20=2,1,0),IF($X20&lt;30,1,0))</formula>
    </cfRule>
    <cfRule type="expression" dxfId="3109" priority="125">
      <formula>AND(IF($Q20=3,1,0),IF($X20&lt;30,1,0))</formula>
    </cfRule>
    <cfRule type="expression" dxfId="3108" priority="126">
      <formula>AND(IF($Q20=3,1,IF($Q20=4,1,0)),IF($F20&lt;=85,1,0))</formula>
    </cfRule>
  </conditionalFormatting>
  <conditionalFormatting sqref="X20">
    <cfRule type="expression" dxfId="3107" priority="119">
      <formula>AND(IF(OR($Q20=1,$Q20=2),1,0),IF($X20&lt;=20,1,0))</formula>
    </cfRule>
    <cfRule type="expression" dxfId="3106" priority="120">
      <formula>AND(IF($Q20=2,1,0),IF($X20&lt;30,1,0))</formula>
    </cfRule>
    <cfRule type="expression" dxfId="3105" priority="121">
      <formula>AND(IF($Q20=3,1,0),IF($X20&lt;30,1,0))</formula>
    </cfRule>
    <cfRule type="expression" dxfId="3104" priority="122">
      <formula>AND(IF($Q20=3,1,IF($Q20=4,1,0)),IF($F20&lt;=85,1,0))</formula>
    </cfRule>
  </conditionalFormatting>
  <conditionalFormatting sqref="AI20">
    <cfRule type="expression" dxfId="3103" priority="115">
      <formula>AND(IF(OR($Q20=1,$Q20=2),1,0),IF($X20&lt;=20,1,0))</formula>
    </cfRule>
    <cfRule type="expression" dxfId="3102" priority="116">
      <formula>AND(IF($Q20=2,1,0),IF($X20&lt;30,1,0))</formula>
    </cfRule>
    <cfRule type="expression" dxfId="3101" priority="117">
      <formula>AND(IF($Q20=3,1,0),IF($X20&lt;30,1,0))</formula>
    </cfRule>
    <cfRule type="expression" dxfId="3100" priority="118">
      <formula>AND(IF($Q20=3,1,IF($Q20=4,1,0)),IF($F20&lt;=85,1,0))</formula>
    </cfRule>
  </conditionalFormatting>
  <conditionalFormatting sqref="AV21">
    <cfRule type="expression" dxfId="3099" priority="113">
      <formula>AV21="X"</formula>
    </cfRule>
    <cfRule type="expression" dxfId="3098" priority="114">
      <formula>AV21="후보"</formula>
    </cfRule>
  </conditionalFormatting>
  <conditionalFormatting sqref="AC21">
    <cfRule type="cellIs" dxfId="3097" priority="110" operator="greaterThan">
      <formula>0.9</formula>
    </cfRule>
    <cfRule type="cellIs" dxfId="3096" priority="111" operator="greaterThan">
      <formula>0.85</formula>
    </cfRule>
  </conditionalFormatting>
  <conditionalFormatting sqref="N21">
    <cfRule type="cellIs" dxfId="3095" priority="108" operator="greaterThan">
      <formula>0.9</formula>
    </cfRule>
    <cfRule type="cellIs" dxfId="3094" priority="109" operator="greaterThan">
      <formula>0.85</formula>
    </cfRule>
  </conditionalFormatting>
  <conditionalFormatting sqref="E21">
    <cfRule type="expression" dxfId="3093" priority="104">
      <formula>AND(IF(OR($Q21=1,$Q21=2),1,0),IF($X21&lt;=20,1,0))</formula>
    </cfRule>
    <cfRule type="expression" dxfId="3092" priority="105">
      <formula>AND(IF($Q21=2,1,0),IF($X21&lt;30,1,0))</formula>
    </cfRule>
    <cfRule type="expression" dxfId="3091" priority="106">
      <formula>AND(IF($Q21=3,1,0),IF($X21&lt;30,1,0))</formula>
    </cfRule>
    <cfRule type="expression" dxfId="3090" priority="107">
      <formula>AND(IF($Q21=3,1,IF($Q21=4,1,0)),IF($F21&lt;=85,1,0))</formula>
    </cfRule>
  </conditionalFormatting>
  <conditionalFormatting sqref="X21">
    <cfRule type="expression" dxfId="3089" priority="100">
      <formula>AND(IF(OR($Q21=1,$Q21=2),1,0),IF($X21&lt;=20,1,0))</formula>
    </cfRule>
    <cfRule type="expression" dxfId="3088" priority="101">
      <formula>AND(IF($Q21=2,1,0),IF($X21&lt;30,1,0))</formula>
    </cfRule>
    <cfRule type="expression" dxfId="3087" priority="102">
      <formula>AND(IF($Q21=3,1,0),IF($X21&lt;30,1,0))</formula>
    </cfRule>
    <cfRule type="expression" dxfId="3086" priority="103">
      <formula>AND(IF($Q21=3,1,IF($Q21=4,1,0)),IF($F21&lt;=85,1,0))</formula>
    </cfRule>
  </conditionalFormatting>
  <conditionalFormatting sqref="AI21">
    <cfRule type="expression" dxfId="3085" priority="96">
      <formula>AND(IF(OR($Q21=1,$Q21=2),1,0),IF($X21&lt;=20,1,0))</formula>
    </cfRule>
    <cfRule type="expression" dxfId="3084" priority="97">
      <formula>AND(IF($Q21=2,1,0),IF($X21&lt;30,1,0))</formula>
    </cfRule>
    <cfRule type="expression" dxfId="3083" priority="98">
      <formula>AND(IF($Q21=3,1,0),IF($X21&lt;30,1,0))</formula>
    </cfRule>
    <cfRule type="expression" dxfId="3082" priority="99">
      <formula>AND(IF($Q21=3,1,IF($Q21=4,1,0)),IF($F21&lt;=85,1,0))</formula>
    </cfRule>
  </conditionalFormatting>
  <conditionalFormatting sqref="AV22">
    <cfRule type="expression" dxfId="3081" priority="94">
      <formula>AV22="X"</formula>
    </cfRule>
    <cfRule type="expression" dxfId="3080" priority="95">
      <formula>AV22="후보"</formula>
    </cfRule>
  </conditionalFormatting>
  <conditionalFormatting sqref="AC22">
    <cfRule type="cellIs" dxfId="3079" priority="91" operator="greaterThan">
      <formula>0.9</formula>
    </cfRule>
    <cfRule type="cellIs" dxfId="3078" priority="92" operator="greaterThan">
      <formula>0.85</formula>
    </cfRule>
  </conditionalFormatting>
  <conditionalFormatting sqref="N22">
    <cfRule type="cellIs" dxfId="3077" priority="89" operator="greaterThan">
      <formula>0.9</formula>
    </cfRule>
    <cfRule type="cellIs" dxfId="3076" priority="90" operator="greaterThan">
      <formula>0.85</formula>
    </cfRule>
  </conditionalFormatting>
  <conditionalFormatting sqref="E22">
    <cfRule type="expression" dxfId="3075" priority="85">
      <formula>AND(IF(OR($Q22=1,$Q22=2),1,0),IF($X22&lt;=20,1,0))</formula>
    </cfRule>
    <cfRule type="expression" dxfId="3074" priority="86">
      <formula>AND(IF($Q22=2,1,0),IF($X22&lt;30,1,0))</formula>
    </cfRule>
    <cfRule type="expression" dxfId="3073" priority="87">
      <formula>AND(IF($Q22=3,1,0),IF($X22&lt;30,1,0))</formula>
    </cfRule>
    <cfRule type="expression" dxfId="3072" priority="88">
      <formula>AND(IF($Q22=3,1,IF($Q22=4,1,0)),IF($F22&lt;=85,1,0))</formula>
    </cfRule>
  </conditionalFormatting>
  <conditionalFormatting sqref="X22">
    <cfRule type="expression" dxfId="3071" priority="81">
      <formula>AND(IF(OR($Q22=1,$Q22=2),1,0),IF($X22&lt;=20,1,0))</formula>
    </cfRule>
    <cfRule type="expression" dxfId="3070" priority="82">
      <formula>AND(IF($Q22=2,1,0),IF($X22&lt;30,1,0))</formula>
    </cfRule>
    <cfRule type="expression" dxfId="3069" priority="83">
      <formula>AND(IF($Q22=3,1,0),IF($X22&lt;30,1,0))</formula>
    </cfRule>
    <cfRule type="expression" dxfId="3068" priority="84">
      <formula>AND(IF($Q22=3,1,IF($Q22=4,1,0)),IF($F22&lt;=85,1,0))</formula>
    </cfRule>
  </conditionalFormatting>
  <conditionalFormatting sqref="AI22">
    <cfRule type="expression" dxfId="3067" priority="77">
      <formula>AND(IF(OR($Q22=1,$Q22=2),1,0),IF($X22&lt;=20,1,0))</formula>
    </cfRule>
    <cfRule type="expression" dxfId="3066" priority="78">
      <formula>AND(IF($Q22=2,1,0),IF($X22&lt;30,1,0))</formula>
    </cfRule>
    <cfRule type="expression" dxfId="3065" priority="79">
      <formula>AND(IF($Q22=3,1,0),IF($X22&lt;30,1,0))</formula>
    </cfRule>
    <cfRule type="expression" dxfId="3064" priority="80">
      <formula>AND(IF($Q22=3,1,IF($Q22=4,1,0)),IF($F22&lt;=85,1,0))</formula>
    </cfRule>
  </conditionalFormatting>
  <conditionalFormatting sqref="AV23">
    <cfRule type="expression" dxfId="3063" priority="75">
      <formula>AV23="X"</formula>
    </cfRule>
    <cfRule type="expression" dxfId="3062" priority="76">
      <formula>AV23="후보"</formula>
    </cfRule>
  </conditionalFormatting>
  <conditionalFormatting sqref="AC23">
    <cfRule type="cellIs" dxfId="3061" priority="72" operator="greaterThan">
      <formula>0.9</formula>
    </cfRule>
    <cfRule type="cellIs" dxfId="3060" priority="73" operator="greaterThan">
      <formula>0.85</formula>
    </cfRule>
  </conditionalFormatting>
  <conditionalFormatting sqref="N23">
    <cfRule type="cellIs" dxfId="3059" priority="70" operator="greaterThan">
      <formula>0.9</formula>
    </cfRule>
    <cfRule type="cellIs" dxfId="3058" priority="71" operator="greaterThan">
      <formula>0.85</formula>
    </cfRule>
  </conditionalFormatting>
  <conditionalFormatting sqref="E23">
    <cfRule type="expression" dxfId="3057" priority="66">
      <formula>AND(IF(OR($Q23=1,$Q23=2),1,0),IF($X23&lt;=20,1,0))</formula>
    </cfRule>
    <cfRule type="expression" dxfId="3056" priority="67">
      <formula>AND(IF($Q23=2,1,0),IF($X23&lt;30,1,0))</formula>
    </cfRule>
    <cfRule type="expression" dxfId="3055" priority="68">
      <formula>AND(IF($Q23=3,1,0),IF($X23&lt;30,1,0))</formula>
    </cfRule>
    <cfRule type="expression" dxfId="3054" priority="69">
      <formula>AND(IF($Q23=3,1,IF($Q23=4,1,0)),IF($F23&lt;=85,1,0))</formula>
    </cfRule>
  </conditionalFormatting>
  <conditionalFormatting sqref="X23">
    <cfRule type="expression" dxfId="3053" priority="62">
      <formula>AND(IF(OR($Q23=1,$Q23=2),1,0),IF($X23&lt;=20,1,0))</formula>
    </cfRule>
    <cfRule type="expression" dxfId="3052" priority="63">
      <formula>AND(IF($Q23=2,1,0),IF($X23&lt;30,1,0))</formula>
    </cfRule>
    <cfRule type="expression" dxfId="3051" priority="64">
      <formula>AND(IF($Q23=3,1,0),IF($X23&lt;30,1,0))</formula>
    </cfRule>
    <cfRule type="expression" dxfId="3050" priority="65">
      <formula>AND(IF($Q23=3,1,IF($Q23=4,1,0)),IF($F23&lt;=85,1,0))</formula>
    </cfRule>
  </conditionalFormatting>
  <conditionalFormatting sqref="AI23">
    <cfRule type="expression" dxfId="3049" priority="58">
      <formula>AND(IF(OR($Q23=1,$Q23=2),1,0),IF($X23&lt;=20,1,0))</formula>
    </cfRule>
    <cfRule type="expression" dxfId="3048" priority="59">
      <formula>AND(IF($Q23=2,1,0),IF($X23&lt;30,1,0))</formula>
    </cfRule>
    <cfRule type="expression" dxfId="3047" priority="60">
      <formula>AND(IF($Q23=3,1,0),IF($X23&lt;30,1,0))</formula>
    </cfRule>
    <cfRule type="expression" dxfId="3046" priority="61">
      <formula>AND(IF($Q23=3,1,IF($Q23=4,1,0)),IF($F23&lt;=85,1,0))</formula>
    </cfRule>
  </conditionalFormatting>
  <conditionalFormatting sqref="AV24">
    <cfRule type="expression" dxfId="3045" priority="56">
      <formula>AV24="X"</formula>
    </cfRule>
    <cfRule type="expression" dxfId="3044" priority="57">
      <formula>AV24="후보"</formula>
    </cfRule>
  </conditionalFormatting>
  <conditionalFormatting sqref="AC24">
    <cfRule type="cellIs" dxfId="3043" priority="53" operator="greaterThan">
      <formula>0.9</formula>
    </cfRule>
    <cfRule type="cellIs" dxfId="3042" priority="54" operator="greaterThan">
      <formula>0.85</formula>
    </cfRule>
  </conditionalFormatting>
  <conditionalFormatting sqref="N24">
    <cfRule type="cellIs" dxfId="3041" priority="51" operator="greaterThan">
      <formula>0.9</formula>
    </cfRule>
    <cfRule type="cellIs" dxfId="3040" priority="52" operator="greaterThan">
      <formula>0.85</formula>
    </cfRule>
  </conditionalFormatting>
  <conditionalFormatting sqref="E24">
    <cfRule type="expression" dxfId="3039" priority="47">
      <formula>AND(IF(OR($Q24=1,$Q24=2),1,0),IF($X24&lt;=20,1,0))</formula>
    </cfRule>
    <cfRule type="expression" dxfId="3038" priority="48">
      <formula>AND(IF($Q24=2,1,0),IF($X24&lt;30,1,0))</formula>
    </cfRule>
    <cfRule type="expression" dxfId="3037" priority="49">
      <formula>AND(IF($Q24=3,1,0),IF($X24&lt;30,1,0))</formula>
    </cfRule>
    <cfRule type="expression" dxfId="3036" priority="50">
      <formula>AND(IF($Q24=3,1,IF($Q24=4,1,0)),IF($F24&lt;=85,1,0))</formula>
    </cfRule>
  </conditionalFormatting>
  <conditionalFormatting sqref="X24">
    <cfRule type="expression" dxfId="3035" priority="43">
      <formula>AND(IF(OR($Q24=1,$Q24=2),1,0),IF($X24&lt;=20,1,0))</formula>
    </cfRule>
    <cfRule type="expression" dxfId="3034" priority="44">
      <formula>AND(IF($Q24=2,1,0),IF($X24&lt;30,1,0))</formula>
    </cfRule>
    <cfRule type="expression" dxfId="3033" priority="45">
      <formula>AND(IF($Q24=3,1,0),IF($X24&lt;30,1,0))</formula>
    </cfRule>
    <cfRule type="expression" dxfId="3032" priority="46">
      <formula>AND(IF($Q24=3,1,IF($Q24=4,1,0)),IF($F24&lt;=85,1,0))</formula>
    </cfRule>
  </conditionalFormatting>
  <conditionalFormatting sqref="AI24">
    <cfRule type="expression" dxfId="3031" priority="39">
      <formula>AND(IF(OR($Q24=1,$Q24=2),1,0),IF($X24&lt;=20,1,0))</formula>
    </cfRule>
    <cfRule type="expression" dxfId="3030" priority="40">
      <formula>AND(IF($Q24=2,1,0),IF($X24&lt;30,1,0))</formula>
    </cfRule>
    <cfRule type="expression" dxfId="3029" priority="41">
      <formula>AND(IF($Q24=3,1,0),IF($X24&lt;30,1,0))</formula>
    </cfRule>
    <cfRule type="expression" dxfId="3028" priority="42">
      <formula>AND(IF($Q24=3,1,IF($Q24=4,1,0)),IF($F24&lt;=85,1,0))</formula>
    </cfRule>
  </conditionalFormatting>
  <conditionalFormatting sqref="AV25">
    <cfRule type="expression" dxfId="3027" priority="37">
      <formula>AV25="X"</formula>
    </cfRule>
    <cfRule type="expression" dxfId="3026" priority="38">
      <formula>AV25="후보"</formula>
    </cfRule>
  </conditionalFormatting>
  <conditionalFormatting sqref="AC25">
    <cfRule type="cellIs" dxfId="3025" priority="34" operator="greaterThan">
      <formula>0.9</formula>
    </cfRule>
    <cfRule type="cellIs" dxfId="3024" priority="35" operator="greaterThan">
      <formula>0.85</formula>
    </cfRule>
  </conditionalFormatting>
  <conditionalFormatting sqref="N25">
    <cfRule type="cellIs" dxfId="3023" priority="32" operator="greaterThan">
      <formula>0.9</formula>
    </cfRule>
    <cfRule type="cellIs" dxfId="3022" priority="33" operator="greaterThan">
      <formula>0.85</formula>
    </cfRule>
  </conditionalFormatting>
  <conditionalFormatting sqref="E25">
    <cfRule type="expression" dxfId="3021" priority="28">
      <formula>AND(IF(OR($Q25=1,$Q25=2),1,0),IF($X25&lt;=20,1,0))</formula>
    </cfRule>
    <cfRule type="expression" dxfId="3020" priority="29">
      <formula>AND(IF($Q25=2,1,0),IF($X25&lt;30,1,0))</formula>
    </cfRule>
    <cfRule type="expression" dxfId="3019" priority="30">
      <formula>AND(IF($Q25=3,1,0),IF($X25&lt;30,1,0))</formula>
    </cfRule>
    <cfRule type="expression" dxfId="3018" priority="31">
      <formula>AND(IF($Q25=3,1,IF($Q25=4,1,0)),IF($F25&lt;=85,1,0))</formula>
    </cfRule>
  </conditionalFormatting>
  <conditionalFormatting sqref="X25">
    <cfRule type="expression" dxfId="3017" priority="24">
      <formula>AND(IF(OR($Q25=1,$Q25=2),1,0),IF($X25&lt;=20,1,0))</formula>
    </cfRule>
    <cfRule type="expression" dxfId="3016" priority="25">
      <formula>AND(IF($Q25=2,1,0),IF($X25&lt;30,1,0))</formula>
    </cfRule>
    <cfRule type="expression" dxfId="3015" priority="26">
      <formula>AND(IF($Q25=3,1,0),IF($X25&lt;30,1,0))</formula>
    </cfRule>
    <cfRule type="expression" dxfId="3014" priority="27">
      <formula>AND(IF($Q25=3,1,IF($Q25=4,1,0)),IF($F25&lt;=85,1,0))</formula>
    </cfRule>
  </conditionalFormatting>
  <conditionalFormatting sqref="AI25">
    <cfRule type="expression" dxfId="3013" priority="20">
      <formula>AND(IF(OR($Q25=1,$Q25=2),1,0),IF($X25&lt;=20,1,0))</formula>
    </cfRule>
    <cfRule type="expression" dxfId="3012" priority="21">
      <formula>AND(IF($Q25=2,1,0),IF($X25&lt;30,1,0))</formula>
    </cfRule>
    <cfRule type="expression" dxfId="3011" priority="22">
      <formula>AND(IF($Q25=3,1,0),IF($X25&lt;30,1,0))</formula>
    </cfRule>
    <cfRule type="expression" dxfId="3010" priority="23">
      <formula>AND(IF($Q25=3,1,IF($Q25=4,1,0)),IF($F25&lt;=85,1,0))</formula>
    </cfRule>
  </conditionalFormatting>
  <conditionalFormatting sqref="AV26">
    <cfRule type="expression" dxfId="3009" priority="18">
      <formula>AV26="X"</formula>
    </cfRule>
    <cfRule type="expression" dxfId="3008" priority="19">
      <formula>AV26="후보"</formula>
    </cfRule>
  </conditionalFormatting>
  <conditionalFormatting sqref="AC26">
    <cfRule type="cellIs" dxfId="3007" priority="15" operator="greaterThan">
      <formula>0.9</formula>
    </cfRule>
    <cfRule type="cellIs" dxfId="3006" priority="16" operator="greaterThan">
      <formula>0.85</formula>
    </cfRule>
  </conditionalFormatting>
  <conditionalFormatting sqref="N26">
    <cfRule type="cellIs" dxfId="3005" priority="13" operator="greaterThan">
      <formula>0.9</formula>
    </cfRule>
    <cfRule type="cellIs" dxfId="3004" priority="14" operator="greaterThan">
      <formula>0.85</formula>
    </cfRule>
  </conditionalFormatting>
  <conditionalFormatting sqref="E26">
    <cfRule type="expression" dxfId="3003" priority="9">
      <formula>AND(IF(OR($Q26=1,$Q26=2),1,0),IF($X26&lt;=20,1,0))</formula>
    </cfRule>
    <cfRule type="expression" dxfId="3002" priority="10">
      <formula>AND(IF($Q26=2,1,0),IF($X26&lt;30,1,0))</formula>
    </cfRule>
    <cfRule type="expression" dxfId="3001" priority="11">
      <formula>AND(IF($Q26=3,1,0),IF($X26&lt;30,1,0))</formula>
    </cfRule>
    <cfRule type="expression" dxfId="3000" priority="12">
      <formula>AND(IF($Q26=3,1,IF($Q26=4,1,0)),IF($F26&lt;=85,1,0))</formula>
    </cfRule>
  </conditionalFormatting>
  <conditionalFormatting sqref="X26">
    <cfRule type="expression" dxfId="2999" priority="5">
      <formula>AND(IF(OR($Q26=1,$Q26=2),1,0),IF($X26&lt;=20,1,0))</formula>
    </cfRule>
    <cfRule type="expression" dxfId="2998" priority="6">
      <formula>AND(IF($Q26=2,1,0),IF($X26&lt;30,1,0))</formula>
    </cfRule>
    <cfRule type="expression" dxfId="2997" priority="7">
      <formula>AND(IF($Q26=3,1,0),IF($X26&lt;30,1,0))</formula>
    </cfRule>
    <cfRule type="expression" dxfId="2996" priority="8">
      <formula>AND(IF($Q26=3,1,IF($Q26=4,1,0)),IF($F26&lt;=85,1,0))</formula>
    </cfRule>
  </conditionalFormatting>
  <conditionalFormatting sqref="AI26">
    <cfRule type="expression" dxfId="2995" priority="1">
      <formula>AND(IF(OR($Q26=1,$Q26=2),1,0),IF($X26&lt;=20,1,0))</formula>
    </cfRule>
    <cfRule type="expression" dxfId="2994" priority="2">
      <formula>AND(IF($Q26=2,1,0),IF($X26&lt;30,1,0))</formula>
    </cfRule>
    <cfRule type="expression" dxfId="2993" priority="3">
      <formula>AND(IF($Q26=3,1,0),IF($X26&lt;30,1,0))</formula>
    </cfRule>
    <cfRule type="expression" dxfId="2992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동정동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497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동정동 동정오성('96.03.,254^)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504</v>
      </c>
      <c r="B6" s="10" t="s">
        <v>952</v>
      </c>
      <c r="C6" s="107">
        <v>254</v>
      </c>
      <c r="D6" s="104">
        <v>56.2</v>
      </c>
      <c r="E6" s="106">
        <v>17</v>
      </c>
      <c r="F6" s="104">
        <v>41.8</v>
      </c>
      <c r="G6" s="17">
        <v>13</v>
      </c>
      <c r="H6" s="107">
        <v>32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2</v>
      </c>
      <c r="R6" s="75">
        <v>1</v>
      </c>
      <c r="S6" s="75" t="s">
        <v>947</v>
      </c>
      <c r="T6" s="5">
        <v>56</v>
      </c>
      <c r="U6" s="9"/>
      <c r="W6" s="104">
        <f t="shared" ref="W6:X9" si="2">D6</f>
        <v>56.2</v>
      </c>
      <c r="X6" s="106">
        <f t="shared" si="2"/>
        <v>17</v>
      </c>
      <c r="Y6" s="102">
        <f t="shared" ref="Y6:Z9" si="3">H6</f>
        <v>32</v>
      </c>
      <c r="Z6" s="109">
        <f t="shared" si="3"/>
        <v>0</v>
      </c>
      <c r="AA6" s="109">
        <f>K6</f>
        <v>0</v>
      </c>
      <c r="AB6" s="109">
        <f t="shared" ref="AB6:AD9" si="4">M6</f>
        <v>0</v>
      </c>
      <c r="AC6" s="4" t="str">
        <f t="shared" si="4"/>
        <v/>
      </c>
      <c r="AD6" s="105">
        <f t="shared" si="4"/>
        <v>0</v>
      </c>
      <c r="AE6" s="75" t="str">
        <f>S6</f>
        <v>계</v>
      </c>
      <c r="AF6" s="75" t="str">
        <f>Q6&amp;"/"&amp;R6</f>
        <v>2/1</v>
      </c>
      <c r="AH6" s="20" t="str">
        <f t="shared" si="1"/>
        <v>동정오성</v>
      </c>
      <c r="AI6" s="106">
        <f t="shared" si="0"/>
        <v>17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504</v>
      </c>
      <c r="B7" s="10" t="s">
        <v>952</v>
      </c>
      <c r="C7" s="107">
        <v>254</v>
      </c>
      <c r="D7" s="104">
        <v>67</v>
      </c>
      <c r="E7" s="106">
        <v>20</v>
      </c>
      <c r="F7" s="104">
        <v>53.3</v>
      </c>
      <c r="G7" s="17">
        <v>16</v>
      </c>
      <c r="H7" s="107">
        <v>1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2</v>
      </c>
      <c r="R7" s="75">
        <v>1</v>
      </c>
      <c r="S7" s="75" t="s">
        <v>947</v>
      </c>
      <c r="T7" s="5">
        <v>67</v>
      </c>
      <c r="U7" s="9"/>
      <c r="W7" s="104">
        <f t="shared" si="2"/>
        <v>67</v>
      </c>
      <c r="X7" s="106">
        <f t="shared" si="2"/>
        <v>20</v>
      </c>
      <c r="Y7" s="102">
        <f t="shared" si="3"/>
        <v>1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2/1</v>
      </c>
      <c r="AH7" s="20" t="str">
        <f t="shared" si="1"/>
        <v>동정오성</v>
      </c>
      <c r="AI7" s="106">
        <f t="shared" si="0"/>
        <v>20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 t="s">
        <v>504</v>
      </c>
      <c r="B8" s="10" t="s">
        <v>952</v>
      </c>
      <c r="C8" s="107">
        <v>254</v>
      </c>
      <c r="D8" s="104">
        <v>73.7</v>
      </c>
      <c r="E8" s="106">
        <v>22</v>
      </c>
      <c r="F8" s="104">
        <v>60</v>
      </c>
      <c r="G8" s="17">
        <v>18</v>
      </c>
      <c r="H8" s="107">
        <v>109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3</v>
      </c>
      <c r="R8" s="75">
        <v>1</v>
      </c>
      <c r="S8" s="75" t="s">
        <v>947</v>
      </c>
      <c r="T8" s="5">
        <v>73</v>
      </c>
      <c r="U8" s="9"/>
      <c r="W8" s="104">
        <f t="shared" si="2"/>
        <v>73.7</v>
      </c>
      <c r="X8" s="106">
        <f t="shared" si="2"/>
        <v>22</v>
      </c>
      <c r="Y8" s="102">
        <f t="shared" si="3"/>
        <v>109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3/1</v>
      </c>
      <c r="AH8" s="20" t="str">
        <f t="shared" si="1"/>
        <v>동정오성</v>
      </c>
      <c r="AI8" s="106">
        <f t="shared" si="0"/>
        <v>22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X</v>
      </c>
      <c r="AV8" s="75" t="str">
        <f>IF(AO8="","",IF(AND(AO8="O",AP8="O",AR8="O",AT8="O",AU8="O"),"후보","X"))</f>
        <v/>
      </c>
    </row>
    <row r="9" spans="1:48" x14ac:dyDescent="0.3">
      <c r="A9" s="9" t="s">
        <v>504</v>
      </c>
      <c r="B9" s="10" t="s">
        <v>952</v>
      </c>
      <c r="C9" s="107">
        <v>254</v>
      </c>
      <c r="D9" s="104">
        <v>96.6</v>
      </c>
      <c r="E9" s="106">
        <v>29</v>
      </c>
      <c r="F9" s="104">
        <v>84.7</v>
      </c>
      <c r="G9" s="17">
        <v>26</v>
      </c>
      <c r="H9" s="107">
        <v>112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3</v>
      </c>
      <c r="R9" s="75">
        <v>2</v>
      </c>
      <c r="S9" s="75" t="s">
        <v>947</v>
      </c>
      <c r="T9" s="5">
        <v>96</v>
      </c>
      <c r="U9" s="9"/>
      <c r="W9" s="104">
        <f t="shared" si="2"/>
        <v>96.6</v>
      </c>
      <c r="X9" s="106">
        <f t="shared" si="2"/>
        <v>29</v>
      </c>
      <c r="Y9" s="102">
        <f t="shared" si="3"/>
        <v>112</v>
      </c>
      <c r="Z9" s="109">
        <f t="shared" si="3"/>
        <v>0</v>
      </c>
      <c r="AA9" s="109">
        <f>K9</f>
        <v>0</v>
      </c>
      <c r="AB9" s="109">
        <f t="shared" si="4"/>
        <v>0</v>
      </c>
      <c r="AC9" s="4" t="str">
        <f t="shared" si="4"/>
        <v/>
      </c>
      <c r="AD9" s="105">
        <f t="shared" si="4"/>
        <v>0</v>
      </c>
      <c r="AE9" s="75" t="str">
        <f>S9</f>
        <v>계</v>
      </c>
      <c r="AF9" s="75" t="str">
        <f>Q9&amp;"/"&amp;R9</f>
        <v>3/2</v>
      </c>
      <c r="AH9" s="20" t="str">
        <f t="shared" si="1"/>
        <v>동정오성</v>
      </c>
      <c r="AI9" s="106">
        <f t="shared" si="0"/>
        <v>29</v>
      </c>
      <c r="AJ9" s="75" t="str">
        <f>IF(AI9="","",$AJ$2)</f>
        <v>A-</v>
      </c>
      <c r="AK9" s="75" t="s">
        <v>14</v>
      </c>
      <c r="AL9" s="75" t="s">
        <v>944</v>
      </c>
      <c r="AM9" s="75" t="s">
        <v>945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X</v>
      </c>
      <c r="AV9" s="75" t="str">
        <f>IF(AO9="","",IF(AND(AO9="O",AP9="O",AR9="O",AT9="O",AU9="O"),"후보","X"))</f>
        <v/>
      </c>
    </row>
    <row r="10" spans="1:48" x14ac:dyDescent="0.3">
      <c r="A10" s="9"/>
      <c r="B10" s="75"/>
      <c r="C10" s="6"/>
      <c r="D10" s="9"/>
      <c r="E10" s="14"/>
      <c r="F10" s="104"/>
      <c r="G10" s="9"/>
      <c r="H10" s="9"/>
      <c r="I10" s="9"/>
      <c r="J10" s="9"/>
      <c r="K10" s="9"/>
      <c r="L10" s="9"/>
      <c r="M10" s="9"/>
      <c r="N10" s="9"/>
      <c r="O10" s="105"/>
      <c r="P10" s="105"/>
      <c r="Q10" s="106"/>
      <c r="R10" s="106"/>
      <c r="S10" s="9"/>
      <c r="T10" s="48"/>
      <c r="U10" s="9"/>
      <c r="W10" s="70" t="str">
        <f>$A$4&amp;" "&amp;A11&amp;"("&amp;B11&amp;","&amp;C11&amp;"^)"</f>
        <v>동정동 동정흥한웰가('04.12.,418^)</v>
      </c>
      <c r="X10" s="71"/>
      <c r="Y10" s="71"/>
      <c r="Z10" s="71"/>
      <c r="AA10" s="71"/>
      <c r="AB10" s="71"/>
      <c r="AC10" s="71"/>
      <c r="AD10" s="71"/>
      <c r="AE10" s="71"/>
      <c r="AF10" s="72"/>
      <c r="AH10" s="20" t="str">
        <f t="shared" si="1"/>
        <v/>
      </c>
      <c r="AI10" s="103" t="str">
        <f t="shared" si="0"/>
        <v/>
      </c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</row>
    <row r="11" spans="1:48" x14ac:dyDescent="0.3">
      <c r="A11" s="9" t="s">
        <v>509</v>
      </c>
      <c r="B11" s="10" t="s">
        <v>953</v>
      </c>
      <c r="C11" s="107">
        <v>418</v>
      </c>
      <c r="D11" s="104">
        <v>105</v>
      </c>
      <c r="E11" s="106">
        <v>32</v>
      </c>
      <c r="F11" s="104">
        <v>84.9</v>
      </c>
      <c r="G11" s="17">
        <v>26</v>
      </c>
      <c r="H11" s="107">
        <v>311</v>
      </c>
      <c r="I11" s="108">
        <v>33500</v>
      </c>
      <c r="J11" s="108" t="s">
        <v>954</v>
      </c>
      <c r="K11" s="108"/>
      <c r="L11" s="108"/>
      <c r="M11" s="109">
        <f>I11-K11</f>
        <v>33500</v>
      </c>
      <c r="N11" s="4">
        <f>IF(ISERROR(K11/I11),"",K11/I11)</f>
        <v>0</v>
      </c>
      <c r="O11" s="105">
        <f>I11/E11</f>
        <v>1046.875</v>
      </c>
      <c r="P11" s="105">
        <f>K11/E11</f>
        <v>0</v>
      </c>
      <c r="Q11" s="75">
        <v>3</v>
      </c>
      <c r="R11" s="75">
        <v>2</v>
      </c>
      <c r="S11" s="75" t="s">
        <v>947</v>
      </c>
      <c r="T11" s="5">
        <v>105</v>
      </c>
      <c r="U11" s="9"/>
      <c r="W11" s="104">
        <f>D11</f>
        <v>105</v>
      </c>
      <c r="X11" s="106">
        <f>E11</f>
        <v>32</v>
      </c>
      <c r="Y11" s="102">
        <f>H11</f>
        <v>311</v>
      </c>
      <c r="Z11" s="109">
        <f>I11</f>
        <v>33500</v>
      </c>
      <c r="AA11" s="109">
        <f>K11</f>
        <v>0</v>
      </c>
      <c r="AB11" s="109">
        <f t="shared" ref="AB11:AD12" si="5">M11</f>
        <v>33500</v>
      </c>
      <c r="AC11" s="4">
        <f t="shared" si="5"/>
        <v>0</v>
      </c>
      <c r="AD11" s="105">
        <f t="shared" si="5"/>
        <v>1046.875</v>
      </c>
      <c r="AE11" s="75" t="str">
        <f>S11</f>
        <v>계</v>
      </c>
      <c r="AF11" s="75" t="str">
        <f>Q11&amp;"/"&amp;R11</f>
        <v>3/2</v>
      </c>
      <c r="AH11" s="20" t="str">
        <f t="shared" si="1"/>
        <v>동정흥한웰가</v>
      </c>
      <c r="AI11" s="106">
        <f t="shared" si="0"/>
        <v>32</v>
      </c>
      <c r="AJ11" s="75" t="str">
        <f>IF(AI11="","",$AJ$2)</f>
        <v>A-</v>
      </c>
      <c r="AK11" s="75" t="s">
        <v>14</v>
      </c>
      <c r="AL11" s="75" t="s">
        <v>944</v>
      </c>
      <c r="AM11" s="75" t="s">
        <v>945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X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  <row r="12" spans="1:48" x14ac:dyDescent="0.3">
      <c r="A12" s="9" t="s">
        <v>509</v>
      </c>
      <c r="B12" s="10" t="s">
        <v>953</v>
      </c>
      <c r="C12" s="107">
        <v>418</v>
      </c>
      <c r="D12" s="104">
        <v>144.69999999999999</v>
      </c>
      <c r="E12" s="106">
        <v>44</v>
      </c>
      <c r="F12" s="104">
        <v>117</v>
      </c>
      <c r="G12" s="17">
        <v>35</v>
      </c>
      <c r="H12" s="107">
        <v>107</v>
      </c>
      <c r="I12" s="108">
        <v>44000</v>
      </c>
      <c r="J12" s="108" t="s">
        <v>954</v>
      </c>
      <c r="K12" s="108"/>
      <c r="L12" s="108"/>
      <c r="M12" s="109">
        <f>I12-K12</f>
        <v>44000</v>
      </c>
      <c r="N12" s="4">
        <f>IF(ISERROR(K12/I12),"",K12/I12)</f>
        <v>0</v>
      </c>
      <c r="O12" s="105">
        <f>I12/E12</f>
        <v>1000</v>
      </c>
      <c r="P12" s="105">
        <f>K12/E12</f>
        <v>0</v>
      </c>
      <c r="Q12" s="75">
        <v>4</v>
      </c>
      <c r="R12" s="75">
        <v>2</v>
      </c>
      <c r="S12" s="75" t="s">
        <v>947</v>
      </c>
      <c r="T12" s="5">
        <v>144</v>
      </c>
      <c r="U12" s="9"/>
      <c r="W12" s="104">
        <f>D12</f>
        <v>144.69999999999999</v>
      </c>
      <c r="X12" s="106">
        <f>E12</f>
        <v>44</v>
      </c>
      <c r="Y12" s="102">
        <f>H12</f>
        <v>107</v>
      </c>
      <c r="Z12" s="109">
        <f>I12</f>
        <v>44000</v>
      </c>
      <c r="AA12" s="109">
        <f>K12</f>
        <v>0</v>
      </c>
      <c r="AB12" s="109">
        <f t="shared" si="5"/>
        <v>44000</v>
      </c>
      <c r="AC12" s="4">
        <f t="shared" si="5"/>
        <v>0</v>
      </c>
      <c r="AD12" s="105">
        <f t="shared" si="5"/>
        <v>1000</v>
      </c>
      <c r="AE12" s="75" t="str">
        <f>S12</f>
        <v>계</v>
      </c>
      <c r="AF12" s="75" t="str">
        <f>Q12&amp;"/"&amp;R12</f>
        <v>4/2</v>
      </c>
      <c r="AH12" s="20" t="str">
        <f t="shared" si="1"/>
        <v>동정흥한웰가</v>
      </c>
      <c r="AI12" s="106">
        <f t="shared" si="0"/>
        <v>44</v>
      </c>
      <c r="AJ12" s="75" t="str">
        <f>IF(AI12="","",$AJ$2)</f>
        <v>A-</v>
      </c>
      <c r="AK12" s="75" t="s">
        <v>14</v>
      </c>
      <c r="AL12" s="75" t="s">
        <v>944</v>
      </c>
      <c r="AM12" s="75" t="s">
        <v>945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X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</sheetData>
  <mergeCells count="1">
    <mergeCell ref="AJ1:AN1"/>
  </mergeCells>
  <phoneticPr fontId="2" type="noConversion"/>
  <conditionalFormatting sqref="AV4:AV6">
    <cfRule type="expression" dxfId="2991" priority="120">
      <formula>AV4="X"</formula>
    </cfRule>
    <cfRule type="expression" dxfId="2990" priority="121">
      <formula>AV4="후보"</formula>
    </cfRule>
  </conditionalFormatting>
  <conditionalFormatting sqref="AC1:AC2 AC4:AC6 N4:N5">
    <cfRule type="cellIs" dxfId="2989" priority="117" operator="greaterThan">
      <formula>0.9</formula>
    </cfRule>
    <cfRule type="cellIs" dxfId="2988" priority="118" operator="greaterThan">
      <formula>0.85</formula>
    </cfRule>
  </conditionalFormatting>
  <conditionalFormatting sqref="N1:N2">
    <cfRule type="cellIs" dxfId="2987" priority="115" operator="greaterThan">
      <formula>0.9</formula>
    </cfRule>
    <cfRule type="cellIs" dxfId="2986" priority="116" operator="greaterThan">
      <formula>0.85</formula>
    </cfRule>
  </conditionalFormatting>
  <conditionalFormatting sqref="N6">
    <cfRule type="cellIs" dxfId="2985" priority="113" operator="greaterThan">
      <formula>0.9</formula>
    </cfRule>
    <cfRule type="cellIs" dxfId="2984" priority="114" operator="greaterThan">
      <formula>0.85</formula>
    </cfRule>
  </conditionalFormatting>
  <conditionalFormatting sqref="E6">
    <cfRule type="expression" dxfId="2983" priority="109">
      <formula>AND(IF(OR($Q6=1,$Q6=2),1,0),IF($X6&lt;=20,1,0))</formula>
    </cfRule>
    <cfRule type="expression" dxfId="2982" priority="110">
      <formula>AND(IF($Q6=2,1,0),IF($X6&lt;30,1,0))</formula>
    </cfRule>
    <cfRule type="expression" dxfId="2981" priority="111">
      <formula>AND(IF($Q6=3,1,0),IF($X6&lt;30,1,0))</formula>
    </cfRule>
    <cfRule type="expression" dxfId="2980" priority="112">
      <formula>AND(IF($Q6=3,1,IF($Q6=4,1,0)),IF($F6&lt;=85,1,0))</formula>
    </cfRule>
  </conditionalFormatting>
  <conditionalFormatting sqref="X6">
    <cfRule type="expression" dxfId="2979" priority="105">
      <formula>AND(IF(OR($Q6=1,$Q6=2),1,0),IF($X6&lt;=20,1,0))</formula>
    </cfRule>
    <cfRule type="expression" dxfId="2978" priority="106">
      <formula>AND(IF($Q6=2,1,0),IF($X6&lt;30,1,0))</formula>
    </cfRule>
    <cfRule type="expression" dxfId="2977" priority="107">
      <formula>AND(IF($Q6=3,1,0),IF($X6&lt;30,1,0))</formula>
    </cfRule>
    <cfRule type="expression" dxfId="2976" priority="108">
      <formula>AND(IF($Q6=3,1,IF($Q6=4,1,0)),IF($F6&lt;=85,1,0))</formula>
    </cfRule>
  </conditionalFormatting>
  <conditionalFormatting sqref="AI6">
    <cfRule type="expression" dxfId="2975" priority="101">
      <formula>AND(IF(OR($Q6=1,$Q6=2),1,0),IF($X6&lt;=20,1,0))</formula>
    </cfRule>
    <cfRule type="expression" dxfId="2974" priority="102">
      <formula>AND(IF($Q6=2,1,0),IF($X6&lt;30,1,0))</formula>
    </cfRule>
    <cfRule type="expression" dxfId="2973" priority="103">
      <formula>AND(IF($Q6=3,1,0),IF($X6&lt;30,1,0))</formula>
    </cfRule>
    <cfRule type="expression" dxfId="2972" priority="104">
      <formula>AND(IF($Q6=3,1,IF($Q6=4,1,0)),IF($F6&lt;=85,1,0))</formula>
    </cfRule>
  </conditionalFormatting>
  <conditionalFormatting sqref="AV7">
    <cfRule type="expression" dxfId="2971" priority="99">
      <formula>AV7="X"</formula>
    </cfRule>
    <cfRule type="expression" dxfId="2970" priority="100">
      <formula>AV7="후보"</formula>
    </cfRule>
  </conditionalFormatting>
  <conditionalFormatting sqref="AC7">
    <cfRule type="cellIs" dxfId="2969" priority="96" operator="greaterThan">
      <formula>0.9</formula>
    </cfRule>
    <cfRule type="cellIs" dxfId="2968" priority="97" operator="greaterThan">
      <formula>0.85</formula>
    </cfRule>
  </conditionalFormatting>
  <conditionalFormatting sqref="N7">
    <cfRule type="cellIs" dxfId="2967" priority="94" operator="greaterThan">
      <formula>0.9</formula>
    </cfRule>
    <cfRule type="cellIs" dxfId="2966" priority="95" operator="greaterThan">
      <formula>0.85</formula>
    </cfRule>
  </conditionalFormatting>
  <conditionalFormatting sqref="E7">
    <cfRule type="expression" dxfId="2965" priority="90">
      <formula>AND(IF(OR($Q7=1,$Q7=2),1,0),IF($X7&lt;=20,1,0))</formula>
    </cfRule>
    <cfRule type="expression" dxfId="2964" priority="91">
      <formula>AND(IF($Q7=2,1,0),IF($X7&lt;30,1,0))</formula>
    </cfRule>
    <cfRule type="expression" dxfId="2963" priority="92">
      <formula>AND(IF($Q7=3,1,0),IF($X7&lt;30,1,0))</formula>
    </cfRule>
    <cfRule type="expression" dxfId="2962" priority="93">
      <formula>AND(IF($Q7=3,1,IF($Q7=4,1,0)),IF($F7&lt;=85,1,0))</formula>
    </cfRule>
  </conditionalFormatting>
  <conditionalFormatting sqref="X7">
    <cfRule type="expression" dxfId="2961" priority="86">
      <formula>AND(IF(OR($Q7=1,$Q7=2),1,0),IF($X7&lt;=20,1,0))</formula>
    </cfRule>
    <cfRule type="expression" dxfId="2960" priority="87">
      <formula>AND(IF($Q7=2,1,0),IF($X7&lt;30,1,0))</formula>
    </cfRule>
    <cfRule type="expression" dxfId="2959" priority="88">
      <formula>AND(IF($Q7=3,1,0),IF($X7&lt;30,1,0))</formula>
    </cfRule>
    <cfRule type="expression" dxfId="2958" priority="89">
      <formula>AND(IF($Q7=3,1,IF($Q7=4,1,0)),IF($F7&lt;=85,1,0))</formula>
    </cfRule>
  </conditionalFormatting>
  <conditionalFormatting sqref="AI7">
    <cfRule type="expression" dxfId="2957" priority="82">
      <formula>AND(IF(OR($Q7=1,$Q7=2),1,0),IF($X7&lt;=20,1,0))</formula>
    </cfRule>
    <cfRule type="expression" dxfId="2956" priority="83">
      <formula>AND(IF($Q7=2,1,0),IF($X7&lt;30,1,0))</formula>
    </cfRule>
    <cfRule type="expression" dxfId="2955" priority="84">
      <formula>AND(IF($Q7=3,1,0),IF($X7&lt;30,1,0))</formula>
    </cfRule>
    <cfRule type="expression" dxfId="2954" priority="85">
      <formula>AND(IF($Q7=3,1,IF($Q7=4,1,0)),IF($F7&lt;=85,1,0))</formula>
    </cfRule>
  </conditionalFormatting>
  <conditionalFormatting sqref="AV8">
    <cfRule type="expression" dxfId="2953" priority="80">
      <formula>AV8="X"</formula>
    </cfRule>
    <cfRule type="expression" dxfId="2952" priority="81">
      <formula>AV8="후보"</formula>
    </cfRule>
  </conditionalFormatting>
  <conditionalFormatting sqref="AC8">
    <cfRule type="cellIs" dxfId="2951" priority="77" operator="greaterThan">
      <formula>0.9</formula>
    </cfRule>
    <cfRule type="cellIs" dxfId="2950" priority="78" operator="greaterThan">
      <formula>0.85</formula>
    </cfRule>
  </conditionalFormatting>
  <conditionalFormatting sqref="N8">
    <cfRule type="cellIs" dxfId="2949" priority="75" operator="greaterThan">
      <formula>0.9</formula>
    </cfRule>
    <cfRule type="cellIs" dxfId="2948" priority="76" operator="greaterThan">
      <formula>0.85</formula>
    </cfRule>
  </conditionalFormatting>
  <conditionalFormatting sqref="E8">
    <cfRule type="expression" dxfId="2947" priority="71">
      <formula>AND(IF(OR($Q8=1,$Q8=2),1,0),IF($X8&lt;=20,1,0))</formula>
    </cfRule>
    <cfRule type="expression" dxfId="2946" priority="72">
      <formula>AND(IF($Q8=2,1,0),IF($X8&lt;30,1,0))</formula>
    </cfRule>
    <cfRule type="expression" dxfId="2945" priority="73">
      <formula>AND(IF($Q8=3,1,0),IF($X8&lt;30,1,0))</formula>
    </cfRule>
    <cfRule type="expression" dxfId="2944" priority="74">
      <formula>AND(IF($Q8=3,1,IF($Q8=4,1,0)),IF($F8&lt;=85,1,0))</formula>
    </cfRule>
  </conditionalFormatting>
  <conditionalFormatting sqref="X8">
    <cfRule type="expression" dxfId="2943" priority="67">
      <formula>AND(IF(OR($Q8=1,$Q8=2),1,0),IF($X8&lt;=20,1,0))</formula>
    </cfRule>
    <cfRule type="expression" dxfId="2942" priority="68">
      <formula>AND(IF($Q8=2,1,0),IF($X8&lt;30,1,0))</formula>
    </cfRule>
    <cfRule type="expression" dxfId="2941" priority="69">
      <formula>AND(IF($Q8=3,1,0),IF($X8&lt;30,1,0))</formula>
    </cfRule>
    <cfRule type="expression" dxfId="2940" priority="70">
      <formula>AND(IF($Q8=3,1,IF($Q8=4,1,0)),IF($F8&lt;=85,1,0))</formula>
    </cfRule>
  </conditionalFormatting>
  <conditionalFormatting sqref="AI8">
    <cfRule type="expression" dxfId="2939" priority="63">
      <formula>AND(IF(OR($Q8=1,$Q8=2),1,0),IF($X8&lt;=20,1,0))</formula>
    </cfRule>
    <cfRule type="expression" dxfId="2938" priority="64">
      <formula>AND(IF($Q8=2,1,0),IF($X8&lt;30,1,0))</formula>
    </cfRule>
    <cfRule type="expression" dxfId="2937" priority="65">
      <formula>AND(IF($Q8=3,1,0),IF($X8&lt;30,1,0))</formula>
    </cfRule>
    <cfRule type="expression" dxfId="2936" priority="66">
      <formula>AND(IF($Q8=3,1,IF($Q8=4,1,0)),IF($F8&lt;=85,1,0))</formula>
    </cfRule>
  </conditionalFormatting>
  <conditionalFormatting sqref="AV9">
    <cfRule type="expression" dxfId="2935" priority="61">
      <formula>AV9="X"</formula>
    </cfRule>
    <cfRule type="expression" dxfId="2934" priority="62">
      <formula>AV9="후보"</formula>
    </cfRule>
  </conditionalFormatting>
  <conditionalFormatting sqref="AC9">
    <cfRule type="cellIs" dxfId="2933" priority="58" operator="greaterThan">
      <formula>0.9</formula>
    </cfRule>
    <cfRule type="cellIs" dxfId="2932" priority="59" operator="greaterThan">
      <formula>0.85</formula>
    </cfRule>
  </conditionalFormatting>
  <conditionalFormatting sqref="N9">
    <cfRule type="cellIs" dxfId="2931" priority="56" operator="greaterThan">
      <formula>0.9</formula>
    </cfRule>
    <cfRule type="cellIs" dxfId="2930" priority="57" operator="greaterThan">
      <formula>0.85</formula>
    </cfRule>
  </conditionalFormatting>
  <conditionalFormatting sqref="E9">
    <cfRule type="expression" dxfId="2929" priority="52">
      <formula>AND(IF(OR($Q9=1,$Q9=2),1,0),IF($X9&lt;=20,1,0))</formula>
    </cfRule>
    <cfRule type="expression" dxfId="2928" priority="53">
      <formula>AND(IF($Q9=2,1,0),IF($X9&lt;30,1,0))</formula>
    </cfRule>
    <cfRule type="expression" dxfId="2927" priority="54">
      <formula>AND(IF($Q9=3,1,0),IF($X9&lt;30,1,0))</formula>
    </cfRule>
    <cfRule type="expression" dxfId="2926" priority="55">
      <formula>AND(IF($Q9=3,1,IF($Q9=4,1,0)),IF($F9&lt;=85,1,0))</formula>
    </cfRule>
  </conditionalFormatting>
  <conditionalFormatting sqref="X9">
    <cfRule type="expression" dxfId="2925" priority="48">
      <formula>AND(IF(OR($Q9=1,$Q9=2),1,0),IF($X9&lt;=20,1,0))</formula>
    </cfRule>
    <cfRule type="expression" dxfId="2924" priority="49">
      <formula>AND(IF($Q9=2,1,0),IF($X9&lt;30,1,0))</formula>
    </cfRule>
    <cfRule type="expression" dxfId="2923" priority="50">
      <formula>AND(IF($Q9=3,1,0),IF($X9&lt;30,1,0))</formula>
    </cfRule>
    <cfRule type="expression" dxfId="2922" priority="51">
      <formula>AND(IF($Q9=3,1,IF($Q9=4,1,0)),IF($F9&lt;=85,1,0))</formula>
    </cfRule>
  </conditionalFormatting>
  <conditionalFormatting sqref="AI9">
    <cfRule type="expression" dxfId="2921" priority="44">
      <formula>AND(IF(OR($Q9=1,$Q9=2),1,0),IF($X9&lt;=20,1,0))</formula>
    </cfRule>
    <cfRule type="expression" dxfId="2920" priority="45">
      <formula>AND(IF($Q9=2,1,0),IF($X9&lt;30,1,0))</formula>
    </cfRule>
    <cfRule type="expression" dxfId="2919" priority="46">
      <formula>AND(IF($Q9=3,1,0),IF($X9&lt;30,1,0))</formula>
    </cfRule>
    <cfRule type="expression" dxfId="2918" priority="47">
      <formula>AND(IF($Q9=3,1,IF($Q9=4,1,0)),IF($F9&lt;=85,1,0))</formula>
    </cfRule>
  </conditionalFormatting>
  <conditionalFormatting sqref="AV10">
    <cfRule type="expression" dxfId="2917" priority="42">
      <formula>AV10="X"</formula>
    </cfRule>
    <cfRule type="expression" dxfId="2916" priority="43">
      <formula>AV10="후보"</formula>
    </cfRule>
  </conditionalFormatting>
  <conditionalFormatting sqref="AC10 N10">
    <cfRule type="cellIs" dxfId="2915" priority="39" operator="greaterThan">
      <formula>0.9</formula>
    </cfRule>
    <cfRule type="cellIs" dxfId="2914" priority="40" operator="greaterThan">
      <formula>0.85</formula>
    </cfRule>
  </conditionalFormatting>
  <conditionalFormatting sqref="AV11">
    <cfRule type="expression" dxfId="2913" priority="37">
      <formula>AV11="X"</formula>
    </cfRule>
    <cfRule type="expression" dxfId="2912" priority="38">
      <formula>AV11="후보"</formula>
    </cfRule>
  </conditionalFormatting>
  <conditionalFormatting sqref="AC11">
    <cfRule type="cellIs" dxfId="2911" priority="34" operator="greaterThan">
      <formula>0.9</formula>
    </cfRule>
    <cfRule type="cellIs" dxfId="2910" priority="35" operator="greaterThan">
      <formula>0.85</formula>
    </cfRule>
  </conditionalFormatting>
  <conditionalFormatting sqref="N11">
    <cfRule type="cellIs" dxfId="2909" priority="32" operator="greaterThan">
      <formula>0.9</formula>
    </cfRule>
    <cfRule type="cellIs" dxfId="2908" priority="33" operator="greaterThan">
      <formula>0.85</formula>
    </cfRule>
  </conditionalFormatting>
  <conditionalFormatting sqref="E11">
    <cfRule type="expression" dxfId="2907" priority="28">
      <formula>AND(IF(OR($Q11=1,$Q11=2),1,0),IF($X11&lt;=20,1,0))</formula>
    </cfRule>
    <cfRule type="expression" dxfId="2906" priority="29">
      <formula>AND(IF($Q11=2,1,0),IF($X11&lt;30,1,0))</formula>
    </cfRule>
    <cfRule type="expression" dxfId="2905" priority="30">
      <formula>AND(IF($Q11=3,1,0),IF($X11&lt;30,1,0))</formula>
    </cfRule>
    <cfRule type="expression" dxfId="2904" priority="31">
      <formula>AND(IF($Q11=3,1,IF($Q11=4,1,0)),IF($F11&lt;=85,1,0))</formula>
    </cfRule>
  </conditionalFormatting>
  <conditionalFormatting sqref="X11">
    <cfRule type="expression" dxfId="2903" priority="24">
      <formula>AND(IF(OR($Q11=1,$Q11=2),1,0),IF($X11&lt;=20,1,0))</formula>
    </cfRule>
    <cfRule type="expression" dxfId="2902" priority="25">
      <formula>AND(IF($Q11=2,1,0),IF($X11&lt;30,1,0))</formula>
    </cfRule>
    <cfRule type="expression" dxfId="2901" priority="26">
      <formula>AND(IF($Q11=3,1,0),IF($X11&lt;30,1,0))</formula>
    </cfRule>
    <cfRule type="expression" dxfId="2900" priority="27">
      <formula>AND(IF($Q11=3,1,IF($Q11=4,1,0)),IF($F11&lt;=85,1,0))</formula>
    </cfRule>
  </conditionalFormatting>
  <conditionalFormatting sqref="AI11">
    <cfRule type="expression" dxfId="2899" priority="20">
      <formula>AND(IF(OR($Q11=1,$Q11=2),1,0),IF($X11&lt;=20,1,0))</formula>
    </cfRule>
    <cfRule type="expression" dxfId="2898" priority="21">
      <formula>AND(IF($Q11=2,1,0),IF($X11&lt;30,1,0))</formula>
    </cfRule>
    <cfRule type="expression" dxfId="2897" priority="22">
      <formula>AND(IF($Q11=3,1,0),IF($X11&lt;30,1,0))</formula>
    </cfRule>
    <cfRule type="expression" dxfId="2896" priority="23">
      <formula>AND(IF($Q11=3,1,IF($Q11=4,1,0)),IF($F11&lt;=85,1,0))</formula>
    </cfRule>
  </conditionalFormatting>
  <conditionalFormatting sqref="AV12">
    <cfRule type="expression" dxfId="2895" priority="18">
      <formula>AV12="X"</formula>
    </cfRule>
    <cfRule type="expression" dxfId="2894" priority="19">
      <formula>AV12="후보"</formula>
    </cfRule>
  </conditionalFormatting>
  <conditionalFormatting sqref="AC12">
    <cfRule type="cellIs" dxfId="2893" priority="15" operator="greaterThan">
      <formula>0.9</formula>
    </cfRule>
    <cfRule type="cellIs" dxfId="2892" priority="16" operator="greaterThan">
      <formula>0.85</formula>
    </cfRule>
  </conditionalFormatting>
  <conditionalFormatting sqref="N12">
    <cfRule type="cellIs" dxfId="2891" priority="13" operator="greaterThan">
      <formula>0.9</formula>
    </cfRule>
    <cfRule type="cellIs" dxfId="2890" priority="14" operator="greaterThan">
      <formula>0.85</formula>
    </cfRule>
  </conditionalFormatting>
  <conditionalFormatting sqref="E12">
    <cfRule type="expression" dxfId="2889" priority="9">
      <formula>AND(IF(OR($Q12=1,$Q12=2),1,0),IF($X12&lt;=20,1,0))</formula>
    </cfRule>
    <cfRule type="expression" dxfId="2888" priority="10">
      <formula>AND(IF($Q12=2,1,0),IF($X12&lt;30,1,0))</formula>
    </cfRule>
    <cfRule type="expression" dxfId="2887" priority="11">
      <formula>AND(IF($Q12=3,1,0),IF($X12&lt;30,1,0))</formula>
    </cfRule>
    <cfRule type="expression" dxfId="2886" priority="12">
      <formula>AND(IF($Q12=3,1,IF($Q12=4,1,0)),IF($F12&lt;=85,1,0))</formula>
    </cfRule>
  </conditionalFormatting>
  <conditionalFormatting sqref="X12">
    <cfRule type="expression" dxfId="2885" priority="5">
      <formula>AND(IF(OR($Q12=1,$Q12=2),1,0),IF($X12&lt;=20,1,0))</formula>
    </cfRule>
    <cfRule type="expression" dxfId="2884" priority="6">
      <formula>AND(IF($Q12=2,1,0),IF($X12&lt;30,1,0))</formula>
    </cfRule>
    <cfRule type="expression" dxfId="2883" priority="7">
      <formula>AND(IF($Q12=3,1,0),IF($X12&lt;30,1,0))</formula>
    </cfRule>
    <cfRule type="expression" dxfId="2882" priority="8">
      <formula>AND(IF($Q12=3,1,IF($Q12=4,1,0)),IF($F12&lt;=85,1,0))</formula>
    </cfRule>
  </conditionalFormatting>
  <conditionalFormatting sqref="AI12">
    <cfRule type="expression" dxfId="2881" priority="1">
      <formula>AND(IF(OR($Q12=1,$Q12=2),1,0),IF($X12&lt;=20,1,0))</formula>
    </cfRule>
    <cfRule type="expression" dxfId="2880" priority="2">
      <formula>AND(IF($Q12=2,1,0),IF($X12&lt;30,1,0))</formula>
    </cfRule>
    <cfRule type="expression" dxfId="2879" priority="3">
      <formula>AND(IF($Q12=3,1,0),IF($X12&lt;30,1,0))</formula>
    </cfRule>
    <cfRule type="expression" dxfId="2878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명곡동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534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명곡동 창원명곡A-1블록신혼희망타운('24.10.,395^)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529</v>
      </c>
      <c r="B6" s="10" t="s">
        <v>955</v>
      </c>
      <c r="C6" s="107">
        <v>395</v>
      </c>
      <c r="D6" s="104">
        <v>78.900000000000006</v>
      </c>
      <c r="E6" s="106">
        <v>24</v>
      </c>
      <c r="F6" s="104">
        <v>55.9</v>
      </c>
      <c r="G6" s="17">
        <v>17</v>
      </c>
      <c r="H6" s="107">
        <v>172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2</v>
      </c>
      <c r="R6" s="75">
        <v>2</v>
      </c>
      <c r="S6" s="75" t="s">
        <v>947</v>
      </c>
      <c r="T6" s="5" t="s">
        <v>531</v>
      </c>
      <c r="U6" s="9"/>
      <c r="W6" s="104">
        <f t="shared" ref="W6:X9" si="1">D6</f>
        <v>78.900000000000006</v>
      </c>
      <c r="X6" s="106">
        <f t="shared" si="1"/>
        <v>24</v>
      </c>
      <c r="Y6" s="102">
        <f t="shared" ref="Y6:Z9" si="2">H6</f>
        <v>172</v>
      </c>
      <c r="Z6" s="109">
        <f t="shared" si="2"/>
        <v>0</v>
      </c>
      <c r="AA6" s="109">
        <f>K6</f>
        <v>0</v>
      </c>
      <c r="AB6" s="109">
        <f t="shared" ref="AB6:AD9" si="3">M6</f>
        <v>0</v>
      </c>
      <c r="AC6" s="4" t="str">
        <f t="shared" si="3"/>
        <v/>
      </c>
      <c r="AD6" s="105">
        <f t="shared" si="3"/>
        <v>0</v>
      </c>
      <c r="AE6" s="75" t="str">
        <f>S6</f>
        <v>계</v>
      </c>
      <c r="AF6" s="75" t="str">
        <f>Q6&amp;"/"&amp;R6</f>
        <v>2/2</v>
      </c>
      <c r="AH6" s="20" t="str">
        <f>IF(A6="","",A6)</f>
        <v>창원명곡A-1블록신혼희망타운</v>
      </c>
      <c r="AI6" s="106">
        <f t="shared" si="0"/>
        <v>24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529</v>
      </c>
      <c r="B7" s="10" t="s">
        <v>955</v>
      </c>
      <c r="C7" s="107">
        <v>395</v>
      </c>
      <c r="D7" s="104">
        <v>78.900000000000006</v>
      </c>
      <c r="E7" s="106">
        <v>24</v>
      </c>
      <c r="F7" s="104">
        <v>55.9</v>
      </c>
      <c r="G7" s="17">
        <v>17</v>
      </c>
      <c r="H7" s="107">
        <v>61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2</v>
      </c>
      <c r="R7" s="75">
        <v>2</v>
      </c>
      <c r="S7" s="75" t="s">
        <v>947</v>
      </c>
      <c r="T7" s="5" t="s">
        <v>535</v>
      </c>
      <c r="U7" s="9"/>
      <c r="W7" s="104">
        <f t="shared" si="1"/>
        <v>78.900000000000006</v>
      </c>
      <c r="X7" s="106">
        <f t="shared" si="1"/>
        <v>24</v>
      </c>
      <c r="Y7" s="102">
        <f t="shared" si="2"/>
        <v>61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5" t="str">
        <f>S7</f>
        <v>계</v>
      </c>
      <c r="AF7" s="75" t="str">
        <f>Q7&amp;"/"&amp;R7</f>
        <v>2/2</v>
      </c>
      <c r="AH7" s="20" t="str">
        <f>IF(A7="","",A7)</f>
        <v>창원명곡A-1블록신혼희망타운</v>
      </c>
      <c r="AI7" s="106">
        <f t="shared" si="0"/>
        <v>24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529</v>
      </c>
      <c r="B8" s="10" t="s">
        <v>955</v>
      </c>
      <c r="C8" s="107">
        <v>395</v>
      </c>
      <c r="D8" s="104">
        <v>78.599999999999994</v>
      </c>
      <c r="E8" s="106">
        <v>24</v>
      </c>
      <c r="F8" s="104">
        <v>55.7</v>
      </c>
      <c r="G8" s="17">
        <v>17</v>
      </c>
      <c r="H8" s="107">
        <v>20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2</v>
      </c>
      <c r="R8" s="75">
        <v>2</v>
      </c>
      <c r="S8" s="75" t="s">
        <v>947</v>
      </c>
      <c r="T8" s="5" t="s">
        <v>536</v>
      </c>
      <c r="U8" s="9"/>
      <c r="W8" s="104">
        <f t="shared" si="1"/>
        <v>78.599999999999994</v>
      </c>
      <c r="X8" s="106">
        <f t="shared" si="1"/>
        <v>24</v>
      </c>
      <c r="Y8" s="102">
        <f t="shared" si="2"/>
        <v>20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5" t="str">
        <f>S8</f>
        <v>계</v>
      </c>
      <c r="AF8" s="75" t="str">
        <f>Q8&amp;"/"&amp;R8</f>
        <v>2/2</v>
      </c>
      <c r="AH8" s="20" t="str">
        <f>IF(A8="","",A8)</f>
        <v>창원명곡A-1블록신혼희망타운</v>
      </c>
      <c r="AI8" s="106">
        <f t="shared" si="0"/>
        <v>24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 t="s">
        <v>529</v>
      </c>
      <c r="B9" s="10" t="s">
        <v>955</v>
      </c>
      <c r="C9" s="107">
        <v>395</v>
      </c>
      <c r="D9" s="104">
        <v>78.5</v>
      </c>
      <c r="E9" s="106">
        <v>24</v>
      </c>
      <c r="F9" s="104">
        <v>55.6</v>
      </c>
      <c r="G9" s="17">
        <v>17</v>
      </c>
      <c r="H9" s="107">
        <v>10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2</v>
      </c>
      <c r="R9" s="75">
        <v>2</v>
      </c>
      <c r="S9" s="75" t="s">
        <v>947</v>
      </c>
      <c r="T9" s="5" t="s">
        <v>537</v>
      </c>
      <c r="U9" s="9"/>
      <c r="W9" s="104">
        <f t="shared" si="1"/>
        <v>78.5</v>
      </c>
      <c r="X9" s="106">
        <f t="shared" si="1"/>
        <v>24</v>
      </c>
      <c r="Y9" s="102">
        <f t="shared" si="2"/>
        <v>10</v>
      </c>
      <c r="Z9" s="109">
        <f t="shared" si="2"/>
        <v>0</v>
      </c>
      <c r="AA9" s="109">
        <f>K9</f>
        <v>0</v>
      </c>
      <c r="AB9" s="109">
        <f t="shared" si="3"/>
        <v>0</v>
      </c>
      <c r="AC9" s="4" t="str">
        <f t="shared" si="3"/>
        <v/>
      </c>
      <c r="AD9" s="105">
        <f t="shared" si="3"/>
        <v>0</v>
      </c>
      <c r="AE9" s="75" t="str">
        <f>S9</f>
        <v>계</v>
      </c>
      <c r="AF9" s="75" t="str">
        <f>Q9&amp;"/"&amp;R9</f>
        <v>2/2</v>
      </c>
      <c r="AH9" s="20" t="str">
        <f>IF(A9="","",A9)</f>
        <v>창원명곡A-1블록신혼희망타운</v>
      </c>
      <c r="AI9" s="106">
        <f t="shared" si="0"/>
        <v>24</v>
      </c>
      <c r="AJ9" s="75" t="str">
        <f>IF(AI9="","",$AJ$2)</f>
        <v>A-</v>
      </c>
      <c r="AK9" s="75" t="s">
        <v>14</v>
      </c>
      <c r="AL9" s="75" t="s">
        <v>944</v>
      </c>
      <c r="AM9" s="75" t="s">
        <v>945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2877" priority="77">
      <formula>AV4="X"</formula>
    </cfRule>
    <cfRule type="expression" dxfId="2876" priority="78">
      <formula>AV4="후보"</formula>
    </cfRule>
  </conditionalFormatting>
  <conditionalFormatting sqref="AC1:AC2 AC4:AC6 N4:N5">
    <cfRule type="cellIs" dxfId="2875" priority="74" operator="greaterThan">
      <formula>0.9</formula>
    </cfRule>
    <cfRule type="cellIs" dxfId="2874" priority="75" operator="greaterThan">
      <formula>0.85</formula>
    </cfRule>
  </conditionalFormatting>
  <conditionalFormatting sqref="N1:N2">
    <cfRule type="cellIs" dxfId="2873" priority="72" operator="greaterThan">
      <formula>0.9</formula>
    </cfRule>
    <cfRule type="cellIs" dxfId="2872" priority="73" operator="greaterThan">
      <formula>0.85</formula>
    </cfRule>
  </conditionalFormatting>
  <conditionalFormatting sqref="N6">
    <cfRule type="cellIs" dxfId="2871" priority="70" operator="greaterThan">
      <formula>0.9</formula>
    </cfRule>
    <cfRule type="cellIs" dxfId="2870" priority="71" operator="greaterThan">
      <formula>0.85</formula>
    </cfRule>
  </conditionalFormatting>
  <conditionalFormatting sqref="E6">
    <cfRule type="expression" dxfId="2869" priority="66">
      <formula>AND(IF(OR($Q6=1,$Q6=2),1,0),IF($X6&lt;=20,1,0))</formula>
    </cfRule>
    <cfRule type="expression" dxfId="2868" priority="67">
      <formula>AND(IF($Q6=2,1,0),IF($X6&lt;30,1,0))</formula>
    </cfRule>
    <cfRule type="expression" dxfId="2867" priority="68">
      <formula>AND(IF($Q6=3,1,0),IF($X6&lt;30,1,0))</formula>
    </cfRule>
    <cfRule type="expression" dxfId="2866" priority="69">
      <formula>AND(IF($Q6=3,1,IF($Q6=4,1,0)),IF($F6&lt;=85,1,0))</formula>
    </cfRule>
  </conditionalFormatting>
  <conditionalFormatting sqref="X6">
    <cfRule type="expression" dxfId="2865" priority="62">
      <formula>AND(IF(OR($Q6=1,$Q6=2),1,0),IF($X6&lt;=20,1,0))</formula>
    </cfRule>
    <cfRule type="expression" dxfId="2864" priority="63">
      <formula>AND(IF($Q6=2,1,0),IF($X6&lt;30,1,0))</formula>
    </cfRule>
    <cfRule type="expression" dxfId="2863" priority="64">
      <formula>AND(IF($Q6=3,1,0),IF($X6&lt;30,1,0))</formula>
    </cfRule>
    <cfRule type="expression" dxfId="2862" priority="65">
      <formula>AND(IF($Q6=3,1,IF($Q6=4,1,0)),IF($F6&lt;=85,1,0))</formula>
    </cfRule>
  </conditionalFormatting>
  <conditionalFormatting sqref="AI6">
    <cfRule type="expression" dxfId="2861" priority="58">
      <formula>AND(IF(OR($Q6=1,$Q6=2),1,0),IF($X6&lt;=20,1,0))</formula>
    </cfRule>
    <cfRule type="expression" dxfId="2860" priority="59">
      <formula>AND(IF($Q6=2,1,0),IF($X6&lt;30,1,0))</formula>
    </cfRule>
    <cfRule type="expression" dxfId="2859" priority="60">
      <formula>AND(IF($Q6=3,1,0),IF($X6&lt;30,1,0))</formula>
    </cfRule>
    <cfRule type="expression" dxfId="2858" priority="61">
      <formula>AND(IF($Q6=3,1,IF($Q6=4,1,0)),IF($F6&lt;=85,1,0))</formula>
    </cfRule>
  </conditionalFormatting>
  <conditionalFormatting sqref="AV7">
    <cfRule type="expression" dxfId="2857" priority="56">
      <formula>AV7="X"</formula>
    </cfRule>
    <cfRule type="expression" dxfId="2856" priority="57">
      <formula>AV7="후보"</formula>
    </cfRule>
  </conditionalFormatting>
  <conditionalFormatting sqref="AC7">
    <cfRule type="cellIs" dxfId="2855" priority="53" operator="greaterThan">
      <formula>0.9</formula>
    </cfRule>
    <cfRule type="cellIs" dxfId="2854" priority="54" operator="greaterThan">
      <formula>0.85</formula>
    </cfRule>
  </conditionalFormatting>
  <conditionalFormatting sqref="N7">
    <cfRule type="cellIs" dxfId="2853" priority="51" operator="greaterThan">
      <formula>0.9</formula>
    </cfRule>
    <cfRule type="cellIs" dxfId="2852" priority="52" operator="greaterThan">
      <formula>0.85</formula>
    </cfRule>
  </conditionalFormatting>
  <conditionalFormatting sqref="E7">
    <cfRule type="expression" dxfId="2851" priority="47">
      <formula>AND(IF(OR($Q7=1,$Q7=2),1,0),IF($X7&lt;=20,1,0))</formula>
    </cfRule>
    <cfRule type="expression" dxfId="2850" priority="48">
      <formula>AND(IF($Q7=2,1,0),IF($X7&lt;30,1,0))</formula>
    </cfRule>
    <cfRule type="expression" dxfId="2849" priority="49">
      <formula>AND(IF($Q7=3,1,0),IF($X7&lt;30,1,0))</formula>
    </cfRule>
    <cfRule type="expression" dxfId="2848" priority="50">
      <formula>AND(IF($Q7=3,1,IF($Q7=4,1,0)),IF($F7&lt;=85,1,0))</formula>
    </cfRule>
  </conditionalFormatting>
  <conditionalFormatting sqref="X7">
    <cfRule type="expression" dxfId="2847" priority="43">
      <formula>AND(IF(OR($Q7=1,$Q7=2),1,0),IF($X7&lt;=20,1,0))</formula>
    </cfRule>
    <cfRule type="expression" dxfId="2846" priority="44">
      <formula>AND(IF($Q7=2,1,0),IF($X7&lt;30,1,0))</formula>
    </cfRule>
    <cfRule type="expression" dxfId="2845" priority="45">
      <formula>AND(IF($Q7=3,1,0),IF($X7&lt;30,1,0))</formula>
    </cfRule>
    <cfRule type="expression" dxfId="2844" priority="46">
      <formula>AND(IF($Q7=3,1,IF($Q7=4,1,0)),IF($F7&lt;=85,1,0))</formula>
    </cfRule>
  </conditionalFormatting>
  <conditionalFormatting sqref="AI7">
    <cfRule type="expression" dxfId="2843" priority="39">
      <formula>AND(IF(OR($Q7=1,$Q7=2),1,0),IF($X7&lt;=20,1,0))</formula>
    </cfRule>
    <cfRule type="expression" dxfId="2842" priority="40">
      <formula>AND(IF($Q7=2,1,0),IF($X7&lt;30,1,0))</formula>
    </cfRule>
    <cfRule type="expression" dxfId="2841" priority="41">
      <formula>AND(IF($Q7=3,1,0),IF($X7&lt;30,1,0))</formula>
    </cfRule>
    <cfRule type="expression" dxfId="2840" priority="42">
      <formula>AND(IF($Q7=3,1,IF($Q7=4,1,0)),IF($F7&lt;=85,1,0))</formula>
    </cfRule>
  </conditionalFormatting>
  <conditionalFormatting sqref="AV8">
    <cfRule type="expression" dxfId="2839" priority="37">
      <formula>AV8="X"</formula>
    </cfRule>
    <cfRule type="expression" dxfId="2838" priority="38">
      <formula>AV8="후보"</formula>
    </cfRule>
  </conditionalFormatting>
  <conditionalFormatting sqref="AC8">
    <cfRule type="cellIs" dxfId="2837" priority="34" operator="greaterThan">
      <formula>0.9</formula>
    </cfRule>
    <cfRule type="cellIs" dxfId="2836" priority="35" operator="greaterThan">
      <formula>0.85</formula>
    </cfRule>
  </conditionalFormatting>
  <conditionalFormatting sqref="N8">
    <cfRule type="cellIs" dxfId="2835" priority="32" operator="greaterThan">
      <formula>0.9</formula>
    </cfRule>
    <cfRule type="cellIs" dxfId="2834" priority="33" operator="greaterThan">
      <formula>0.85</formula>
    </cfRule>
  </conditionalFormatting>
  <conditionalFormatting sqref="E8">
    <cfRule type="expression" dxfId="2833" priority="28">
      <formula>AND(IF(OR($Q8=1,$Q8=2),1,0),IF($X8&lt;=20,1,0))</formula>
    </cfRule>
    <cfRule type="expression" dxfId="2832" priority="29">
      <formula>AND(IF($Q8=2,1,0),IF($X8&lt;30,1,0))</formula>
    </cfRule>
    <cfRule type="expression" dxfId="2831" priority="30">
      <formula>AND(IF($Q8=3,1,0),IF($X8&lt;30,1,0))</formula>
    </cfRule>
    <cfRule type="expression" dxfId="2830" priority="31">
      <formula>AND(IF($Q8=3,1,IF($Q8=4,1,0)),IF($F8&lt;=85,1,0))</formula>
    </cfRule>
  </conditionalFormatting>
  <conditionalFormatting sqref="X8">
    <cfRule type="expression" dxfId="2829" priority="24">
      <formula>AND(IF(OR($Q8=1,$Q8=2),1,0),IF($X8&lt;=20,1,0))</formula>
    </cfRule>
    <cfRule type="expression" dxfId="2828" priority="25">
      <formula>AND(IF($Q8=2,1,0),IF($X8&lt;30,1,0))</formula>
    </cfRule>
    <cfRule type="expression" dxfId="2827" priority="26">
      <formula>AND(IF($Q8=3,1,0),IF($X8&lt;30,1,0))</formula>
    </cfRule>
    <cfRule type="expression" dxfId="2826" priority="27">
      <formula>AND(IF($Q8=3,1,IF($Q8=4,1,0)),IF($F8&lt;=85,1,0))</formula>
    </cfRule>
  </conditionalFormatting>
  <conditionalFormatting sqref="AI8">
    <cfRule type="expression" dxfId="2825" priority="20">
      <formula>AND(IF(OR($Q8=1,$Q8=2),1,0),IF($X8&lt;=20,1,0))</formula>
    </cfRule>
    <cfRule type="expression" dxfId="2824" priority="21">
      <formula>AND(IF($Q8=2,1,0),IF($X8&lt;30,1,0))</formula>
    </cfRule>
    <cfRule type="expression" dxfId="2823" priority="22">
      <formula>AND(IF($Q8=3,1,0),IF($X8&lt;30,1,0))</formula>
    </cfRule>
    <cfRule type="expression" dxfId="2822" priority="23">
      <formula>AND(IF($Q8=3,1,IF($Q8=4,1,0)),IF($F8&lt;=85,1,0))</formula>
    </cfRule>
  </conditionalFormatting>
  <conditionalFormatting sqref="AV9">
    <cfRule type="expression" dxfId="2821" priority="18">
      <formula>AV9="X"</formula>
    </cfRule>
    <cfRule type="expression" dxfId="2820" priority="19">
      <formula>AV9="후보"</formula>
    </cfRule>
  </conditionalFormatting>
  <conditionalFormatting sqref="AC9">
    <cfRule type="cellIs" dxfId="2819" priority="15" operator="greaterThan">
      <formula>0.9</formula>
    </cfRule>
    <cfRule type="cellIs" dxfId="2818" priority="16" operator="greaterThan">
      <formula>0.85</formula>
    </cfRule>
  </conditionalFormatting>
  <conditionalFormatting sqref="N9">
    <cfRule type="cellIs" dxfId="2817" priority="13" operator="greaterThan">
      <formula>0.9</formula>
    </cfRule>
    <cfRule type="cellIs" dxfId="2816" priority="14" operator="greaterThan">
      <formula>0.85</formula>
    </cfRule>
  </conditionalFormatting>
  <conditionalFormatting sqref="E9">
    <cfRule type="expression" dxfId="2815" priority="9">
      <formula>AND(IF(OR($Q9=1,$Q9=2),1,0),IF($X9&lt;=20,1,0))</formula>
    </cfRule>
    <cfRule type="expression" dxfId="2814" priority="10">
      <formula>AND(IF($Q9=2,1,0),IF($X9&lt;30,1,0))</formula>
    </cfRule>
    <cfRule type="expression" dxfId="2813" priority="11">
      <formula>AND(IF($Q9=3,1,0),IF($X9&lt;30,1,0))</formula>
    </cfRule>
    <cfRule type="expression" dxfId="2812" priority="12">
      <formula>AND(IF($Q9=3,1,IF($Q9=4,1,0)),IF($F9&lt;=85,1,0))</formula>
    </cfRule>
  </conditionalFormatting>
  <conditionalFormatting sqref="X9">
    <cfRule type="expression" dxfId="2811" priority="5">
      <formula>AND(IF(OR($Q9=1,$Q9=2),1,0),IF($X9&lt;=20,1,0))</formula>
    </cfRule>
    <cfRule type="expression" dxfId="2810" priority="6">
      <formula>AND(IF($Q9=2,1,0),IF($X9&lt;30,1,0))</formula>
    </cfRule>
    <cfRule type="expression" dxfId="2809" priority="7">
      <formula>AND(IF($Q9=3,1,0),IF($X9&lt;30,1,0))</formula>
    </cfRule>
    <cfRule type="expression" dxfId="2808" priority="8">
      <formula>AND(IF($Q9=3,1,IF($Q9=4,1,0)),IF($F9&lt;=85,1,0))</formula>
    </cfRule>
  </conditionalFormatting>
  <conditionalFormatting sqref="AI9">
    <cfRule type="expression" dxfId="2807" priority="1">
      <formula>AND(IF(OR($Q9=1,$Q9=2),1,0),IF($X9&lt;=20,1,0))</formula>
    </cfRule>
    <cfRule type="expression" dxfId="2806" priority="2">
      <formula>AND(IF($Q9=2,1,0),IF($X9&lt;30,1,0))</formula>
    </cfRule>
    <cfRule type="expression" dxfId="2805" priority="3">
      <formula>AND(IF($Q9=3,1,0),IF($X9&lt;30,1,0))</formula>
    </cfRule>
    <cfRule type="expression" dxfId="280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명서동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543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명서동 두산위브('10.06.,1522^)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8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539</v>
      </c>
      <c r="B6" s="10" t="s">
        <v>956</v>
      </c>
      <c r="C6" s="107">
        <v>1522</v>
      </c>
      <c r="D6" s="104">
        <v>113.1</v>
      </c>
      <c r="E6" s="106">
        <v>34</v>
      </c>
      <c r="F6" s="104">
        <v>85</v>
      </c>
      <c r="G6" s="17">
        <v>26</v>
      </c>
      <c r="H6" s="107">
        <v>294</v>
      </c>
      <c r="I6" s="108">
        <v>58000</v>
      </c>
      <c r="J6" s="108" t="s">
        <v>957</v>
      </c>
      <c r="K6" s="108"/>
      <c r="L6" s="108"/>
      <c r="M6" s="109">
        <f t="shared" ref="M6:M18" si="2">I6-K6</f>
        <v>58000</v>
      </c>
      <c r="N6" s="4">
        <f t="shared" ref="N6:N18" si="3">IF(ISERROR(K6/I6),"",K6/I6)</f>
        <v>0</v>
      </c>
      <c r="O6" s="105">
        <f t="shared" ref="O6:O18" si="4">I6/E6</f>
        <v>1705.8823529411766</v>
      </c>
      <c r="P6" s="105">
        <f t="shared" ref="P6:P18" si="5">K6/E6</f>
        <v>0</v>
      </c>
      <c r="Q6" s="75">
        <v>3</v>
      </c>
      <c r="R6" s="75">
        <v>2</v>
      </c>
      <c r="S6" s="75" t="s">
        <v>947</v>
      </c>
      <c r="T6" s="5">
        <v>113</v>
      </c>
      <c r="U6" s="9"/>
      <c r="W6" s="104">
        <f t="shared" ref="W6:W18" si="6">D6</f>
        <v>113.1</v>
      </c>
      <c r="X6" s="106">
        <f t="shared" ref="X6:X18" si="7">E6</f>
        <v>34</v>
      </c>
      <c r="Y6" s="102">
        <f t="shared" ref="Y6:Y18" si="8">H6</f>
        <v>294</v>
      </c>
      <c r="Z6" s="109">
        <f t="shared" ref="Z6:Z18" si="9">I6</f>
        <v>58000</v>
      </c>
      <c r="AA6" s="109">
        <f t="shared" ref="AA6:AA18" si="10">K6</f>
        <v>0</v>
      </c>
      <c r="AB6" s="109">
        <f t="shared" ref="AB6:AB18" si="11">M6</f>
        <v>58000</v>
      </c>
      <c r="AC6" s="4">
        <f t="shared" ref="AC6:AC18" si="12">N6</f>
        <v>0</v>
      </c>
      <c r="AD6" s="105">
        <f t="shared" ref="AD6:AD18" si="13">O6</f>
        <v>1705.8823529411766</v>
      </c>
      <c r="AE6" s="75" t="str">
        <f t="shared" ref="AE6:AE18" si="14">S6</f>
        <v>계</v>
      </c>
      <c r="AF6" s="75" t="str">
        <f t="shared" ref="AF6:AF18" si="15">Q6&amp;"/"&amp;R6</f>
        <v>3/2</v>
      </c>
      <c r="AH6" s="20" t="str">
        <f t="shared" si="1"/>
        <v>두산위브</v>
      </c>
      <c r="AI6" s="106">
        <f t="shared" si="0"/>
        <v>34</v>
      </c>
      <c r="AJ6" s="75" t="str">
        <f t="shared" ref="AJ6:AJ18" si="16">IF(AI6="","",$AJ$2)</f>
        <v>A-</v>
      </c>
      <c r="AK6" s="75" t="s">
        <v>14</v>
      </c>
      <c r="AL6" s="75" t="s">
        <v>944</v>
      </c>
      <c r="AM6" s="75" t="s">
        <v>945</v>
      </c>
      <c r="AN6" s="75" t="str">
        <f t="shared" ref="AN6:AN18" si="17">IF(AI6="","",$AN$2)</f>
        <v>C</v>
      </c>
      <c r="AO6" s="75" t="str">
        <f t="shared" ref="AO6:AO18" si="18">IF(N6="","",IF(N6&gt;=$AO$1/100,"O","X"))</f>
        <v>X</v>
      </c>
      <c r="AP6" s="75" t="str">
        <f t="shared" ref="AP6:AP18" si="19">IF(I6="","",IF(I6&lt;=$AP$1,"O","X"))</f>
        <v>X</v>
      </c>
      <c r="AQ6" s="75" t="str">
        <f t="shared" ref="AQ6:AQ18" si="20">IF(O6="","",IF(O6&lt;=$AQ$1,"O","X"))</f>
        <v>X</v>
      </c>
      <c r="AR6" s="75" t="str">
        <f t="shared" ref="AR6:AR18" si="21">IF(M6="","",IF(M6&lt;=$AR$1,"O","X"))</f>
        <v>X</v>
      </c>
      <c r="AS6" s="75" t="s">
        <v>2</v>
      </c>
      <c r="AT6" s="75" t="str">
        <f t="shared" ref="AT6:AT18" si="22">IF(OR(F6="",AI6=""),"",IF(AND((F6&lt;=85),(AI6&gt;=15)),"O","X"))</f>
        <v>O</v>
      </c>
      <c r="AU6" s="75" t="str">
        <f t="shared" ref="AU6:AU18" si="23">IF(C6="","",IF(C6&gt;=$AU$1,"O","X"))</f>
        <v>O</v>
      </c>
      <c r="AV6" s="75" t="str">
        <f t="shared" ref="AV6:AV18" si="24">IF(AO6="","",IF(AND(AO6="O",AP6="O",AR6="O",AT6="O",AU6="O"),"후보","X"))</f>
        <v>X</v>
      </c>
    </row>
    <row r="7" spans="1:48" x14ac:dyDescent="0.3">
      <c r="A7" s="9" t="s">
        <v>539</v>
      </c>
      <c r="B7" s="10" t="s">
        <v>956</v>
      </c>
      <c r="C7" s="107">
        <v>1522</v>
      </c>
      <c r="D7" s="104">
        <v>128.4</v>
      </c>
      <c r="E7" s="106">
        <v>39</v>
      </c>
      <c r="F7" s="104">
        <v>103.8</v>
      </c>
      <c r="G7" s="17">
        <v>31</v>
      </c>
      <c r="H7" s="107">
        <v>120</v>
      </c>
      <c r="I7" s="108">
        <v>65000</v>
      </c>
      <c r="J7" s="108" t="s">
        <v>958</v>
      </c>
      <c r="K7" s="108">
        <v>48000</v>
      </c>
      <c r="L7" s="108" t="s">
        <v>958</v>
      </c>
      <c r="M7" s="109">
        <f t="shared" si="2"/>
        <v>17000</v>
      </c>
      <c r="N7" s="4">
        <f t="shared" si="3"/>
        <v>0.7384615384615385</v>
      </c>
      <c r="O7" s="105">
        <f t="shared" si="4"/>
        <v>1666.6666666666667</v>
      </c>
      <c r="P7" s="105">
        <f t="shared" si="5"/>
        <v>1230.7692307692307</v>
      </c>
      <c r="Q7" s="75">
        <v>3</v>
      </c>
      <c r="R7" s="75">
        <v>2</v>
      </c>
      <c r="S7" s="75" t="s">
        <v>943</v>
      </c>
      <c r="T7" s="5" t="s">
        <v>545</v>
      </c>
      <c r="U7" s="9"/>
      <c r="W7" s="104">
        <f t="shared" si="6"/>
        <v>128.4</v>
      </c>
      <c r="X7" s="106">
        <f t="shared" si="7"/>
        <v>39</v>
      </c>
      <c r="Y7" s="102">
        <f t="shared" si="8"/>
        <v>120</v>
      </c>
      <c r="Z7" s="109">
        <f t="shared" si="9"/>
        <v>65000</v>
      </c>
      <c r="AA7" s="109">
        <f t="shared" si="10"/>
        <v>48000</v>
      </c>
      <c r="AB7" s="109">
        <f t="shared" si="11"/>
        <v>17000</v>
      </c>
      <c r="AC7" s="4">
        <f t="shared" si="12"/>
        <v>0.7384615384615385</v>
      </c>
      <c r="AD7" s="105">
        <f t="shared" si="13"/>
        <v>1666.6666666666667</v>
      </c>
      <c r="AE7" s="75" t="str">
        <f t="shared" si="14"/>
        <v>복</v>
      </c>
      <c r="AF7" s="75" t="str">
        <f t="shared" si="15"/>
        <v>3/2</v>
      </c>
      <c r="AH7" s="20" t="str">
        <f t="shared" si="1"/>
        <v>두산위브</v>
      </c>
      <c r="AI7" s="106">
        <f t="shared" si="0"/>
        <v>39</v>
      </c>
      <c r="AJ7" s="75" t="str">
        <f t="shared" si="16"/>
        <v>A-</v>
      </c>
      <c r="AK7" s="75" t="s">
        <v>14</v>
      </c>
      <c r="AL7" s="75" t="s">
        <v>944</v>
      </c>
      <c r="AM7" s="75" t="s">
        <v>945</v>
      </c>
      <c r="AN7" s="75" t="str">
        <f t="shared" si="17"/>
        <v>C</v>
      </c>
      <c r="AO7" s="75" t="str">
        <f t="shared" si="18"/>
        <v>X</v>
      </c>
      <c r="AP7" s="75" t="str">
        <f t="shared" si="19"/>
        <v>X</v>
      </c>
      <c r="AQ7" s="75" t="str">
        <f t="shared" si="20"/>
        <v>X</v>
      </c>
      <c r="AR7" s="75" t="str">
        <f t="shared" si="21"/>
        <v>X</v>
      </c>
      <c r="AS7" s="75" t="s">
        <v>2</v>
      </c>
      <c r="AT7" s="75" t="str">
        <f t="shared" si="22"/>
        <v>X</v>
      </c>
      <c r="AU7" s="75" t="str">
        <f t="shared" si="23"/>
        <v>O</v>
      </c>
      <c r="AV7" s="75" t="str">
        <f t="shared" si="24"/>
        <v>X</v>
      </c>
    </row>
    <row r="8" spans="1:48" x14ac:dyDescent="0.3">
      <c r="A8" s="9" t="s">
        <v>539</v>
      </c>
      <c r="B8" s="10" t="s">
        <v>956</v>
      </c>
      <c r="C8" s="107">
        <v>1522</v>
      </c>
      <c r="D8" s="104">
        <v>128.19999999999999</v>
      </c>
      <c r="E8" s="106">
        <v>39</v>
      </c>
      <c r="F8" s="104">
        <v>103.6</v>
      </c>
      <c r="G8" s="17">
        <v>31</v>
      </c>
      <c r="H8" s="107">
        <v>112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2</v>
      </c>
      <c r="S8" s="75" t="s">
        <v>943</v>
      </c>
      <c r="T8" s="5" t="s">
        <v>546</v>
      </c>
      <c r="U8" s="9"/>
      <c r="W8" s="104">
        <f t="shared" si="6"/>
        <v>128.19999999999999</v>
      </c>
      <c r="X8" s="106">
        <f t="shared" si="7"/>
        <v>39</v>
      </c>
      <c r="Y8" s="102">
        <f t="shared" si="8"/>
        <v>112</v>
      </c>
      <c r="Z8" s="109">
        <f t="shared" si="9"/>
        <v>0</v>
      </c>
      <c r="AA8" s="109">
        <f t="shared" si="10"/>
        <v>0</v>
      </c>
      <c r="AB8" s="109">
        <f t="shared" si="11"/>
        <v>0</v>
      </c>
      <c r="AC8" s="4" t="str">
        <f t="shared" si="12"/>
        <v/>
      </c>
      <c r="AD8" s="105">
        <f t="shared" si="13"/>
        <v>0</v>
      </c>
      <c r="AE8" s="75" t="str">
        <f t="shared" si="14"/>
        <v>복</v>
      </c>
      <c r="AF8" s="75" t="str">
        <f t="shared" si="15"/>
        <v>3/2</v>
      </c>
      <c r="AH8" s="20" t="str">
        <f t="shared" si="1"/>
        <v>두산위브</v>
      </c>
      <c r="AI8" s="106">
        <f t="shared" si="0"/>
        <v>39</v>
      </c>
      <c r="AJ8" s="75" t="str">
        <f t="shared" si="16"/>
        <v>A-</v>
      </c>
      <c r="AK8" s="75" t="s">
        <v>14</v>
      </c>
      <c r="AL8" s="75" t="s">
        <v>944</v>
      </c>
      <c r="AM8" s="75" t="s">
        <v>945</v>
      </c>
      <c r="AN8" s="75" t="str">
        <f t="shared" si="17"/>
        <v>C</v>
      </c>
      <c r="AO8" s="75" t="str">
        <f t="shared" si="18"/>
        <v/>
      </c>
      <c r="AP8" s="75" t="str">
        <f t="shared" si="19"/>
        <v/>
      </c>
      <c r="AQ8" s="75" t="str">
        <f t="shared" si="20"/>
        <v>O</v>
      </c>
      <c r="AR8" s="75" t="str">
        <f t="shared" si="21"/>
        <v>O</v>
      </c>
      <c r="AS8" s="75" t="s">
        <v>2</v>
      </c>
      <c r="AT8" s="75" t="str">
        <f t="shared" si="22"/>
        <v>X</v>
      </c>
      <c r="AU8" s="75" t="str">
        <f t="shared" si="23"/>
        <v>O</v>
      </c>
      <c r="AV8" s="75" t="str">
        <f t="shared" si="24"/>
        <v/>
      </c>
    </row>
    <row r="9" spans="1:48" x14ac:dyDescent="0.3">
      <c r="A9" s="9" t="s">
        <v>539</v>
      </c>
      <c r="B9" s="10" t="s">
        <v>956</v>
      </c>
      <c r="C9" s="107">
        <v>1522</v>
      </c>
      <c r="D9" s="104">
        <v>128.19999999999999</v>
      </c>
      <c r="E9" s="106">
        <v>39</v>
      </c>
      <c r="F9" s="104">
        <v>103.5</v>
      </c>
      <c r="G9" s="17">
        <v>31</v>
      </c>
      <c r="H9" s="107">
        <v>56</v>
      </c>
      <c r="I9" s="108">
        <v>61000</v>
      </c>
      <c r="J9" s="108" t="s">
        <v>959</v>
      </c>
      <c r="K9" s="108"/>
      <c r="L9" s="108"/>
      <c r="M9" s="109">
        <f t="shared" si="2"/>
        <v>61000</v>
      </c>
      <c r="N9" s="4">
        <f t="shared" si="3"/>
        <v>0</v>
      </c>
      <c r="O9" s="105">
        <f t="shared" si="4"/>
        <v>1564.1025641025642</v>
      </c>
      <c r="P9" s="105">
        <f t="shared" si="5"/>
        <v>0</v>
      </c>
      <c r="Q9" s="75">
        <v>3</v>
      </c>
      <c r="R9" s="75">
        <v>2</v>
      </c>
      <c r="S9" s="75" t="s">
        <v>943</v>
      </c>
      <c r="T9" s="5" t="s">
        <v>291</v>
      </c>
      <c r="U9" s="9"/>
      <c r="W9" s="104">
        <f t="shared" si="6"/>
        <v>128.19999999999999</v>
      </c>
      <c r="X9" s="106">
        <f t="shared" si="7"/>
        <v>39</v>
      </c>
      <c r="Y9" s="102">
        <f t="shared" si="8"/>
        <v>56</v>
      </c>
      <c r="Z9" s="109">
        <f t="shared" si="9"/>
        <v>61000</v>
      </c>
      <c r="AA9" s="109">
        <f t="shared" si="10"/>
        <v>0</v>
      </c>
      <c r="AB9" s="109">
        <f t="shared" si="11"/>
        <v>61000</v>
      </c>
      <c r="AC9" s="4">
        <f t="shared" si="12"/>
        <v>0</v>
      </c>
      <c r="AD9" s="105">
        <f t="shared" si="13"/>
        <v>1564.1025641025642</v>
      </c>
      <c r="AE9" s="75" t="str">
        <f t="shared" si="14"/>
        <v>복</v>
      </c>
      <c r="AF9" s="75" t="str">
        <f t="shared" si="15"/>
        <v>3/2</v>
      </c>
      <c r="AH9" s="20" t="str">
        <f t="shared" si="1"/>
        <v>두산위브</v>
      </c>
      <c r="AI9" s="106">
        <f t="shared" si="0"/>
        <v>39</v>
      </c>
      <c r="AJ9" s="75" t="str">
        <f t="shared" si="16"/>
        <v>A-</v>
      </c>
      <c r="AK9" s="75" t="s">
        <v>14</v>
      </c>
      <c r="AL9" s="75" t="s">
        <v>944</v>
      </c>
      <c r="AM9" s="75" t="s">
        <v>945</v>
      </c>
      <c r="AN9" s="75" t="str">
        <f t="shared" si="17"/>
        <v>C</v>
      </c>
      <c r="AO9" s="75" t="str">
        <f t="shared" si="18"/>
        <v>X</v>
      </c>
      <c r="AP9" s="75" t="str">
        <f t="shared" si="19"/>
        <v>X</v>
      </c>
      <c r="AQ9" s="75" t="str">
        <f t="shared" si="20"/>
        <v>X</v>
      </c>
      <c r="AR9" s="75" t="str">
        <f t="shared" si="21"/>
        <v>X</v>
      </c>
      <c r="AS9" s="75" t="s">
        <v>2</v>
      </c>
      <c r="AT9" s="75" t="str">
        <f t="shared" si="22"/>
        <v>X</v>
      </c>
      <c r="AU9" s="75" t="str">
        <f t="shared" si="23"/>
        <v>O</v>
      </c>
      <c r="AV9" s="75" t="str">
        <f t="shared" si="24"/>
        <v>X</v>
      </c>
    </row>
    <row r="10" spans="1:48" x14ac:dyDescent="0.3">
      <c r="A10" s="9" t="s">
        <v>539</v>
      </c>
      <c r="B10" s="10" t="s">
        <v>956</v>
      </c>
      <c r="C10" s="107">
        <v>1522</v>
      </c>
      <c r="D10" s="104">
        <v>145.4</v>
      </c>
      <c r="E10" s="106">
        <v>44</v>
      </c>
      <c r="F10" s="104">
        <v>118.2</v>
      </c>
      <c r="G10" s="17">
        <v>36</v>
      </c>
      <c r="H10" s="107">
        <v>30</v>
      </c>
      <c r="I10" s="108"/>
      <c r="J10" s="108"/>
      <c r="K10" s="108"/>
      <c r="L10" s="108"/>
      <c r="M10" s="109">
        <f t="shared" si="2"/>
        <v>0</v>
      </c>
      <c r="N10" s="4" t="str">
        <f t="shared" si="3"/>
        <v/>
      </c>
      <c r="O10" s="105">
        <f t="shared" si="4"/>
        <v>0</v>
      </c>
      <c r="P10" s="105">
        <f t="shared" si="5"/>
        <v>0</v>
      </c>
      <c r="Q10" s="75">
        <v>4</v>
      </c>
      <c r="R10" s="75">
        <v>2</v>
      </c>
      <c r="S10" s="75" t="s">
        <v>947</v>
      </c>
      <c r="T10" s="5" t="s">
        <v>547</v>
      </c>
      <c r="U10" s="9"/>
      <c r="W10" s="104">
        <f t="shared" si="6"/>
        <v>145.4</v>
      </c>
      <c r="X10" s="106">
        <f t="shared" si="7"/>
        <v>44</v>
      </c>
      <c r="Y10" s="102">
        <f t="shared" si="8"/>
        <v>30</v>
      </c>
      <c r="Z10" s="109">
        <f t="shared" si="9"/>
        <v>0</v>
      </c>
      <c r="AA10" s="109">
        <f t="shared" si="10"/>
        <v>0</v>
      </c>
      <c r="AB10" s="109">
        <f t="shared" si="11"/>
        <v>0</v>
      </c>
      <c r="AC10" s="4" t="str">
        <f t="shared" si="12"/>
        <v/>
      </c>
      <c r="AD10" s="105">
        <f t="shared" si="13"/>
        <v>0</v>
      </c>
      <c r="AE10" s="75" t="str">
        <f t="shared" si="14"/>
        <v>계</v>
      </c>
      <c r="AF10" s="75" t="str">
        <f t="shared" si="15"/>
        <v>4/2</v>
      </c>
      <c r="AH10" s="20" t="str">
        <f t="shared" si="1"/>
        <v>두산위브</v>
      </c>
      <c r="AI10" s="106">
        <f t="shared" si="0"/>
        <v>44</v>
      </c>
      <c r="AJ10" s="75" t="str">
        <f t="shared" si="16"/>
        <v>A-</v>
      </c>
      <c r="AK10" s="75" t="s">
        <v>14</v>
      </c>
      <c r="AL10" s="75" t="s">
        <v>944</v>
      </c>
      <c r="AM10" s="75" t="s">
        <v>945</v>
      </c>
      <c r="AN10" s="75" t="str">
        <f t="shared" si="17"/>
        <v>C</v>
      </c>
      <c r="AO10" s="75" t="str">
        <f t="shared" si="18"/>
        <v/>
      </c>
      <c r="AP10" s="75" t="str">
        <f t="shared" si="19"/>
        <v/>
      </c>
      <c r="AQ10" s="75" t="str">
        <f t="shared" si="20"/>
        <v>O</v>
      </c>
      <c r="AR10" s="75" t="str">
        <f t="shared" si="21"/>
        <v>O</v>
      </c>
      <c r="AS10" s="75" t="s">
        <v>2</v>
      </c>
      <c r="AT10" s="75" t="str">
        <f t="shared" si="22"/>
        <v>X</v>
      </c>
      <c r="AU10" s="75" t="str">
        <f t="shared" si="23"/>
        <v>O</v>
      </c>
      <c r="AV10" s="75" t="str">
        <f t="shared" si="24"/>
        <v/>
      </c>
    </row>
    <row r="11" spans="1:48" x14ac:dyDescent="0.3">
      <c r="A11" s="9" t="s">
        <v>539</v>
      </c>
      <c r="B11" s="10" t="s">
        <v>956</v>
      </c>
      <c r="C11" s="107">
        <v>1522</v>
      </c>
      <c r="D11" s="104">
        <v>145</v>
      </c>
      <c r="E11" s="106">
        <v>44</v>
      </c>
      <c r="F11" s="104">
        <v>117.3</v>
      </c>
      <c r="G11" s="17">
        <v>35</v>
      </c>
      <c r="H11" s="107">
        <v>27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>
        <v>4</v>
      </c>
      <c r="R11" s="75">
        <v>2</v>
      </c>
      <c r="S11" s="75" t="s">
        <v>947</v>
      </c>
      <c r="T11" s="5" t="s">
        <v>548</v>
      </c>
      <c r="U11" s="9"/>
      <c r="W11" s="104">
        <f t="shared" si="6"/>
        <v>145</v>
      </c>
      <c r="X11" s="106">
        <f t="shared" si="7"/>
        <v>44</v>
      </c>
      <c r="Y11" s="102">
        <f t="shared" si="8"/>
        <v>27</v>
      </c>
      <c r="Z11" s="109">
        <f t="shared" si="9"/>
        <v>0</v>
      </c>
      <c r="AA11" s="109">
        <f t="shared" si="10"/>
        <v>0</v>
      </c>
      <c r="AB11" s="109">
        <f t="shared" si="11"/>
        <v>0</v>
      </c>
      <c r="AC11" s="4" t="str">
        <f t="shared" si="12"/>
        <v/>
      </c>
      <c r="AD11" s="105">
        <f t="shared" si="13"/>
        <v>0</v>
      </c>
      <c r="AE11" s="75" t="str">
        <f t="shared" si="14"/>
        <v>계</v>
      </c>
      <c r="AF11" s="75" t="str">
        <f t="shared" si="15"/>
        <v>4/2</v>
      </c>
      <c r="AH11" s="20" t="str">
        <f t="shared" si="1"/>
        <v>두산위브</v>
      </c>
      <c r="AI11" s="106">
        <f t="shared" si="0"/>
        <v>44</v>
      </c>
      <c r="AJ11" s="75" t="str">
        <f t="shared" si="16"/>
        <v>A-</v>
      </c>
      <c r="AK11" s="75" t="s">
        <v>14</v>
      </c>
      <c r="AL11" s="75" t="s">
        <v>944</v>
      </c>
      <c r="AM11" s="75" t="s">
        <v>945</v>
      </c>
      <c r="AN11" s="75" t="str">
        <f t="shared" si="17"/>
        <v>C</v>
      </c>
      <c r="AO11" s="75" t="str">
        <f t="shared" si="18"/>
        <v/>
      </c>
      <c r="AP11" s="75" t="str">
        <f t="shared" si="19"/>
        <v/>
      </c>
      <c r="AQ11" s="75" t="str">
        <f t="shared" si="20"/>
        <v>O</v>
      </c>
      <c r="AR11" s="75" t="str">
        <f t="shared" si="21"/>
        <v>O</v>
      </c>
      <c r="AS11" s="75" t="s">
        <v>2</v>
      </c>
      <c r="AT11" s="75" t="str">
        <f t="shared" si="22"/>
        <v>X</v>
      </c>
      <c r="AU11" s="75" t="str">
        <f t="shared" si="23"/>
        <v>O</v>
      </c>
      <c r="AV11" s="75" t="str">
        <f t="shared" si="24"/>
        <v/>
      </c>
    </row>
    <row r="12" spans="1:48" x14ac:dyDescent="0.3">
      <c r="A12" s="9" t="s">
        <v>539</v>
      </c>
      <c r="B12" s="10" t="s">
        <v>956</v>
      </c>
      <c r="C12" s="107">
        <v>1522</v>
      </c>
      <c r="D12" s="104">
        <v>151.9</v>
      </c>
      <c r="E12" s="106">
        <v>46</v>
      </c>
      <c r="F12" s="104">
        <v>126</v>
      </c>
      <c r="G12" s="17">
        <v>38</v>
      </c>
      <c r="H12" s="107">
        <v>58</v>
      </c>
      <c r="I12" s="108">
        <v>70000</v>
      </c>
      <c r="J12" s="108" t="s">
        <v>954</v>
      </c>
      <c r="K12" s="108"/>
      <c r="L12" s="108"/>
      <c r="M12" s="109">
        <f t="shared" si="2"/>
        <v>70000</v>
      </c>
      <c r="N12" s="4">
        <f t="shared" si="3"/>
        <v>0</v>
      </c>
      <c r="O12" s="105">
        <f t="shared" si="4"/>
        <v>1521.7391304347825</v>
      </c>
      <c r="P12" s="105">
        <f t="shared" si="5"/>
        <v>0</v>
      </c>
      <c r="Q12" s="75">
        <v>3</v>
      </c>
      <c r="R12" s="75">
        <v>2</v>
      </c>
      <c r="S12" s="75" t="s">
        <v>943</v>
      </c>
      <c r="T12" s="5" t="s">
        <v>549</v>
      </c>
      <c r="U12" s="9"/>
      <c r="W12" s="104">
        <f t="shared" si="6"/>
        <v>151.9</v>
      </c>
      <c r="X12" s="106">
        <f t="shared" si="7"/>
        <v>46</v>
      </c>
      <c r="Y12" s="102">
        <f t="shared" si="8"/>
        <v>58</v>
      </c>
      <c r="Z12" s="109">
        <f t="shared" si="9"/>
        <v>70000</v>
      </c>
      <c r="AA12" s="109">
        <f t="shared" si="10"/>
        <v>0</v>
      </c>
      <c r="AB12" s="109">
        <f t="shared" si="11"/>
        <v>70000</v>
      </c>
      <c r="AC12" s="4">
        <f t="shared" si="12"/>
        <v>0</v>
      </c>
      <c r="AD12" s="105">
        <f t="shared" si="13"/>
        <v>1521.7391304347825</v>
      </c>
      <c r="AE12" s="75" t="str">
        <f t="shared" si="14"/>
        <v>복</v>
      </c>
      <c r="AF12" s="75" t="str">
        <f t="shared" si="15"/>
        <v>3/2</v>
      </c>
      <c r="AH12" s="20" t="str">
        <f t="shared" si="1"/>
        <v>두산위브</v>
      </c>
      <c r="AI12" s="106">
        <f t="shared" si="0"/>
        <v>46</v>
      </c>
      <c r="AJ12" s="75" t="str">
        <f t="shared" si="16"/>
        <v>A-</v>
      </c>
      <c r="AK12" s="75" t="s">
        <v>14</v>
      </c>
      <c r="AL12" s="75" t="s">
        <v>944</v>
      </c>
      <c r="AM12" s="75" t="s">
        <v>945</v>
      </c>
      <c r="AN12" s="75" t="str">
        <f t="shared" si="17"/>
        <v>C</v>
      </c>
      <c r="AO12" s="75" t="str">
        <f t="shared" si="18"/>
        <v>X</v>
      </c>
      <c r="AP12" s="75" t="str">
        <f t="shared" si="19"/>
        <v>X</v>
      </c>
      <c r="AQ12" s="75" t="str">
        <f t="shared" si="20"/>
        <v>X</v>
      </c>
      <c r="AR12" s="75" t="str">
        <f t="shared" si="21"/>
        <v>X</v>
      </c>
      <c r="AS12" s="75" t="s">
        <v>2</v>
      </c>
      <c r="AT12" s="75" t="str">
        <f t="shared" si="22"/>
        <v>X</v>
      </c>
      <c r="AU12" s="75" t="str">
        <f t="shared" si="23"/>
        <v>O</v>
      </c>
      <c r="AV12" s="75" t="str">
        <f t="shared" si="24"/>
        <v>X</v>
      </c>
    </row>
    <row r="13" spans="1:48" x14ac:dyDescent="0.3">
      <c r="A13" s="9" t="s">
        <v>539</v>
      </c>
      <c r="B13" s="10" t="s">
        <v>956</v>
      </c>
      <c r="C13" s="107">
        <v>1522</v>
      </c>
      <c r="D13" s="104">
        <v>151</v>
      </c>
      <c r="E13" s="106">
        <v>46</v>
      </c>
      <c r="F13" s="104">
        <v>126.1</v>
      </c>
      <c r="G13" s="17">
        <v>38</v>
      </c>
      <c r="H13" s="107">
        <v>56</v>
      </c>
      <c r="I13" s="108">
        <v>71000</v>
      </c>
      <c r="J13" s="108" t="s">
        <v>949</v>
      </c>
      <c r="K13" s="108">
        <v>53000</v>
      </c>
      <c r="L13" s="108" t="s">
        <v>957</v>
      </c>
      <c r="M13" s="109">
        <f t="shared" si="2"/>
        <v>18000</v>
      </c>
      <c r="N13" s="4">
        <f t="shared" si="3"/>
        <v>0.74647887323943662</v>
      </c>
      <c r="O13" s="105">
        <f t="shared" si="4"/>
        <v>1543.4782608695652</v>
      </c>
      <c r="P13" s="105">
        <f t="shared" si="5"/>
        <v>1152.1739130434783</v>
      </c>
      <c r="Q13" s="75">
        <v>4</v>
      </c>
      <c r="R13" s="75">
        <v>2</v>
      </c>
      <c r="S13" s="75" t="s">
        <v>943</v>
      </c>
      <c r="T13" s="5" t="s">
        <v>550</v>
      </c>
      <c r="U13" s="9"/>
      <c r="W13" s="104">
        <f t="shared" si="6"/>
        <v>151</v>
      </c>
      <c r="X13" s="106">
        <f t="shared" si="7"/>
        <v>46</v>
      </c>
      <c r="Y13" s="102">
        <f t="shared" si="8"/>
        <v>56</v>
      </c>
      <c r="Z13" s="109">
        <f t="shared" si="9"/>
        <v>71000</v>
      </c>
      <c r="AA13" s="109">
        <f t="shared" si="10"/>
        <v>53000</v>
      </c>
      <c r="AB13" s="109">
        <f t="shared" si="11"/>
        <v>18000</v>
      </c>
      <c r="AC13" s="4">
        <f t="shared" si="12"/>
        <v>0.74647887323943662</v>
      </c>
      <c r="AD13" s="105">
        <f t="shared" si="13"/>
        <v>1543.4782608695652</v>
      </c>
      <c r="AE13" s="75" t="str">
        <f t="shared" si="14"/>
        <v>복</v>
      </c>
      <c r="AF13" s="75" t="str">
        <f t="shared" si="15"/>
        <v>4/2</v>
      </c>
      <c r="AH13" s="20" t="str">
        <f t="shared" si="1"/>
        <v>두산위브</v>
      </c>
      <c r="AI13" s="106">
        <f t="shared" si="0"/>
        <v>46</v>
      </c>
      <c r="AJ13" s="75" t="str">
        <f t="shared" si="16"/>
        <v>A-</v>
      </c>
      <c r="AK13" s="75" t="s">
        <v>14</v>
      </c>
      <c r="AL13" s="75" t="s">
        <v>944</v>
      </c>
      <c r="AM13" s="75" t="s">
        <v>945</v>
      </c>
      <c r="AN13" s="75" t="str">
        <f t="shared" si="17"/>
        <v>C</v>
      </c>
      <c r="AO13" s="75" t="str">
        <f t="shared" si="18"/>
        <v>X</v>
      </c>
      <c r="AP13" s="75" t="str">
        <f t="shared" si="19"/>
        <v>X</v>
      </c>
      <c r="AQ13" s="75" t="str">
        <f t="shared" si="20"/>
        <v>X</v>
      </c>
      <c r="AR13" s="75" t="str">
        <f t="shared" si="21"/>
        <v>X</v>
      </c>
      <c r="AS13" s="75" t="s">
        <v>2</v>
      </c>
      <c r="AT13" s="75" t="str">
        <f t="shared" si="22"/>
        <v>X</v>
      </c>
      <c r="AU13" s="75" t="str">
        <f t="shared" si="23"/>
        <v>O</v>
      </c>
      <c r="AV13" s="75" t="str">
        <f t="shared" si="24"/>
        <v>X</v>
      </c>
    </row>
    <row r="14" spans="1:48" x14ac:dyDescent="0.3">
      <c r="A14" s="9" t="s">
        <v>539</v>
      </c>
      <c r="B14" s="10" t="s">
        <v>956</v>
      </c>
      <c r="C14" s="107">
        <v>1522</v>
      </c>
      <c r="D14" s="104">
        <v>165.2</v>
      </c>
      <c r="E14" s="106">
        <v>50</v>
      </c>
      <c r="F14" s="104">
        <v>137.9</v>
      </c>
      <c r="G14" s="17">
        <v>42</v>
      </c>
      <c r="H14" s="107">
        <v>203</v>
      </c>
      <c r="I14" s="108">
        <v>67000</v>
      </c>
      <c r="J14" s="108" t="s">
        <v>954</v>
      </c>
      <c r="K14" s="108"/>
      <c r="L14" s="108"/>
      <c r="M14" s="109">
        <f t="shared" si="2"/>
        <v>67000</v>
      </c>
      <c r="N14" s="4">
        <f t="shared" si="3"/>
        <v>0</v>
      </c>
      <c r="O14" s="105">
        <f t="shared" si="4"/>
        <v>1340</v>
      </c>
      <c r="P14" s="105">
        <f t="shared" si="5"/>
        <v>0</v>
      </c>
      <c r="Q14" s="75">
        <v>4</v>
      </c>
      <c r="R14" s="75">
        <v>2</v>
      </c>
      <c r="S14" s="75" t="s">
        <v>947</v>
      </c>
      <c r="T14" s="5" t="s">
        <v>551</v>
      </c>
      <c r="U14" s="9"/>
      <c r="W14" s="104">
        <f t="shared" si="6"/>
        <v>165.2</v>
      </c>
      <c r="X14" s="106">
        <f t="shared" si="7"/>
        <v>50</v>
      </c>
      <c r="Y14" s="102">
        <f t="shared" si="8"/>
        <v>203</v>
      </c>
      <c r="Z14" s="109">
        <f t="shared" si="9"/>
        <v>67000</v>
      </c>
      <c r="AA14" s="109">
        <f t="shared" si="10"/>
        <v>0</v>
      </c>
      <c r="AB14" s="109">
        <f t="shared" si="11"/>
        <v>67000</v>
      </c>
      <c r="AC14" s="4">
        <f t="shared" si="12"/>
        <v>0</v>
      </c>
      <c r="AD14" s="105">
        <f t="shared" si="13"/>
        <v>1340</v>
      </c>
      <c r="AE14" s="75" t="str">
        <f t="shared" si="14"/>
        <v>계</v>
      </c>
      <c r="AF14" s="75" t="str">
        <f t="shared" si="15"/>
        <v>4/2</v>
      </c>
      <c r="AH14" s="20" t="str">
        <f t="shared" si="1"/>
        <v>두산위브</v>
      </c>
      <c r="AI14" s="106">
        <f t="shared" si="0"/>
        <v>50</v>
      </c>
      <c r="AJ14" s="75" t="str">
        <f t="shared" si="16"/>
        <v>A-</v>
      </c>
      <c r="AK14" s="75" t="s">
        <v>14</v>
      </c>
      <c r="AL14" s="75" t="s">
        <v>944</v>
      </c>
      <c r="AM14" s="75" t="s">
        <v>945</v>
      </c>
      <c r="AN14" s="75" t="str">
        <f t="shared" si="17"/>
        <v>C</v>
      </c>
      <c r="AO14" s="75" t="str">
        <f t="shared" si="18"/>
        <v>X</v>
      </c>
      <c r="AP14" s="75" t="str">
        <f t="shared" si="19"/>
        <v>X</v>
      </c>
      <c r="AQ14" s="75" t="str">
        <f t="shared" si="20"/>
        <v>X</v>
      </c>
      <c r="AR14" s="75" t="str">
        <f t="shared" si="21"/>
        <v>X</v>
      </c>
      <c r="AS14" s="75" t="s">
        <v>2</v>
      </c>
      <c r="AT14" s="75" t="str">
        <f t="shared" si="22"/>
        <v>X</v>
      </c>
      <c r="AU14" s="75" t="str">
        <f t="shared" si="23"/>
        <v>O</v>
      </c>
      <c r="AV14" s="75" t="str">
        <f t="shared" si="24"/>
        <v>X</v>
      </c>
    </row>
    <row r="15" spans="1:48" x14ac:dyDescent="0.3">
      <c r="A15" s="9" t="s">
        <v>539</v>
      </c>
      <c r="B15" s="10" t="s">
        <v>956</v>
      </c>
      <c r="C15" s="107">
        <v>1522</v>
      </c>
      <c r="D15" s="104">
        <v>165.2</v>
      </c>
      <c r="E15" s="106">
        <v>50</v>
      </c>
      <c r="F15" s="104">
        <v>138</v>
      </c>
      <c r="G15" s="17">
        <v>42</v>
      </c>
      <c r="H15" s="107">
        <v>196</v>
      </c>
      <c r="I15" s="108">
        <v>71000</v>
      </c>
      <c r="J15" s="108" t="s">
        <v>954</v>
      </c>
      <c r="K15" s="108"/>
      <c r="L15" s="108"/>
      <c r="M15" s="109">
        <f t="shared" si="2"/>
        <v>71000</v>
      </c>
      <c r="N15" s="4">
        <f t="shared" si="3"/>
        <v>0</v>
      </c>
      <c r="O15" s="105">
        <f t="shared" si="4"/>
        <v>1420</v>
      </c>
      <c r="P15" s="105">
        <f t="shared" si="5"/>
        <v>0</v>
      </c>
      <c r="Q15" s="75">
        <v>4</v>
      </c>
      <c r="R15" s="75">
        <v>2</v>
      </c>
      <c r="S15" s="75" t="s">
        <v>947</v>
      </c>
      <c r="T15" s="5" t="s">
        <v>552</v>
      </c>
      <c r="U15" s="9"/>
      <c r="W15" s="104">
        <f t="shared" si="6"/>
        <v>165.2</v>
      </c>
      <c r="X15" s="106">
        <f t="shared" si="7"/>
        <v>50</v>
      </c>
      <c r="Y15" s="102">
        <f t="shared" si="8"/>
        <v>196</v>
      </c>
      <c r="Z15" s="109">
        <f t="shared" si="9"/>
        <v>71000</v>
      </c>
      <c r="AA15" s="109">
        <f t="shared" si="10"/>
        <v>0</v>
      </c>
      <c r="AB15" s="109">
        <f t="shared" si="11"/>
        <v>71000</v>
      </c>
      <c r="AC15" s="4">
        <f t="shared" si="12"/>
        <v>0</v>
      </c>
      <c r="AD15" s="105">
        <f t="shared" si="13"/>
        <v>1420</v>
      </c>
      <c r="AE15" s="75" t="str">
        <f t="shared" si="14"/>
        <v>계</v>
      </c>
      <c r="AF15" s="75" t="str">
        <f t="shared" si="15"/>
        <v>4/2</v>
      </c>
      <c r="AH15" s="20" t="str">
        <f t="shared" si="1"/>
        <v>두산위브</v>
      </c>
      <c r="AI15" s="106">
        <f t="shared" si="0"/>
        <v>50</v>
      </c>
      <c r="AJ15" s="75" t="str">
        <f t="shared" si="16"/>
        <v>A-</v>
      </c>
      <c r="AK15" s="75" t="s">
        <v>14</v>
      </c>
      <c r="AL15" s="75" t="s">
        <v>944</v>
      </c>
      <c r="AM15" s="75" t="s">
        <v>945</v>
      </c>
      <c r="AN15" s="75" t="str">
        <f t="shared" si="17"/>
        <v>C</v>
      </c>
      <c r="AO15" s="75" t="str">
        <f t="shared" si="18"/>
        <v>X</v>
      </c>
      <c r="AP15" s="75" t="str">
        <f t="shared" si="19"/>
        <v>X</v>
      </c>
      <c r="AQ15" s="75" t="str">
        <f t="shared" si="20"/>
        <v>X</v>
      </c>
      <c r="AR15" s="75" t="str">
        <f t="shared" si="21"/>
        <v>X</v>
      </c>
      <c r="AS15" s="75" t="s">
        <v>2</v>
      </c>
      <c r="AT15" s="75" t="str">
        <f t="shared" si="22"/>
        <v>X</v>
      </c>
      <c r="AU15" s="75" t="str">
        <f t="shared" si="23"/>
        <v>O</v>
      </c>
      <c r="AV15" s="75" t="str">
        <f t="shared" si="24"/>
        <v>X</v>
      </c>
    </row>
    <row r="16" spans="1:48" x14ac:dyDescent="0.3">
      <c r="A16" s="9" t="s">
        <v>539</v>
      </c>
      <c r="B16" s="10" t="s">
        <v>956</v>
      </c>
      <c r="C16" s="107">
        <v>1522</v>
      </c>
      <c r="D16" s="104">
        <v>195.7</v>
      </c>
      <c r="E16" s="106">
        <v>59</v>
      </c>
      <c r="F16" s="104">
        <v>167.5</v>
      </c>
      <c r="G16" s="17">
        <v>51</v>
      </c>
      <c r="H16" s="107">
        <v>118</v>
      </c>
      <c r="I16" s="108"/>
      <c r="J16" s="108"/>
      <c r="K16" s="108"/>
      <c r="L16" s="108"/>
      <c r="M16" s="109">
        <f t="shared" si="2"/>
        <v>0</v>
      </c>
      <c r="N16" s="4" t="str">
        <f t="shared" si="3"/>
        <v/>
      </c>
      <c r="O16" s="105">
        <f t="shared" si="4"/>
        <v>0</v>
      </c>
      <c r="P16" s="105">
        <f t="shared" si="5"/>
        <v>0</v>
      </c>
      <c r="Q16" s="75">
        <v>4</v>
      </c>
      <c r="R16" s="75">
        <v>2</v>
      </c>
      <c r="S16" s="75" t="s">
        <v>947</v>
      </c>
      <c r="T16" s="5" t="s">
        <v>553</v>
      </c>
      <c r="U16" s="9"/>
      <c r="W16" s="104">
        <f t="shared" si="6"/>
        <v>195.7</v>
      </c>
      <c r="X16" s="106">
        <f t="shared" si="7"/>
        <v>59</v>
      </c>
      <c r="Y16" s="102">
        <f t="shared" si="8"/>
        <v>118</v>
      </c>
      <c r="Z16" s="109">
        <f t="shared" si="9"/>
        <v>0</v>
      </c>
      <c r="AA16" s="109">
        <f t="shared" si="10"/>
        <v>0</v>
      </c>
      <c r="AB16" s="109">
        <f t="shared" si="11"/>
        <v>0</v>
      </c>
      <c r="AC16" s="4" t="str">
        <f t="shared" si="12"/>
        <v/>
      </c>
      <c r="AD16" s="105">
        <f t="shared" si="13"/>
        <v>0</v>
      </c>
      <c r="AE16" s="75" t="str">
        <f t="shared" si="14"/>
        <v>계</v>
      </c>
      <c r="AF16" s="75" t="str">
        <f t="shared" si="15"/>
        <v>4/2</v>
      </c>
      <c r="AH16" s="20" t="str">
        <f t="shared" si="1"/>
        <v>두산위브</v>
      </c>
      <c r="AI16" s="106">
        <f t="shared" si="0"/>
        <v>59</v>
      </c>
      <c r="AJ16" s="75" t="str">
        <f t="shared" si="16"/>
        <v>A-</v>
      </c>
      <c r="AK16" s="75" t="s">
        <v>14</v>
      </c>
      <c r="AL16" s="75" t="s">
        <v>944</v>
      </c>
      <c r="AM16" s="75" t="s">
        <v>945</v>
      </c>
      <c r="AN16" s="75" t="str">
        <f t="shared" si="17"/>
        <v>C</v>
      </c>
      <c r="AO16" s="75" t="str">
        <f t="shared" si="18"/>
        <v/>
      </c>
      <c r="AP16" s="75" t="str">
        <f t="shared" si="19"/>
        <v/>
      </c>
      <c r="AQ16" s="75" t="str">
        <f t="shared" si="20"/>
        <v>O</v>
      </c>
      <c r="AR16" s="75" t="str">
        <f t="shared" si="21"/>
        <v>O</v>
      </c>
      <c r="AS16" s="75" t="s">
        <v>2</v>
      </c>
      <c r="AT16" s="75" t="str">
        <f t="shared" si="22"/>
        <v>X</v>
      </c>
      <c r="AU16" s="75" t="str">
        <f t="shared" si="23"/>
        <v>O</v>
      </c>
      <c r="AV16" s="75" t="str">
        <f t="shared" si="24"/>
        <v/>
      </c>
    </row>
    <row r="17" spans="1:48" x14ac:dyDescent="0.3">
      <c r="A17" s="9" t="s">
        <v>539</v>
      </c>
      <c r="B17" s="10" t="s">
        <v>956</v>
      </c>
      <c r="C17" s="107">
        <v>1522</v>
      </c>
      <c r="D17" s="104">
        <v>198.2</v>
      </c>
      <c r="E17" s="106">
        <v>60</v>
      </c>
      <c r="F17" s="104">
        <v>168.2</v>
      </c>
      <c r="G17" s="17">
        <v>51</v>
      </c>
      <c r="H17" s="107">
        <v>110</v>
      </c>
      <c r="I17" s="108">
        <v>80000</v>
      </c>
      <c r="J17" s="108" t="s">
        <v>960</v>
      </c>
      <c r="K17" s="108">
        <v>75000</v>
      </c>
      <c r="L17" s="108" t="s">
        <v>954</v>
      </c>
      <c r="M17" s="109">
        <f t="shared" si="2"/>
        <v>5000</v>
      </c>
      <c r="N17" s="4">
        <f t="shared" si="3"/>
        <v>0.9375</v>
      </c>
      <c r="O17" s="105">
        <f t="shared" si="4"/>
        <v>1333.3333333333333</v>
      </c>
      <c r="P17" s="105">
        <f t="shared" si="5"/>
        <v>1250</v>
      </c>
      <c r="Q17" s="75">
        <v>4</v>
      </c>
      <c r="R17" s="75">
        <v>2</v>
      </c>
      <c r="S17" s="75" t="s">
        <v>947</v>
      </c>
      <c r="T17" s="5" t="s">
        <v>554</v>
      </c>
      <c r="U17" s="9"/>
      <c r="W17" s="104">
        <f t="shared" si="6"/>
        <v>198.2</v>
      </c>
      <c r="X17" s="106">
        <f t="shared" si="7"/>
        <v>60</v>
      </c>
      <c r="Y17" s="102">
        <f t="shared" si="8"/>
        <v>110</v>
      </c>
      <c r="Z17" s="109">
        <f t="shared" si="9"/>
        <v>80000</v>
      </c>
      <c r="AA17" s="109">
        <f t="shared" si="10"/>
        <v>75000</v>
      </c>
      <c r="AB17" s="109">
        <f t="shared" si="11"/>
        <v>5000</v>
      </c>
      <c r="AC17" s="4">
        <f t="shared" si="12"/>
        <v>0.9375</v>
      </c>
      <c r="AD17" s="105">
        <f t="shared" si="13"/>
        <v>1333.3333333333333</v>
      </c>
      <c r="AE17" s="75" t="str">
        <f t="shared" si="14"/>
        <v>계</v>
      </c>
      <c r="AF17" s="75" t="str">
        <f t="shared" si="15"/>
        <v>4/2</v>
      </c>
      <c r="AH17" s="20" t="str">
        <f t="shared" si="1"/>
        <v>두산위브</v>
      </c>
      <c r="AI17" s="106">
        <f t="shared" si="0"/>
        <v>60</v>
      </c>
      <c r="AJ17" s="75" t="str">
        <f t="shared" si="16"/>
        <v>A-</v>
      </c>
      <c r="AK17" s="75" t="s">
        <v>14</v>
      </c>
      <c r="AL17" s="75" t="s">
        <v>944</v>
      </c>
      <c r="AM17" s="75" t="s">
        <v>945</v>
      </c>
      <c r="AN17" s="75" t="str">
        <f t="shared" si="17"/>
        <v>C</v>
      </c>
      <c r="AO17" s="75" t="str">
        <f t="shared" si="18"/>
        <v>O</v>
      </c>
      <c r="AP17" s="75" t="str">
        <f t="shared" si="19"/>
        <v>X</v>
      </c>
      <c r="AQ17" s="75" t="str">
        <f t="shared" si="20"/>
        <v>X</v>
      </c>
      <c r="AR17" s="75" t="str">
        <f t="shared" si="21"/>
        <v>O</v>
      </c>
      <c r="AS17" s="75" t="s">
        <v>2</v>
      </c>
      <c r="AT17" s="75" t="str">
        <f t="shared" si="22"/>
        <v>X</v>
      </c>
      <c r="AU17" s="75" t="str">
        <f t="shared" si="23"/>
        <v>O</v>
      </c>
      <c r="AV17" s="75" t="str">
        <f t="shared" si="24"/>
        <v>X</v>
      </c>
    </row>
    <row r="18" spans="1:48" x14ac:dyDescent="0.3">
      <c r="A18" s="9" t="s">
        <v>539</v>
      </c>
      <c r="B18" s="10" t="s">
        <v>956</v>
      </c>
      <c r="C18" s="107">
        <v>1522</v>
      </c>
      <c r="D18" s="104">
        <v>225.4</v>
      </c>
      <c r="E18" s="106">
        <v>68</v>
      </c>
      <c r="F18" s="104">
        <v>189.4</v>
      </c>
      <c r="G18" s="17">
        <v>57</v>
      </c>
      <c r="H18" s="107">
        <v>142</v>
      </c>
      <c r="I18" s="108"/>
      <c r="J18" s="108"/>
      <c r="K18" s="108"/>
      <c r="L18" s="108"/>
      <c r="M18" s="109">
        <f t="shared" si="2"/>
        <v>0</v>
      </c>
      <c r="N18" s="4" t="str">
        <f t="shared" si="3"/>
        <v/>
      </c>
      <c r="O18" s="105">
        <f t="shared" si="4"/>
        <v>0</v>
      </c>
      <c r="P18" s="105">
        <f t="shared" si="5"/>
        <v>0</v>
      </c>
      <c r="Q18" s="75">
        <v>4</v>
      </c>
      <c r="R18" s="75">
        <v>3</v>
      </c>
      <c r="S18" s="75" t="s">
        <v>947</v>
      </c>
      <c r="T18" s="5">
        <v>225</v>
      </c>
      <c r="U18" s="9"/>
      <c r="W18" s="104">
        <f t="shared" si="6"/>
        <v>225.4</v>
      </c>
      <c r="X18" s="106">
        <f t="shared" si="7"/>
        <v>68</v>
      </c>
      <c r="Y18" s="102">
        <f t="shared" si="8"/>
        <v>142</v>
      </c>
      <c r="Z18" s="109">
        <f t="shared" si="9"/>
        <v>0</v>
      </c>
      <c r="AA18" s="109">
        <f t="shared" si="10"/>
        <v>0</v>
      </c>
      <c r="AB18" s="109">
        <f t="shared" si="11"/>
        <v>0</v>
      </c>
      <c r="AC18" s="4" t="str">
        <f t="shared" si="12"/>
        <v/>
      </c>
      <c r="AD18" s="105">
        <f t="shared" si="13"/>
        <v>0</v>
      </c>
      <c r="AE18" s="75" t="str">
        <f t="shared" si="14"/>
        <v>계</v>
      </c>
      <c r="AF18" s="75" t="str">
        <f t="shared" si="15"/>
        <v>4/3</v>
      </c>
      <c r="AH18" s="20" t="str">
        <f t="shared" si="1"/>
        <v>두산위브</v>
      </c>
      <c r="AI18" s="106">
        <f t="shared" si="0"/>
        <v>68</v>
      </c>
      <c r="AJ18" s="75" t="str">
        <f t="shared" si="16"/>
        <v>A-</v>
      </c>
      <c r="AK18" s="75" t="s">
        <v>14</v>
      </c>
      <c r="AL18" s="75" t="s">
        <v>944</v>
      </c>
      <c r="AM18" s="75" t="s">
        <v>945</v>
      </c>
      <c r="AN18" s="75" t="str">
        <f t="shared" si="17"/>
        <v>C</v>
      </c>
      <c r="AO18" s="75" t="str">
        <f t="shared" si="18"/>
        <v/>
      </c>
      <c r="AP18" s="75" t="str">
        <f t="shared" si="19"/>
        <v/>
      </c>
      <c r="AQ18" s="75" t="str">
        <f t="shared" si="20"/>
        <v>O</v>
      </c>
      <c r="AR18" s="75" t="str">
        <f t="shared" si="21"/>
        <v>O</v>
      </c>
      <c r="AS18" s="75" t="s">
        <v>2</v>
      </c>
      <c r="AT18" s="75" t="str">
        <f t="shared" si="22"/>
        <v>X</v>
      </c>
      <c r="AU18" s="75" t="str">
        <f t="shared" si="23"/>
        <v>O</v>
      </c>
      <c r="AV18" s="75" t="str">
        <f t="shared" si="24"/>
        <v/>
      </c>
    </row>
  </sheetData>
  <mergeCells count="1">
    <mergeCell ref="AJ1:AN1"/>
  </mergeCells>
  <phoneticPr fontId="2" type="noConversion"/>
  <conditionalFormatting sqref="AV4:AV6">
    <cfRule type="expression" dxfId="2803" priority="248">
      <formula>AV4="X"</formula>
    </cfRule>
    <cfRule type="expression" dxfId="2802" priority="249">
      <formula>AV4="후보"</formula>
    </cfRule>
  </conditionalFormatting>
  <conditionalFormatting sqref="AC1:AC2 AC4:AC6 N4:N5">
    <cfRule type="cellIs" dxfId="2801" priority="245" operator="greaterThan">
      <formula>0.9</formula>
    </cfRule>
    <cfRule type="cellIs" dxfId="2800" priority="246" operator="greaterThan">
      <formula>0.85</formula>
    </cfRule>
  </conditionalFormatting>
  <conditionalFormatting sqref="N1:N2">
    <cfRule type="cellIs" dxfId="2799" priority="243" operator="greaterThan">
      <formula>0.9</formula>
    </cfRule>
    <cfRule type="cellIs" dxfId="2798" priority="244" operator="greaterThan">
      <formula>0.85</formula>
    </cfRule>
  </conditionalFormatting>
  <conditionalFormatting sqref="N6">
    <cfRule type="cellIs" dxfId="2797" priority="241" operator="greaterThan">
      <formula>0.9</formula>
    </cfRule>
    <cfRule type="cellIs" dxfId="2796" priority="242" operator="greaterThan">
      <formula>0.85</formula>
    </cfRule>
  </conditionalFormatting>
  <conditionalFormatting sqref="E6">
    <cfRule type="expression" dxfId="2795" priority="237">
      <formula>AND(IF(OR($Q6=1,$Q6=2),1,0),IF($X6&lt;=20,1,0))</formula>
    </cfRule>
    <cfRule type="expression" dxfId="2794" priority="238">
      <formula>AND(IF($Q6=2,1,0),IF($X6&lt;30,1,0))</formula>
    </cfRule>
    <cfRule type="expression" dxfId="2793" priority="239">
      <formula>AND(IF($Q6=3,1,0),IF($X6&lt;30,1,0))</formula>
    </cfRule>
    <cfRule type="expression" dxfId="2792" priority="240">
      <formula>AND(IF($Q6=3,1,IF($Q6=4,1,0)),IF($F6&lt;=85,1,0))</formula>
    </cfRule>
  </conditionalFormatting>
  <conditionalFormatting sqref="X6">
    <cfRule type="expression" dxfId="2791" priority="233">
      <formula>AND(IF(OR($Q6=1,$Q6=2),1,0),IF($X6&lt;=20,1,0))</formula>
    </cfRule>
    <cfRule type="expression" dxfId="2790" priority="234">
      <formula>AND(IF($Q6=2,1,0),IF($X6&lt;30,1,0))</formula>
    </cfRule>
    <cfRule type="expression" dxfId="2789" priority="235">
      <formula>AND(IF($Q6=3,1,0),IF($X6&lt;30,1,0))</formula>
    </cfRule>
    <cfRule type="expression" dxfId="2788" priority="236">
      <formula>AND(IF($Q6=3,1,IF($Q6=4,1,0)),IF($F6&lt;=85,1,0))</formula>
    </cfRule>
  </conditionalFormatting>
  <conditionalFormatting sqref="AI6">
    <cfRule type="expression" dxfId="2787" priority="229">
      <formula>AND(IF(OR($Q6=1,$Q6=2),1,0),IF($X6&lt;=20,1,0))</formula>
    </cfRule>
    <cfRule type="expression" dxfId="2786" priority="230">
      <formula>AND(IF($Q6=2,1,0),IF($X6&lt;30,1,0))</formula>
    </cfRule>
    <cfRule type="expression" dxfId="2785" priority="231">
      <formula>AND(IF($Q6=3,1,0),IF($X6&lt;30,1,0))</formula>
    </cfRule>
    <cfRule type="expression" dxfId="2784" priority="232">
      <formula>AND(IF($Q6=3,1,IF($Q6=4,1,0)),IF($F6&lt;=85,1,0))</formula>
    </cfRule>
  </conditionalFormatting>
  <conditionalFormatting sqref="AV7">
    <cfRule type="expression" dxfId="2783" priority="227">
      <formula>AV7="X"</formula>
    </cfRule>
    <cfRule type="expression" dxfId="2782" priority="228">
      <formula>AV7="후보"</formula>
    </cfRule>
  </conditionalFormatting>
  <conditionalFormatting sqref="AC7">
    <cfRule type="cellIs" dxfId="2781" priority="224" operator="greaterThan">
      <formula>0.9</formula>
    </cfRule>
    <cfRule type="cellIs" dxfId="2780" priority="225" operator="greaterThan">
      <formula>0.85</formula>
    </cfRule>
  </conditionalFormatting>
  <conditionalFormatting sqref="N7">
    <cfRule type="cellIs" dxfId="2779" priority="222" operator="greaterThan">
      <formula>0.9</formula>
    </cfRule>
    <cfRule type="cellIs" dxfId="2778" priority="223" operator="greaterThan">
      <formula>0.85</formula>
    </cfRule>
  </conditionalFormatting>
  <conditionalFormatting sqref="E7">
    <cfRule type="expression" dxfId="2777" priority="218">
      <formula>AND(IF(OR($Q7=1,$Q7=2),1,0),IF($X7&lt;=20,1,0))</formula>
    </cfRule>
    <cfRule type="expression" dxfId="2776" priority="219">
      <formula>AND(IF($Q7=2,1,0),IF($X7&lt;30,1,0))</formula>
    </cfRule>
    <cfRule type="expression" dxfId="2775" priority="220">
      <formula>AND(IF($Q7=3,1,0),IF($X7&lt;30,1,0))</formula>
    </cfRule>
    <cfRule type="expression" dxfId="2774" priority="221">
      <formula>AND(IF($Q7=3,1,IF($Q7=4,1,0)),IF($F7&lt;=85,1,0))</formula>
    </cfRule>
  </conditionalFormatting>
  <conditionalFormatting sqref="X7">
    <cfRule type="expression" dxfId="2773" priority="214">
      <formula>AND(IF(OR($Q7=1,$Q7=2),1,0),IF($X7&lt;=20,1,0))</formula>
    </cfRule>
    <cfRule type="expression" dxfId="2772" priority="215">
      <formula>AND(IF($Q7=2,1,0),IF($X7&lt;30,1,0))</formula>
    </cfRule>
    <cfRule type="expression" dxfId="2771" priority="216">
      <formula>AND(IF($Q7=3,1,0),IF($X7&lt;30,1,0))</formula>
    </cfRule>
    <cfRule type="expression" dxfId="2770" priority="217">
      <formula>AND(IF($Q7=3,1,IF($Q7=4,1,0)),IF($F7&lt;=85,1,0))</formula>
    </cfRule>
  </conditionalFormatting>
  <conditionalFormatting sqref="AI7">
    <cfRule type="expression" dxfId="2769" priority="210">
      <formula>AND(IF(OR($Q7=1,$Q7=2),1,0),IF($X7&lt;=20,1,0))</formula>
    </cfRule>
    <cfRule type="expression" dxfId="2768" priority="211">
      <formula>AND(IF($Q7=2,1,0),IF($X7&lt;30,1,0))</formula>
    </cfRule>
    <cfRule type="expression" dxfId="2767" priority="212">
      <formula>AND(IF($Q7=3,1,0),IF($X7&lt;30,1,0))</formula>
    </cfRule>
    <cfRule type="expression" dxfId="2766" priority="213">
      <formula>AND(IF($Q7=3,1,IF($Q7=4,1,0)),IF($F7&lt;=85,1,0))</formula>
    </cfRule>
  </conditionalFormatting>
  <conditionalFormatting sqref="AV8">
    <cfRule type="expression" dxfId="2765" priority="208">
      <formula>AV8="X"</formula>
    </cfRule>
    <cfRule type="expression" dxfId="2764" priority="209">
      <formula>AV8="후보"</formula>
    </cfRule>
  </conditionalFormatting>
  <conditionalFormatting sqref="AC8">
    <cfRule type="cellIs" dxfId="2763" priority="205" operator="greaterThan">
      <formula>0.9</formula>
    </cfRule>
    <cfRule type="cellIs" dxfId="2762" priority="206" operator="greaterThan">
      <formula>0.85</formula>
    </cfRule>
  </conditionalFormatting>
  <conditionalFormatting sqref="N8">
    <cfRule type="cellIs" dxfId="2761" priority="203" operator="greaterThan">
      <formula>0.9</formula>
    </cfRule>
    <cfRule type="cellIs" dxfId="2760" priority="204" operator="greaterThan">
      <formula>0.85</formula>
    </cfRule>
  </conditionalFormatting>
  <conditionalFormatting sqref="E8">
    <cfRule type="expression" dxfId="2759" priority="199">
      <formula>AND(IF(OR($Q8=1,$Q8=2),1,0),IF($X8&lt;=20,1,0))</formula>
    </cfRule>
    <cfRule type="expression" dxfId="2758" priority="200">
      <formula>AND(IF($Q8=2,1,0),IF($X8&lt;30,1,0))</formula>
    </cfRule>
    <cfRule type="expression" dxfId="2757" priority="201">
      <formula>AND(IF($Q8=3,1,0),IF($X8&lt;30,1,0))</formula>
    </cfRule>
    <cfRule type="expression" dxfId="2756" priority="202">
      <formula>AND(IF($Q8=3,1,IF($Q8=4,1,0)),IF($F8&lt;=85,1,0))</formula>
    </cfRule>
  </conditionalFormatting>
  <conditionalFormatting sqref="X8">
    <cfRule type="expression" dxfId="2755" priority="195">
      <formula>AND(IF(OR($Q8=1,$Q8=2),1,0),IF($X8&lt;=20,1,0))</formula>
    </cfRule>
    <cfRule type="expression" dxfId="2754" priority="196">
      <formula>AND(IF($Q8=2,1,0),IF($X8&lt;30,1,0))</formula>
    </cfRule>
    <cfRule type="expression" dxfId="2753" priority="197">
      <formula>AND(IF($Q8=3,1,0),IF($X8&lt;30,1,0))</formula>
    </cfRule>
    <cfRule type="expression" dxfId="2752" priority="198">
      <formula>AND(IF($Q8=3,1,IF($Q8=4,1,0)),IF($F8&lt;=85,1,0))</formula>
    </cfRule>
  </conditionalFormatting>
  <conditionalFormatting sqref="AI8">
    <cfRule type="expression" dxfId="2751" priority="191">
      <formula>AND(IF(OR($Q8=1,$Q8=2),1,0),IF($X8&lt;=20,1,0))</formula>
    </cfRule>
    <cfRule type="expression" dxfId="2750" priority="192">
      <formula>AND(IF($Q8=2,1,0),IF($X8&lt;30,1,0))</formula>
    </cfRule>
    <cfRule type="expression" dxfId="2749" priority="193">
      <formula>AND(IF($Q8=3,1,0),IF($X8&lt;30,1,0))</formula>
    </cfRule>
    <cfRule type="expression" dxfId="2748" priority="194">
      <formula>AND(IF($Q8=3,1,IF($Q8=4,1,0)),IF($F8&lt;=85,1,0))</formula>
    </cfRule>
  </conditionalFormatting>
  <conditionalFormatting sqref="AV9">
    <cfRule type="expression" dxfId="2747" priority="189">
      <formula>AV9="X"</formula>
    </cfRule>
    <cfRule type="expression" dxfId="2746" priority="190">
      <formula>AV9="후보"</formula>
    </cfRule>
  </conditionalFormatting>
  <conditionalFormatting sqref="AC9">
    <cfRule type="cellIs" dxfId="2745" priority="186" operator="greaterThan">
      <formula>0.9</formula>
    </cfRule>
    <cfRule type="cellIs" dxfId="2744" priority="187" operator="greaterThan">
      <formula>0.85</formula>
    </cfRule>
  </conditionalFormatting>
  <conditionalFormatting sqref="N9">
    <cfRule type="cellIs" dxfId="2743" priority="184" operator="greaterThan">
      <formula>0.9</formula>
    </cfRule>
    <cfRule type="cellIs" dxfId="2742" priority="185" operator="greaterThan">
      <formula>0.85</formula>
    </cfRule>
  </conditionalFormatting>
  <conditionalFormatting sqref="E9">
    <cfRule type="expression" dxfId="2741" priority="180">
      <formula>AND(IF(OR($Q9=1,$Q9=2),1,0),IF($X9&lt;=20,1,0))</formula>
    </cfRule>
    <cfRule type="expression" dxfId="2740" priority="181">
      <formula>AND(IF($Q9=2,1,0),IF($X9&lt;30,1,0))</formula>
    </cfRule>
    <cfRule type="expression" dxfId="2739" priority="182">
      <formula>AND(IF($Q9=3,1,0),IF($X9&lt;30,1,0))</formula>
    </cfRule>
    <cfRule type="expression" dxfId="2738" priority="183">
      <formula>AND(IF($Q9=3,1,IF($Q9=4,1,0)),IF($F9&lt;=85,1,0))</formula>
    </cfRule>
  </conditionalFormatting>
  <conditionalFormatting sqref="X9">
    <cfRule type="expression" dxfId="2737" priority="176">
      <formula>AND(IF(OR($Q9=1,$Q9=2),1,0),IF($X9&lt;=20,1,0))</formula>
    </cfRule>
    <cfRule type="expression" dxfId="2736" priority="177">
      <formula>AND(IF($Q9=2,1,0),IF($X9&lt;30,1,0))</formula>
    </cfRule>
    <cfRule type="expression" dxfId="2735" priority="178">
      <formula>AND(IF($Q9=3,1,0),IF($X9&lt;30,1,0))</formula>
    </cfRule>
    <cfRule type="expression" dxfId="2734" priority="179">
      <formula>AND(IF($Q9=3,1,IF($Q9=4,1,0)),IF($F9&lt;=85,1,0))</formula>
    </cfRule>
  </conditionalFormatting>
  <conditionalFormatting sqref="AI9">
    <cfRule type="expression" dxfId="2733" priority="172">
      <formula>AND(IF(OR($Q9=1,$Q9=2),1,0),IF($X9&lt;=20,1,0))</formula>
    </cfRule>
    <cfRule type="expression" dxfId="2732" priority="173">
      <formula>AND(IF($Q9=2,1,0),IF($X9&lt;30,1,0))</formula>
    </cfRule>
    <cfRule type="expression" dxfId="2731" priority="174">
      <formula>AND(IF($Q9=3,1,0),IF($X9&lt;30,1,0))</formula>
    </cfRule>
    <cfRule type="expression" dxfId="2730" priority="175">
      <formula>AND(IF($Q9=3,1,IF($Q9=4,1,0)),IF($F9&lt;=85,1,0))</formula>
    </cfRule>
  </conditionalFormatting>
  <conditionalFormatting sqref="AV10">
    <cfRule type="expression" dxfId="2729" priority="170">
      <formula>AV10="X"</formula>
    </cfRule>
    <cfRule type="expression" dxfId="2728" priority="171">
      <formula>AV10="후보"</formula>
    </cfRule>
  </conditionalFormatting>
  <conditionalFormatting sqref="AC10">
    <cfRule type="cellIs" dxfId="2727" priority="167" operator="greaterThan">
      <formula>0.9</formula>
    </cfRule>
    <cfRule type="cellIs" dxfId="2726" priority="168" operator="greaterThan">
      <formula>0.85</formula>
    </cfRule>
  </conditionalFormatting>
  <conditionalFormatting sqref="N10">
    <cfRule type="cellIs" dxfId="2725" priority="165" operator="greaterThan">
      <formula>0.9</formula>
    </cfRule>
    <cfRule type="cellIs" dxfId="2724" priority="166" operator="greaterThan">
      <formula>0.85</formula>
    </cfRule>
  </conditionalFormatting>
  <conditionalFormatting sqref="E10">
    <cfRule type="expression" dxfId="2723" priority="161">
      <formula>AND(IF(OR($Q10=1,$Q10=2),1,0),IF($X10&lt;=20,1,0))</formula>
    </cfRule>
    <cfRule type="expression" dxfId="2722" priority="162">
      <formula>AND(IF($Q10=2,1,0),IF($X10&lt;30,1,0))</formula>
    </cfRule>
    <cfRule type="expression" dxfId="2721" priority="163">
      <formula>AND(IF($Q10=3,1,0),IF($X10&lt;30,1,0))</formula>
    </cfRule>
    <cfRule type="expression" dxfId="2720" priority="164">
      <formula>AND(IF($Q10=3,1,IF($Q10=4,1,0)),IF($F10&lt;=85,1,0))</formula>
    </cfRule>
  </conditionalFormatting>
  <conditionalFormatting sqref="X10">
    <cfRule type="expression" dxfId="2719" priority="157">
      <formula>AND(IF(OR($Q10=1,$Q10=2),1,0),IF($X10&lt;=20,1,0))</formula>
    </cfRule>
    <cfRule type="expression" dxfId="2718" priority="158">
      <formula>AND(IF($Q10=2,1,0),IF($X10&lt;30,1,0))</formula>
    </cfRule>
    <cfRule type="expression" dxfId="2717" priority="159">
      <formula>AND(IF($Q10=3,1,0),IF($X10&lt;30,1,0))</formula>
    </cfRule>
    <cfRule type="expression" dxfId="2716" priority="160">
      <formula>AND(IF($Q10=3,1,IF($Q10=4,1,0)),IF($F10&lt;=85,1,0))</formula>
    </cfRule>
  </conditionalFormatting>
  <conditionalFormatting sqref="AI10">
    <cfRule type="expression" dxfId="2715" priority="153">
      <formula>AND(IF(OR($Q10=1,$Q10=2),1,0),IF($X10&lt;=20,1,0))</formula>
    </cfRule>
    <cfRule type="expression" dxfId="2714" priority="154">
      <formula>AND(IF($Q10=2,1,0),IF($X10&lt;30,1,0))</formula>
    </cfRule>
    <cfRule type="expression" dxfId="2713" priority="155">
      <formula>AND(IF($Q10=3,1,0),IF($X10&lt;30,1,0))</formula>
    </cfRule>
    <cfRule type="expression" dxfId="2712" priority="156">
      <formula>AND(IF($Q10=3,1,IF($Q10=4,1,0)),IF($F10&lt;=85,1,0))</formula>
    </cfRule>
  </conditionalFormatting>
  <conditionalFormatting sqref="AV11">
    <cfRule type="expression" dxfId="2711" priority="151">
      <formula>AV11="X"</formula>
    </cfRule>
    <cfRule type="expression" dxfId="2710" priority="152">
      <formula>AV11="후보"</formula>
    </cfRule>
  </conditionalFormatting>
  <conditionalFormatting sqref="AC11">
    <cfRule type="cellIs" dxfId="2709" priority="148" operator="greaterThan">
      <formula>0.9</formula>
    </cfRule>
    <cfRule type="cellIs" dxfId="2708" priority="149" operator="greaterThan">
      <formula>0.85</formula>
    </cfRule>
  </conditionalFormatting>
  <conditionalFormatting sqref="N11">
    <cfRule type="cellIs" dxfId="2707" priority="146" operator="greaterThan">
      <formula>0.9</formula>
    </cfRule>
    <cfRule type="cellIs" dxfId="2706" priority="147" operator="greaterThan">
      <formula>0.85</formula>
    </cfRule>
  </conditionalFormatting>
  <conditionalFormatting sqref="E11">
    <cfRule type="expression" dxfId="2705" priority="142">
      <formula>AND(IF(OR($Q11=1,$Q11=2),1,0),IF($X11&lt;=20,1,0))</formula>
    </cfRule>
    <cfRule type="expression" dxfId="2704" priority="143">
      <formula>AND(IF($Q11=2,1,0),IF($X11&lt;30,1,0))</formula>
    </cfRule>
    <cfRule type="expression" dxfId="2703" priority="144">
      <formula>AND(IF($Q11=3,1,0),IF($X11&lt;30,1,0))</formula>
    </cfRule>
    <cfRule type="expression" dxfId="2702" priority="145">
      <formula>AND(IF($Q11=3,1,IF($Q11=4,1,0)),IF($F11&lt;=85,1,0))</formula>
    </cfRule>
  </conditionalFormatting>
  <conditionalFormatting sqref="X11">
    <cfRule type="expression" dxfId="2701" priority="138">
      <formula>AND(IF(OR($Q11=1,$Q11=2),1,0),IF($X11&lt;=20,1,0))</formula>
    </cfRule>
    <cfRule type="expression" dxfId="2700" priority="139">
      <formula>AND(IF($Q11=2,1,0),IF($X11&lt;30,1,0))</formula>
    </cfRule>
    <cfRule type="expression" dxfId="2699" priority="140">
      <formula>AND(IF($Q11=3,1,0),IF($X11&lt;30,1,0))</formula>
    </cfRule>
    <cfRule type="expression" dxfId="2698" priority="141">
      <formula>AND(IF($Q11=3,1,IF($Q11=4,1,0)),IF($F11&lt;=85,1,0))</formula>
    </cfRule>
  </conditionalFormatting>
  <conditionalFormatting sqref="AI11">
    <cfRule type="expression" dxfId="2697" priority="134">
      <formula>AND(IF(OR($Q11=1,$Q11=2),1,0),IF($X11&lt;=20,1,0))</formula>
    </cfRule>
    <cfRule type="expression" dxfId="2696" priority="135">
      <formula>AND(IF($Q11=2,1,0),IF($X11&lt;30,1,0))</formula>
    </cfRule>
    <cfRule type="expression" dxfId="2695" priority="136">
      <formula>AND(IF($Q11=3,1,0),IF($X11&lt;30,1,0))</formula>
    </cfRule>
    <cfRule type="expression" dxfId="2694" priority="137">
      <formula>AND(IF($Q11=3,1,IF($Q11=4,1,0)),IF($F11&lt;=85,1,0))</formula>
    </cfRule>
  </conditionalFormatting>
  <conditionalFormatting sqref="AV12">
    <cfRule type="expression" dxfId="2693" priority="132">
      <formula>AV12="X"</formula>
    </cfRule>
    <cfRule type="expression" dxfId="2692" priority="133">
      <formula>AV12="후보"</formula>
    </cfRule>
  </conditionalFormatting>
  <conditionalFormatting sqref="AC12">
    <cfRule type="cellIs" dxfId="2691" priority="129" operator="greaterThan">
      <formula>0.9</formula>
    </cfRule>
    <cfRule type="cellIs" dxfId="2690" priority="130" operator="greaterThan">
      <formula>0.85</formula>
    </cfRule>
  </conditionalFormatting>
  <conditionalFormatting sqref="N12">
    <cfRule type="cellIs" dxfId="2689" priority="127" operator="greaterThan">
      <formula>0.9</formula>
    </cfRule>
    <cfRule type="cellIs" dxfId="2688" priority="128" operator="greaterThan">
      <formula>0.85</formula>
    </cfRule>
  </conditionalFormatting>
  <conditionalFormatting sqref="E12">
    <cfRule type="expression" dxfId="2687" priority="123">
      <formula>AND(IF(OR($Q12=1,$Q12=2),1,0),IF($X12&lt;=20,1,0))</formula>
    </cfRule>
    <cfRule type="expression" dxfId="2686" priority="124">
      <formula>AND(IF($Q12=2,1,0),IF($X12&lt;30,1,0))</formula>
    </cfRule>
    <cfRule type="expression" dxfId="2685" priority="125">
      <formula>AND(IF($Q12=3,1,0),IF($X12&lt;30,1,0))</formula>
    </cfRule>
    <cfRule type="expression" dxfId="2684" priority="126">
      <formula>AND(IF($Q12=3,1,IF($Q12=4,1,0)),IF($F12&lt;=85,1,0))</formula>
    </cfRule>
  </conditionalFormatting>
  <conditionalFormatting sqref="X12">
    <cfRule type="expression" dxfId="2683" priority="119">
      <formula>AND(IF(OR($Q12=1,$Q12=2),1,0),IF($X12&lt;=20,1,0))</formula>
    </cfRule>
    <cfRule type="expression" dxfId="2682" priority="120">
      <formula>AND(IF($Q12=2,1,0),IF($X12&lt;30,1,0))</formula>
    </cfRule>
    <cfRule type="expression" dxfId="2681" priority="121">
      <formula>AND(IF($Q12=3,1,0),IF($X12&lt;30,1,0))</formula>
    </cfRule>
    <cfRule type="expression" dxfId="2680" priority="122">
      <formula>AND(IF($Q12=3,1,IF($Q12=4,1,0)),IF($F12&lt;=85,1,0))</formula>
    </cfRule>
  </conditionalFormatting>
  <conditionalFormatting sqref="AI12">
    <cfRule type="expression" dxfId="2679" priority="115">
      <formula>AND(IF(OR($Q12=1,$Q12=2),1,0),IF($X12&lt;=20,1,0))</formula>
    </cfRule>
    <cfRule type="expression" dxfId="2678" priority="116">
      <formula>AND(IF($Q12=2,1,0),IF($X12&lt;30,1,0))</formula>
    </cfRule>
    <cfRule type="expression" dxfId="2677" priority="117">
      <formula>AND(IF($Q12=3,1,0),IF($X12&lt;30,1,0))</formula>
    </cfRule>
    <cfRule type="expression" dxfId="2676" priority="118">
      <formula>AND(IF($Q12=3,1,IF($Q12=4,1,0)),IF($F12&lt;=85,1,0))</formula>
    </cfRule>
  </conditionalFormatting>
  <conditionalFormatting sqref="AV13">
    <cfRule type="expression" dxfId="2675" priority="113">
      <formula>AV13="X"</formula>
    </cfRule>
    <cfRule type="expression" dxfId="2674" priority="114">
      <formula>AV13="후보"</formula>
    </cfRule>
  </conditionalFormatting>
  <conditionalFormatting sqref="AC13">
    <cfRule type="cellIs" dxfId="2673" priority="110" operator="greaterThan">
      <formula>0.9</formula>
    </cfRule>
    <cfRule type="cellIs" dxfId="2672" priority="111" operator="greaterThan">
      <formula>0.85</formula>
    </cfRule>
  </conditionalFormatting>
  <conditionalFormatting sqref="N13">
    <cfRule type="cellIs" dxfId="2671" priority="108" operator="greaterThan">
      <formula>0.9</formula>
    </cfRule>
    <cfRule type="cellIs" dxfId="2670" priority="109" operator="greaterThan">
      <formula>0.85</formula>
    </cfRule>
  </conditionalFormatting>
  <conditionalFormatting sqref="E13">
    <cfRule type="expression" dxfId="2669" priority="104">
      <formula>AND(IF(OR($Q13=1,$Q13=2),1,0),IF($X13&lt;=20,1,0))</formula>
    </cfRule>
    <cfRule type="expression" dxfId="2668" priority="105">
      <formula>AND(IF($Q13=2,1,0),IF($X13&lt;30,1,0))</formula>
    </cfRule>
    <cfRule type="expression" dxfId="2667" priority="106">
      <formula>AND(IF($Q13=3,1,0),IF($X13&lt;30,1,0))</formula>
    </cfRule>
    <cfRule type="expression" dxfId="2666" priority="107">
      <formula>AND(IF($Q13=3,1,IF($Q13=4,1,0)),IF($F13&lt;=85,1,0))</formula>
    </cfRule>
  </conditionalFormatting>
  <conditionalFormatting sqref="X13">
    <cfRule type="expression" dxfId="2665" priority="100">
      <formula>AND(IF(OR($Q13=1,$Q13=2),1,0),IF($X13&lt;=20,1,0))</formula>
    </cfRule>
    <cfRule type="expression" dxfId="2664" priority="101">
      <formula>AND(IF($Q13=2,1,0),IF($X13&lt;30,1,0))</formula>
    </cfRule>
    <cfRule type="expression" dxfId="2663" priority="102">
      <formula>AND(IF($Q13=3,1,0),IF($X13&lt;30,1,0))</formula>
    </cfRule>
    <cfRule type="expression" dxfId="2662" priority="103">
      <formula>AND(IF($Q13=3,1,IF($Q13=4,1,0)),IF($F13&lt;=85,1,0))</formula>
    </cfRule>
  </conditionalFormatting>
  <conditionalFormatting sqref="AI13">
    <cfRule type="expression" dxfId="2661" priority="96">
      <formula>AND(IF(OR($Q13=1,$Q13=2),1,0),IF($X13&lt;=20,1,0))</formula>
    </cfRule>
    <cfRule type="expression" dxfId="2660" priority="97">
      <formula>AND(IF($Q13=2,1,0),IF($X13&lt;30,1,0))</formula>
    </cfRule>
    <cfRule type="expression" dxfId="2659" priority="98">
      <formula>AND(IF($Q13=3,1,0),IF($X13&lt;30,1,0))</formula>
    </cfRule>
    <cfRule type="expression" dxfId="2658" priority="99">
      <formula>AND(IF($Q13=3,1,IF($Q13=4,1,0)),IF($F13&lt;=85,1,0))</formula>
    </cfRule>
  </conditionalFormatting>
  <conditionalFormatting sqref="AV14">
    <cfRule type="expression" dxfId="2657" priority="94">
      <formula>AV14="X"</formula>
    </cfRule>
    <cfRule type="expression" dxfId="2656" priority="95">
      <formula>AV14="후보"</formula>
    </cfRule>
  </conditionalFormatting>
  <conditionalFormatting sqref="AC14">
    <cfRule type="cellIs" dxfId="2655" priority="91" operator="greaterThan">
      <formula>0.9</formula>
    </cfRule>
    <cfRule type="cellIs" dxfId="2654" priority="92" operator="greaterThan">
      <formula>0.85</formula>
    </cfRule>
  </conditionalFormatting>
  <conditionalFormatting sqref="N14">
    <cfRule type="cellIs" dxfId="2653" priority="89" operator="greaterThan">
      <formula>0.9</formula>
    </cfRule>
    <cfRule type="cellIs" dxfId="2652" priority="90" operator="greaterThan">
      <formula>0.85</formula>
    </cfRule>
  </conditionalFormatting>
  <conditionalFormatting sqref="E14">
    <cfRule type="expression" dxfId="2651" priority="85">
      <formula>AND(IF(OR($Q14=1,$Q14=2),1,0),IF($X14&lt;=20,1,0))</formula>
    </cfRule>
    <cfRule type="expression" dxfId="2650" priority="86">
      <formula>AND(IF($Q14=2,1,0),IF($X14&lt;30,1,0))</formula>
    </cfRule>
    <cfRule type="expression" dxfId="2649" priority="87">
      <formula>AND(IF($Q14=3,1,0),IF($X14&lt;30,1,0))</formula>
    </cfRule>
    <cfRule type="expression" dxfId="2648" priority="88">
      <formula>AND(IF($Q14=3,1,IF($Q14=4,1,0)),IF($F14&lt;=85,1,0))</formula>
    </cfRule>
  </conditionalFormatting>
  <conditionalFormatting sqref="X14">
    <cfRule type="expression" dxfId="2647" priority="81">
      <formula>AND(IF(OR($Q14=1,$Q14=2),1,0),IF($X14&lt;=20,1,0))</formula>
    </cfRule>
    <cfRule type="expression" dxfId="2646" priority="82">
      <formula>AND(IF($Q14=2,1,0),IF($X14&lt;30,1,0))</formula>
    </cfRule>
    <cfRule type="expression" dxfId="2645" priority="83">
      <formula>AND(IF($Q14=3,1,0),IF($X14&lt;30,1,0))</formula>
    </cfRule>
    <cfRule type="expression" dxfId="2644" priority="84">
      <formula>AND(IF($Q14=3,1,IF($Q14=4,1,0)),IF($F14&lt;=85,1,0))</formula>
    </cfRule>
  </conditionalFormatting>
  <conditionalFormatting sqref="AI14">
    <cfRule type="expression" dxfId="2643" priority="77">
      <formula>AND(IF(OR($Q14=1,$Q14=2),1,0),IF($X14&lt;=20,1,0))</formula>
    </cfRule>
    <cfRule type="expression" dxfId="2642" priority="78">
      <formula>AND(IF($Q14=2,1,0),IF($X14&lt;30,1,0))</formula>
    </cfRule>
    <cfRule type="expression" dxfId="2641" priority="79">
      <formula>AND(IF($Q14=3,1,0),IF($X14&lt;30,1,0))</formula>
    </cfRule>
    <cfRule type="expression" dxfId="2640" priority="80">
      <formula>AND(IF($Q14=3,1,IF($Q14=4,1,0)),IF($F14&lt;=85,1,0))</formula>
    </cfRule>
  </conditionalFormatting>
  <conditionalFormatting sqref="AV15">
    <cfRule type="expression" dxfId="2639" priority="75">
      <formula>AV15="X"</formula>
    </cfRule>
    <cfRule type="expression" dxfId="2638" priority="76">
      <formula>AV15="후보"</formula>
    </cfRule>
  </conditionalFormatting>
  <conditionalFormatting sqref="AC15">
    <cfRule type="cellIs" dxfId="2637" priority="72" operator="greaterThan">
      <formula>0.9</formula>
    </cfRule>
    <cfRule type="cellIs" dxfId="2636" priority="73" operator="greaterThan">
      <formula>0.85</formula>
    </cfRule>
  </conditionalFormatting>
  <conditionalFormatting sqref="N15">
    <cfRule type="cellIs" dxfId="2635" priority="70" operator="greaterThan">
      <formula>0.9</formula>
    </cfRule>
    <cfRule type="cellIs" dxfId="2634" priority="71" operator="greaterThan">
      <formula>0.85</formula>
    </cfRule>
  </conditionalFormatting>
  <conditionalFormatting sqref="E15">
    <cfRule type="expression" dxfId="2633" priority="66">
      <formula>AND(IF(OR($Q15=1,$Q15=2),1,0),IF($X15&lt;=20,1,0))</formula>
    </cfRule>
    <cfRule type="expression" dxfId="2632" priority="67">
      <formula>AND(IF($Q15=2,1,0),IF($X15&lt;30,1,0))</formula>
    </cfRule>
    <cfRule type="expression" dxfId="2631" priority="68">
      <formula>AND(IF($Q15=3,1,0),IF($X15&lt;30,1,0))</formula>
    </cfRule>
    <cfRule type="expression" dxfId="2630" priority="69">
      <formula>AND(IF($Q15=3,1,IF($Q15=4,1,0)),IF($F15&lt;=85,1,0))</formula>
    </cfRule>
  </conditionalFormatting>
  <conditionalFormatting sqref="X15">
    <cfRule type="expression" dxfId="2629" priority="62">
      <formula>AND(IF(OR($Q15=1,$Q15=2),1,0),IF($X15&lt;=20,1,0))</formula>
    </cfRule>
    <cfRule type="expression" dxfId="2628" priority="63">
      <formula>AND(IF($Q15=2,1,0),IF($X15&lt;30,1,0))</formula>
    </cfRule>
    <cfRule type="expression" dxfId="2627" priority="64">
      <formula>AND(IF($Q15=3,1,0),IF($X15&lt;30,1,0))</formula>
    </cfRule>
    <cfRule type="expression" dxfId="2626" priority="65">
      <formula>AND(IF($Q15=3,1,IF($Q15=4,1,0)),IF($F15&lt;=85,1,0))</formula>
    </cfRule>
  </conditionalFormatting>
  <conditionalFormatting sqref="AI15">
    <cfRule type="expression" dxfId="2625" priority="58">
      <formula>AND(IF(OR($Q15=1,$Q15=2),1,0),IF($X15&lt;=20,1,0))</formula>
    </cfRule>
    <cfRule type="expression" dxfId="2624" priority="59">
      <formula>AND(IF($Q15=2,1,0),IF($X15&lt;30,1,0))</formula>
    </cfRule>
    <cfRule type="expression" dxfId="2623" priority="60">
      <formula>AND(IF($Q15=3,1,0),IF($X15&lt;30,1,0))</formula>
    </cfRule>
    <cfRule type="expression" dxfId="2622" priority="61">
      <formula>AND(IF($Q15=3,1,IF($Q15=4,1,0)),IF($F15&lt;=85,1,0))</formula>
    </cfRule>
  </conditionalFormatting>
  <conditionalFormatting sqref="AV16">
    <cfRule type="expression" dxfId="2621" priority="56">
      <formula>AV16="X"</formula>
    </cfRule>
    <cfRule type="expression" dxfId="2620" priority="57">
      <formula>AV16="후보"</formula>
    </cfRule>
  </conditionalFormatting>
  <conditionalFormatting sqref="AC16">
    <cfRule type="cellIs" dxfId="2619" priority="53" operator="greaterThan">
      <formula>0.9</formula>
    </cfRule>
    <cfRule type="cellIs" dxfId="2618" priority="54" operator="greaterThan">
      <formula>0.85</formula>
    </cfRule>
  </conditionalFormatting>
  <conditionalFormatting sqref="N16">
    <cfRule type="cellIs" dxfId="2617" priority="51" operator="greaterThan">
      <formula>0.9</formula>
    </cfRule>
    <cfRule type="cellIs" dxfId="2616" priority="52" operator="greaterThan">
      <formula>0.85</formula>
    </cfRule>
  </conditionalFormatting>
  <conditionalFormatting sqref="E16">
    <cfRule type="expression" dxfId="2615" priority="47">
      <formula>AND(IF(OR($Q16=1,$Q16=2),1,0),IF($X16&lt;=20,1,0))</formula>
    </cfRule>
    <cfRule type="expression" dxfId="2614" priority="48">
      <formula>AND(IF($Q16=2,1,0),IF($X16&lt;30,1,0))</formula>
    </cfRule>
    <cfRule type="expression" dxfId="2613" priority="49">
      <formula>AND(IF($Q16=3,1,0),IF($X16&lt;30,1,0))</formula>
    </cfRule>
    <cfRule type="expression" dxfId="2612" priority="50">
      <formula>AND(IF($Q16=3,1,IF($Q16=4,1,0)),IF($F16&lt;=85,1,0))</formula>
    </cfRule>
  </conditionalFormatting>
  <conditionalFormatting sqref="X16">
    <cfRule type="expression" dxfId="2611" priority="43">
      <formula>AND(IF(OR($Q16=1,$Q16=2),1,0),IF($X16&lt;=20,1,0))</formula>
    </cfRule>
    <cfRule type="expression" dxfId="2610" priority="44">
      <formula>AND(IF($Q16=2,1,0),IF($X16&lt;30,1,0))</formula>
    </cfRule>
    <cfRule type="expression" dxfId="2609" priority="45">
      <formula>AND(IF($Q16=3,1,0),IF($X16&lt;30,1,0))</formula>
    </cfRule>
    <cfRule type="expression" dxfId="2608" priority="46">
      <formula>AND(IF($Q16=3,1,IF($Q16=4,1,0)),IF($F16&lt;=85,1,0))</formula>
    </cfRule>
  </conditionalFormatting>
  <conditionalFormatting sqref="AI16">
    <cfRule type="expression" dxfId="2607" priority="39">
      <formula>AND(IF(OR($Q16=1,$Q16=2),1,0),IF($X16&lt;=20,1,0))</formula>
    </cfRule>
    <cfRule type="expression" dxfId="2606" priority="40">
      <formula>AND(IF($Q16=2,1,0),IF($X16&lt;30,1,0))</formula>
    </cfRule>
    <cfRule type="expression" dxfId="2605" priority="41">
      <formula>AND(IF($Q16=3,1,0),IF($X16&lt;30,1,0))</formula>
    </cfRule>
    <cfRule type="expression" dxfId="2604" priority="42">
      <formula>AND(IF($Q16=3,1,IF($Q16=4,1,0)),IF($F16&lt;=85,1,0))</formula>
    </cfRule>
  </conditionalFormatting>
  <conditionalFormatting sqref="AV17">
    <cfRule type="expression" dxfId="2603" priority="37">
      <formula>AV17="X"</formula>
    </cfRule>
    <cfRule type="expression" dxfId="2602" priority="38">
      <formula>AV17="후보"</formula>
    </cfRule>
  </conditionalFormatting>
  <conditionalFormatting sqref="AC17">
    <cfRule type="cellIs" dxfId="2601" priority="34" operator="greaterThan">
      <formula>0.9</formula>
    </cfRule>
    <cfRule type="cellIs" dxfId="2600" priority="35" operator="greaterThan">
      <formula>0.85</formula>
    </cfRule>
  </conditionalFormatting>
  <conditionalFormatting sqref="N17">
    <cfRule type="cellIs" dxfId="2599" priority="32" operator="greaterThan">
      <formula>0.9</formula>
    </cfRule>
    <cfRule type="cellIs" dxfId="2598" priority="33" operator="greaterThan">
      <formula>0.85</formula>
    </cfRule>
  </conditionalFormatting>
  <conditionalFormatting sqref="E17">
    <cfRule type="expression" dxfId="2597" priority="28">
      <formula>AND(IF(OR($Q17=1,$Q17=2),1,0),IF($X17&lt;=20,1,0))</formula>
    </cfRule>
    <cfRule type="expression" dxfId="2596" priority="29">
      <formula>AND(IF($Q17=2,1,0),IF($X17&lt;30,1,0))</formula>
    </cfRule>
    <cfRule type="expression" dxfId="2595" priority="30">
      <formula>AND(IF($Q17=3,1,0),IF($X17&lt;30,1,0))</formula>
    </cfRule>
    <cfRule type="expression" dxfId="2594" priority="31">
      <formula>AND(IF($Q17=3,1,IF($Q17=4,1,0)),IF($F17&lt;=85,1,0))</formula>
    </cfRule>
  </conditionalFormatting>
  <conditionalFormatting sqref="X17">
    <cfRule type="expression" dxfId="2593" priority="24">
      <formula>AND(IF(OR($Q17=1,$Q17=2),1,0),IF($X17&lt;=20,1,0))</formula>
    </cfRule>
    <cfRule type="expression" dxfId="2592" priority="25">
      <formula>AND(IF($Q17=2,1,0),IF($X17&lt;30,1,0))</formula>
    </cfRule>
    <cfRule type="expression" dxfId="2591" priority="26">
      <formula>AND(IF($Q17=3,1,0),IF($X17&lt;30,1,0))</formula>
    </cfRule>
    <cfRule type="expression" dxfId="2590" priority="27">
      <formula>AND(IF($Q17=3,1,IF($Q17=4,1,0)),IF($F17&lt;=85,1,0))</formula>
    </cfRule>
  </conditionalFormatting>
  <conditionalFormatting sqref="AI17">
    <cfRule type="expression" dxfId="2589" priority="20">
      <formula>AND(IF(OR($Q17=1,$Q17=2),1,0),IF($X17&lt;=20,1,0))</formula>
    </cfRule>
    <cfRule type="expression" dxfId="2588" priority="21">
      <formula>AND(IF($Q17=2,1,0),IF($X17&lt;30,1,0))</formula>
    </cfRule>
    <cfRule type="expression" dxfId="2587" priority="22">
      <formula>AND(IF($Q17=3,1,0),IF($X17&lt;30,1,0))</formula>
    </cfRule>
    <cfRule type="expression" dxfId="2586" priority="23">
      <formula>AND(IF($Q17=3,1,IF($Q17=4,1,0)),IF($F17&lt;=85,1,0))</formula>
    </cfRule>
  </conditionalFormatting>
  <conditionalFormatting sqref="AV18">
    <cfRule type="expression" dxfId="2585" priority="18">
      <formula>AV18="X"</formula>
    </cfRule>
    <cfRule type="expression" dxfId="2584" priority="19">
      <formula>AV18="후보"</formula>
    </cfRule>
  </conditionalFormatting>
  <conditionalFormatting sqref="AC18">
    <cfRule type="cellIs" dxfId="2583" priority="15" operator="greaterThan">
      <formula>0.9</formula>
    </cfRule>
    <cfRule type="cellIs" dxfId="2582" priority="16" operator="greaterThan">
      <formula>0.85</formula>
    </cfRule>
  </conditionalFormatting>
  <conditionalFormatting sqref="N18">
    <cfRule type="cellIs" dxfId="2581" priority="13" operator="greaterThan">
      <formula>0.9</formula>
    </cfRule>
    <cfRule type="cellIs" dxfId="2580" priority="14" operator="greaterThan">
      <formula>0.85</formula>
    </cfRule>
  </conditionalFormatting>
  <conditionalFormatting sqref="E18">
    <cfRule type="expression" dxfId="2579" priority="9">
      <formula>AND(IF(OR($Q18=1,$Q18=2),1,0),IF($X18&lt;=20,1,0))</formula>
    </cfRule>
    <cfRule type="expression" dxfId="2578" priority="10">
      <formula>AND(IF($Q18=2,1,0),IF($X18&lt;30,1,0))</formula>
    </cfRule>
    <cfRule type="expression" dxfId="2577" priority="11">
      <formula>AND(IF($Q18=3,1,0),IF($X18&lt;30,1,0))</formula>
    </cfRule>
    <cfRule type="expression" dxfId="2576" priority="12">
      <formula>AND(IF($Q18=3,1,IF($Q18=4,1,0)),IF($F18&lt;=85,1,0))</formula>
    </cfRule>
  </conditionalFormatting>
  <conditionalFormatting sqref="X18">
    <cfRule type="expression" dxfId="2575" priority="5">
      <formula>AND(IF(OR($Q18=1,$Q18=2),1,0),IF($X18&lt;=20,1,0))</formula>
    </cfRule>
    <cfRule type="expression" dxfId="2574" priority="6">
      <formula>AND(IF($Q18=2,1,0),IF($X18&lt;30,1,0))</formula>
    </cfRule>
    <cfRule type="expression" dxfId="2573" priority="7">
      <formula>AND(IF($Q18=3,1,0),IF($X18&lt;30,1,0))</formula>
    </cfRule>
    <cfRule type="expression" dxfId="2572" priority="8">
      <formula>AND(IF($Q18=3,1,IF($Q18=4,1,0)),IF($F18&lt;=85,1,0))</formula>
    </cfRule>
  </conditionalFormatting>
  <conditionalFormatting sqref="AI18">
    <cfRule type="expression" dxfId="2571" priority="1">
      <formula>AND(IF(OR($Q18=1,$Q18=2),1,0),IF($X18&lt;=20,1,0))</formula>
    </cfRule>
    <cfRule type="expression" dxfId="2570" priority="2">
      <formula>AND(IF($Q18=2,1,0),IF($X18&lt;30,1,0))</formula>
    </cfRule>
    <cfRule type="expression" dxfId="2569" priority="3">
      <formula>AND(IF($Q18=3,1,0),IF($X18&lt;30,1,0))</formula>
    </cfRule>
    <cfRule type="expression" dxfId="2568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봉곡동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560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봉곡동 늘푸른마을코오롱('99.11.,426^)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556</v>
      </c>
      <c r="B6" s="10" t="s">
        <v>961</v>
      </c>
      <c r="C6" s="107">
        <v>426</v>
      </c>
      <c r="D6" s="104">
        <v>77.5</v>
      </c>
      <c r="E6" s="106">
        <v>23</v>
      </c>
      <c r="F6" s="104">
        <v>59.4</v>
      </c>
      <c r="G6" s="17">
        <v>18</v>
      </c>
      <c r="H6" s="107">
        <v>43</v>
      </c>
      <c r="I6" s="108">
        <v>23000</v>
      </c>
      <c r="J6" s="108" t="s">
        <v>957</v>
      </c>
      <c r="K6" s="108"/>
      <c r="L6" s="108"/>
      <c r="M6" s="109">
        <f>I6-K6</f>
        <v>23000</v>
      </c>
      <c r="N6" s="4">
        <f>IF(ISERROR(K6/I6),"",K6/I6)</f>
        <v>0</v>
      </c>
      <c r="O6" s="105">
        <f>I6/E6</f>
        <v>1000</v>
      </c>
      <c r="P6" s="105">
        <f>K6/E6</f>
        <v>0</v>
      </c>
      <c r="Q6" s="75">
        <v>3</v>
      </c>
      <c r="R6" s="75">
        <v>1</v>
      </c>
      <c r="S6" s="75" t="s">
        <v>947</v>
      </c>
      <c r="T6" s="5">
        <v>77</v>
      </c>
      <c r="U6" s="9"/>
      <c r="W6" s="104">
        <f t="shared" ref="W6:X8" si="1">D6</f>
        <v>77.5</v>
      </c>
      <c r="X6" s="106">
        <f t="shared" si="1"/>
        <v>23</v>
      </c>
      <c r="Y6" s="102">
        <f t="shared" ref="Y6:Z8" si="2">H6</f>
        <v>43</v>
      </c>
      <c r="Z6" s="109">
        <f t="shared" si="2"/>
        <v>23000</v>
      </c>
      <c r="AA6" s="109">
        <f>K6</f>
        <v>0</v>
      </c>
      <c r="AB6" s="109">
        <f t="shared" ref="AB6:AD8" si="3">M6</f>
        <v>23000</v>
      </c>
      <c r="AC6" s="4">
        <f t="shared" si="3"/>
        <v>0</v>
      </c>
      <c r="AD6" s="105">
        <f t="shared" si="3"/>
        <v>1000</v>
      </c>
      <c r="AE6" s="75" t="str">
        <f>S6</f>
        <v>계</v>
      </c>
      <c r="AF6" s="75" t="str">
        <f>Q6&amp;"/"&amp;R6</f>
        <v>3/1</v>
      </c>
      <c r="AH6" s="20" t="str">
        <f>IF(A6="","",A6)</f>
        <v>늘푸른마을코오롱</v>
      </c>
      <c r="AI6" s="106">
        <f t="shared" si="0"/>
        <v>23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556</v>
      </c>
      <c r="B7" s="10" t="s">
        <v>961</v>
      </c>
      <c r="C7" s="107">
        <v>426</v>
      </c>
      <c r="D7" s="104">
        <v>77.900000000000006</v>
      </c>
      <c r="E7" s="106">
        <v>24</v>
      </c>
      <c r="F7" s="104">
        <v>59.7</v>
      </c>
      <c r="G7" s="17">
        <v>18</v>
      </c>
      <c r="H7" s="107">
        <v>1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1</v>
      </c>
      <c r="S7" s="75" t="s">
        <v>943</v>
      </c>
      <c r="T7" s="5">
        <v>77</v>
      </c>
      <c r="U7" s="9"/>
      <c r="W7" s="104">
        <f t="shared" si="1"/>
        <v>77.900000000000006</v>
      </c>
      <c r="X7" s="106">
        <f t="shared" si="1"/>
        <v>24</v>
      </c>
      <c r="Y7" s="102">
        <f t="shared" si="2"/>
        <v>1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5" t="str">
        <f>S7</f>
        <v>복</v>
      </c>
      <c r="AF7" s="75" t="str">
        <f>Q7&amp;"/"&amp;R7</f>
        <v>3/1</v>
      </c>
      <c r="AH7" s="20" t="str">
        <f>IF(A7="","",A7)</f>
        <v>늘푸른마을코오롱</v>
      </c>
      <c r="AI7" s="106">
        <f t="shared" si="0"/>
        <v>24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556</v>
      </c>
      <c r="B8" s="10" t="s">
        <v>961</v>
      </c>
      <c r="C8" s="107">
        <v>426</v>
      </c>
      <c r="D8" s="104">
        <v>103.4</v>
      </c>
      <c r="E8" s="106">
        <v>31</v>
      </c>
      <c r="F8" s="104">
        <v>84.4</v>
      </c>
      <c r="G8" s="17">
        <v>26</v>
      </c>
      <c r="H8" s="107">
        <v>382</v>
      </c>
      <c r="I8" s="108">
        <v>31000</v>
      </c>
      <c r="J8" s="108" t="s">
        <v>957</v>
      </c>
      <c r="K8" s="108"/>
      <c r="L8" s="108"/>
      <c r="M8" s="109">
        <f>I8-K8</f>
        <v>31000</v>
      </c>
      <c r="N8" s="4">
        <f>IF(ISERROR(K8/I8),"",K8/I8)</f>
        <v>0</v>
      </c>
      <c r="O8" s="105">
        <f>I8/E8</f>
        <v>1000</v>
      </c>
      <c r="P8" s="105">
        <f>K8/E8</f>
        <v>0</v>
      </c>
      <c r="Q8" s="75">
        <v>3</v>
      </c>
      <c r="R8" s="75">
        <v>2</v>
      </c>
      <c r="S8" s="75" t="s">
        <v>947</v>
      </c>
      <c r="T8" s="5">
        <v>103</v>
      </c>
      <c r="U8" s="9"/>
      <c r="W8" s="104">
        <f t="shared" si="1"/>
        <v>103.4</v>
      </c>
      <c r="X8" s="106">
        <f t="shared" si="1"/>
        <v>31</v>
      </c>
      <c r="Y8" s="102">
        <f t="shared" si="2"/>
        <v>382</v>
      </c>
      <c r="Z8" s="109">
        <f t="shared" si="2"/>
        <v>31000</v>
      </c>
      <c r="AA8" s="109">
        <f>K8</f>
        <v>0</v>
      </c>
      <c r="AB8" s="109">
        <f t="shared" si="3"/>
        <v>31000</v>
      </c>
      <c r="AC8" s="4">
        <f t="shared" si="3"/>
        <v>0</v>
      </c>
      <c r="AD8" s="105">
        <f t="shared" si="3"/>
        <v>1000</v>
      </c>
      <c r="AE8" s="75" t="str">
        <f>S8</f>
        <v>계</v>
      </c>
      <c r="AF8" s="75" t="str">
        <f>Q8&amp;"/"&amp;R8</f>
        <v>3/2</v>
      </c>
      <c r="AH8" s="20" t="str">
        <f>IF(A8="","",A8)</f>
        <v>늘푸른마을코오롱</v>
      </c>
      <c r="AI8" s="106">
        <f t="shared" si="0"/>
        <v>31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2567" priority="58">
      <formula>AV4="X"</formula>
    </cfRule>
    <cfRule type="expression" dxfId="2566" priority="59">
      <formula>AV4="후보"</formula>
    </cfRule>
  </conditionalFormatting>
  <conditionalFormatting sqref="AC1:AC2 AC4:AC6 N4:N5">
    <cfRule type="cellIs" dxfId="2565" priority="55" operator="greaterThan">
      <formula>0.9</formula>
    </cfRule>
    <cfRule type="cellIs" dxfId="2564" priority="56" operator="greaterThan">
      <formula>0.85</formula>
    </cfRule>
  </conditionalFormatting>
  <conditionalFormatting sqref="N1:N2">
    <cfRule type="cellIs" dxfId="2563" priority="53" operator="greaterThan">
      <formula>0.9</formula>
    </cfRule>
    <cfRule type="cellIs" dxfId="2562" priority="54" operator="greaterThan">
      <formula>0.85</formula>
    </cfRule>
  </conditionalFormatting>
  <conditionalFormatting sqref="N6">
    <cfRule type="cellIs" dxfId="2561" priority="51" operator="greaterThan">
      <formula>0.9</formula>
    </cfRule>
    <cfRule type="cellIs" dxfId="2560" priority="52" operator="greaterThan">
      <formula>0.85</formula>
    </cfRule>
  </conditionalFormatting>
  <conditionalFormatting sqref="E6">
    <cfRule type="expression" dxfId="2559" priority="47">
      <formula>AND(IF(OR($Q6=1,$Q6=2),1,0),IF($X6&lt;=20,1,0))</formula>
    </cfRule>
    <cfRule type="expression" dxfId="2558" priority="48">
      <formula>AND(IF($Q6=2,1,0),IF($X6&lt;30,1,0))</formula>
    </cfRule>
    <cfRule type="expression" dxfId="2557" priority="49">
      <formula>AND(IF($Q6=3,1,0),IF($X6&lt;30,1,0))</formula>
    </cfRule>
    <cfRule type="expression" dxfId="2556" priority="50">
      <formula>AND(IF($Q6=3,1,IF($Q6=4,1,0)),IF($F6&lt;=85,1,0))</formula>
    </cfRule>
  </conditionalFormatting>
  <conditionalFormatting sqref="X6">
    <cfRule type="expression" dxfId="2555" priority="43">
      <formula>AND(IF(OR($Q6=1,$Q6=2),1,0),IF($X6&lt;=20,1,0))</formula>
    </cfRule>
    <cfRule type="expression" dxfId="2554" priority="44">
      <formula>AND(IF($Q6=2,1,0),IF($X6&lt;30,1,0))</formula>
    </cfRule>
    <cfRule type="expression" dxfId="2553" priority="45">
      <formula>AND(IF($Q6=3,1,0),IF($X6&lt;30,1,0))</formula>
    </cfRule>
    <cfRule type="expression" dxfId="2552" priority="46">
      <formula>AND(IF($Q6=3,1,IF($Q6=4,1,0)),IF($F6&lt;=85,1,0))</formula>
    </cfRule>
  </conditionalFormatting>
  <conditionalFormatting sqref="AI6">
    <cfRule type="expression" dxfId="2551" priority="39">
      <formula>AND(IF(OR($Q6=1,$Q6=2),1,0),IF($X6&lt;=20,1,0))</formula>
    </cfRule>
    <cfRule type="expression" dxfId="2550" priority="40">
      <formula>AND(IF($Q6=2,1,0),IF($X6&lt;30,1,0))</formula>
    </cfRule>
    <cfRule type="expression" dxfId="2549" priority="41">
      <formula>AND(IF($Q6=3,1,0),IF($X6&lt;30,1,0))</formula>
    </cfRule>
    <cfRule type="expression" dxfId="2548" priority="42">
      <formula>AND(IF($Q6=3,1,IF($Q6=4,1,0)),IF($F6&lt;=85,1,0))</formula>
    </cfRule>
  </conditionalFormatting>
  <conditionalFormatting sqref="AV7">
    <cfRule type="expression" dxfId="2547" priority="37">
      <formula>AV7="X"</formula>
    </cfRule>
    <cfRule type="expression" dxfId="2546" priority="38">
      <formula>AV7="후보"</formula>
    </cfRule>
  </conditionalFormatting>
  <conditionalFormatting sqref="AC7">
    <cfRule type="cellIs" dxfId="2545" priority="34" operator="greaterThan">
      <formula>0.9</formula>
    </cfRule>
    <cfRule type="cellIs" dxfId="2544" priority="35" operator="greaterThan">
      <formula>0.85</formula>
    </cfRule>
  </conditionalFormatting>
  <conditionalFormatting sqref="N7">
    <cfRule type="cellIs" dxfId="2543" priority="32" operator="greaterThan">
      <formula>0.9</formula>
    </cfRule>
    <cfRule type="cellIs" dxfId="2542" priority="33" operator="greaterThan">
      <formula>0.85</formula>
    </cfRule>
  </conditionalFormatting>
  <conditionalFormatting sqref="E7">
    <cfRule type="expression" dxfId="2541" priority="28">
      <formula>AND(IF(OR($Q7=1,$Q7=2),1,0),IF($X7&lt;=20,1,0))</formula>
    </cfRule>
    <cfRule type="expression" dxfId="2540" priority="29">
      <formula>AND(IF($Q7=2,1,0),IF($X7&lt;30,1,0))</formula>
    </cfRule>
    <cfRule type="expression" dxfId="2539" priority="30">
      <formula>AND(IF($Q7=3,1,0),IF($X7&lt;30,1,0))</formula>
    </cfRule>
    <cfRule type="expression" dxfId="2538" priority="31">
      <formula>AND(IF($Q7=3,1,IF($Q7=4,1,0)),IF($F7&lt;=85,1,0))</formula>
    </cfRule>
  </conditionalFormatting>
  <conditionalFormatting sqref="X7">
    <cfRule type="expression" dxfId="2537" priority="24">
      <formula>AND(IF(OR($Q7=1,$Q7=2),1,0),IF($X7&lt;=20,1,0))</formula>
    </cfRule>
    <cfRule type="expression" dxfId="2536" priority="25">
      <formula>AND(IF($Q7=2,1,0),IF($X7&lt;30,1,0))</formula>
    </cfRule>
    <cfRule type="expression" dxfId="2535" priority="26">
      <formula>AND(IF($Q7=3,1,0),IF($X7&lt;30,1,0))</formula>
    </cfRule>
    <cfRule type="expression" dxfId="2534" priority="27">
      <formula>AND(IF($Q7=3,1,IF($Q7=4,1,0)),IF($F7&lt;=85,1,0))</formula>
    </cfRule>
  </conditionalFormatting>
  <conditionalFormatting sqref="AI7">
    <cfRule type="expression" dxfId="2533" priority="20">
      <formula>AND(IF(OR($Q7=1,$Q7=2),1,0),IF($X7&lt;=20,1,0))</formula>
    </cfRule>
    <cfRule type="expression" dxfId="2532" priority="21">
      <formula>AND(IF($Q7=2,1,0),IF($X7&lt;30,1,0))</formula>
    </cfRule>
    <cfRule type="expression" dxfId="2531" priority="22">
      <formula>AND(IF($Q7=3,1,0),IF($X7&lt;30,1,0))</formula>
    </cfRule>
    <cfRule type="expression" dxfId="2530" priority="23">
      <formula>AND(IF($Q7=3,1,IF($Q7=4,1,0)),IF($F7&lt;=85,1,0))</formula>
    </cfRule>
  </conditionalFormatting>
  <conditionalFormatting sqref="AV8">
    <cfRule type="expression" dxfId="2529" priority="18">
      <formula>AV8="X"</formula>
    </cfRule>
    <cfRule type="expression" dxfId="2528" priority="19">
      <formula>AV8="후보"</formula>
    </cfRule>
  </conditionalFormatting>
  <conditionalFormatting sqref="AC8">
    <cfRule type="cellIs" dxfId="2527" priority="15" operator="greaterThan">
      <formula>0.9</formula>
    </cfRule>
    <cfRule type="cellIs" dxfId="2526" priority="16" operator="greaterThan">
      <formula>0.85</formula>
    </cfRule>
  </conditionalFormatting>
  <conditionalFormatting sqref="N8">
    <cfRule type="cellIs" dxfId="2525" priority="13" operator="greaterThan">
      <formula>0.9</formula>
    </cfRule>
    <cfRule type="cellIs" dxfId="2524" priority="14" operator="greaterThan">
      <formula>0.85</formula>
    </cfRule>
  </conditionalFormatting>
  <conditionalFormatting sqref="E8">
    <cfRule type="expression" dxfId="2523" priority="9">
      <formula>AND(IF(OR($Q8=1,$Q8=2),1,0),IF($X8&lt;=20,1,0))</formula>
    </cfRule>
    <cfRule type="expression" dxfId="2522" priority="10">
      <formula>AND(IF($Q8=2,1,0),IF($X8&lt;30,1,0))</formula>
    </cfRule>
    <cfRule type="expression" dxfId="2521" priority="11">
      <formula>AND(IF($Q8=3,1,0),IF($X8&lt;30,1,0))</formula>
    </cfRule>
    <cfRule type="expression" dxfId="2520" priority="12">
      <formula>AND(IF($Q8=3,1,IF($Q8=4,1,0)),IF($F8&lt;=85,1,0))</formula>
    </cfRule>
  </conditionalFormatting>
  <conditionalFormatting sqref="X8">
    <cfRule type="expression" dxfId="2519" priority="5">
      <formula>AND(IF(OR($Q8=1,$Q8=2),1,0),IF($X8&lt;=20,1,0))</formula>
    </cfRule>
    <cfRule type="expression" dxfId="2518" priority="6">
      <formula>AND(IF($Q8=2,1,0),IF($X8&lt;30,1,0))</formula>
    </cfRule>
    <cfRule type="expression" dxfId="2517" priority="7">
      <formula>AND(IF($Q8=3,1,0),IF($X8&lt;30,1,0))</formula>
    </cfRule>
    <cfRule type="expression" dxfId="2516" priority="8">
      <formula>AND(IF($Q8=3,1,IF($Q8=4,1,0)),IF($F8&lt;=85,1,0))</formula>
    </cfRule>
  </conditionalFormatting>
  <conditionalFormatting sqref="AI8">
    <cfRule type="expression" dxfId="2515" priority="1">
      <formula>AND(IF(OR($Q8=1,$Q8=2),1,0),IF($X8&lt;=20,1,0))</formula>
    </cfRule>
    <cfRule type="expression" dxfId="2514" priority="2">
      <formula>AND(IF($Q8=2,1,0),IF($X8&lt;30,1,0))</formula>
    </cfRule>
    <cfRule type="expression" dxfId="2513" priority="3">
      <formula>AND(IF($Q8=3,1,0),IF($X8&lt;30,1,0))</formula>
    </cfRule>
    <cfRule type="expression" dxfId="2512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봉림동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568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봉림동 엘에이치피닉스포레('11.10.,507^)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5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563</v>
      </c>
      <c r="B6" s="10" t="s">
        <v>962</v>
      </c>
      <c r="C6" s="107">
        <v>507</v>
      </c>
      <c r="D6" s="104">
        <v>108.4</v>
      </c>
      <c r="E6" s="106">
        <v>33</v>
      </c>
      <c r="F6" s="104">
        <v>85</v>
      </c>
      <c r="G6" s="17">
        <v>26</v>
      </c>
      <c r="H6" s="107">
        <v>150</v>
      </c>
      <c r="I6" s="108">
        <v>44000</v>
      </c>
      <c r="J6" s="108" t="s">
        <v>963</v>
      </c>
      <c r="K6" s="108">
        <v>37000</v>
      </c>
      <c r="L6" s="108" t="s">
        <v>964</v>
      </c>
      <c r="M6" s="109">
        <f t="shared" ref="M6:M15" si="2">I6-K6</f>
        <v>7000</v>
      </c>
      <c r="N6" s="4">
        <f t="shared" ref="N6:N15" si="3">IF(ISERROR(K6/I6),"",K6/I6)</f>
        <v>0.84090909090909094</v>
      </c>
      <c r="O6" s="105">
        <f t="shared" ref="O6:O15" si="4">I6/E6</f>
        <v>1333.3333333333333</v>
      </c>
      <c r="P6" s="105">
        <f t="shared" ref="P6:P15" si="5">K6/E6</f>
        <v>1121.2121212121212</v>
      </c>
      <c r="Q6" s="75">
        <v>3</v>
      </c>
      <c r="R6" s="75">
        <v>2</v>
      </c>
      <c r="S6" s="75" t="s">
        <v>947</v>
      </c>
      <c r="T6" s="5" t="s">
        <v>565</v>
      </c>
      <c r="U6" s="9"/>
      <c r="W6" s="104">
        <f t="shared" ref="W6:W15" si="6">D6</f>
        <v>108.4</v>
      </c>
      <c r="X6" s="106">
        <f t="shared" ref="X6:X15" si="7">E6</f>
        <v>33</v>
      </c>
      <c r="Y6" s="102">
        <f t="shared" ref="Y6:Y15" si="8">H6</f>
        <v>150</v>
      </c>
      <c r="Z6" s="109">
        <f t="shared" ref="Z6:Z15" si="9">I6</f>
        <v>44000</v>
      </c>
      <c r="AA6" s="109">
        <f t="shared" ref="AA6:AA15" si="10">K6</f>
        <v>37000</v>
      </c>
      <c r="AB6" s="109">
        <f t="shared" ref="AB6:AB15" si="11">M6</f>
        <v>7000</v>
      </c>
      <c r="AC6" s="4">
        <f t="shared" ref="AC6:AC15" si="12">N6</f>
        <v>0.84090909090909094</v>
      </c>
      <c r="AD6" s="105">
        <f t="shared" ref="AD6:AD15" si="13">O6</f>
        <v>1333.3333333333333</v>
      </c>
      <c r="AE6" s="75" t="str">
        <f t="shared" ref="AE6:AE15" si="14">S6</f>
        <v>계</v>
      </c>
      <c r="AF6" s="75" t="str">
        <f t="shared" ref="AF6:AF15" si="15">Q6&amp;"/"&amp;R6</f>
        <v>3/2</v>
      </c>
      <c r="AH6" s="20" t="str">
        <f t="shared" si="1"/>
        <v>엘에이치피닉스포레</v>
      </c>
      <c r="AI6" s="106">
        <f t="shared" si="0"/>
        <v>33</v>
      </c>
      <c r="AJ6" s="75" t="str">
        <f t="shared" ref="AJ6:AJ15" si="16">IF(AI6="","",$AJ$2)</f>
        <v>A-</v>
      </c>
      <c r="AK6" s="75" t="s">
        <v>14</v>
      </c>
      <c r="AL6" s="75" t="s">
        <v>944</v>
      </c>
      <c r="AM6" s="75" t="s">
        <v>945</v>
      </c>
      <c r="AN6" s="75" t="str">
        <f t="shared" ref="AN6:AN15" si="17">IF(AI6="","",$AN$2)</f>
        <v>C</v>
      </c>
      <c r="AO6" s="75" t="str">
        <f t="shared" ref="AO6:AO15" si="18">IF(N6="","",IF(N6&gt;=$AO$1/100,"O","X"))</f>
        <v>O</v>
      </c>
      <c r="AP6" s="75" t="str">
        <f t="shared" ref="AP6:AP15" si="19">IF(I6="","",IF(I6&lt;=$AP$1,"O","X"))</f>
        <v>O</v>
      </c>
      <c r="AQ6" s="75" t="str">
        <f t="shared" ref="AQ6:AQ15" si="20">IF(O6="","",IF(O6&lt;=$AQ$1,"O","X"))</f>
        <v>X</v>
      </c>
      <c r="AR6" s="75" t="str">
        <f t="shared" ref="AR6:AR15" si="21">IF(M6="","",IF(M6&lt;=$AR$1,"O","X"))</f>
        <v>X</v>
      </c>
      <c r="AS6" s="75" t="s">
        <v>2</v>
      </c>
      <c r="AT6" s="75" t="str">
        <f t="shared" ref="AT6:AT15" si="22">IF(OR(F6="",AI6=""),"",IF(AND((F6&lt;=85),(AI6&gt;=15)),"O","X"))</f>
        <v>O</v>
      </c>
      <c r="AU6" s="75" t="str">
        <f t="shared" ref="AU6:AU15" si="23">IF(C6="","",IF(C6&gt;=$AU$1,"O","X"))</f>
        <v>O</v>
      </c>
      <c r="AV6" s="75" t="str">
        <f t="shared" ref="AV6:AV15" si="24">IF(AO6="","",IF(AND(AO6="O",AP6="O",AR6="O",AT6="O",AU6="O"),"후보","X"))</f>
        <v>X</v>
      </c>
    </row>
    <row r="7" spans="1:48" x14ac:dyDescent="0.3">
      <c r="A7" s="9" t="s">
        <v>563</v>
      </c>
      <c r="B7" s="10" t="s">
        <v>962</v>
      </c>
      <c r="C7" s="107">
        <v>507</v>
      </c>
      <c r="D7" s="104">
        <v>108.3</v>
      </c>
      <c r="E7" s="106">
        <v>33</v>
      </c>
      <c r="F7" s="104">
        <v>84.9</v>
      </c>
      <c r="G7" s="17">
        <v>26</v>
      </c>
      <c r="H7" s="107">
        <v>141</v>
      </c>
      <c r="I7" s="108">
        <v>46500</v>
      </c>
      <c r="J7" s="108" t="s">
        <v>954</v>
      </c>
      <c r="K7" s="108"/>
      <c r="L7" s="108"/>
      <c r="M7" s="109">
        <f t="shared" si="2"/>
        <v>46500</v>
      </c>
      <c r="N7" s="4">
        <f t="shared" si="3"/>
        <v>0</v>
      </c>
      <c r="O7" s="105">
        <f t="shared" si="4"/>
        <v>1409.090909090909</v>
      </c>
      <c r="P7" s="105">
        <f t="shared" si="5"/>
        <v>0</v>
      </c>
      <c r="Q7" s="75">
        <v>3</v>
      </c>
      <c r="R7" s="75">
        <v>2</v>
      </c>
      <c r="S7" s="75" t="s">
        <v>947</v>
      </c>
      <c r="T7" s="5" t="s">
        <v>570</v>
      </c>
      <c r="U7" s="9"/>
      <c r="W7" s="104">
        <f t="shared" si="6"/>
        <v>108.3</v>
      </c>
      <c r="X7" s="106">
        <f t="shared" si="7"/>
        <v>33</v>
      </c>
      <c r="Y7" s="102">
        <f t="shared" si="8"/>
        <v>141</v>
      </c>
      <c r="Z7" s="109">
        <f t="shared" si="9"/>
        <v>46500</v>
      </c>
      <c r="AA7" s="109">
        <f t="shared" si="10"/>
        <v>0</v>
      </c>
      <c r="AB7" s="109">
        <f t="shared" si="11"/>
        <v>46500</v>
      </c>
      <c r="AC7" s="4">
        <f t="shared" si="12"/>
        <v>0</v>
      </c>
      <c r="AD7" s="105">
        <f t="shared" si="13"/>
        <v>1409.090909090909</v>
      </c>
      <c r="AE7" s="75" t="str">
        <f t="shared" si="14"/>
        <v>계</v>
      </c>
      <c r="AF7" s="75" t="str">
        <f t="shared" si="15"/>
        <v>3/2</v>
      </c>
      <c r="AH7" s="20" t="str">
        <f t="shared" si="1"/>
        <v>엘에이치피닉스포레</v>
      </c>
      <c r="AI7" s="106">
        <f t="shared" si="0"/>
        <v>33</v>
      </c>
      <c r="AJ7" s="75" t="str">
        <f t="shared" si="16"/>
        <v>A-</v>
      </c>
      <c r="AK7" s="75" t="s">
        <v>14</v>
      </c>
      <c r="AL7" s="75" t="s">
        <v>944</v>
      </c>
      <c r="AM7" s="75" t="s">
        <v>945</v>
      </c>
      <c r="AN7" s="75" t="str">
        <f t="shared" si="17"/>
        <v>C</v>
      </c>
      <c r="AO7" s="75" t="str">
        <f t="shared" si="18"/>
        <v>X</v>
      </c>
      <c r="AP7" s="75" t="str">
        <f t="shared" si="19"/>
        <v>X</v>
      </c>
      <c r="AQ7" s="75" t="str">
        <f t="shared" si="20"/>
        <v>X</v>
      </c>
      <c r="AR7" s="75" t="str">
        <f t="shared" si="21"/>
        <v>X</v>
      </c>
      <c r="AS7" s="75" t="s">
        <v>2</v>
      </c>
      <c r="AT7" s="75" t="str">
        <f t="shared" si="22"/>
        <v>O</v>
      </c>
      <c r="AU7" s="75" t="str">
        <f t="shared" si="23"/>
        <v>O</v>
      </c>
      <c r="AV7" s="75" t="str">
        <f t="shared" si="24"/>
        <v>X</v>
      </c>
    </row>
    <row r="8" spans="1:48" x14ac:dyDescent="0.3">
      <c r="A8" s="9" t="s">
        <v>563</v>
      </c>
      <c r="B8" s="10" t="s">
        <v>962</v>
      </c>
      <c r="C8" s="107">
        <v>507</v>
      </c>
      <c r="D8" s="104">
        <v>129.80000000000001</v>
      </c>
      <c r="E8" s="106">
        <v>39</v>
      </c>
      <c r="F8" s="104">
        <v>101.8</v>
      </c>
      <c r="G8" s="17">
        <v>31</v>
      </c>
      <c r="H8" s="107">
        <v>30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2</v>
      </c>
      <c r="S8" s="75" t="s">
        <v>947</v>
      </c>
      <c r="T8" s="5" t="s">
        <v>571</v>
      </c>
      <c r="U8" s="9"/>
      <c r="W8" s="104">
        <f t="shared" si="6"/>
        <v>129.80000000000001</v>
      </c>
      <c r="X8" s="106">
        <f t="shared" si="7"/>
        <v>39</v>
      </c>
      <c r="Y8" s="102">
        <f t="shared" si="8"/>
        <v>30</v>
      </c>
      <c r="Z8" s="109">
        <f t="shared" si="9"/>
        <v>0</v>
      </c>
      <c r="AA8" s="109">
        <f t="shared" si="10"/>
        <v>0</v>
      </c>
      <c r="AB8" s="109">
        <f t="shared" si="11"/>
        <v>0</v>
      </c>
      <c r="AC8" s="4" t="str">
        <f t="shared" si="12"/>
        <v/>
      </c>
      <c r="AD8" s="105">
        <f t="shared" si="13"/>
        <v>0</v>
      </c>
      <c r="AE8" s="75" t="str">
        <f t="shared" si="14"/>
        <v>계</v>
      </c>
      <c r="AF8" s="75" t="str">
        <f t="shared" si="15"/>
        <v>3/2</v>
      </c>
      <c r="AH8" s="20" t="str">
        <f t="shared" si="1"/>
        <v>엘에이치피닉스포레</v>
      </c>
      <c r="AI8" s="106">
        <f t="shared" si="0"/>
        <v>39</v>
      </c>
      <c r="AJ8" s="75" t="str">
        <f t="shared" si="16"/>
        <v>A-</v>
      </c>
      <c r="AK8" s="75" t="s">
        <v>14</v>
      </c>
      <c r="AL8" s="75" t="s">
        <v>944</v>
      </c>
      <c r="AM8" s="75" t="s">
        <v>945</v>
      </c>
      <c r="AN8" s="75" t="str">
        <f t="shared" si="17"/>
        <v>C</v>
      </c>
      <c r="AO8" s="75" t="str">
        <f t="shared" si="18"/>
        <v/>
      </c>
      <c r="AP8" s="75" t="str">
        <f t="shared" si="19"/>
        <v/>
      </c>
      <c r="AQ8" s="75" t="str">
        <f t="shared" si="20"/>
        <v>O</v>
      </c>
      <c r="AR8" s="75" t="str">
        <f t="shared" si="21"/>
        <v>O</v>
      </c>
      <c r="AS8" s="75" t="s">
        <v>2</v>
      </c>
      <c r="AT8" s="75" t="str">
        <f t="shared" si="22"/>
        <v>X</v>
      </c>
      <c r="AU8" s="75" t="str">
        <f t="shared" si="23"/>
        <v>O</v>
      </c>
      <c r="AV8" s="75" t="str">
        <f t="shared" si="24"/>
        <v/>
      </c>
    </row>
    <row r="9" spans="1:48" x14ac:dyDescent="0.3">
      <c r="A9" s="9" t="s">
        <v>563</v>
      </c>
      <c r="B9" s="10" t="s">
        <v>962</v>
      </c>
      <c r="C9" s="107">
        <v>507</v>
      </c>
      <c r="D9" s="104">
        <v>129.69999999999999</v>
      </c>
      <c r="E9" s="106">
        <v>39</v>
      </c>
      <c r="F9" s="104">
        <v>101.6</v>
      </c>
      <c r="G9" s="17">
        <v>31</v>
      </c>
      <c r="H9" s="107">
        <v>30</v>
      </c>
      <c r="I9" s="108">
        <v>57000</v>
      </c>
      <c r="J9" s="108" t="s">
        <v>960</v>
      </c>
      <c r="K9" s="108">
        <v>45000</v>
      </c>
      <c r="L9" s="108" t="s">
        <v>954</v>
      </c>
      <c r="M9" s="109">
        <f t="shared" si="2"/>
        <v>12000</v>
      </c>
      <c r="N9" s="4">
        <f t="shared" si="3"/>
        <v>0.78947368421052633</v>
      </c>
      <c r="O9" s="105">
        <f t="shared" si="4"/>
        <v>1461.5384615384614</v>
      </c>
      <c r="P9" s="105">
        <f t="shared" si="5"/>
        <v>1153.8461538461538</v>
      </c>
      <c r="Q9" s="75">
        <v>3</v>
      </c>
      <c r="R9" s="75">
        <v>2</v>
      </c>
      <c r="S9" s="75" t="s">
        <v>947</v>
      </c>
      <c r="T9" s="5" t="s">
        <v>292</v>
      </c>
      <c r="U9" s="9"/>
      <c r="W9" s="104">
        <f t="shared" si="6"/>
        <v>129.69999999999999</v>
      </c>
      <c r="X9" s="106">
        <f t="shared" si="7"/>
        <v>39</v>
      </c>
      <c r="Y9" s="102">
        <f t="shared" si="8"/>
        <v>30</v>
      </c>
      <c r="Z9" s="109">
        <f t="shared" si="9"/>
        <v>57000</v>
      </c>
      <c r="AA9" s="109">
        <f t="shared" si="10"/>
        <v>45000</v>
      </c>
      <c r="AB9" s="109">
        <f t="shared" si="11"/>
        <v>12000</v>
      </c>
      <c r="AC9" s="4">
        <f t="shared" si="12"/>
        <v>0.78947368421052633</v>
      </c>
      <c r="AD9" s="105">
        <f t="shared" si="13"/>
        <v>1461.5384615384614</v>
      </c>
      <c r="AE9" s="75" t="str">
        <f t="shared" si="14"/>
        <v>계</v>
      </c>
      <c r="AF9" s="75" t="str">
        <f t="shared" si="15"/>
        <v>3/2</v>
      </c>
      <c r="AH9" s="20" t="str">
        <f t="shared" si="1"/>
        <v>엘에이치피닉스포레</v>
      </c>
      <c r="AI9" s="106">
        <f t="shared" si="0"/>
        <v>39</v>
      </c>
      <c r="AJ9" s="75" t="str">
        <f t="shared" si="16"/>
        <v>A-</v>
      </c>
      <c r="AK9" s="75" t="s">
        <v>14</v>
      </c>
      <c r="AL9" s="75" t="s">
        <v>944</v>
      </c>
      <c r="AM9" s="75" t="s">
        <v>945</v>
      </c>
      <c r="AN9" s="75" t="str">
        <f t="shared" si="17"/>
        <v>C</v>
      </c>
      <c r="AO9" s="75" t="str">
        <f t="shared" si="18"/>
        <v>X</v>
      </c>
      <c r="AP9" s="75" t="str">
        <f t="shared" si="19"/>
        <v>X</v>
      </c>
      <c r="AQ9" s="75" t="str">
        <f t="shared" si="20"/>
        <v>X</v>
      </c>
      <c r="AR9" s="75" t="str">
        <f t="shared" si="21"/>
        <v>X</v>
      </c>
      <c r="AS9" s="75" t="s">
        <v>2</v>
      </c>
      <c r="AT9" s="75" t="str">
        <f t="shared" si="22"/>
        <v>X</v>
      </c>
      <c r="AU9" s="75" t="str">
        <f t="shared" si="23"/>
        <v>O</v>
      </c>
      <c r="AV9" s="75" t="str">
        <f t="shared" si="24"/>
        <v>X</v>
      </c>
    </row>
    <row r="10" spans="1:48" x14ac:dyDescent="0.3">
      <c r="A10" s="9" t="s">
        <v>563</v>
      </c>
      <c r="B10" s="10" t="s">
        <v>962</v>
      </c>
      <c r="C10" s="107">
        <v>507</v>
      </c>
      <c r="D10" s="104">
        <v>155.5</v>
      </c>
      <c r="E10" s="106">
        <v>47</v>
      </c>
      <c r="F10" s="104">
        <v>121.9</v>
      </c>
      <c r="G10" s="17">
        <v>37</v>
      </c>
      <c r="H10" s="107">
        <v>48</v>
      </c>
      <c r="I10" s="108">
        <v>59000</v>
      </c>
      <c r="J10" s="108" t="s">
        <v>949</v>
      </c>
      <c r="K10" s="108"/>
      <c r="L10" s="108"/>
      <c r="M10" s="109">
        <f t="shared" si="2"/>
        <v>59000</v>
      </c>
      <c r="N10" s="4">
        <f t="shared" si="3"/>
        <v>0</v>
      </c>
      <c r="O10" s="105">
        <f t="shared" si="4"/>
        <v>1255.3191489361702</v>
      </c>
      <c r="P10" s="105">
        <f t="shared" si="5"/>
        <v>0</v>
      </c>
      <c r="Q10" s="75">
        <v>4</v>
      </c>
      <c r="R10" s="75">
        <v>2</v>
      </c>
      <c r="S10" s="75" t="s">
        <v>947</v>
      </c>
      <c r="T10" s="5" t="s">
        <v>572</v>
      </c>
      <c r="U10" s="9"/>
      <c r="W10" s="104">
        <f t="shared" si="6"/>
        <v>155.5</v>
      </c>
      <c r="X10" s="106">
        <f t="shared" si="7"/>
        <v>47</v>
      </c>
      <c r="Y10" s="102">
        <f t="shared" si="8"/>
        <v>48</v>
      </c>
      <c r="Z10" s="109">
        <f t="shared" si="9"/>
        <v>59000</v>
      </c>
      <c r="AA10" s="109">
        <f t="shared" si="10"/>
        <v>0</v>
      </c>
      <c r="AB10" s="109">
        <f t="shared" si="11"/>
        <v>59000</v>
      </c>
      <c r="AC10" s="4">
        <f t="shared" si="12"/>
        <v>0</v>
      </c>
      <c r="AD10" s="105">
        <f t="shared" si="13"/>
        <v>1255.3191489361702</v>
      </c>
      <c r="AE10" s="75" t="str">
        <f t="shared" si="14"/>
        <v>계</v>
      </c>
      <c r="AF10" s="75" t="str">
        <f t="shared" si="15"/>
        <v>4/2</v>
      </c>
      <c r="AH10" s="20" t="str">
        <f t="shared" si="1"/>
        <v>엘에이치피닉스포레</v>
      </c>
      <c r="AI10" s="106">
        <f t="shared" si="0"/>
        <v>47</v>
      </c>
      <c r="AJ10" s="75" t="str">
        <f t="shared" si="16"/>
        <v>A-</v>
      </c>
      <c r="AK10" s="75" t="s">
        <v>14</v>
      </c>
      <c r="AL10" s="75" t="s">
        <v>944</v>
      </c>
      <c r="AM10" s="75" t="s">
        <v>945</v>
      </c>
      <c r="AN10" s="75" t="str">
        <f t="shared" si="17"/>
        <v>C</v>
      </c>
      <c r="AO10" s="75" t="str">
        <f t="shared" si="18"/>
        <v>X</v>
      </c>
      <c r="AP10" s="75" t="str">
        <f t="shared" si="19"/>
        <v>X</v>
      </c>
      <c r="AQ10" s="75" t="str">
        <f t="shared" si="20"/>
        <v>X</v>
      </c>
      <c r="AR10" s="75" t="str">
        <f t="shared" si="21"/>
        <v>X</v>
      </c>
      <c r="AS10" s="75" t="s">
        <v>2</v>
      </c>
      <c r="AT10" s="75" t="str">
        <f t="shared" si="22"/>
        <v>X</v>
      </c>
      <c r="AU10" s="75" t="str">
        <f t="shared" si="23"/>
        <v>O</v>
      </c>
      <c r="AV10" s="75" t="str">
        <f t="shared" si="24"/>
        <v>X</v>
      </c>
    </row>
    <row r="11" spans="1:48" x14ac:dyDescent="0.3">
      <c r="A11" s="9" t="s">
        <v>563</v>
      </c>
      <c r="B11" s="10" t="s">
        <v>962</v>
      </c>
      <c r="C11" s="107">
        <v>507</v>
      </c>
      <c r="D11" s="104">
        <v>155.5</v>
      </c>
      <c r="E11" s="106">
        <v>47</v>
      </c>
      <c r="F11" s="104">
        <v>121.9</v>
      </c>
      <c r="G11" s="17">
        <v>37</v>
      </c>
      <c r="H11" s="107">
        <v>28</v>
      </c>
      <c r="I11" s="108">
        <v>59000</v>
      </c>
      <c r="J11" s="108" t="s">
        <v>949</v>
      </c>
      <c r="K11" s="108"/>
      <c r="L11" s="108"/>
      <c r="M11" s="109">
        <f t="shared" si="2"/>
        <v>59000</v>
      </c>
      <c r="N11" s="4">
        <f t="shared" si="3"/>
        <v>0</v>
      </c>
      <c r="O11" s="105">
        <f t="shared" si="4"/>
        <v>1255.3191489361702</v>
      </c>
      <c r="P11" s="105">
        <f t="shared" si="5"/>
        <v>0</v>
      </c>
      <c r="Q11" s="75">
        <v>4</v>
      </c>
      <c r="R11" s="75">
        <v>2</v>
      </c>
      <c r="S11" s="75" t="s">
        <v>947</v>
      </c>
      <c r="T11" s="5" t="s">
        <v>573</v>
      </c>
      <c r="U11" s="9"/>
      <c r="W11" s="104">
        <f t="shared" si="6"/>
        <v>155.5</v>
      </c>
      <c r="X11" s="106">
        <f t="shared" si="7"/>
        <v>47</v>
      </c>
      <c r="Y11" s="102">
        <f t="shared" si="8"/>
        <v>28</v>
      </c>
      <c r="Z11" s="109">
        <f t="shared" si="9"/>
        <v>59000</v>
      </c>
      <c r="AA11" s="109">
        <f t="shared" si="10"/>
        <v>0</v>
      </c>
      <c r="AB11" s="109">
        <f t="shared" si="11"/>
        <v>59000</v>
      </c>
      <c r="AC11" s="4">
        <f t="shared" si="12"/>
        <v>0</v>
      </c>
      <c r="AD11" s="105">
        <f t="shared" si="13"/>
        <v>1255.3191489361702</v>
      </c>
      <c r="AE11" s="75" t="str">
        <f t="shared" si="14"/>
        <v>계</v>
      </c>
      <c r="AF11" s="75" t="str">
        <f t="shared" si="15"/>
        <v>4/2</v>
      </c>
      <c r="AH11" s="20" t="str">
        <f t="shared" si="1"/>
        <v>엘에이치피닉스포레</v>
      </c>
      <c r="AI11" s="106">
        <f t="shared" si="0"/>
        <v>47</v>
      </c>
      <c r="AJ11" s="75" t="str">
        <f t="shared" si="16"/>
        <v>A-</v>
      </c>
      <c r="AK11" s="75" t="s">
        <v>14</v>
      </c>
      <c r="AL11" s="75" t="s">
        <v>944</v>
      </c>
      <c r="AM11" s="75" t="s">
        <v>945</v>
      </c>
      <c r="AN11" s="75" t="str">
        <f t="shared" si="17"/>
        <v>C</v>
      </c>
      <c r="AO11" s="75" t="str">
        <f t="shared" si="18"/>
        <v>X</v>
      </c>
      <c r="AP11" s="75" t="str">
        <f t="shared" si="19"/>
        <v>X</v>
      </c>
      <c r="AQ11" s="75" t="str">
        <f t="shared" si="20"/>
        <v>X</v>
      </c>
      <c r="AR11" s="75" t="str">
        <f t="shared" si="21"/>
        <v>X</v>
      </c>
      <c r="AS11" s="75" t="s">
        <v>2</v>
      </c>
      <c r="AT11" s="75" t="str">
        <f t="shared" si="22"/>
        <v>X</v>
      </c>
      <c r="AU11" s="75" t="str">
        <f t="shared" si="23"/>
        <v>O</v>
      </c>
      <c r="AV11" s="75" t="str">
        <f t="shared" si="24"/>
        <v>X</v>
      </c>
    </row>
    <row r="12" spans="1:48" x14ac:dyDescent="0.3">
      <c r="A12" s="9" t="s">
        <v>563</v>
      </c>
      <c r="B12" s="10" t="s">
        <v>962</v>
      </c>
      <c r="C12" s="107">
        <v>507</v>
      </c>
      <c r="D12" s="104">
        <v>155.4</v>
      </c>
      <c r="E12" s="106">
        <v>47</v>
      </c>
      <c r="F12" s="104">
        <v>121.8</v>
      </c>
      <c r="G12" s="17">
        <v>37</v>
      </c>
      <c r="H12" s="107">
        <v>28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4</v>
      </c>
      <c r="R12" s="75">
        <v>2</v>
      </c>
      <c r="S12" s="75" t="s">
        <v>947</v>
      </c>
      <c r="T12" s="5" t="s">
        <v>574</v>
      </c>
      <c r="U12" s="9"/>
      <c r="W12" s="104">
        <f t="shared" si="6"/>
        <v>155.4</v>
      </c>
      <c r="X12" s="106">
        <f t="shared" si="7"/>
        <v>47</v>
      </c>
      <c r="Y12" s="102">
        <f t="shared" si="8"/>
        <v>28</v>
      </c>
      <c r="Z12" s="109">
        <f t="shared" si="9"/>
        <v>0</v>
      </c>
      <c r="AA12" s="109">
        <f t="shared" si="10"/>
        <v>0</v>
      </c>
      <c r="AB12" s="109">
        <f t="shared" si="11"/>
        <v>0</v>
      </c>
      <c r="AC12" s="4" t="str">
        <f t="shared" si="12"/>
        <v/>
      </c>
      <c r="AD12" s="105">
        <f t="shared" si="13"/>
        <v>0</v>
      </c>
      <c r="AE12" s="75" t="str">
        <f t="shared" si="14"/>
        <v>계</v>
      </c>
      <c r="AF12" s="75" t="str">
        <f t="shared" si="15"/>
        <v>4/2</v>
      </c>
      <c r="AH12" s="20" t="str">
        <f t="shared" si="1"/>
        <v>엘에이치피닉스포레</v>
      </c>
      <c r="AI12" s="106">
        <f t="shared" si="0"/>
        <v>47</v>
      </c>
      <c r="AJ12" s="75" t="str">
        <f t="shared" si="16"/>
        <v>A-</v>
      </c>
      <c r="AK12" s="75" t="s">
        <v>14</v>
      </c>
      <c r="AL12" s="75" t="s">
        <v>944</v>
      </c>
      <c r="AM12" s="75" t="s">
        <v>945</v>
      </c>
      <c r="AN12" s="75" t="str">
        <f t="shared" si="17"/>
        <v>C</v>
      </c>
      <c r="AO12" s="75" t="str">
        <f t="shared" si="18"/>
        <v/>
      </c>
      <c r="AP12" s="75" t="str">
        <f t="shared" si="19"/>
        <v/>
      </c>
      <c r="AQ12" s="75" t="str">
        <f t="shared" si="20"/>
        <v>O</v>
      </c>
      <c r="AR12" s="75" t="str">
        <f t="shared" si="21"/>
        <v>O</v>
      </c>
      <c r="AS12" s="75" t="s">
        <v>2</v>
      </c>
      <c r="AT12" s="75" t="str">
        <f t="shared" si="22"/>
        <v>X</v>
      </c>
      <c r="AU12" s="75" t="str">
        <f t="shared" si="23"/>
        <v>O</v>
      </c>
      <c r="AV12" s="75" t="str">
        <f t="shared" si="24"/>
        <v/>
      </c>
    </row>
    <row r="13" spans="1:48" x14ac:dyDescent="0.3">
      <c r="A13" s="9" t="s">
        <v>563</v>
      </c>
      <c r="B13" s="10" t="s">
        <v>962</v>
      </c>
      <c r="C13" s="107">
        <v>507</v>
      </c>
      <c r="D13" s="104">
        <v>171.3</v>
      </c>
      <c r="E13" s="106">
        <v>52</v>
      </c>
      <c r="F13" s="104">
        <v>134.30000000000001</v>
      </c>
      <c r="G13" s="17">
        <v>41</v>
      </c>
      <c r="H13" s="107">
        <v>2</v>
      </c>
      <c r="I13" s="108">
        <v>85000</v>
      </c>
      <c r="J13" s="108" t="s">
        <v>954</v>
      </c>
      <c r="K13" s="108"/>
      <c r="L13" s="108"/>
      <c r="M13" s="109">
        <f t="shared" si="2"/>
        <v>85000</v>
      </c>
      <c r="N13" s="4">
        <f t="shared" si="3"/>
        <v>0</v>
      </c>
      <c r="O13" s="105">
        <f t="shared" si="4"/>
        <v>1634.6153846153845</v>
      </c>
      <c r="P13" s="105">
        <f t="shared" si="5"/>
        <v>0</v>
      </c>
      <c r="Q13" s="75">
        <v>4</v>
      </c>
      <c r="R13" s="75">
        <v>2</v>
      </c>
      <c r="S13" s="75" t="s">
        <v>947</v>
      </c>
      <c r="T13" s="5" t="s">
        <v>575</v>
      </c>
      <c r="U13" s="9"/>
      <c r="W13" s="104">
        <f t="shared" si="6"/>
        <v>171.3</v>
      </c>
      <c r="X13" s="106">
        <f t="shared" si="7"/>
        <v>52</v>
      </c>
      <c r="Y13" s="102">
        <f t="shared" si="8"/>
        <v>2</v>
      </c>
      <c r="Z13" s="109">
        <f t="shared" si="9"/>
        <v>85000</v>
      </c>
      <c r="AA13" s="109">
        <f t="shared" si="10"/>
        <v>0</v>
      </c>
      <c r="AB13" s="109">
        <f t="shared" si="11"/>
        <v>85000</v>
      </c>
      <c r="AC13" s="4">
        <f t="shared" si="12"/>
        <v>0</v>
      </c>
      <c r="AD13" s="105">
        <f t="shared" si="13"/>
        <v>1634.6153846153845</v>
      </c>
      <c r="AE13" s="75" t="str">
        <f t="shared" si="14"/>
        <v>계</v>
      </c>
      <c r="AF13" s="75" t="str">
        <f t="shared" si="15"/>
        <v>4/2</v>
      </c>
      <c r="AH13" s="20" t="str">
        <f t="shared" si="1"/>
        <v>엘에이치피닉스포레</v>
      </c>
      <c r="AI13" s="106">
        <f t="shared" si="0"/>
        <v>52</v>
      </c>
      <c r="AJ13" s="75" t="str">
        <f t="shared" si="16"/>
        <v>A-</v>
      </c>
      <c r="AK13" s="75" t="s">
        <v>14</v>
      </c>
      <c r="AL13" s="75" t="s">
        <v>944</v>
      </c>
      <c r="AM13" s="75" t="s">
        <v>945</v>
      </c>
      <c r="AN13" s="75" t="str">
        <f t="shared" si="17"/>
        <v>C</v>
      </c>
      <c r="AO13" s="75" t="str">
        <f t="shared" si="18"/>
        <v>X</v>
      </c>
      <c r="AP13" s="75" t="str">
        <f t="shared" si="19"/>
        <v>X</v>
      </c>
      <c r="AQ13" s="75" t="str">
        <f t="shared" si="20"/>
        <v>X</v>
      </c>
      <c r="AR13" s="75" t="str">
        <f t="shared" si="21"/>
        <v>X</v>
      </c>
      <c r="AS13" s="75" t="s">
        <v>2</v>
      </c>
      <c r="AT13" s="75" t="str">
        <f t="shared" si="22"/>
        <v>X</v>
      </c>
      <c r="AU13" s="75" t="str">
        <f t="shared" si="23"/>
        <v>O</v>
      </c>
      <c r="AV13" s="75" t="str">
        <f t="shared" si="24"/>
        <v>X</v>
      </c>
    </row>
    <row r="14" spans="1:48" x14ac:dyDescent="0.3">
      <c r="A14" s="9" t="s">
        <v>563</v>
      </c>
      <c r="B14" s="10" t="s">
        <v>962</v>
      </c>
      <c r="C14" s="107">
        <v>507</v>
      </c>
      <c r="D14" s="104">
        <v>171.3</v>
      </c>
      <c r="E14" s="106">
        <v>52</v>
      </c>
      <c r="F14" s="104">
        <v>134.30000000000001</v>
      </c>
      <c r="G14" s="17">
        <v>41</v>
      </c>
      <c r="H14" s="107">
        <v>2</v>
      </c>
      <c r="I14" s="108">
        <v>85000</v>
      </c>
      <c r="J14" s="108" t="s">
        <v>954</v>
      </c>
      <c r="K14" s="108"/>
      <c r="L14" s="108"/>
      <c r="M14" s="109">
        <f t="shared" si="2"/>
        <v>85000</v>
      </c>
      <c r="N14" s="4">
        <f t="shared" si="3"/>
        <v>0</v>
      </c>
      <c r="O14" s="105">
        <f t="shared" si="4"/>
        <v>1634.6153846153845</v>
      </c>
      <c r="P14" s="105">
        <f t="shared" si="5"/>
        <v>0</v>
      </c>
      <c r="Q14" s="75">
        <v>4</v>
      </c>
      <c r="R14" s="75">
        <v>2</v>
      </c>
      <c r="S14" s="75" t="s">
        <v>947</v>
      </c>
      <c r="T14" s="5" t="s">
        <v>576</v>
      </c>
      <c r="U14" s="9"/>
      <c r="W14" s="104">
        <f t="shared" si="6"/>
        <v>171.3</v>
      </c>
      <c r="X14" s="106">
        <f t="shared" si="7"/>
        <v>52</v>
      </c>
      <c r="Y14" s="102">
        <f t="shared" si="8"/>
        <v>2</v>
      </c>
      <c r="Z14" s="109">
        <f t="shared" si="9"/>
        <v>85000</v>
      </c>
      <c r="AA14" s="109">
        <f t="shared" si="10"/>
        <v>0</v>
      </c>
      <c r="AB14" s="109">
        <f t="shared" si="11"/>
        <v>85000</v>
      </c>
      <c r="AC14" s="4">
        <f t="shared" si="12"/>
        <v>0</v>
      </c>
      <c r="AD14" s="105">
        <f t="shared" si="13"/>
        <v>1634.6153846153845</v>
      </c>
      <c r="AE14" s="75" t="str">
        <f t="shared" si="14"/>
        <v>계</v>
      </c>
      <c r="AF14" s="75" t="str">
        <f t="shared" si="15"/>
        <v>4/2</v>
      </c>
      <c r="AH14" s="20" t="str">
        <f t="shared" si="1"/>
        <v>엘에이치피닉스포레</v>
      </c>
      <c r="AI14" s="106">
        <f t="shared" si="0"/>
        <v>52</v>
      </c>
      <c r="AJ14" s="75" t="str">
        <f t="shared" si="16"/>
        <v>A-</v>
      </c>
      <c r="AK14" s="75" t="s">
        <v>14</v>
      </c>
      <c r="AL14" s="75" t="s">
        <v>944</v>
      </c>
      <c r="AM14" s="75" t="s">
        <v>945</v>
      </c>
      <c r="AN14" s="75" t="str">
        <f t="shared" si="17"/>
        <v>C</v>
      </c>
      <c r="AO14" s="75" t="str">
        <f t="shared" si="18"/>
        <v>X</v>
      </c>
      <c r="AP14" s="75" t="str">
        <f t="shared" si="19"/>
        <v>X</v>
      </c>
      <c r="AQ14" s="75" t="str">
        <f t="shared" si="20"/>
        <v>X</v>
      </c>
      <c r="AR14" s="75" t="str">
        <f t="shared" si="21"/>
        <v>X</v>
      </c>
      <c r="AS14" s="75" t="s">
        <v>2</v>
      </c>
      <c r="AT14" s="75" t="str">
        <f t="shared" si="22"/>
        <v>X</v>
      </c>
      <c r="AU14" s="75" t="str">
        <f t="shared" si="23"/>
        <v>O</v>
      </c>
      <c r="AV14" s="75" t="str">
        <f t="shared" si="24"/>
        <v>X</v>
      </c>
    </row>
    <row r="15" spans="1:48" x14ac:dyDescent="0.3">
      <c r="A15" s="9" t="s">
        <v>563</v>
      </c>
      <c r="B15" s="10" t="s">
        <v>962</v>
      </c>
      <c r="C15" s="107">
        <v>507</v>
      </c>
      <c r="D15" s="104">
        <v>172.2</v>
      </c>
      <c r="E15" s="106">
        <v>52</v>
      </c>
      <c r="F15" s="104">
        <v>135</v>
      </c>
      <c r="G15" s="17">
        <v>41</v>
      </c>
      <c r="H15" s="107">
        <v>48</v>
      </c>
      <c r="I15" s="108">
        <v>68000</v>
      </c>
      <c r="J15" s="108" t="s">
        <v>949</v>
      </c>
      <c r="K15" s="108"/>
      <c r="L15" s="108"/>
      <c r="M15" s="109">
        <f t="shared" si="2"/>
        <v>68000</v>
      </c>
      <c r="N15" s="4">
        <f t="shared" si="3"/>
        <v>0</v>
      </c>
      <c r="O15" s="105">
        <f t="shared" si="4"/>
        <v>1307.6923076923076</v>
      </c>
      <c r="P15" s="105">
        <f t="shared" si="5"/>
        <v>0</v>
      </c>
      <c r="Q15" s="75">
        <v>4</v>
      </c>
      <c r="R15" s="75">
        <v>2</v>
      </c>
      <c r="S15" s="75" t="s">
        <v>947</v>
      </c>
      <c r="T15" s="5" t="s">
        <v>577</v>
      </c>
      <c r="U15" s="9"/>
      <c r="W15" s="104">
        <f t="shared" si="6"/>
        <v>172.2</v>
      </c>
      <c r="X15" s="106">
        <f t="shared" si="7"/>
        <v>52</v>
      </c>
      <c r="Y15" s="102">
        <f t="shared" si="8"/>
        <v>48</v>
      </c>
      <c r="Z15" s="109">
        <f t="shared" si="9"/>
        <v>68000</v>
      </c>
      <c r="AA15" s="109">
        <f t="shared" si="10"/>
        <v>0</v>
      </c>
      <c r="AB15" s="109">
        <f t="shared" si="11"/>
        <v>68000</v>
      </c>
      <c r="AC15" s="4">
        <f t="shared" si="12"/>
        <v>0</v>
      </c>
      <c r="AD15" s="105">
        <f t="shared" si="13"/>
        <v>1307.6923076923076</v>
      </c>
      <c r="AE15" s="75" t="str">
        <f t="shared" si="14"/>
        <v>계</v>
      </c>
      <c r="AF15" s="75" t="str">
        <f t="shared" si="15"/>
        <v>4/2</v>
      </c>
      <c r="AH15" s="20" t="str">
        <f t="shared" si="1"/>
        <v>엘에이치피닉스포레</v>
      </c>
      <c r="AI15" s="106">
        <f t="shared" si="0"/>
        <v>52</v>
      </c>
      <c r="AJ15" s="75" t="str">
        <f t="shared" si="16"/>
        <v>A-</v>
      </c>
      <c r="AK15" s="75" t="s">
        <v>14</v>
      </c>
      <c r="AL15" s="75" t="s">
        <v>944</v>
      </c>
      <c r="AM15" s="75" t="s">
        <v>945</v>
      </c>
      <c r="AN15" s="75" t="str">
        <f t="shared" si="17"/>
        <v>C</v>
      </c>
      <c r="AO15" s="75" t="str">
        <f t="shared" si="18"/>
        <v>X</v>
      </c>
      <c r="AP15" s="75" t="str">
        <f t="shared" si="19"/>
        <v>X</v>
      </c>
      <c r="AQ15" s="75" t="str">
        <f t="shared" si="20"/>
        <v>X</v>
      </c>
      <c r="AR15" s="75" t="str">
        <f t="shared" si="21"/>
        <v>X</v>
      </c>
      <c r="AS15" s="75" t="s">
        <v>2</v>
      </c>
      <c r="AT15" s="75" t="str">
        <f t="shared" si="22"/>
        <v>X</v>
      </c>
      <c r="AU15" s="75" t="str">
        <f t="shared" si="23"/>
        <v>O</v>
      </c>
      <c r="AV15" s="75" t="str">
        <f t="shared" si="24"/>
        <v>X</v>
      </c>
    </row>
  </sheetData>
  <mergeCells count="1">
    <mergeCell ref="AJ1:AN1"/>
  </mergeCells>
  <phoneticPr fontId="2" type="noConversion"/>
  <conditionalFormatting sqref="AV4:AV6">
    <cfRule type="expression" dxfId="2511" priority="191">
      <formula>AV4="X"</formula>
    </cfRule>
    <cfRule type="expression" dxfId="2510" priority="192">
      <formula>AV4="후보"</formula>
    </cfRule>
  </conditionalFormatting>
  <conditionalFormatting sqref="AC1:AC2 AC4:AC6 N4:N5">
    <cfRule type="cellIs" dxfId="2509" priority="188" operator="greaterThan">
      <formula>0.9</formula>
    </cfRule>
    <cfRule type="cellIs" dxfId="2508" priority="189" operator="greaterThan">
      <formula>0.85</formula>
    </cfRule>
  </conditionalFormatting>
  <conditionalFormatting sqref="N1:N2">
    <cfRule type="cellIs" dxfId="2507" priority="186" operator="greaterThan">
      <formula>0.9</formula>
    </cfRule>
    <cfRule type="cellIs" dxfId="2506" priority="187" operator="greaterThan">
      <formula>0.85</formula>
    </cfRule>
  </conditionalFormatting>
  <conditionalFormatting sqref="N6">
    <cfRule type="cellIs" dxfId="2505" priority="184" operator="greaterThan">
      <formula>0.9</formula>
    </cfRule>
    <cfRule type="cellIs" dxfId="2504" priority="185" operator="greaterThan">
      <formula>0.85</formula>
    </cfRule>
  </conditionalFormatting>
  <conditionalFormatting sqref="E6">
    <cfRule type="expression" dxfId="2503" priority="180">
      <formula>AND(IF(OR($Q6=1,$Q6=2),1,0),IF($X6&lt;=20,1,0))</formula>
    </cfRule>
    <cfRule type="expression" dxfId="2502" priority="181">
      <formula>AND(IF($Q6=2,1,0),IF($X6&lt;30,1,0))</formula>
    </cfRule>
    <cfRule type="expression" dxfId="2501" priority="182">
      <formula>AND(IF($Q6=3,1,0),IF($X6&lt;30,1,0))</formula>
    </cfRule>
    <cfRule type="expression" dxfId="2500" priority="183">
      <formula>AND(IF($Q6=3,1,IF($Q6=4,1,0)),IF($F6&lt;=85,1,0))</formula>
    </cfRule>
  </conditionalFormatting>
  <conditionalFormatting sqref="X6">
    <cfRule type="expression" dxfId="2499" priority="176">
      <formula>AND(IF(OR($Q6=1,$Q6=2),1,0),IF($X6&lt;=20,1,0))</formula>
    </cfRule>
    <cfRule type="expression" dxfId="2498" priority="177">
      <formula>AND(IF($Q6=2,1,0),IF($X6&lt;30,1,0))</formula>
    </cfRule>
    <cfRule type="expression" dxfId="2497" priority="178">
      <formula>AND(IF($Q6=3,1,0),IF($X6&lt;30,1,0))</formula>
    </cfRule>
    <cfRule type="expression" dxfId="2496" priority="179">
      <formula>AND(IF($Q6=3,1,IF($Q6=4,1,0)),IF($F6&lt;=85,1,0))</formula>
    </cfRule>
  </conditionalFormatting>
  <conditionalFormatting sqref="AI6">
    <cfRule type="expression" dxfId="2495" priority="172">
      <formula>AND(IF(OR($Q6=1,$Q6=2),1,0),IF($X6&lt;=20,1,0))</formula>
    </cfRule>
    <cfRule type="expression" dxfId="2494" priority="173">
      <formula>AND(IF($Q6=2,1,0),IF($X6&lt;30,1,0))</formula>
    </cfRule>
    <cfRule type="expression" dxfId="2493" priority="174">
      <formula>AND(IF($Q6=3,1,0),IF($X6&lt;30,1,0))</formula>
    </cfRule>
    <cfRule type="expression" dxfId="2492" priority="175">
      <formula>AND(IF($Q6=3,1,IF($Q6=4,1,0)),IF($F6&lt;=85,1,0))</formula>
    </cfRule>
  </conditionalFormatting>
  <conditionalFormatting sqref="AV7">
    <cfRule type="expression" dxfId="2491" priority="170">
      <formula>AV7="X"</formula>
    </cfRule>
    <cfRule type="expression" dxfId="2490" priority="171">
      <formula>AV7="후보"</formula>
    </cfRule>
  </conditionalFormatting>
  <conditionalFormatting sqref="AC7">
    <cfRule type="cellIs" dxfId="2489" priority="167" operator="greaterThan">
      <formula>0.9</formula>
    </cfRule>
    <cfRule type="cellIs" dxfId="2488" priority="168" operator="greaterThan">
      <formula>0.85</formula>
    </cfRule>
  </conditionalFormatting>
  <conditionalFormatting sqref="N7">
    <cfRule type="cellIs" dxfId="2487" priority="165" operator="greaterThan">
      <formula>0.9</formula>
    </cfRule>
    <cfRule type="cellIs" dxfId="2486" priority="166" operator="greaterThan">
      <formula>0.85</formula>
    </cfRule>
  </conditionalFormatting>
  <conditionalFormatting sqref="E7">
    <cfRule type="expression" dxfId="2485" priority="161">
      <formula>AND(IF(OR($Q7=1,$Q7=2),1,0),IF($X7&lt;=20,1,0))</formula>
    </cfRule>
    <cfRule type="expression" dxfId="2484" priority="162">
      <formula>AND(IF($Q7=2,1,0),IF($X7&lt;30,1,0))</formula>
    </cfRule>
    <cfRule type="expression" dxfId="2483" priority="163">
      <formula>AND(IF($Q7=3,1,0),IF($X7&lt;30,1,0))</formula>
    </cfRule>
    <cfRule type="expression" dxfId="2482" priority="164">
      <formula>AND(IF($Q7=3,1,IF($Q7=4,1,0)),IF($F7&lt;=85,1,0))</formula>
    </cfRule>
  </conditionalFormatting>
  <conditionalFormatting sqref="X7">
    <cfRule type="expression" dxfId="2481" priority="157">
      <formula>AND(IF(OR($Q7=1,$Q7=2),1,0),IF($X7&lt;=20,1,0))</formula>
    </cfRule>
    <cfRule type="expression" dxfId="2480" priority="158">
      <formula>AND(IF($Q7=2,1,0),IF($X7&lt;30,1,0))</formula>
    </cfRule>
    <cfRule type="expression" dxfId="2479" priority="159">
      <formula>AND(IF($Q7=3,1,0),IF($X7&lt;30,1,0))</formula>
    </cfRule>
    <cfRule type="expression" dxfId="2478" priority="160">
      <formula>AND(IF($Q7=3,1,IF($Q7=4,1,0)),IF($F7&lt;=85,1,0))</formula>
    </cfRule>
  </conditionalFormatting>
  <conditionalFormatting sqref="AI7">
    <cfRule type="expression" dxfId="2477" priority="153">
      <formula>AND(IF(OR($Q7=1,$Q7=2),1,0),IF($X7&lt;=20,1,0))</formula>
    </cfRule>
    <cfRule type="expression" dxfId="2476" priority="154">
      <formula>AND(IF($Q7=2,1,0),IF($X7&lt;30,1,0))</formula>
    </cfRule>
    <cfRule type="expression" dxfId="2475" priority="155">
      <formula>AND(IF($Q7=3,1,0),IF($X7&lt;30,1,0))</formula>
    </cfRule>
    <cfRule type="expression" dxfId="2474" priority="156">
      <formula>AND(IF($Q7=3,1,IF($Q7=4,1,0)),IF($F7&lt;=85,1,0))</formula>
    </cfRule>
  </conditionalFormatting>
  <conditionalFormatting sqref="AV8">
    <cfRule type="expression" dxfId="2473" priority="151">
      <formula>AV8="X"</formula>
    </cfRule>
    <cfRule type="expression" dxfId="2472" priority="152">
      <formula>AV8="후보"</formula>
    </cfRule>
  </conditionalFormatting>
  <conditionalFormatting sqref="AC8">
    <cfRule type="cellIs" dxfId="2471" priority="148" operator="greaterThan">
      <formula>0.9</formula>
    </cfRule>
    <cfRule type="cellIs" dxfId="2470" priority="149" operator="greaterThan">
      <formula>0.85</formula>
    </cfRule>
  </conditionalFormatting>
  <conditionalFormatting sqref="N8">
    <cfRule type="cellIs" dxfId="2469" priority="146" operator="greaterThan">
      <formula>0.9</formula>
    </cfRule>
    <cfRule type="cellIs" dxfId="2468" priority="147" operator="greaterThan">
      <formula>0.85</formula>
    </cfRule>
  </conditionalFormatting>
  <conditionalFormatting sqref="E8">
    <cfRule type="expression" dxfId="2467" priority="142">
      <formula>AND(IF(OR($Q8=1,$Q8=2),1,0),IF($X8&lt;=20,1,0))</formula>
    </cfRule>
    <cfRule type="expression" dxfId="2466" priority="143">
      <formula>AND(IF($Q8=2,1,0),IF($X8&lt;30,1,0))</formula>
    </cfRule>
    <cfRule type="expression" dxfId="2465" priority="144">
      <formula>AND(IF($Q8=3,1,0),IF($X8&lt;30,1,0))</formula>
    </cfRule>
    <cfRule type="expression" dxfId="2464" priority="145">
      <formula>AND(IF($Q8=3,1,IF($Q8=4,1,0)),IF($F8&lt;=85,1,0))</formula>
    </cfRule>
  </conditionalFormatting>
  <conditionalFormatting sqref="X8">
    <cfRule type="expression" dxfId="2463" priority="138">
      <formula>AND(IF(OR($Q8=1,$Q8=2),1,0),IF($X8&lt;=20,1,0))</formula>
    </cfRule>
    <cfRule type="expression" dxfId="2462" priority="139">
      <formula>AND(IF($Q8=2,1,0),IF($X8&lt;30,1,0))</formula>
    </cfRule>
    <cfRule type="expression" dxfId="2461" priority="140">
      <formula>AND(IF($Q8=3,1,0),IF($X8&lt;30,1,0))</formula>
    </cfRule>
    <cfRule type="expression" dxfId="2460" priority="141">
      <formula>AND(IF($Q8=3,1,IF($Q8=4,1,0)),IF($F8&lt;=85,1,0))</formula>
    </cfRule>
  </conditionalFormatting>
  <conditionalFormatting sqref="AI8">
    <cfRule type="expression" dxfId="2459" priority="134">
      <formula>AND(IF(OR($Q8=1,$Q8=2),1,0),IF($X8&lt;=20,1,0))</formula>
    </cfRule>
    <cfRule type="expression" dxfId="2458" priority="135">
      <formula>AND(IF($Q8=2,1,0),IF($X8&lt;30,1,0))</formula>
    </cfRule>
    <cfRule type="expression" dxfId="2457" priority="136">
      <formula>AND(IF($Q8=3,1,0),IF($X8&lt;30,1,0))</formula>
    </cfRule>
    <cfRule type="expression" dxfId="2456" priority="137">
      <formula>AND(IF($Q8=3,1,IF($Q8=4,1,0)),IF($F8&lt;=85,1,0))</formula>
    </cfRule>
  </conditionalFormatting>
  <conditionalFormatting sqref="AV9">
    <cfRule type="expression" dxfId="2455" priority="132">
      <formula>AV9="X"</formula>
    </cfRule>
    <cfRule type="expression" dxfId="2454" priority="133">
      <formula>AV9="후보"</formula>
    </cfRule>
  </conditionalFormatting>
  <conditionalFormatting sqref="AC9">
    <cfRule type="cellIs" dxfId="2453" priority="129" operator="greaterThan">
      <formula>0.9</formula>
    </cfRule>
    <cfRule type="cellIs" dxfId="2452" priority="130" operator="greaterThan">
      <formula>0.85</formula>
    </cfRule>
  </conditionalFormatting>
  <conditionalFormatting sqref="N9">
    <cfRule type="cellIs" dxfId="2451" priority="127" operator="greaterThan">
      <formula>0.9</formula>
    </cfRule>
    <cfRule type="cellIs" dxfId="2450" priority="128" operator="greaterThan">
      <formula>0.85</formula>
    </cfRule>
  </conditionalFormatting>
  <conditionalFormatting sqref="E9">
    <cfRule type="expression" dxfId="2449" priority="123">
      <formula>AND(IF(OR($Q9=1,$Q9=2),1,0),IF($X9&lt;=20,1,0))</formula>
    </cfRule>
    <cfRule type="expression" dxfId="2448" priority="124">
      <formula>AND(IF($Q9=2,1,0),IF($X9&lt;30,1,0))</formula>
    </cfRule>
    <cfRule type="expression" dxfId="2447" priority="125">
      <formula>AND(IF($Q9=3,1,0),IF($X9&lt;30,1,0))</formula>
    </cfRule>
    <cfRule type="expression" dxfId="2446" priority="126">
      <formula>AND(IF($Q9=3,1,IF($Q9=4,1,0)),IF($F9&lt;=85,1,0))</formula>
    </cfRule>
  </conditionalFormatting>
  <conditionalFormatting sqref="X9">
    <cfRule type="expression" dxfId="2445" priority="119">
      <formula>AND(IF(OR($Q9=1,$Q9=2),1,0),IF($X9&lt;=20,1,0))</formula>
    </cfRule>
    <cfRule type="expression" dxfId="2444" priority="120">
      <formula>AND(IF($Q9=2,1,0),IF($X9&lt;30,1,0))</formula>
    </cfRule>
    <cfRule type="expression" dxfId="2443" priority="121">
      <formula>AND(IF($Q9=3,1,0),IF($X9&lt;30,1,0))</formula>
    </cfRule>
    <cfRule type="expression" dxfId="2442" priority="122">
      <formula>AND(IF($Q9=3,1,IF($Q9=4,1,0)),IF($F9&lt;=85,1,0))</formula>
    </cfRule>
  </conditionalFormatting>
  <conditionalFormatting sqref="AI9">
    <cfRule type="expression" dxfId="2441" priority="115">
      <formula>AND(IF(OR($Q9=1,$Q9=2),1,0),IF($X9&lt;=20,1,0))</formula>
    </cfRule>
    <cfRule type="expression" dxfId="2440" priority="116">
      <formula>AND(IF($Q9=2,1,0),IF($X9&lt;30,1,0))</formula>
    </cfRule>
    <cfRule type="expression" dxfId="2439" priority="117">
      <formula>AND(IF($Q9=3,1,0),IF($X9&lt;30,1,0))</formula>
    </cfRule>
    <cfRule type="expression" dxfId="2438" priority="118">
      <formula>AND(IF($Q9=3,1,IF($Q9=4,1,0)),IF($F9&lt;=85,1,0))</formula>
    </cfRule>
  </conditionalFormatting>
  <conditionalFormatting sqref="AV10">
    <cfRule type="expression" dxfId="2437" priority="113">
      <formula>AV10="X"</formula>
    </cfRule>
    <cfRule type="expression" dxfId="2436" priority="114">
      <formula>AV10="후보"</formula>
    </cfRule>
  </conditionalFormatting>
  <conditionalFormatting sqref="AC10">
    <cfRule type="cellIs" dxfId="2435" priority="110" operator="greaterThan">
      <formula>0.9</formula>
    </cfRule>
    <cfRule type="cellIs" dxfId="2434" priority="111" operator="greaterThan">
      <formula>0.85</formula>
    </cfRule>
  </conditionalFormatting>
  <conditionalFormatting sqref="N10">
    <cfRule type="cellIs" dxfId="2433" priority="108" operator="greaterThan">
      <formula>0.9</formula>
    </cfRule>
    <cfRule type="cellIs" dxfId="2432" priority="109" operator="greaterThan">
      <formula>0.85</formula>
    </cfRule>
  </conditionalFormatting>
  <conditionalFormatting sqref="E10">
    <cfRule type="expression" dxfId="2431" priority="104">
      <formula>AND(IF(OR($Q10=1,$Q10=2),1,0),IF($X10&lt;=20,1,0))</formula>
    </cfRule>
    <cfRule type="expression" dxfId="2430" priority="105">
      <formula>AND(IF($Q10=2,1,0),IF($X10&lt;30,1,0))</formula>
    </cfRule>
    <cfRule type="expression" dxfId="2429" priority="106">
      <formula>AND(IF($Q10=3,1,0),IF($X10&lt;30,1,0))</formula>
    </cfRule>
    <cfRule type="expression" dxfId="2428" priority="107">
      <formula>AND(IF($Q10=3,1,IF($Q10=4,1,0)),IF($F10&lt;=85,1,0))</formula>
    </cfRule>
  </conditionalFormatting>
  <conditionalFormatting sqref="X10">
    <cfRule type="expression" dxfId="2427" priority="100">
      <formula>AND(IF(OR($Q10=1,$Q10=2),1,0),IF($X10&lt;=20,1,0))</formula>
    </cfRule>
    <cfRule type="expression" dxfId="2426" priority="101">
      <formula>AND(IF($Q10=2,1,0),IF($X10&lt;30,1,0))</formula>
    </cfRule>
    <cfRule type="expression" dxfId="2425" priority="102">
      <formula>AND(IF($Q10=3,1,0),IF($X10&lt;30,1,0))</formula>
    </cfRule>
    <cfRule type="expression" dxfId="2424" priority="103">
      <formula>AND(IF($Q10=3,1,IF($Q10=4,1,0)),IF($F10&lt;=85,1,0))</formula>
    </cfRule>
  </conditionalFormatting>
  <conditionalFormatting sqref="AI10">
    <cfRule type="expression" dxfId="2423" priority="96">
      <formula>AND(IF(OR($Q10=1,$Q10=2),1,0),IF($X10&lt;=20,1,0))</formula>
    </cfRule>
    <cfRule type="expression" dxfId="2422" priority="97">
      <formula>AND(IF($Q10=2,1,0),IF($X10&lt;30,1,0))</formula>
    </cfRule>
    <cfRule type="expression" dxfId="2421" priority="98">
      <formula>AND(IF($Q10=3,1,0),IF($X10&lt;30,1,0))</formula>
    </cfRule>
    <cfRule type="expression" dxfId="2420" priority="99">
      <formula>AND(IF($Q10=3,1,IF($Q10=4,1,0)),IF($F10&lt;=85,1,0))</formula>
    </cfRule>
  </conditionalFormatting>
  <conditionalFormatting sqref="AV11">
    <cfRule type="expression" dxfId="2419" priority="94">
      <formula>AV11="X"</formula>
    </cfRule>
    <cfRule type="expression" dxfId="2418" priority="95">
      <formula>AV11="후보"</formula>
    </cfRule>
  </conditionalFormatting>
  <conditionalFormatting sqref="AC11">
    <cfRule type="cellIs" dxfId="2417" priority="91" operator="greaterThan">
      <formula>0.9</formula>
    </cfRule>
    <cfRule type="cellIs" dxfId="2416" priority="92" operator="greaterThan">
      <formula>0.85</formula>
    </cfRule>
  </conditionalFormatting>
  <conditionalFormatting sqref="N11">
    <cfRule type="cellIs" dxfId="2415" priority="89" operator="greaterThan">
      <formula>0.9</formula>
    </cfRule>
    <cfRule type="cellIs" dxfId="2414" priority="90" operator="greaterThan">
      <formula>0.85</formula>
    </cfRule>
  </conditionalFormatting>
  <conditionalFormatting sqref="E11">
    <cfRule type="expression" dxfId="2413" priority="85">
      <formula>AND(IF(OR($Q11=1,$Q11=2),1,0),IF($X11&lt;=20,1,0))</formula>
    </cfRule>
    <cfRule type="expression" dxfId="2412" priority="86">
      <formula>AND(IF($Q11=2,1,0),IF($X11&lt;30,1,0))</formula>
    </cfRule>
    <cfRule type="expression" dxfId="2411" priority="87">
      <formula>AND(IF($Q11=3,1,0),IF($X11&lt;30,1,0))</formula>
    </cfRule>
    <cfRule type="expression" dxfId="2410" priority="88">
      <formula>AND(IF($Q11=3,1,IF($Q11=4,1,0)),IF($F11&lt;=85,1,0))</formula>
    </cfRule>
  </conditionalFormatting>
  <conditionalFormatting sqref="X11">
    <cfRule type="expression" dxfId="2409" priority="81">
      <formula>AND(IF(OR($Q11=1,$Q11=2),1,0),IF($X11&lt;=20,1,0))</formula>
    </cfRule>
    <cfRule type="expression" dxfId="2408" priority="82">
      <formula>AND(IF($Q11=2,1,0),IF($X11&lt;30,1,0))</formula>
    </cfRule>
    <cfRule type="expression" dxfId="2407" priority="83">
      <formula>AND(IF($Q11=3,1,0),IF($X11&lt;30,1,0))</formula>
    </cfRule>
    <cfRule type="expression" dxfId="2406" priority="84">
      <formula>AND(IF($Q11=3,1,IF($Q11=4,1,0)),IF($F11&lt;=85,1,0))</formula>
    </cfRule>
  </conditionalFormatting>
  <conditionalFormatting sqref="AI11">
    <cfRule type="expression" dxfId="2405" priority="77">
      <formula>AND(IF(OR($Q11=1,$Q11=2),1,0),IF($X11&lt;=20,1,0))</formula>
    </cfRule>
    <cfRule type="expression" dxfId="2404" priority="78">
      <formula>AND(IF($Q11=2,1,0),IF($X11&lt;30,1,0))</formula>
    </cfRule>
    <cfRule type="expression" dxfId="2403" priority="79">
      <formula>AND(IF($Q11=3,1,0),IF($X11&lt;30,1,0))</formula>
    </cfRule>
    <cfRule type="expression" dxfId="2402" priority="80">
      <formula>AND(IF($Q11=3,1,IF($Q11=4,1,0)),IF($F11&lt;=85,1,0))</formula>
    </cfRule>
  </conditionalFormatting>
  <conditionalFormatting sqref="AV12">
    <cfRule type="expression" dxfId="2401" priority="75">
      <formula>AV12="X"</formula>
    </cfRule>
    <cfRule type="expression" dxfId="2400" priority="76">
      <formula>AV12="후보"</formula>
    </cfRule>
  </conditionalFormatting>
  <conditionalFormatting sqref="AC12">
    <cfRule type="cellIs" dxfId="2399" priority="72" operator="greaterThan">
      <formula>0.9</formula>
    </cfRule>
    <cfRule type="cellIs" dxfId="2398" priority="73" operator="greaterThan">
      <formula>0.85</formula>
    </cfRule>
  </conditionalFormatting>
  <conditionalFormatting sqref="N12">
    <cfRule type="cellIs" dxfId="2397" priority="70" operator="greaterThan">
      <formula>0.9</formula>
    </cfRule>
    <cfRule type="cellIs" dxfId="2396" priority="71" operator="greaterThan">
      <formula>0.85</formula>
    </cfRule>
  </conditionalFormatting>
  <conditionalFormatting sqref="E12">
    <cfRule type="expression" dxfId="2395" priority="66">
      <formula>AND(IF(OR($Q12=1,$Q12=2),1,0),IF($X12&lt;=20,1,0))</formula>
    </cfRule>
    <cfRule type="expression" dxfId="2394" priority="67">
      <formula>AND(IF($Q12=2,1,0),IF($X12&lt;30,1,0))</formula>
    </cfRule>
    <cfRule type="expression" dxfId="2393" priority="68">
      <formula>AND(IF($Q12=3,1,0),IF($X12&lt;30,1,0))</formula>
    </cfRule>
    <cfRule type="expression" dxfId="2392" priority="69">
      <formula>AND(IF($Q12=3,1,IF($Q12=4,1,0)),IF($F12&lt;=85,1,0))</formula>
    </cfRule>
  </conditionalFormatting>
  <conditionalFormatting sqref="X12">
    <cfRule type="expression" dxfId="2391" priority="62">
      <formula>AND(IF(OR($Q12=1,$Q12=2),1,0),IF($X12&lt;=20,1,0))</formula>
    </cfRule>
    <cfRule type="expression" dxfId="2390" priority="63">
      <formula>AND(IF($Q12=2,1,0),IF($X12&lt;30,1,0))</formula>
    </cfRule>
    <cfRule type="expression" dxfId="2389" priority="64">
      <formula>AND(IF($Q12=3,1,0),IF($X12&lt;30,1,0))</formula>
    </cfRule>
    <cfRule type="expression" dxfId="2388" priority="65">
      <formula>AND(IF($Q12=3,1,IF($Q12=4,1,0)),IF($F12&lt;=85,1,0))</formula>
    </cfRule>
  </conditionalFormatting>
  <conditionalFormatting sqref="AI12">
    <cfRule type="expression" dxfId="2387" priority="58">
      <formula>AND(IF(OR($Q12=1,$Q12=2),1,0),IF($X12&lt;=20,1,0))</formula>
    </cfRule>
    <cfRule type="expression" dxfId="2386" priority="59">
      <formula>AND(IF($Q12=2,1,0),IF($X12&lt;30,1,0))</formula>
    </cfRule>
    <cfRule type="expression" dxfId="2385" priority="60">
      <formula>AND(IF($Q12=3,1,0),IF($X12&lt;30,1,0))</formula>
    </cfRule>
    <cfRule type="expression" dxfId="2384" priority="61">
      <formula>AND(IF($Q12=3,1,IF($Q12=4,1,0)),IF($F12&lt;=85,1,0))</formula>
    </cfRule>
  </conditionalFormatting>
  <conditionalFormatting sqref="AV13">
    <cfRule type="expression" dxfId="2383" priority="56">
      <formula>AV13="X"</formula>
    </cfRule>
    <cfRule type="expression" dxfId="2382" priority="57">
      <formula>AV13="후보"</formula>
    </cfRule>
  </conditionalFormatting>
  <conditionalFormatting sqref="AC13">
    <cfRule type="cellIs" dxfId="2381" priority="53" operator="greaterThan">
      <formula>0.9</formula>
    </cfRule>
    <cfRule type="cellIs" dxfId="2380" priority="54" operator="greaterThan">
      <formula>0.85</formula>
    </cfRule>
  </conditionalFormatting>
  <conditionalFormatting sqref="N13">
    <cfRule type="cellIs" dxfId="2379" priority="51" operator="greaterThan">
      <formula>0.9</formula>
    </cfRule>
    <cfRule type="cellIs" dxfId="2378" priority="52" operator="greaterThan">
      <formula>0.85</formula>
    </cfRule>
  </conditionalFormatting>
  <conditionalFormatting sqref="E13">
    <cfRule type="expression" dxfId="2377" priority="47">
      <formula>AND(IF(OR($Q13=1,$Q13=2),1,0),IF($X13&lt;=20,1,0))</formula>
    </cfRule>
    <cfRule type="expression" dxfId="2376" priority="48">
      <formula>AND(IF($Q13=2,1,0),IF($X13&lt;30,1,0))</formula>
    </cfRule>
    <cfRule type="expression" dxfId="2375" priority="49">
      <formula>AND(IF($Q13=3,1,0),IF($X13&lt;30,1,0))</formula>
    </cfRule>
    <cfRule type="expression" dxfId="2374" priority="50">
      <formula>AND(IF($Q13=3,1,IF($Q13=4,1,0)),IF($F13&lt;=85,1,0))</formula>
    </cfRule>
  </conditionalFormatting>
  <conditionalFormatting sqref="X13">
    <cfRule type="expression" dxfId="2373" priority="43">
      <formula>AND(IF(OR($Q13=1,$Q13=2),1,0),IF($X13&lt;=20,1,0))</formula>
    </cfRule>
    <cfRule type="expression" dxfId="2372" priority="44">
      <formula>AND(IF($Q13=2,1,0),IF($X13&lt;30,1,0))</formula>
    </cfRule>
    <cfRule type="expression" dxfId="2371" priority="45">
      <formula>AND(IF($Q13=3,1,0),IF($X13&lt;30,1,0))</formula>
    </cfRule>
    <cfRule type="expression" dxfId="2370" priority="46">
      <formula>AND(IF($Q13=3,1,IF($Q13=4,1,0)),IF($F13&lt;=85,1,0))</formula>
    </cfRule>
  </conditionalFormatting>
  <conditionalFormatting sqref="AI13">
    <cfRule type="expression" dxfId="2369" priority="39">
      <formula>AND(IF(OR($Q13=1,$Q13=2),1,0),IF($X13&lt;=20,1,0))</formula>
    </cfRule>
    <cfRule type="expression" dxfId="2368" priority="40">
      <formula>AND(IF($Q13=2,1,0),IF($X13&lt;30,1,0))</formula>
    </cfRule>
    <cfRule type="expression" dxfId="2367" priority="41">
      <formula>AND(IF($Q13=3,1,0),IF($X13&lt;30,1,0))</formula>
    </cfRule>
    <cfRule type="expression" dxfId="2366" priority="42">
      <formula>AND(IF($Q13=3,1,IF($Q13=4,1,0)),IF($F13&lt;=85,1,0))</formula>
    </cfRule>
  </conditionalFormatting>
  <conditionalFormatting sqref="AV14">
    <cfRule type="expression" dxfId="2365" priority="37">
      <formula>AV14="X"</formula>
    </cfRule>
    <cfRule type="expression" dxfId="2364" priority="38">
      <formula>AV14="후보"</formula>
    </cfRule>
  </conditionalFormatting>
  <conditionalFormatting sqref="AC14">
    <cfRule type="cellIs" dxfId="2363" priority="34" operator="greaterThan">
      <formula>0.9</formula>
    </cfRule>
    <cfRule type="cellIs" dxfId="2362" priority="35" operator="greaterThan">
      <formula>0.85</formula>
    </cfRule>
  </conditionalFormatting>
  <conditionalFormatting sqref="N14">
    <cfRule type="cellIs" dxfId="2361" priority="32" operator="greaterThan">
      <formula>0.9</formula>
    </cfRule>
    <cfRule type="cellIs" dxfId="2360" priority="33" operator="greaterThan">
      <formula>0.85</formula>
    </cfRule>
  </conditionalFormatting>
  <conditionalFormatting sqref="E14">
    <cfRule type="expression" dxfId="2359" priority="28">
      <formula>AND(IF(OR($Q14=1,$Q14=2),1,0),IF($X14&lt;=20,1,0))</formula>
    </cfRule>
    <cfRule type="expression" dxfId="2358" priority="29">
      <formula>AND(IF($Q14=2,1,0),IF($X14&lt;30,1,0))</formula>
    </cfRule>
    <cfRule type="expression" dxfId="2357" priority="30">
      <formula>AND(IF($Q14=3,1,0),IF($X14&lt;30,1,0))</formula>
    </cfRule>
    <cfRule type="expression" dxfId="2356" priority="31">
      <formula>AND(IF($Q14=3,1,IF($Q14=4,1,0)),IF($F14&lt;=85,1,0))</formula>
    </cfRule>
  </conditionalFormatting>
  <conditionalFormatting sqref="X14">
    <cfRule type="expression" dxfId="2355" priority="24">
      <formula>AND(IF(OR($Q14=1,$Q14=2),1,0),IF($X14&lt;=20,1,0))</formula>
    </cfRule>
    <cfRule type="expression" dxfId="2354" priority="25">
      <formula>AND(IF($Q14=2,1,0),IF($X14&lt;30,1,0))</formula>
    </cfRule>
    <cfRule type="expression" dxfId="2353" priority="26">
      <formula>AND(IF($Q14=3,1,0),IF($X14&lt;30,1,0))</formula>
    </cfRule>
    <cfRule type="expression" dxfId="2352" priority="27">
      <formula>AND(IF($Q14=3,1,IF($Q14=4,1,0)),IF($F14&lt;=85,1,0))</formula>
    </cfRule>
  </conditionalFormatting>
  <conditionalFormatting sqref="AI14">
    <cfRule type="expression" dxfId="2351" priority="20">
      <formula>AND(IF(OR($Q14=1,$Q14=2),1,0),IF($X14&lt;=20,1,0))</formula>
    </cfRule>
    <cfRule type="expression" dxfId="2350" priority="21">
      <formula>AND(IF($Q14=2,1,0),IF($X14&lt;30,1,0))</formula>
    </cfRule>
    <cfRule type="expression" dxfId="2349" priority="22">
      <formula>AND(IF($Q14=3,1,0),IF($X14&lt;30,1,0))</formula>
    </cfRule>
    <cfRule type="expression" dxfId="2348" priority="23">
      <formula>AND(IF($Q14=3,1,IF($Q14=4,1,0)),IF($F14&lt;=85,1,0))</formula>
    </cfRule>
  </conditionalFormatting>
  <conditionalFormatting sqref="AV15">
    <cfRule type="expression" dxfId="2347" priority="18">
      <formula>AV15="X"</formula>
    </cfRule>
    <cfRule type="expression" dxfId="2346" priority="19">
      <formula>AV15="후보"</formula>
    </cfRule>
  </conditionalFormatting>
  <conditionalFormatting sqref="AC15">
    <cfRule type="cellIs" dxfId="2345" priority="15" operator="greaterThan">
      <formula>0.9</formula>
    </cfRule>
    <cfRule type="cellIs" dxfId="2344" priority="16" operator="greaterThan">
      <formula>0.85</formula>
    </cfRule>
  </conditionalFormatting>
  <conditionalFormatting sqref="N15">
    <cfRule type="cellIs" dxfId="2343" priority="13" operator="greaterThan">
      <formula>0.9</formula>
    </cfRule>
    <cfRule type="cellIs" dxfId="2342" priority="14" operator="greaterThan">
      <formula>0.85</formula>
    </cfRule>
  </conditionalFormatting>
  <conditionalFormatting sqref="E15">
    <cfRule type="expression" dxfId="2341" priority="9">
      <formula>AND(IF(OR($Q15=1,$Q15=2),1,0),IF($X15&lt;=20,1,0))</formula>
    </cfRule>
    <cfRule type="expression" dxfId="2340" priority="10">
      <formula>AND(IF($Q15=2,1,0),IF($X15&lt;30,1,0))</formula>
    </cfRule>
    <cfRule type="expression" dxfId="2339" priority="11">
      <formula>AND(IF($Q15=3,1,0),IF($X15&lt;30,1,0))</formula>
    </cfRule>
    <cfRule type="expression" dxfId="2338" priority="12">
      <formula>AND(IF($Q15=3,1,IF($Q15=4,1,0)),IF($F15&lt;=85,1,0))</formula>
    </cfRule>
  </conditionalFormatting>
  <conditionalFormatting sqref="X15">
    <cfRule type="expression" dxfId="2337" priority="5">
      <formula>AND(IF(OR($Q15=1,$Q15=2),1,0),IF($X15&lt;=20,1,0))</formula>
    </cfRule>
    <cfRule type="expression" dxfId="2336" priority="6">
      <formula>AND(IF($Q15=2,1,0),IF($X15&lt;30,1,0))</formula>
    </cfRule>
    <cfRule type="expression" dxfId="2335" priority="7">
      <formula>AND(IF($Q15=3,1,0),IF($X15&lt;30,1,0))</formula>
    </cfRule>
    <cfRule type="expression" dxfId="2334" priority="8">
      <formula>AND(IF($Q15=3,1,IF($Q15=4,1,0)),IF($F15&lt;=85,1,0))</formula>
    </cfRule>
  </conditionalFormatting>
  <conditionalFormatting sqref="AI15">
    <cfRule type="expression" dxfId="2333" priority="1">
      <formula>AND(IF(OR($Q15=1,$Q15=2),1,0),IF($X15&lt;=20,1,0))</formula>
    </cfRule>
    <cfRule type="expression" dxfId="2332" priority="2">
      <formula>AND(IF($Q15=2,1,0),IF($X15&lt;30,1,0))</formula>
    </cfRule>
    <cfRule type="expression" dxfId="2331" priority="3">
      <formula>AND(IF($Q15=3,1,0),IF($X15&lt;30,1,0))</formula>
    </cfRule>
    <cfRule type="expression" dxfId="233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북면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583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북면 창원무동동원로얄듀크('23.12.,525^)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585</v>
      </c>
      <c r="B6" s="10" t="s">
        <v>946</v>
      </c>
      <c r="C6" s="107">
        <v>525</v>
      </c>
      <c r="D6" s="104">
        <v>83.2</v>
      </c>
      <c r="E6" s="106">
        <v>25</v>
      </c>
      <c r="F6" s="104">
        <v>63.6</v>
      </c>
      <c r="G6" s="17">
        <v>19</v>
      </c>
      <c r="H6" s="107">
        <v>35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947</v>
      </c>
      <c r="T6" s="5" t="s">
        <v>391</v>
      </c>
      <c r="U6" s="9"/>
      <c r="W6" s="104">
        <f t="shared" ref="W6:X8" si="2">D6</f>
        <v>83.2</v>
      </c>
      <c r="X6" s="106">
        <f t="shared" si="2"/>
        <v>25</v>
      </c>
      <c r="Y6" s="102">
        <f t="shared" ref="Y6:Z8" si="3">H6</f>
        <v>35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창원무동동원로얄듀크</v>
      </c>
      <c r="AI6" s="106">
        <f t="shared" si="0"/>
        <v>25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585</v>
      </c>
      <c r="B7" s="10" t="s">
        <v>946</v>
      </c>
      <c r="C7" s="107">
        <v>525</v>
      </c>
      <c r="D7" s="104">
        <v>84.1</v>
      </c>
      <c r="E7" s="106">
        <v>25</v>
      </c>
      <c r="F7" s="104">
        <v>63.8</v>
      </c>
      <c r="G7" s="17">
        <v>19</v>
      </c>
      <c r="H7" s="107">
        <v>137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2</v>
      </c>
      <c r="S7" s="75" t="s">
        <v>947</v>
      </c>
      <c r="T7" s="5" t="s">
        <v>225</v>
      </c>
      <c r="U7" s="9"/>
      <c r="W7" s="104">
        <f t="shared" si="2"/>
        <v>84.1</v>
      </c>
      <c r="X7" s="106">
        <f t="shared" si="2"/>
        <v>25</v>
      </c>
      <c r="Y7" s="102">
        <f t="shared" si="3"/>
        <v>137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창원무동동원로얄듀크</v>
      </c>
      <c r="AI7" s="106">
        <f t="shared" si="0"/>
        <v>25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585</v>
      </c>
      <c r="B8" s="10" t="s">
        <v>946</v>
      </c>
      <c r="C8" s="107">
        <v>525</v>
      </c>
      <c r="D8" s="104">
        <v>98.8</v>
      </c>
      <c r="E8" s="106">
        <v>30</v>
      </c>
      <c r="F8" s="104">
        <v>75.8</v>
      </c>
      <c r="G8" s="17">
        <v>23</v>
      </c>
      <c r="H8" s="107">
        <v>353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3</v>
      </c>
      <c r="R8" s="75">
        <v>2</v>
      </c>
      <c r="S8" s="75" t="s">
        <v>947</v>
      </c>
      <c r="T8" s="5">
        <v>98</v>
      </c>
      <c r="U8" s="9"/>
      <c r="W8" s="104">
        <f t="shared" si="2"/>
        <v>98.8</v>
      </c>
      <c r="X8" s="106">
        <f t="shared" si="2"/>
        <v>30</v>
      </c>
      <c r="Y8" s="102">
        <f t="shared" si="3"/>
        <v>353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3/2</v>
      </c>
      <c r="AH8" s="20" t="str">
        <f t="shared" si="1"/>
        <v>창원무동동원로얄듀크</v>
      </c>
      <c r="AI8" s="106">
        <f t="shared" si="0"/>
        <v>30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북면 창원무동코아루파크('18.02.,253^)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588</v>
      </c>
      <c r="B10" s="10" t="s">
        <v>965</v>
      </c>
      <c r="C10" s="107">
        <v>253</v>
      </c>
      <c r="D10" s="104">
        <v>98.3</v>
      </c>
      <c r="E10" s="106">
        <v>30</v>
      </c>
      <c r="F10" s="104">
        <v>74.2</v>
      </c>
      <c r="G10" s="17">
        <v>22</v>
      </c>
      <c r="H10" s="107">
        <v>253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4</v>
      </c>
      <c r="R10" s="75">
        <v>2</v>
      </c>
      <c r="S10" s="75" t="s">
        <v>947</v>
      </c>
      <c r="T10" s="5">
        <v>98</v>
      </c>
      <c r="U10" s="9"/>
      <c r="W10" s="104">
        <f>D10</f>
        <v>98.3</v>
      </c>
      <c r="X10" s="106">
        <f>E10</f>
        <v>30</v>
      </c>
      <c r="Y10" s="102">
        <f>H10</f>
        <v>253</v>
      </c>
      <c r="Z10" s="109">
        <f>I10</f>
        <v>0</v>
      </c>
      <c r="AA10" s="109">
        <f>K10</f>
        <v>0</v>
      </c>
      <c r="AB10" s="109">
        <f>M10</f>
        <v>0</v>
      </c>
      <c r="AC10" s="4" t="str">
        <f>N10</f>
        <v/>
      </c>
      <c r="AD10" s="105">
        <f>O10</f>
        <v>0</v>
      </c>
      <c r="AE10" s="75" t="str">
        <f>S10</f>
        <v>계</v>
      </c>
      <c r="AF10" s="75" t="str">
        <f>Q10&amp;"/"&amp;R10</f>
        <v>4/2</v>
      </c>
      <c r="AH10" s="20" t="str">
        <f t="shared" si="1"/>
        <v>창원무동코아루파크</v>
      </c>
      <c r="AI10" s="106">
        <f t="shared" si="0"/>
        <v>30</v>
      </c>
      <c r="AJ10" s="75" t="str">
        <f>IF(AI10="","",$AJ$2)</f>
        <v>A-</v>
      </c>
      <c r="AK10" s="75" t="s">
        <v>14</v>
      </c>
      <c r="AL10" s="75" t="s">
        <v>944</v>
      </c>
      <c r="AM10" s="75" t="s">
        <v>945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X</v>
      </c>
      <c r="AV10" s="75" t="str">
        <f>IF(AO10="","",IF(AND(AO10="O",AP10="O",AR10="O",AT10="O",AU10="O"),"후보","X"))</f>
        <v/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북면 창원무동휴먼빌2단지('13.06.,315^)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593</v>
      </c>
      <c r="B12" s="10" t="s">
        <v>966</v>
      </c>
      <c r="C12" s="107">
        <v>315</v>
      </c>
      <c r="D12" s="104">
        <v>80.3</v>
      </c>
      <c r="E12" s="106">
        <v>24</v>
      </c>
      <c r="F12" s="104">
        <v>60</v>
      </c>
      <c r="G12" s="17">
        <v>18</v>
      </c>
      <c r="H12" s="107">
        <v>27</v>
      </c>
      <c r="I12" s="108">
        <v>18500</v>
      </c>
      <c r="J12" s="108" t="s">
        <v>957</v>
      </c>
      <c r="K12" s="108"/>
      <c r="L12" s="108"/>
      <c r="M12" s="109">
        <f>I12-K12</f>
        <v>18500</v>
      </c>
      <c r="N12" s="4">
        <f>IF(ISERROR(K12/I12),"",K12/I12)</f>
        <v>0</v>
      </c>
      <c r="O12" s="105">
        <f>I12/E12</f>
        <v>770.83333333333337</v>
      </c>
      <c r="P12" s="105">
        <f>K12/E12</f>
        <v>0</v>
      </c>
      <c r="Q12" s="75">
        <v>3</v>
      </c>
      <c r="R12" s="75">
        <v>2</v>
      </c>
      <c r="S12" s="75" t="s">
        <v>947</v>
      </c>
      <c r="T12" s="5">
        <v>80</v>
      </c>
      <c r="U12" s="9"/>
      <c r="W12" s="104">
        <f t="shared" ref="W12:X14" si="5">D12</f>
        <v>80.3</v>
      </c>
      <c r="X12" s="106">
        <f t="shared" si="5"/>
        <v>24</v>
      </c>
      <c r="Y12" s="102">
        <f t="shared" ref="Y12:Z14" si="6">H12</f>
        <v>27</v>
      </c>
      <c r="Z12" s="109">
        <f t="shared" si="6"/>
        <v>18500</v>
      </c>
      <c r="AA12" s="109">
        <f>K12</f>
        <v>0</v>
      </c>
      <c r="AB12" s="109">
        <f t="shared" ref="AB12:AD14" si="7">M12</f>
        <v>18500</v>
      </c>
      <c r="AC12" s="4">
        <f t="shared" si="7"/>
        <v>0</v>
      </c>
      <c r="AD12" s="105">
        <f t="shared" si="7"/>
        <v>770.83333333333337</v>
      </c>
      <c r="AE12" s="75" t="str">
        <f>S12</f>
        <v>계</v>
      </c>
      <c r="AF12" s="75" t="str">
        <f>Q12&amp;"/"&amp;R12</f>
        <v>3/2</v>
      </c>
      <c r="AH12" s="20" t="str">
        <f t="shared" si="1"/>
        <v>창원무동휴먼빌2단지</v>
      </c>
      <c r="AI12" s="106">
        <f t="shared" si="0"/>
        <v>24</v>
      </c>
      <c r="AJ12" s="75" t="str">
        <f>IF(AI12="","",$AJ$2)</f>
        <v>A-</v>
      </c>
      <c r="AK12" s="75" t="s">
        <v>14</v>
      </c>
      <c r="AL12" s="75" t="s">
        <v>944</v>
      </c>
      <c r="AM12" s="75" t="s">
        <v>945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 t="s">
        <v>593</v>
      </c>
      <c r="B13" s="10" t="s">
        <v>966</v>
      </c>
      <c r="C13" s="107">
        <v>315</v>
      </c>
      <c r="D13" s="104">
        <v>113.8</v>
      </c>
      <c r="E13" s="106">
        <v>34</v>
      </c>
      <c r="F13" s="104">
        <v>85</v>
      </c>
      <c r="G13" s="17">
        <v>26</v>
      </c>
      <c r="H13" s="107">
        <v>178</v>
      </c>
      <c r="I13" s="108">
        <v>23500</v>
      </c>
      <c r="J13" s="108" t="s">
        <v>954</v>
      </c>
      <c r="K13" s="108">
        <v>20000</v>
      </c>
      <c r="L13" s="108" t="s">
        <v>954</v>
      </c>
      <c r="M13" s="109">
        <f>I13-K13</f>
        <v>3500</v>
      </c>
      <c r="N13" s="4">
        <f>IF(ISERROR(K13/I13),"",K13/I13)</f>
        <v>0.85106382978723405</v>
      </c>
      <c r="O13" s="105">
        <f>I13/E13</f>
        <v>691.17647058823525</v>
      </c>
      <c r="P13" s="105">
        <f>K13/E13</f>
        <v>588.23529411764707</v>
      </c>
      <c r="Q13" s="75">
        <v>3</v>
      </c>
      <c r="R13" s="75">
        <v>2</v>
      </c>
      <c r="S13" s="75" t="s">
        <v>947</v>
      </c>
      <c r="T13" s="5" t="s">
        <v>598</v>
      </c>
      <c r="U13" s="9"/>
      <c r="W13" s="104">
        <f t="shared" si="5"/>
        <v>113.8</v>
      </c>
      <c r="X13" s="106">
        <f t="shared" si="5"/>
        <v>34</v>
      </c>
      <c r="Y13" s="102">
        <f t="shared" si="6"/>
        <v>178</v>
      </c>
      <c r="Z13" s="109">
        <f t="shared" si="6"/>
        <v>23500</v>
      </c>
      <c r="AA13" s="109">
        <f>K13</f>
        <v>20000</v>
      </c>
      <c r="AB13" s="109">
        <f t="shared" si="7"/>
        <v>3500</v>
      </c>
      <c r="AC13" s="4">
        <f t="shared" si="7"/>
        <v>0.85106382978723405</v>
      </c>
      <c r="AD13" s="105">
        <f t="shared" si="7"/>
        <v>691.17647058823525</v>
      </c>
      <c r="AE13" s="75" t="str">
        <f>S13</f>
        <v>계</v>
      </c>
      <c r="AF13" s="75" t="str">
        <f>Q13&amp;"/"&amp;R13</f>
        <v>3/2</v>
      </c>
      <c r="AH13" s="20" t="str">
        <f t="shared" si="1"/>
        <v>창원무동휴먼빌2단지</v>
      </c>
      <c r="AI13" s="106">
        <f t="shared" si="0"/>
        <v>34</v>
      </c>
      <c r="AJ13" s="75" t="str">
        <f>IF(AI13="","",$AJ$2)</f>
        <v>A-</v>
      </c>
      <c r="AK13" s="75" t="s">
        <v>14</v>
      </c>
      <c r="AL13" s="75" t="s">
        <v>944</v>
      </c>
      <c r="AM13" s="75" t="s">
        <v>945</v>
      </c>
      <c r="AN13" s="75" t="str">
        <f>IF(AI13="","",$AN$2)</f>
        <v>C</v>
      </c>
      <c r="AO13" s="75" t="str">
        <f>IF(N13="","",IF(N13&gt;=$AO$1/100,"O","X"))</f>
        <v>O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>후보</v>
      </c>
    </row>
    <row r="14" spans="1:48" x14ac:dyDescent="0.3">
      <c r="A14" s="9" t="s">
        <v>593</v>
      </c>
      <c r="B14" s="10" t="s">
        <v>966</v>
      </c>
      <c r="C14" s="107">
        <v>315</v>
      </c>
      <c r="D14" s="104">
        <v>113.5</v>
      </c>
      <c r="E14" s="106">
        <v>34</v>
      </c>
      <c r="F14" s="104">
        <v>85</v>
      </c>
      <c r="G14" s="17">
        <v>26</v>
      </c>
      <c r="H14" s="107">
        <v>110</v>
      </c>
      <c r="I14" s="108">
        <v>25000</v>
      </c>
      <c r="J14" s="108" t="s">
        <v>954</v>
      </c>
      <c r="K14" s="108"/>
      <c r="L14" s="108"/>
      <c r="M14" s="109">
        <f>I14-K14</f>
        <v>25000</v>
      </c>
      <c r="N14" s="4">
        <f>IF(ISERROR(K14/I14),"",K14/I14)</f>
        <v>0</v>
      </c>
      <c r="O14" s="105">
        <f>I14/E14</f>
        <v>735.29411764705878</v>
      </c>
      <c r="P14" s="105">
        <f>K14/E14</f>
        <v>0</v>
      </c>
      <c r="Q14" s="75">
        <v>3</v>
      </c>
      <c r="R14" s="75">
        <v>2</v>
      </c>
      <c r="S14" s="75" t="s">
        <v>947</v>
      </c>
      <c r="T14" s="5" t="s">
        <v>599</v>
      </c>
      <c r="U14" s="9"/>
      <c r="W14" s="104">
        <f t="shared" si="5"/>
        <v>113.5</v>
      </c>
      <c r="X14" s="106">
        <f t="shared" si="5"/>
        <v>34</v>
      </c>
      <c r="Y14" s="102">
        <f t="shared" si="6"/>
        <v>110</v>
      </c>
      <c r="Z14" s="109">
        <f t="shared" si="6"/>
        <v>25000</v>
      </c>
      <c r="AA14" s="109">
        <f>K14</f>
        <v>0</v>
      </c>
      <c r="AB14" s="109">
        <f t="shared" si="7"/>
        <v>25000</v>
      </c>
      <c r="AC14" s="4">
        <f t="shared" si="7"/>
        <v>0</v>
      </c>
      <c r="AD14" s="105">
        <f t="shared" si="7"/>
        <v>735.29411764705878</v>
      </c>
      <c r="AE14" s="75" t="str">
        <f>S14</f>
        <v>계</v>
      </c>
      <c r="AF14" s="75" t="str">
        <f>Q14&amp;"/"&amp;R14</f>
        <v>3/2</v>
      </c>
      <c r="AH14" s="20" t="str">
        <f t="shared" si="1"/>
        <v>창원무동휴먼빌2단지</v>
      </c>
      <c r="AI14" s="106">
        <f t="shared" si="0"/>
        <v>34</v>
      </c>
      <c r="AJ14" s="75" t="str">
        <f>IF(AI14="","",$AJ$2)</f>
        <v>A-</v>
      </c>
      <c r="AK14" s="75" t="s">
        <v>14</v>
      </c>
      <c r="AL14" s="75" t="s">
        <v>944</v>
      </c>
      <c r="AM14" s="75" t="s">
        <v>945</v>
      </c>
      <c r="AN14" s="75" t="str">
        <f>IF(AI14="","",$AN$2)</f>
        <v>C</v>
      </c>
      <c r="AO14" s="75" t="str">
        <f>IF(N14="","",IF(N14&gt;=$AO$1/100,"O","X"))</f>
        <v>X</v>
      </c>
      <c r="AP14" s="75" t="str">
        <f>IF(I14="","",IF(I14&lt;=$AP$1,"O","X"))</f>
        <v>O</v>
      </c>
      <c r="AQ14" s="75" t="str">
        <f>IF(O14="","",IF(O14&lt;=$AQ$1,"O","X"))</f>
        <v>O</v>
      </c>
      <c r="AR14" s="75" t="str">
        <f>IF(M14="","",IF(M14&lt;=$AR$1,"O","X"))</f>
        <v>X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북면 창원무동센텀파라디아('18.03.,1034^)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600</v>
      </c>
      <c r="B16" s="10" t="s">
        <v>967</v>
      </c>
      <c r="C16" s="107">
        <v>1034</v>
      </c>
      <c r="D16" s="104">
        <v>84</v>
      </c>
      <c r="E16" s="106">
        <v>25</v>
      </c>
      <c r="F16" s="104">
        <v>60</v>
      </c>
      <c r="G16" s="17">
        <v>18</v>
      </c>
      <c r="H16" s="107">
        <v>604</v>
      </c>
      <c r="I16" s="108">
        <v>21800</v>
      </c>
      <c r="J16" s="108" t="s">
        <v>957</v>
      </c>
      <c r="K16" s="108">
        <v>19000</v>
      </c>
      <c r="L16" s="108" t="s">
        <v>957</v>
      </c>
      <c r="M16" s="109">
        <f>I16-K16</f>
        <v>2800</v>
      </c>
      <c r="N16" s="4">
        <f>IF(ISERROR(K16/I16),"",K16/I16)</f>
        <v>0.87155963302752293</v>
      </c>
      <c r="O16" s="105">
        <f>I16/E16</f>
        <v>872</v>
      </c>
      <c r="P16" s="105">
        <f>K16/E16</f>
        <v>760</v>
      </c>
      <c r="Q16" s="75">
        <v>3</v>
      </c>
      <c r="R16" s="75">
        <v>2</v>
      </c>
      <c r="S16" s="75" t="s">
        <v>947</v>
      </c>
      <c r="T16" s="5">
        <v>84</v>
      </c>
      <c r="U16" s="9"/>
      <c r="W16" s="104">
        <f t="shared" ref="W16:X19" si="8">D16</f>
        <v>84</v>
      </c>
      <c r="X16" s="106">
        <f t="shared" si="8"/>
        <v>25</v>
      </c>
      <c r="Y16" s="102">
        <f t="shared" ref="Y16:Z19" si="9">H16</f>
        <v>604</v>
      </c>
      <c r="Z16" s="109">
        <f t="shared" si="9"/>
        <v>21800</v>
      </c>
      <c r="AA16" s="109">
        <f>K16</f>
        <v>19000</v>
      </c>
      <c r="AB16" s="109">
        <f t="shared" ref="AB16:AD19" si="10">M16</f>
        <v>2800</v>
      </c>
      <c r="AC16" s="4">
        <f t="shared" si="10"/>
        <v>0.87155963302752293</v>
      </c>
      <c r="AD16" s="105">
        <f t="shared" si="10"/>
        <v>872</v>
      </c>
      <c r="AE16" s="75" t="str">
        <f>S16</f>
        <v>계</v>
      </c>
      <c r="AF16" s="75" t="str">
        <f>Q16&amp;"/"&amp;R16</f>
        <v>3/2</v>
      </c>
      <c r="AH16" s="20" t="str">
        <f t="shared" si="1"/>
        <v>창원무동센텀파라디아</v>
      </c>
      <c r="AI16" s="106">
        <f t="shared" si="0"/>
        <v>25</v>
      </c>
      <c r="AJ16" s="75" t="str">
        <f>IF(AI16="","",$AJ$2)</f>
        <v>A-</v>
      </c>
      <c r="AK16" s="75" t="s">
        <v>14</v>
      </c>
      <c r="AL16" s="75" t="s">
        <v>944</v>
      </c>
      <c r="AM16" s="75" t="s">
        <v>945</v>
      </c>
      <c r="AN16" s="75" t="str">
        <f>IF(AI16="","",$AN$2)</f>
        <v>C</v>
      </c>
      <c r="AO16" s="75" t="str">
        <f>IF(N16="","",IF(N16&gt;=$AO$1/100,"O","X"))</f>
        <v>O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후보</v>
      </c>
    </row>
    <row r="17" spans="1:48" x14ac:dyDescent="0.3">
      <c r="A17" s="9" t="s">
        <v>600</v>
      </c>
      <c r="B17" s="10" t="s">
        <v>967</v>
      </c>
      <c r="C17" s="107">
        <v>1034</v>
      </c>
      <c r="D17" s="104">
        <v>98.4</v>
      </c>
      <c r="E17" s="106">
        <v>30</v>
      </c>
      <c r="F17" s="104">
        <v>73</v>
      </c>
      <c r="G17" s="17">
        <v>22</v>
      </c>
      <c r="H17" s="107">
        <v>166</v>
      </c>
      <c r="I17" s="108">
        <v>27000</v>
      </c>
      <c r="J17" s="108" t="s">
        <v>957</v>
      </c>
      <c r="K17" s="108">
        <v>23000</v>
      </c>
      <c r="L17" s="108" t="s">
        <v>968</v>
      </c>
      <c r="M17" s="109">
        <f>I17-K17</f>
        <v>4000</v>
      </c>
      <c r="N17" s="4">
        <f>IF(ISERROR(K17/I17),"",K17/I17)</f>
        <v>0.85185185185185186</v>
      </c>
      <c r="O17" s="105">
        <f>I17/E17</f>
        <v>900</v>
      </c>
      <c r="P17" s="105">
        <f>K17/E17</f>
        <v>766.66666666666663</v>
      </c>
      <c r="Q17" s="75">
        <v>3</v>
      </c>
      <c r="R17" s="75">
        <v>2</v>
      </c>
      <c r="S17" s="75" t="s">
        <v>947</v>
      </c>
      <c r="T17" s="5">
        <v>98</v>
      </c>
      <c r="U17" s="9"/>
      <c r="W17" s="104">
        <f t="shared" si="8"/>
        <v>98.4</v>
      </c>
      <c r="X17" s="106">
        <f t="shared" si="8"/>
        <v>30</v>
      </c>
      <c r="Y17" s="102">
        <f t="shared" si="9"/>
        <v>166</v>
      </c>
      <c r="Z17" s="109">
        <f t="shared" si="9"/>
        <v>27000</v>
      </c>
      <c r="AA17" s="109">
        <f>K17</f>
        <v>23000</v>
      </c>
      <c r="AB17" s="109">
        <f t="shared" si="10"/>
        <v>4000</v>
      </c>
      <c r="AC17" s="4">
        <f t="shared" si="10"/>
        <v>0.85185185185185186</v>
      </c>
      <c r="AD17" s="105">
        <f t="shared" si="10"/>
        <v>900</v>
      </c>
      <c r="AE17" s="75" t="str">
        <f>S17</f>
        <v>계</v>
      </c>
      <c r="AF17" s="75" t="str">
        <f>Q17&amp;"/"&amp;R17</f>
        <v>3/2</v>
      </c>
      <c r="AH17" s="20" t="str">
        <f t="shared" si="1"/>
        <v>창원무동센텀파라디아</v>
      </c>
      <c r="AI17" s="106">
        <f t="shared" si="0"/>
        <v>30</v>
      </c>
      <c r="AJ17" s="75" t="str">
        <f>IF(AI17="","",$AJ$2)</f>
        <v>A-</v>
      </c>
      <c r="AK17" s="75" t="s">
        <v>14</v>
      </c>
      <c r="AL17" s="75" t="s">
        <v>944</v>
      </c>
      <c r="AM17" s="75" t="s">
        <v>945</v>
      </c>
      <c r="AN17" s="75" t="str">
        <f>IF(AI17="","",$AN$2)</f>
        <v>C</v>
      </c>
      <c r="AO17" s="75" t="str">
        <f>IF(N17="","",IF(N17&gt;=$AO$1/100,"O","X"))</f>
        <v>O</v>
      </c>
      <c r="AP17" s="75" t="str">
        <f>IF(I17="","",IF(I17&lt;=$AP$1,"O","X"))</f>
        <v>O</v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>후보</v>
      </c>
    </row>
    <row r="18" spans="1:48" x14ac:dyDescent="0.3">
      <c r="A18" s="9" t="s">
        <v>600</v>
      </c>
      <c r="B18" s="10" t="s">
        <v>967</v>
      </c>
      <c r="C18" s="107">
        <v>1034</v>
      </c>
      <c r="D18" s="104">
        <v>113.3</v>
      </c>
      <c r="E18" s="106">
        <v>34</v>
      </c>
      <c r="F18" s="104">
        <v>85</v>
      </c>
      <c r="G18" s="17">
        <v>26</v>
      </c>
      <c r="H18" s="107">
        <v>176</v>
      </c>
      <c r="I18" s="108">
        <v>31000</v>
      </c>
      <c r="J18" s="108" t="s">
        <v>954</v>
      </c>
      <c r="K18" s="108"/>
      <c r="L18" s="108"/>
      <c r="M18" s="109">
        <f>I18-K18</f>
        <v>31000</v>
      </c>
      <c r="N18" s="4">
        <f>IF(ISERROR(K18/I18),"",K18/I18)</f>
        <v>0</v>
      </c>
      <c r="O18" s="105">
        <f>I18/E18</f>
        <v>911.76470588235293</v>
      </c>
      <c r="P18" s="105">
        <f>K18/E18</f>
        <v>0</v>
      </c>
      <c r="Q18" s="75">
        <v>3</v>
      </c>
      <c r="R18" s="75">
        <v>2</v>
      </c>
      <c r="S18" s="75" t="s">
        <v>947</v>
      </c>
      <c r="T18" s="5" t="s">
        <v>598</v>
      </c>
      <c r="U18" s="9"/>
      <c r="W18" s="104">
        <f t="shared" si="8"/>
        <v>113.3</v>
      </c>
      <c r="X18" s="106">
        <f t="shared" si="8"/>
        <v>34</v>
      </c>
      <c r="Y18" s="102">
        <f t="shared" si="9"/>
        <v>176</v>
      </c>
      <c r="Z18" s="109">
        <f t="shared" si="9"/>
        <v>31000</v>
      </c>
      <c r="AA18" s="109">
        <f>K18</f>
        <v>0</v>
      </c>
      <c r="AB18" s="109">
        <f t="shared" si="10"/>
        <v>31000</v>
      </c>
      <c r="AC18" s="4">
        <f t="shared" si="10"/>
        <v>0</v>
      </c>
      <c r="AD18" s="105">
        <f t="shared" si="10"/>
        <v>911.76470588235293</v>
      </c>
      <c r="AE18" s="75" t="str">
        <f>S18</f>
        <v>계</v>
      </c>
      <c r="AF18" s="75" t="str">
        <f>Q18&amp;"/"&amp;R18</f>
        <v>3/2</v>
      </c>
      <c r="AH18" s="20" t="str">
        <f t="shared" si="1"/>
        <v>창원무동센텀파라디아</v>
      </c>
      <c r="AI18" s="106">
        <f t="shared" si="0"/>
        <v>34</v>
      </c>
      <c r="AJ18" s="75" t="str">
        <f>IF(AI18="","",$AJ$2)</f>
        <v>A-</v>
      </c>
      <c r="AK18" s="75" t="s">
        <v>14</v>
      </c>
      <c r="AL18" s="75" t="s">
        <v>944</v>
      </c>
      <c r="AM18" s="75" t="s">
        <v>945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x14ac:dyDescent="0.3">
      <c r="A19" s="9" t="s">
        <v>600</v>
      </c>
      <c r="B19" s="10" t="s">
        <v>967</v>
      </c>
      <c r="C19" s="107">
        <v>1034</v>
      </c>
      <c r="D19" s="104">
        <v>122</v>
      </c>
      <c r="E19" s="106">
        <v>37</v>
      </c>
      <c r="F19" s="104">
        <v>85</v>
      </c>
      <c r="G19" s="17">
        <v>26</v>
      </c>
      <c r="H19" s="107">
        <v>88</v>
      </c>
      <c r="I19" s="108">
        <v>35000</v>
      </c>
      <c r="J19" s="108" t="s">
        <v>954</v>
      </c>
      <c r="K19" s="108">
        <v>28000</v>
      </c>
      <c r="L19" s="108" t="s">
        <v>954</v>
      </c>
      <c r="M19" s="109">
        <f>I19-K19</f>
        <v>7000</v>
      </c>
      <c r="N19" s="4">
        <f>IF(ISERROR(K19/I19),"",K19/I19)</f>
        <v>0.8</v>
      </c>
      <c r="O19" s="105">
        <f>I19/E19</f>
        <v>945.94594594594594</v>
      </c>
      <c r="P19" s="105">
        <f>K19/E19</f>
        <v>756.75675675675677</v>
      </c>
      <c r="Q19" s="75">
        <v>3</v>
      </c>
      <c r="R19" s="75">
        <v>2</v>
      </c>
      <c r="S19" s="75" t="s">
        <v>947</v>
      </c>
      <c r="T19" s="5" t="s">
        <v>604</v>
      </c>
      <c r="U19" s="9"/>
      <c r="W19" s="104">
        <f t="shared" si="8"/>
        <v>122</v>
      </c>
      <c r="X19" s="106">
        <f t="shared" si="8"/>
        <v>37</v>
      </c>
      <c r="Y19" s="102">
        <f t="shared" si="9"/>
        <v>88</v>
      </c>
      <c r="Z19" s="109">
        <f t="shared" si="9"/>
        <v>35000</v>
      </c>
      <c r="AA19" s="109">
        <f>K19</f>
        <v>28000</v>
      </c>
      <c r="AB19" s="109">
        <f t="shared" si="10"/>
        <v>7000</v>
      </c>
      <c r="AC19" s="4">
        <f t="shared" si="10"/>
        <v>0.8</v>
      </c>
      <c r="AD19" s="105">
        <f t="shared" si="10"/>
        <v>945.94594594594594</v>
      </c>
      <c r="AE19" s="75" t="str">
        <f>S19</f>
        <v>계</v>
      </c>
      <c r="AF19" s="75" t="str">
        <f>Q19&amp;"/"&amp;R19</f>
        <v>3/2</v>
      </c>
      <c r="AH19" s="20" t="str">
        <f t="shared" si="1"/>
        <v>창원무동센텀파라디아</v>
      </c>
      <c r="AI19" s="106">
        <f t="shared" si="0"/>
        <v>37</v>
      </c>
      <c r="AJ19" s="75" t="str">
        <f>IF(AI19="","",$AJ$2)</f>
        <v>A-</v>
      </c>
      <c r="AK19" s="75" t="s">
        <v>14</v>
      </c>
      <c r="AL19" s="75" t="s">
        <v>944</v>
      </c>
      <c r="AM19" s="75" t="s">
        <v>945</v>
      </c>
      <c r="AN19" s="75" t="str">
        <f>IF(AI19="","",$AN$2)</f>
        <v>C</v>
      </c>
      <c r="AO19" s="75" t="str">
        <f>IF(N19="","",IF(N19&gt;=$AO$1/100,"O","X"))</f>
        <v>O</v>
      </c>
      <c r="AP19" s="75" t="str">
        <f>IF(I19="","",IF(I19&lt;=$AP$1,"O","X"))</f>
        <v>O</v>
      </c>
      <c r="AQ19" s="75" t="str">
        <f>IF(O19="","",IF(O19&lt;=$AQ$1,"O","X"))</f>
        <v>O</v>
      </c>
      <c r="AR19" s="75" t="str">
        <f>IF(M19="","",IF(M19&lt;=$AR$1,"O","X"))</f>
        <v>X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>X</v>
      </c>
    </row>
    <row r="20" spans="1:48" x14ac:dyDescent="0.3">
      <c r="A20" s="9"/>
      <c r="B20" s="75"/>
      <c r="C20" s="6"/>
      <c r="D20" s="9"/>
      <c r="E20" s="14"/>
      <c r="F20" s="104"/>
      <c r="G20" s="9"/>
      <c r="H20" s="9"/>
      <c r="I20" s="9"/>
      <c r="J20" s="9"/>
      <c r="K20" s="9"/>
      <c r="L20" s="9"/>
      <c r="M20" s="9"/>
      <c r="N20" s="9"/>
      <c r="O20" s="105"/>
      <c r="P20" s="105"/>
      <c r="Q20" s="106"/>
      <c r="R20" s="106"/>
      <c r="S20" s="9"/>
      <c r="T20" s="48"/>
      <c r="U20" s="9"/>
      <c r="W20" s="70" t="str">
        <f>$A$4&amp;" "&amp;A21&amp;"("&amp;B21&amp;","&amp;C21&amp;"^)"</f>
        <v>북면 춘광2차('95.12.,218^)</v>
      </c>
      <c r="X20" s="71"/>
      <c r="Y20" s="71"/>
      <c r="Z20" s="71"/>
      <c r="AA20" s="71"/>
      <c r="AB20" s="71"/>
      <c r="AC20" s="71"/>
      <c r="AD20" s="71"/>
      <c r="AE20" s="71"/>
      <c r="AF20" s="72"/>
      <c r="AH20" s="20" t="str">
        <f t="shared" si="1"/>
        <v/>
      </c>
      <c r="AI20" s="103" t="str">
        <f t="shared" si="0"/>
        <v/>
      </c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</row>
    <row r="21" spans="1:48" x14ac:dyDescent="0.3">
      <c r="A21" s="9" t="s">
        <v>610</v>
      </c>
      <c r="B21" s="10" t="s">
        <v>969</v>
      </c>
      <c r="C21" s="107">
        <v>218</v>
      </c>
      <c r="D21" s="104">
        <v>51.8</v>
      </c>
      <c r="E21" s="106">
        <v>16</v>
      </c>
      <c r="F21" s="104">
        <v>39.4</v>
      </c>
      <c r="G21" s="17">
        <v>12</v>
      </c>
      <c r="H21" s="107">
        <v>25</v>
      </c>
      <c r="I21" s="108"/>
      <c r="J21" s="108"/>
      <c r="K21" s="108"/>
      <c r="L21" s="108"/>
      <c r="M21" s="109">
        <f>I21-K21</f>
        <v>0</v>
      </c>
      <c r="N21" s="4" t="str">
        <f>IF(ISERROR(K21/I21),"",K21/I21)</f>
        <v/>
      </c>
      <c r="O21" s="105">
        <f>I21/E21</f>
        <v>0</v>
      </c>
      <c r="P21" s="105">
        <f>K21/E21</f>
        <v>0</v>
      </c>
      <c r="Q21" s="75">
        <v>2</v>
      </c>
      <c r="R21" s="75">
        <v>1</v>
      </c>
      <c r="S21" s="75" t="s">
        <v>943</v>
      </c>
      <c r="T21" s="5">
        <v>51</v>
      </c>
      <c r="U21" s="9"/>
      <c r="W21" s="104">
        <f t="shared" ref="W21:X23" si="11">D21</f>
        <v>51.8</v>
      </c>
      <c r="X21" s="106">
        <f t="shared" si="11"/>
        <v>16</v>
      </c>
      <c r="Y21" s="102">
        <f t="shared" ref="Y21:Z23" si="12">H21</f>
        <v>25</v>
      </c>
      <c r="Z21" s="109">
        <f t="shared" si="12"/>
        <v>0</v>
      </c>
      <c r="AA21" s="109">
        <f>K21</f>
        <v>0</v>
      </c>
      <c r="AB21" s="109">
        <f t="shared" ref="AB21:AD23" si="13">M21</f>
        <v>0</v>
      </c>
      <c r="AC21" s="4" t="str">
        <f t="shared" si="13"/>
        <v/>
      </c>
      <c r="AD21" s="105">
        <f t="shared" si="13"/>
        <v>0</v>
      </c>
      <c r="AE21" s="75" t="str">
        <f>S21</f>
        <v>복</v>
      </c>
      <c r="AF21" s="75" t="str">
        <f>Q21&amp;"/"&amp;R21</f>
        <v>2/1</v>
      </c>
      <c r="AH21" s="20" t="str">
        <f t="shared" si="1"/>
        <v>춘광2차</v>
      </c>
      <c r="AI21" s="106">
        <f t="shared" si="0"/>
        <v>16</v>
      </c>
      <c r="AJ21" s="75" t="str">
        <f>IF(AI21="","",$AJ$2)</f>
        <v>A-</v>
      </c>
      <c r="AK21" s="75" t="s">
        <v>14</v>
      </c>
      <c r="AL21" s="75" t="s">
        <v>944</v>
      </c>
      <c r="AM21" s="75" t="s">
        <v>945</v>
      </c>
      <c r="AN21" s="75" t="str">
        <f>IF(AI21="","",$AN$2)</f>
        <v>C</v>
      </c>
      <c r="AO21" s="75" t="str">
        <f>IF(N21="","",IF(N21&gt;=$AO$1/100,"O","X"))</f>
        <v/>
      </c>
      <c r="AP21" s="75" t="str">
        <f>IF(I21="","",IF(I21&lt;=$AP$1,"O","X"))</f>
        <v/>
      </c>
      <c r="AQ21" s="75" t="str">
        <f>IF(O21="","",IF(O21&lt;=$AQ$1,"O","X"))</f>
        <v>O</v>
      </c>
      <c r="AR21" s="75" t="str">
        <f>IF(M21="","",IF(M21&lt;=$AR$1,"O","X"))</f>
        <v>O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X</v>
      </c>
      <c r="AV21" s="75" t="str">
        <f>IF(AO21="","",IF(AND(AO21="O",AP21="O",AR21="O",AT21="O",AU21="O"),"후보","X"))</f>
        <v/>
      </c>
    </row>
    <row r="22" spans="1:48" x14ac:dyDescent="0.3">
      <c r="A22" s="9" t="s">
        <v>610</v>
      </c>
      <c r="B22" s="10" t="s">
        <v>969</v>
      </c>
      <c r="C22" s="107">
        <v>218</v>
      </c>
      <c r="D22" s="104">
        <v>76.099999999999994</v>
      </c>
      <c r="E22" s="106">
        <v>23</v>
      </c>
      <c r="F22" s="104">
        <v>57.9</v>
      </c>
      <c r="G22" s="17">
        <v>18</v>
      </c>
      <c r="H22" s="107">
        <v>105</v>
      </c>
      <c r="I22" s="108"/>
      <c r="J22" s="108"/>
      <c r="K22" s="108"/>
      <c r="L22" s="108"/>
      <c r="M22" s="109">
        <f>I22-K22</f>
        <v>0</v>
      </c>
      <c r="N22" s="4" t="str">
        <f>IF(ISERROR(K22/I22),"",K22/I22)</f>
        <v/>
      </c>
      <c r="O22" s="105">
        <f>I22/E22</f>
        <v>0</v>
      </c>
      <c r="P22" s="105">
        <f>K22/E22</f>
        <v>0</v>
      </c>
      <c r="Q22" s="75">
        <v>3</v>
      </c>
      <c r="R22" s="75">
        <v>1</v>
      </c>
      <c r="S22" s="75" t="s">
        <v>943</v>
      </c>
      <c r="T22" s="5">
        <v>76</v>
      </c>
      <c r="U22" s="9"/>
      <c r="W22" s="104">
        <f t="shared" si="11"/>
        <v>76.099999999999994</v>
      </c>
      <c r="X22" s="106">
        <f t="shared" si="11"/>
        <v>23</v>
      </c>
      <c r="Y22" s="102">
        <f t="shared" si="12"/>
        <v>105</v>
      </c>
      <c r="Z22" s="109">
        <f t="shared" si="12"/>
        <v>0</v>
      </c>
      <c r="AA22" s="109">
        <f>K22</f>
        <v>0</v>
      </c>
      <c r="AB22" s="109">
        <f t="shared" si="13"/>
        <v>0</v>
      </c>
      <c r="AC22" s="4" t="str">
        <f t="shared" si="13"/>
        <v/>
      </c>
      <c r="AD22" s="105">
        <f t="shared" si="13"/>
        <v>0</v>
      </c>
      <c r="AE22" s="75" t="str">
        <f>S22</f>
        <v>복</v>
      </c>
      <c r="AF22" s="75" t="str">
        <f>Q22&amp;"/"&amp;R22</f>
        <v>3/1</v>
      </c>
      <c r="AH22" s="20" t="str">
        <f t="shared" si="1"/>
        <v>춘광2차</v>
      </c>
      <c r="AI22" s="106">
        <f t="shared" si="0"/>
        <v>23</v>
      </c>
      <c r="AJ22" s="75" t="str">
        <f>IF(AI22="","",$AJ$2)</f>
        <v>A-</v>
      </c>
      <c r="AK22" s="75" t="s">
        <v>14</v>
      </c>
      <c r="AL22" s="75" t="s">
        <v>944</v>
      </c>
      <c r="AM22" s="75" t="s">
        <v>945</v>
      </c>
      <c r="AN22" s="75" t="str">
        <f>IF(AI22="","",$AN$2)</f>
        <v>C</v>
      </c>
      <c r="AO22" s="75" t="str">
        <f>IF(N22="","",IF(N22&gt;=$AO$1/100,"O","X"))</f>
        <v/>
      </c>
      <c r="AP22" s="75" t="str">
        <f>IF(I22="","",IF(I22&lt;=$AP$1,"O","X"))</f>
        <v/>
      </c>
      <c r="AQ22" s="75" t="str">
        <f>IF(O22="","",IF(O22&lt;=$AQ$1,"O","X"))</f>
        <v>O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X</v>
      </c>
      <c r="AV22" s="75" t="str">
        <f>IF(AO22="","",IF(AND(AO22="O",AP22="O",AR22="O",AT22="O",AU22="O"),"후보","X"))</f>
        <v/>
      </c>
    </row>
    <row r="23" spans="1:48" x14ac:dyDescent="0.3">
      <c r="A23" s="9" t="s">
        <v>610</v>
      </c>
      <c r="B23" s="10" t="s">
        <v>969</v>
      </c>
      <c r="C23" s="107">
        <v>218</v>
      </c>
      <c r="D23" s="104">
        <v>78.599999999999994</v>
      </c>
      <c r="E23" s="106">
        <v>24</v>
      </c>
      <c r="F23" s="104">
        <v>59.8</v>
      </c>
      <c r="G23" s="17">
        <v>18</v>
      </c>
      <c r="H23" s="107">
        <v>88</v>
      </c>
      <c r="I23" s="108"/>
      <c r="J23" s="108"/>
      <c r="K23" s="108"/>
      <c r="L23" s="108"/>
      <c r="M23" s="109">
        <f>I23-K23</f>
        <v>0</v>
      </c>
      <c r="N23" s="4" t="str">
        <f>IF(ISERROR(K23/I23),"",K23/I23)</f>
        <v/>
      </c>
      <c r="O23" s="105">
        <f>I23/E23</f>
        <v>0</v>
      </c>
      <c r="P23" s="105">
        <f>K23/E23</f>
        <v>0</v>
      </c>
      <c r="Q23" s="75">
        <v>3</v>
      </c>
      <c r="R23" s="75">
        <v>1</v>
      </c>
      <c r="S23" s="75" t="s">
        <v>943</v>
      </c>
      <c r="T23" s="5">
        <v>78</v>
      </c>
      <c r="U23" s="9"/>
      <c r="W23" s="104">
        <f t="shared" si="11"/>
        <v>78.599999999999994</v>
      </c>
      <c r="X23" s="106">
        <f t="shared" si="11"/>
        <v>24</v>
      </c>
      <c r="Y23" s="102">
        <f t="shared" si="12"/>
        <v>88</v>
      </c>
      <c r="Z23" s="109">
        <f t="shared" si="12"/>
        <v>0</v>
      </c>
      <c r="AA23" s="109">
        <f>K23</f>
        <v>0</v>
      </c>
      <c r="AB23" s="109">
        <f t="shared" si="13"/>
        <v>0</v>
      </c>
      <c r="AC23" s="4" t="str">
        <f t="shared" si="13"/>
        <v/>
      </c>
      <c r="AD23" s="105">
        <f t="shared" si="13"/>
        <v>0</v>
      </c>
      <c r="AE23" s="75" t="str">
        <f>S23</f>
        <v>복</v>
      </c>
      <c r="AF23" s="75" t="str">
        <f>Q23&amp;"/"&amp;R23</f>
        <v>3/1</v>
      </c>
      <c r="AH23" s="20" t="str">
        <f t="shared" si="1"/>
        <v>춘광2차</v>
      </c>
      <c r="AI23" s="106">
        <f t="shared" si="0"/>
        <v>24</v>
      </c>
      <c r="AJ23" s="75" t="str">
        <f>IF(AI23="","",$AJ$2)</f>
        <v>A-</v>
      </c>
      <c r="AK23" s="75" t="s">
        <v>14</v>
      </c>
      <c r="AL23" s="75" t="s">
        <v>944</v>
      </c>
      <c r="AM23" s="75" t="s">
        <v>945</v>
      </c>
      <c r="AN23" s="75" t="str">
        <f>IF(AI23="","",$AN$2)</f>
        <v>C</v>
      </c>
      <c r="AO23" s="75" t="str">
        <f>IF(N23="","",IF(N23&gt;=$AO$1/100,"O","X"))</f>
        <v/>
      </c>
      <c r="AP23" s="75" t="str">
        <f>IF(I23="","",IF(I23&lt;=$AP$1,"O","X"))</f>
        <v/>
      </c>
      <c r="AQ23" s="75" t="str">
        <f>IF(O23="","",IF(O23&lt;=$AQ$1,"O","X"))</f>
        <v>O</v>
      </c>
      <c r="AR23" s="75" t="str">
        <f>IF(M23="","",IF(M23&lt;=$AR$1,"O","X"))</f>
        <v>O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X</v>
      </c>
      <c r="AV23" s="75" t="str">
        <f>IF(AO23="","",IF(AND(AO23="O",AP23="O",AR23="O",AT23="O",AU23="O"),"후보","X"))</f>
        <v/>
      </c>
    </row>
    <row r="24" spans="1:48" x14ac:dyDescent="0.3">
      <c r="A24" s="9"/>
      <c r="B24" s="75"/>
      <c r="C24" s="6"/>
      <c r="D24" s="9"/>
      <c r="E24" s="14"/>
      <c r="F24" s="104"/>
      <c r="G24" s="9"/>
      <c r="H24" s="9"/>
      <c r="I24" s="9"/>
      <c r="J24" s="9"/>
      <c r="K24" s="9"/>
      <c r="L24" s="9"/>
      <c r="M24" s="9"/>
      <c r="N24" s="9"/>
      <c r="O24" s="105"/>
      <c r="P24" s="105"/>
      <c r="Q24" s="106"/>
      <c r="R24" s="106"/>
      <c r="S24" s="9"/>
      <c r="T24" s="48"/>
      <c r="U24" s="9"/>
      <c r="W24" s="70" t="str">
        <f>$A$4&amp;" "&amp;A25&amp;"("&amp;B25&amp;","&amp;C25&amp;"^)"</f>
        <v>북면 창원감계힐스테이트1차('14.03.,1082^)</v>
      </c>
      <c r="X24" s="71"/>
      <c r="Y24" s="71"/>
      <c r="Z24" s="71"/>
      <c r="AA24" s="71"/>
      <c r="AB24" s="71"/>
      <c r="AC24" s="71"/>
      <c r="AD24" s="71"/>
      <c r="AE24" s="71"/>
      <c r="AF24" s="72"/>
      <c r="AH24" s="20" t="str">
        <f t="shared" si="1"/>
        <v/>
      </c>
      <c r="AI24" s="103" t="str">
        <f t="shared" si="0"/>
        <v/>
      </c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</row>
    <row r="25" spans="1:48" x14ac:dyDescent="0.3">
      <c r="A25" s="9" t="s">
        <v>620</v>
      </c>
      <c r="B25" s="10" t="s">
        <v>970</v>
      </c>
      <c r="C25" s="107">
        <v>1082</v>
      </c>
      <c r="D25" s="104">
        <v>95.6</v>
      </c>
      <c r="E25" s="106">
        <v>29</v>
      </c>
      <c r="F25" s="104">
        <v>68.8</v>
      </c>
      <c r="G25" s="17">
        <v>21</v>
      </c>
      <c r="H25" s="107">
        <v>74</v>
      </c>
      <c r="I25" s="108">
        <v>30000</v>
      </c>
      <c r="J25" s="108" t="s">
        <v>954</v>
      </c>
      <c r="K25" s="108"/>
      <c r="L25" s="108"/>
      <c r="M25" s="109">
        <f>I25-K25</f>
        <v>30000</v>
      </c>
      <c r="N25" s="4">
        <f>IF(ISERROR(K25/I25),"",K25/I25)</f>
        <v>0</v>
      </c>
      <c r="O25" s="105">
        <f>I25/E25</f>
        <v>1034.4827586206898</v>
      </c>
      <c r="P25" s="105">
        <f>K25/E25</f>
        <v>0</v>
      </c>
      <c r="Q25" s="75">
        <v>3</v>
      </c>
      <c r="R25" s="75">
        <v>2</v>
      </c>
      <c r="S25" s="75" t="s">
        <v>947</v>
      </c>
      <c r="T25" s="5" t="s">
        <v>622</v>
      </c>
      <c r="U25" s="9"/>
      <c r="W25" s="104">
        <f t="shared" ref="W25:X29" si="14">D25</f>
        <v>95.6</v>
      </c>
      <c r="X25" s="106">
        <f t="shared" si="14"/>
        <v>29</v>
      </c>
      <c r="Y25" s="102">
        <f t="shared" ref="Y25:Z29" si="15">H25</f>
        <v>74</v>
      </c>
      <c r="Z25" s="109">
        <f t="shared" si="15"/>
        <v>30000</v>
      </c>
      <c r="AA25" s="109">
        <f>K25</f>
        <v>0</v>
      </c>
      <c r="AB25" s="109">
        <f t="shared" ref="AB25:AD29" si="16">M25</f>
        <v>30000</v>
      </c>
      <c r="AC25" s="4">
        <f t="shared" si="16"/>
        <v>0</v>
      </c>
      <c r="AD25" s="105">
        <f t="shared" si="16"/>
        <v>1034.4827586206898</v>
      </c>
      <c r="AE25" s="75" t="str">
        <f>S25</f>
        <v>계</v>
      </c>
      <c r="AF25" s="75" t="str">
        <f>Q25&amp;"/"&amp;R25</f>
        <v>3/2</v>
      </c>
      <c r="AH25" s="20" t="str">
        <f t="shared" si="1"/>
        <v>창원감계힐스테이트1차</v>
      </c>
      <c r="AI25" s="106">
        <f t="shared" si="0"/>
        <v>29</v>
      </c>
      <c r="AJ25" s="75" t="str">
        <f>IF(AI25="","",$AJ$2)</f>
        <v>A-</v>
      </c>
      <c r="AK25" s="75" t="s">
        <v>14</v>
      </c>
      <c r="AL25" s="75" t="s">
        <v>944</v>
      </c>
      <c r="AM25" s="75" t="s">
        <v>945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X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 t="s">
        <v>620</v>
      </c>
      <c r="B26" s="10" t="s">
        <v>970</v>
      </c>
      <c r="C26" s="107">
        <v>1082</v>
      </c>
      <c r="D26" s="104">
        <v>95.8</v>
      </c>
      <c r="E26" s="106">
        <v>29</v>
      </c>
      <c r="F26" s="104">
        <v>68.400000000000006</v>
      </c>
      <c r="G26" s="17">
        <v>21</v>
      </c>
      <c r="H26" s="107">
        <v>44</v>
      </c>
      <c r="I26" s="108">
        <v>32000</v>
      </c>
      <c r="J26" s="108" t="s">
        <v>954</v>
      </c>
      <c r="K26" s="108"/>
      <c r="L26" s="108"/>
      <c r="M26" s="109">
        <f>I26-K26</f>
        <v>32000</v>
      </c>
      <c r="N26" s="4">
        <f>IF(ISERROR(K26/I26),"",K26/I26)</f>
        <v>0</v>
      </c>
      <c r="O26" s="105">
        <f>I26/E26</f>
        <v>1103.4482758620691</v>
      </c>
      <c r="P26" s="105">
        <f>K26/E26</f>
        <v>0</v>
      </c>
      <c r="Q26" s="75">
        <v>3</v>
      </c>
      <c r="R26" s="75">
        <v>2</v>
      </c>
      <c r="S26" s="75" t="s">
        <v>947</v>
      </c>
      <c r="T26" s="5" t="s">
        <v>626</v>
      </c>
      <c r="U26" s="9"/>
      <c r="W26" s="104">
        <f t="shared" si="14"/>
        <v>95.8</v>
      </c>
      <c r="X26" s="106">
        <f t="shared" si="14"/>
        <v>29</v>
      </c>
      <c r="Y26" s="102">
        <f t="shared" si="15"/>
        <v>44</v>
      </c>
      <c r="Z26" s="109">
        <f t="shared" si="15"/>
        <v>32000</v>
      </c>
      <c r="AA26" s="109">
        <f>K26</f>
        <v>0</v>
      </c>
      <c r="AB26" s="109">
        <f t="shared" si="16"/>
        <v>32000</v>
      </c>
      <c r="AC26" s="4">
        <f t="shared" si="16"/>
        <v>0</v>
      </c>
      <c r="AD26" s="105">
        <f t="shared" si="16"/>
        <v>1103.4482758620691</v>
      </c>
      <c r="AE26" s="75" t="str">
        <f>S26</f>
        <v>계</v>
      </c>
      <c r="AF26" s="75" t="str">
        <f>Q26&amp;"/"&amp;R26</f>
        <v>3/2</v>
      </c>
      <c r="AH26" s="20" t="str">
        <f t="shared" si="1"/>
        <v>창원감계힐스테이트1차</v>
      </c>
      <c r="AI26" s="106">
        <f t="shared" si="0"/>
        <v>29</v>
      </c>
      <c r="AJ26" s="75" t="str">
        <f>IF(AI26="","",$AJ$2)</f>
        <v>A-</v>
      </c>
      <c r="AK26" s="75" t="s">
        <v>14</v>
      </c>
      <c r="AL26" s="75" t="s">
        <v>944</v>
      </c>
      <c r="AM26" s="75" t="s">
        <v>945</v>
      </c>
      <c r="AN26" s="75" t="str">
        <f>IF(AI26="","",$AN$2)</f>
        <v>C</v>
      </c>
      <c r="AO26" s="75" t="str">
        <f>IF(N26="","",IF(N26&gt;=$AO$1/100,"O","X"))</f>
        <v>X</v>
      </c>
      <c r="AP26" s="75" t="str">
        <f>IF(I26="","",IF(I26&lt;=$AP$1,"O","X"))</f>
        <v>O</v>
      </c>
      <c r="AQ26" s="75" t="str">
        <f>IF(O26="","",IF(O26&lt;=$AQ$1,"O","X"))</f>
        <v>X</v>
      </c>
      <c r="AR26" s="75" t="str">
        <f>IF(M26="","",IF(M26&lt;=$AR$1,"O","X"))</f>
        <v>X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>X</v>
      </c>
    </row>
    <row r="27" spans="1:48" x14ac:dyDescent="0.3">
      <c r="A27" s="9" t="s">
        <v>620</v>
      </c>
      <c r="B27" s="10" t="s">
        <v>970</v>
      </c>
      <c r="C27" s="107">
        <v>1082</v>
      </c>
      <c r="D27" s="104">
        <v>114.7</v>
      </c>
      <c r="E27" s="106">
        <v>35</v>
      </c>
      <c r="F27" s="104">
        <v>85</v>
      </c>
      <c r="G27" s="17">
        <v>26</v>
      </c>
      <c r="H27" s="107">
        <v>377</v>
      </c>
      <c r="I27" s="108">
        <v>33000</v>
      </c>
      <c r="J27" s="108" t="s">
        <v>957</v>
      </c>
      <c r="K27" s="108">
        <v>29000</v>
      </c>
      <c r="L27" s="108" t="s">
        <v>954</v>
      </c>
      <c r="M27" s="109">
        <f>I27-K27</f>
        <v>4000</v>
      </c>
      <c r="N27" s="4">
        <f>IF(ISERROR(K27/I27),"",K27/I27)</f>
        <v>0.87878787878787878</v>
      </c>
      <c r="O27" s="105">
        <f>I27/E27</f>
        <v>942.85714285714289</v>
      </c>
      <c r="P27" s="105">
        <f>K27/E27</f>
        <v>828.57142857142856</v>
      </c>
      <c r="Q27" s="75">
        <v>3</v>
      </c>
      <c r="R27" s="75">
        <v>2</v>
      </c>
      <c r="S27" s="75" t="s">
        <v>947</v>
      </c>
      <c r="T27" s="5" t="s">
        <v>209</v>
      </c>
      <c r="U27" s="9"/>
      <c r="W27" s="104">
        <f t="shared" si="14"/>
        <v>114.7</v>
      </c>
      <c r="X27" s="106">
        <f t="shared" si="14"/>
        <v>35</v>
      </c>
      <c r="Y27" s="102">
        <f t="shared" si="15"/>
        <v>377</v>
      </c>
      <c r="Z27" s="109">
        <f t="shared" si="15"/>
        <v>33000</v>
      </c>
      <c r="AA27" s="109">
        <f>K27</f>
        <v>29000</v>
      </c>
      <c r="AB27" s="109">
        <f t="shared" si="16"/>
        <v>4000</v>
      </c>
      <c r="AC27" s="4">
        <f t="shared" si="16"/>
        <v>0.87878787878787878</v>
      </c>
      <c r="AD27" s="105">
        <f t="shared" si="16"/>
        <v>942.85714285714289</v>
      </c>
      <c r="AE27" s="75" t="str">
        <f>S27</f>
        <v>계</v>
      </c>
      <c r="AF27" s="75" t="str">
        <f>Q27&amp;"/"&amp;R27</f>
        <v>3/2</v>
      </c>
      <c r="AH27" s="20" t="str">
        <f t="shared" si="1"/>
        <v>창원감계힐스테이트1차</v>
      </c>
      <c r="AI27" s="106">
        <f t="shared" si="0"/>
        <v>35</v>
      </c>
      <c r="AJ27" s="75" t="str">
        <f>IF(AI27="","",$AJ$2)</f>
        <v>A-</v>
      </c>
      <c r="AK27" s="75" t="s">
        <v>14</v>
      </c>
      <c r="AL27" s="75" t="s">
        <v>944</v>
      </c>
      <c r="AM27" s="75" t="s">
        <v>945</v>
      </c>
      <c r="AN27" s="75" t="str">
        <f>IF(AI27="","",$AN$2)</f>
        <v>C</v>
      </c>
      <c r="AO27" s="75" t="str">
        <f>IF(N27="","",IF(N27&gt;=$AO$1/100,"O","X"))</f>
        <v>O</v>
      </c>
      <c r="AP27" s="75" t="str">
        <f>IF(I27="","",IF(I27&lt;=$AP$1,"O","X"))</f>
        <v>O</v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후보</v>
      </c>
    </row>
    <row r="28" spans="1:48" x14ac:dyDescent="0.3">
      <c r="A28" s="9" t="s">
        <v>620</v>
      </c>
      <c r="B28" s="10" t="s">
        <v>970</v>
      </c>
      <c r="C28" s="107">
        <v>1082</v>
      </c>
      <c r="D28" s="104">
        <v>115.3</v>
      </c>
      <c r="E28" s="106">
        <v>35</v>
      </c>
      <c r="F28" s="104">
        <v>84.9</v>
      </c>
      <c r="G28" s="17">
        <v>26</v>
      </c>
      <c r="H28" s="107">
        <v>459</v>
      </c>
      <c r="I28" s="108">
        <v>33000</v>
      </c>
      <c r="J28" s="108" t="s">
        <v>971</v>
      </c>
      <c r="K28" s="108">
        <v>29000</v>
      </c>
      <c r="L28" s="108" t="s">
        <v>954</v>
      </c>
      <c r="M28" s="109">
        <f>I28-K28</f>
        <v>4000</v>
      </c>
      <c r="N28" s="4">
        <f>IF(ISERROR(K28/I28),"",K28/I28)</f>
        <v>0.87878787878787878</v>
      </c>
      <c r="O28" s="105">
        <f>I28/E28</f>
        <v>942.85714285714289</v>
      </c>
      <c r="P28" s="105">
        <f>K28/E28</f>
        <v>828.57142857142856</v>
      </c>
      <c r="Q28" s="75">
        <v>3</v>
      </c>
      <c r="R28" s="75">
        <v>2</v>
      </c>
      <c r="S28" s="75" t="s">
        <v>947</v>
      </c>
      <c r="T28" s="5" t="s">
        <v>627</v>
      </c>
      <c r="U28" s="9"/>
      <c r="W28" s="104">
        <f t="shared" si="14"/>
        <v>115.3</v>
      </c>
      <c r="X28" s="106">
        <f t="shared" si="14"/>
        <v>35</v>
      </c>
      <c r="Y28" s="102">
        <f t="shared" si="15"/>
        <v>459</v>
      </c>
      <c r="Z28" s="109">
        <f t="shared" si="15"/>
        <v>33000</v>
      </c>
      <c r="AA28" s="109">
        <f>K28</f>
        <v>29000</v>
      </c>
      <c r="AB28" s="109">
        <f t="shared" si="16"/>
        <v>4000</v>
      </c>
      <c r="AC28" s="4">
        <f t="shared" si="16"/>
        <v>0.87878787878787878</v>
      </c>
      <c r="AD28" s="105">
        <f t="shared" si="16"/>
        <v>942.85714285714289</v>
      </c>
      <c r="AE28" s="75" t="str">
        <f>S28</f>
        <v>계</v>
      </c>
      <c r="AF28" s="75" t="str">
        <f>Q28&amp;"/"&amp;R28</f>
        <v>3/2</v>
      </c>
      <c r="AH28" s="20" t="str">
        <f t="shared" si="1"/>
        <v>창원감계힐스테이트1차</v>
      </c>
      <c r="AI28" s="106">
        <f t="shared" si="0"/>
        <v>35</v>
      </c>
      <c r="AJ28" s="75" t="str">
        <f>IF(AI28="","",$AJ$2)</f>
        <v>A-</v>
      </c>
      <c r="AK28" s="75" t="s">
        <v>14</v>
      </c>
      <c r="AL28" s="75" t="s">
        <v>944</v>
      </c>
      <c r="AM28" s="75" t="s">
        <v>945</v>
      </c>
      <c r="AN28" s="75" t="str">
        <f>IF(AI28="","",$AN$2)</f>
        <v>C</v>
      </c>
      <c r="AO28" s="75" t="str">
        <f>IF(N28="","",IF(N28&gt;=$AO$1/100,"O","X"))</f>
        <v>O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후보</v>
      </c>
    </row>
    <row r="29" spans="1:48" x14ac:dyDescent="0.3">
      <c r="A29" s="9" t="s">
        <v>620</v>
      </c>
      <c r="B29" s="10" t="s">
        <v>970</v>
      </c>
      <c r="C29" s="107">
        <v>1082</v>
      </c>
      <c r="D29" s="104">
        <v>132.19999999999999</v>
      </c>
      <c r="E29" s="106">
        <v>40</v>
      </c>
      <c r="F29" s="104">
        <v>101.9</v>
      </c>
      <c r="G29" s="17">
        <v>31</v>
      </c>
      <c r="H29" s="107">
        <v>128</v>
      </c>
      <c r="I29" s="108"/>
      <c r="J29" s="108"/>
      <c r="K29" s="108"/>
      <c r="L29" s="108"/>
      <c r="M29" s="109">
        <f>I29-K29</f>
        <v>0</v>
      </c>
      <c r="N29" s="4" t="str">
        <f>IF(ISERROR(K29/I29),"",K29/I29)</f>
        <v/>
      </c>
      <c r="O29" s="105">
        <f>I29/E29</f>
        <v>0</v>
      </c>
      <c r="P29" s="105">
        <f>K29/E29</f>
        <v>0</v>
      </c>
      <c r="Q29" s="75">
        <v>4</v>
      </c>
      <c r="R29" s="75">
        <v>2</v>
      </c>
      <c r="S29" s="75" t="s">
        <v>947</v>
      </c>
      <c r="T29" s="5">
        <v>132</v>
      </c>
      <c r="U29" s="9"/>
      <c r="W29" s="104">
        <f t="shared" si="14"/>
        <v>132.19999999999999</v>
      </c>
      <c r="X29" s="106">
        <f t="shared" si="14"/>
        <v>40</v>
      </c>
      <c r="Y29" s="102">
        <f t="shared" si="15"/>
        <v>128</v>
      </c>
      <c r="Z29" s="109">
        <f t="shared" si="15"/>
        <v>0</v>
      </c>
      <c r="AA29" s="109">
        <f>K29</f>
        <v>0</v>
      </c>
      <c r="AB29" s="109">
        <f t="shared" si="16"/>
        <v>0</v>
      </c>
      <c r="AC29" s="4" t="str">
        <f t="shared" si="16"/>
        <v/>
      </c>
      <c r="AD29" s="105">
        <f t="shared" si="16"/>
        <v>0</v>
      </c>
      <c r="AE29" s="75" t="str">
        <f>S29</f>
        <v>계</v>
      </c>
      <c r="AF29" s="75" t="str">
        <f>Q29&amp;"/"&amp;R29</f>
        <v>4/2</v>
      </c>
      <c r="AH29" s="20" t="str">
        <f t="shared" si="1"/>
        <v>창원감계힐스테이트1차</v>
      </c>
      <c r="AI29" s="106">
        <f t="shared" si="0"/>
        <v>40</v>
      </c>
      <c r="AJ29" s="75" t="str">
        <f>IF(AI29="","",$AJ$2)</f>
        <v>A-</v>
      </c>
      <c r="AK29" s="75" t="s">
        <v>14</v>
      </c>
      <c r="AL29" s="75" t="s">
        <v>944</v>
      </c>
      <c r="AM29" s="75" t="s">
        <v>945</v>
      </c>
      <c r="AN29" s="75" t="str">
        <f>IF(AI29="","",$AN$2)</f>
        <v>C</v>
      </c>
      <c r="AO29" s="75" t="str">
        <f>IF(N29="","",IF(N29&gt;=$AO$1/100,"O","X"))</f>
        <v/>
      </c>
      <c r="AP29" s="75" t="str">
        <f>IF(I29="","",IF(I29&lt;=$AP$1,"O","X"))</f>
        <v/>
      </c>
      <c r="AQ29" s="75" t="str">
        <f>IF(O29="","",IF(O29&lt;=$AQ$1,"O","X"))</f>
        <v>O</v>
      </c>
      <c r="AR29" s="75" t="str">
        <f>IF(M29="","",IF(M29&lt;=$AR$1,"O","X"))</f>
        <v>O</v>
      </c>
      <c r="AS29" s="75" t="s">
        <v>2</v>
      </c>
      <c r="AT29" s="75" t="str">
        <f>IF(OR(F29="",AI29=""),"",IF(AND((F29&lt;=85),(AI29&gt;=15)),"O","X"))</f>
        <v>X</v>
      </c>
      <c r="AU29" s="75" t="str">
        <f>IF(C29="","",IF(C29&gt;=$AU$1,"O","X"))</f>
        <v>O</v>
      </c>
      <c r="AV29" s="75" t="str">
        <f>IF(AO29="","",IF(AND(AO29="O",AP29="O",AR29="O",AT29="O",AU29="O"),"후보","X"))</f>
        <v/>
      </c>
    </row>
    <row r="30" spans="1:48" x14ac:dyDescent="0.3">
      <c r="A30" s="9"/>
      <c r="B30" s="75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8"/>
      <c r="U30" s="9"/>
      <c r="W30" s="70" t="str">
        <f>$A$4&amp;" "&amp;A31&amp;"("&amp;B31&amp;","&amp;C31&amp;"^)"</f>
        <v>북면 창원동전월드메르디앙('16.10.,217^)</v>
      </c>
      <c r="X30" s="71"/>
      <c r="Y30" s="71"/>
      <c r="Z30" s="71"/>
      <c r="AA30" s="71"/>
      <c r="AB30" s="71"/>
      <c r="AC30" s="71"/>
      <c r="AD30" s="71"/>
      <c r="AE30" s="71"/>
      <c r="AF30" s="72"/>
      <c r="AH30" s="20" t="str">
        <f t="shared" si="1"/>
        <v/>
      </c>
      <c r="AI30" s="103" t="str">
        <f t="shared" si="0"/>
        <v/>
      </c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</row>
    <row r="31" spans="1:48" x14ac:dyDescent="0.3">
      <c r="A31" s="9" t="s">
        <v>637</v>
      </c>
      <c r="B31" s="10" t="s">
        <v>972</v>
      </c>
      <c r="C31" s="107">
        <v>217</v>
      </c>
      <c r="D31" s="104">
        <v>86.7</v>
      </c>
      <c r="E31" s="106">
        <v>26</v>
      </c>
      <c r="F31" s="104">
        <v>67.599999999999994</v>
      </c>
      <c r="G31" s="17">
        <v>20</v>
      </c>
      <c r="H31" s="107">
        <v>77</v>
      </c>
      <c r="I31" s="108"/>
      <c r="J31" s="108"/>
      <c r="K31" s="108"/>
      <c r="L31" s="108"/>
      <c r="M31" s="109">
        <f>I31-K31</f>
        <v>0</v>
      </c>
      <c r="N31" s="4" t="str">
        <f>IF(ISERROR(K31/I31),"",K31/I31)</f>
        <v/>
      </c>
      <c r="O31" s="105">
        <f>I31/E31</f>
        <v>0</v>
      </c>
      <c r="P31" s="105">
        <f>K31/E31</f>
        <v>0</v>
      </c>
      <c r="Q31" s="75">
        <v>3</v>
      </c>
      <c r="R31" s="75">
        <v>2</v>
      </c>
      <c r="S31" s="75" t="s">
        <v>947</v>
      </c>
      <c r="T31" s="5" t="s">
        <v>639</v>
      </c>
      <c r="U31" s="9"/>
      <c r="W31" s="104">
        <f t="shared" ref="W31:X35" si="17">D31</f>
        <v>86.7</v>
      </c>
      <c r="X31" s="106">
        <f t="shared" si="17"/>
        <v>26</v>
      </c>
      <c r="Y31" s="102">
        <f t="shared" ref="Y31:Z35" si="18">H31</f>
        <v>77</v>
      </c>
      <c r="Z31" s="109">
        <f t="shared" si="18"/>
        <v>0</v>
      </c>
      <c r="AA31" s="109">
        <f>K31</f>
        <v>0</v>
      </c>
      <c r="AB31" s="109">
        <f t="shared" ref="AB31:AD35" si="19">M31</f>
        <v>0</v>
      </c>
      <c r="AC31" s="4" t="str">
        <f t="shared" si="19"/>
        <v/>
      </c>
      <c r="AD31" s="105">
        <f t="shared" si="19"/>
        <v>0</v>
      </c>
      <c r="AE31" s="75" t="str">
        <f>S31</f>
        <v>계</v>
      </c>
      <c r="AF31" s="75" t="str">
        <f>Q31&amp;"/"&amp;R31</f>
        <v>3/2</v>
      </c>
      <c r="AH31" s="20" t="str">
        <f t="shared" si="1"/>
        <v>창원동전월드메르디앙</v>
      </c>
      <c r="AI31" s="106">
        <f t="shared" si="0"/>
        <v>26</v>
      </c>
      <c r="AJ31" s="75" t="str">
        <f>IF(AI31="","",$AJ$2)</f>
        <v>A-</v>
      </c>
      <c r="AK31" s="75" t="s">
        <v>14</v>
      </c>
      <c r="AL31" s="75" t="s">
        <v>944</v>
      </c>
      <c r="AM31" s="75" t="s">
        <v>945</v>
      </c>
      <c r="AN31" s="75" t="str">
        <f>IF(AI31="","",$AN$2)</f>
        <v>C</v>
      </c>
      <c r="AO31" s="75" t="str">
        <f>IF(N31="","",IF(N31&gt;=$AO$1/100,"O","X"))</f>
        <v/>
      </c>
      <c r="AP31" s="75" t="str">
        <f>IF(I31="","",IF(I31&lt;=$AP$1,"O","X"))</f>
        <v/>
      </c>
      <c r="AQ31" s="75" t="str">
        <f>IF(O31="","",IF(O31&lt;=$AQ$1,"O","X"))</f>
        <v>O</v>
      </c>
      <c r="AR31" s="75" t="str">
        <f>IF(M31="","",IF(M31&lt;=$AR$1,"O","X"))</f>
        <v>O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X</v>
      </c>
      <c r="AV31" s="75" t="str">
        <f>IF(AO31="","",IF(AND(AO31="O",AP31="O",AR31="O",AT31="O",AU31="O"),"후보","X"))</f>
        <v/>
      </c>
    </row>
    <row r="32" spans="1:48" x14ac:dyDescent="0.3">
      <c r="A32" s="9" t="s">
        <v>637</v>
      </c>
      <c r="B32" s="10" t="s">
        <v>972</v>
      </c>
      <c r="C32" s="107">
        <v>217</v>
      </c>
      <c r="D32" s="104">
        <v>86.7</v>
      </c>
      <c r="E32" s="106">
        <v>26</v>
      </c>
      <c r="F32" s="104">
        <v>67.599999999999994</v>
      </c>
      <c r="G32" s="17">
        <v>20</v>
      </c>
      <c r="H32" s="107">
        <v>1</v>
      </c>
      <c r="I32" s="108"/>
      <c r="J32" s="108"/>
      <c r="K32" s="108"/>
      <c r="L32" s="108"/>
      <c r="M32" s="109">
        <f>I32-K32</f>
        <v>0</v>
      </c>
      <c r="N32" s="4" t="str">
        <f>IF(ISERROR(K32/I32),"",K32/I32)</f>
        <v/>
      </c>
      <c r="O32" s="105">
        <f>I32/E32</f>
        <v>0</v>
      </c>
      <c r="P32" s="105">
        <f>K32/E32</f>
        <v>0</v>
      </c>
      <c r="Q32" s="75">
        <v>3</v>
      </c>
      <c r="R32" s="75">
        <v>2</v>
      </c>
      <c r="S32" s="75" t="s">
        <v>947</v>
      </c>
      <c r="T32" s="5" t="s">
        <v>217</v>
      </c>
      <c r="U32" s="9"/>
      <c r="W32" s="104">
        <f t="shared" si="17"/>
        <v>86.7</v>
      </c>
      <c r="X32" s="106">
        <f t="shared" si="17"/>
        <v>26</v>
      </c>
      <c r="Y32" s="102">
        <f t="shared" si="18"/>
        <v>1</v>
      </c>
      <c r="Z32" s="109">
        <f t="shared" si="18"/>
        <v>0</v>
      </c>
      <c r="AA32" s="109">
        <f>K32</f>
        <v>0</v>
      </c>
      <c r="AB32" s="109">
        <f t="shared" si="19"/>
        <v>0</v>
      </c>
      <c r="AC32" s="4" t="str">
        <f t="shared" si="19"/>
        <v/>
      </c>
      <c r="AD32" s="105">
        <f t="shared" si="19"/>
        <v>0</v>
      </c>
      <c r="AE32" s="75" t="str">
        <f>S32</f>
        <v>계</v>
      </c>
      <c r="AF32" s="75" t="str">
        <f>Q32&amp;"/"&amp;R32</f>
        <v>3/2</v>
      </c>
      <c r="AH32" s="20" t="str">
        <f t="shared" si="1"/>
        <v>창원동전월드메르디앙</v>
      </c>
      <c r="AI32" s="106">
        <f t="shared" si="0"/>
        <v>26</v>
      </c>
      <c r="AJ32" s="75" t="str">
        <f>IF(AI32="","",$AJ$2)</f>
        <v>A-</v>
      </c>
      <c r="AK32" s="75" t="s">
        <v>14</v>
      </c>
      <c r="AL32" s="75" t="s">
        <v>944</v>
      </c>
      <c r="AM32" s="75" t="s">
        <v>945</v>
      </c>
      <c r="AN32" s="75" t="str">
        <f>IF(AI32="","",$AN$2)</f>
        <v>C</v>
      </c>
      <c r="AO32" s="75" t="str">
        <f>IF(N32="","",IF(N32&gt;=$AO$1/100,"O","X"))</f>
        <v/>
      </c>
      <c r="AP32" s="75" t="str">
        <f>IF(I32="","",IF(I32&lt;=$AP$1,"O","X"))</f>
        <v/>
      </c>
      <c r="AQ32" s="75" t="str">
        <f>IF(O32="","",IF(O32&lt;=$AQ$1,"O","X"))</f>
        <v>O</v>
      </c>
      <c r="AR32" s="75" t="str">
        <f>IF(M32="","",IF(M32&lt;=$AR$1,"O","X"))</f>
        <v>O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X</v>
      </c>
      <c r="AV32" s="75" t="str">
        <f>IF(AO32="","",IF(AND(AO32="O",AP32="O",AR32="O",AT32="O",AU32="O"),"후보","X"))</f>
        <v/>
      </c>
    </row>
    <row r="33" spans="1:48" x14ac:dyDescent="0.3">
      <c r="A33" s="9" t="s">
        <v>637</v>
      </c>
      <c r="B33" s="10" t="s">
        <v>972</v>
      </c>
      <c r="C33" s="107">
        <v>217</v>
      </c>
      <c r="D33" s="104">
        <v>89.6</v>
      </c>
      <c r="E33" s="106">
        <v>27</v>
      </c>
      <c r="F33" s="104">
        <v>69.599999999999994</v>
      </c>
      <c r="G33" s="17">
        <v>21</v>
      </c>
      <c r="H33" s="107">
        <v>7</v>
      </c>
      <c r="I33" s="108"/>
      <c r="J33" s="108"/>
      <c r="K33" s="108"/>
      <c r="L33" s="108"/>
      <c r="M33" s="109">
        <f>I33-K33</f>
        <v>0</v>
      </c>
      <c r="N33" s="4" t="str">
        <f>IF(ISERROR(K33/I33),"",K33/I33)</f>
        <v/>
      </c>
      <c r="O33" s="105">
        <f>I33/E33</f>
        <v>0</v>
      </c>
      <c r="P33" s="105">
        <f>K33/E33</f>
        <v>0</v>
      </c>
      <c r="Q33" s="75">
        <v>3</v>
      </c>
      <c r="R33" s="75">
        <v>2</v>
      </c>
      <c r="S33" s="75" t="s">
        <v>947</v>
      </c>
      <c r="T33" s="5" t="s">
        <v>643</v>
      </c>
      <c r="U33" s="9"/>
      <c r="W33" s="104">
        <f t="shared" si="17"/>
        <v>89.6</v>
      </c>
      <c r="X33" s="106">
        <f t="shared" si="17"/>
        <v>27</v>
      </c>
      <c r="Y33" s="102">
        <f t="shared" si="18"/>
        <v>7</v>
      </c>
      <c r="Z33" s="109">
        <f t="shared" si="18"/>
        <v>0</v>
      </c>
      <c r="AA33" s="109">
        <f>K33</f>
        <v>0</v>
      </c>
      <c r="AB33" s="109">
        <f t="shared" si="19"/>
        <v>0</v>
      </c>
      <c r="AC33" s="4" t="str">
        <f t="shared" si="19"/>
        <v/>
      </c>
      <c r="AD33" s="105">
        <f t="shared" si="19"/>
        <v>0</v>
      </c>
      <c r="AE33" s="75" t="str">
        <f>S33</f>
        <v>계</v>
      </c>
      <c r="AF33" s="75" t="str">
        <f>Q33&amp;"/"&amp;R33</f>
        <v>3/2</v>
      </c>
      <c r="AH33" s="20" t="str">
        <f t="shared" si="1"/>
        <v>창원동전월드메르디앙</v>
      </c>
      <c r="AI33" s="106">
        <f t="shared" si="0"/>
        <v>27</v>
      </c>
      <c r="AJ33" s="75" t="str">
        <f>IF(AI33="","",$AJ$2)</f>
        <v>A-</v>
      </c>
      <c r="AK33" s="75" t="s">
        <v>14</v>
      </c>
      <c r="AL33" s="75" t="s">
        <v>944</v>
      </c>
      <c r="AM33" s="75" t="s">
        <v>945</v>
      </c>
      <c r="AN33" s="75" t="str">
        <f>IF(AI33="","",$AN$2)</f>
        <v>C</v>
      </c>
      <c r="AO33" s="75" t="str">
        <f>IF(N33="","",IF(N33&gt;=$AO$1/100,"O","X"))</f>
        <v/>
      </c>
      <c r="AP33" s="75" t="str">
        <f>IF(I33="","",IF(I33&lt;=$AP$1,"O","X"))</f>
        <v/>
      </c>
      <c r="AQ33" s="75" t="str">
        <f>IF(O33="","",IF(O33&lt;=$AQ$1,"O","X"))</f>
        <v>O</v>
      </c>
      <c r="AR33" s="75" t="str">
        <f>IF(M33="","",IF(M33&lt;=$AR$1,"O","X"))</f>
        <v>O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X</v>
      </c>
      <c r="AV33" s="75" t="str">
        <f>IF(AO33="","",IF(AND(AO33="O",AP33="O",AR33="O",AT33="O",AU33="O"),"후보","X"))</f>
        <v/>
      </c>
    </row>
    <row r="34" spans="1:48" x14ac:dyDescent="0.3">
      <c r="A34" s="9" t="s">
        <v>637</v>
      </c>
      <c r="B34" s="10" t="s">
        <v>972</v>
      </c>
      <c r="C34" s="107">
        <v>217</v>
      </c>
      <c r="D34" s="104">
        <v>90.2</v>
      </c>
      <c r="E34" s="106">
        <v>27</v>
      </c>
      <c r="F34" s="104">
        <v>69.3</v>
      </c>
      <c r="G34" s="17">
        <v>21</v>
      </c>
      <c r="H34" s="107">
        <v>20</v>
      </c>
      <c r="I34" s="108"/>
      <c r="J34" s="108"/>
      <c r="K34" s="108"/>
      <c r="L34" s="108"/>
      <c r="M34" s="109">
        <f>I34-K34</f>
        <v>0</v>
      </c>
      <c r="N34" s="4" t="str">
        <f>IF(ISERROR(K34/I34),"",K34/I34)</f>
        <v/>
      </c>
      <c r="O34" s="105">
        <f>I34/E34</f>
        <v>0</v>
      </c>
      <c r="P34" s="105">
        <f>K34/E34</f>
        <v>0</v>
      </c>
      <c r="Q34" s="75">
        <v>3</v>
      </c>
      <c r="R34" s="75">
        <v>2</v>
      </c>
      <c r="S34" s="75" t="s">
        <v>947</v>
      </c>
      <c r="T34" s="5" t="s">
        <v>644</v>
      </c>
      <c r="U34" s="9"/>
      <c r="W34" s="104">
        <f t="shared" si="17"/>
        <v>90.2</v>
      </c>
      <c r="X34" s="106">
        <f t="shared" si="17"/>
        <v>27</v>
      </c>
      <c r="Y34" s="102">
        <f t="shared" si="18"/>
        <v>20</v>
      </c>
      <c r="Z34" s="109">
        <f t="shared" si="18"/>
        <v>0</v>
      </c>
      <c r="AA34" s="109">
        <f>K34</f>
        <v>0</v>
      </c>
      <c r="AB34" s="109">
        <f t="shared" si="19"/>
        <v>0</v>
      </c>
      <c r="AC34" s="4" t="str">
        <f t="shared" si="19"/>
        <v/>
      </c>
      <c r="AD34" s="105">
        <f t="shared" si="19"/>
        <v>0</v>
      </c>
      <c r="AE34" s="75" t="str">
        <f>S34</f>
        <v>계</v>
      </c>
      <c r="AF34" s="75" t="str">
        <f>Q34&amp;"/"&amp;R34</f>
        <v>3/2</v>
      </c>
      <c r="AH34" s="20" t="str">
        <f t="shared" si="1"/>
        <v>창원동전월드메르디앙</v>
      </c>
      <c r="AI34" s="106">
        <f t="shared" si="0"/>
        <v>27</v>
      </c>
      <c r="AJ34" s="75" t="str">
        <f>IF(AI34="","",$AJ$2)</f>
        <v>A-</v>
      </c>
      <c r="AK34" s="75" t="s">
        <v>14</v>
      </c>
      <c r="AL34" s="75" t="s">
        <v>944</v>
      </c>
      <c r="AM34" s="75" t="s">
        <v>945</v>
      </c>
      <c r="AN34" s="75" t="str">
        <f>IF(AI34="","",$AN$2)</f>
        <v>C</v>
      </c>
      <c r="AO34" s="75" t="str">
        <f>IF(N34="","",IF(N34&gt;=$AO$1/100,"O","X"))</f>
        <v/>
      </c>
      <c r="AP34" s="75" t="str">
        <f>IF(I34="","",IF(I34&lt;=$AP$1,"O","X"))</f>
        <v/>
      </c>
      <c r="AQ34" s="75" t="str">
        <f>IF(O34="","",IF(O34&lt;=$AQ$1,"O","X"))</f>
        <v>O</v>
      </c>
      <c r="AR34" s="75" t="str">
        <f>IF(M34="","",IF(M34&lt;=$AR$1,"O","X"))</f>
        <v>O</v>
      </c>
      <c r="AS34" s="75" t="s">
        <v>2</v>
      </c>
      <c r="AT34" s="75" t="str">
        <f>IF(OR(F34="",AI34=""),"",IF(AND((F34&lt;=85),(AI34&gt;=15)),"O","X"))</f>
        <v>O</v>
      </c>
      <c r="AU34" s="75" t="str">
        <f>IF(C34="","",IF(C34&gt;=$AU$1,"O","X"))</f>
        <v>X</v>
      </c>
      <c r="AV34" s="75" t="str">
        <f>IF(AO34="","",IF(AND(AO34="O",AP34="O",AR34="O",AT34="O",AU34="O"),"후보","X"))</f>
        <v/>
      </c>
    </row>
    <row r="35" spans="1:48" x14ac:dyDescent="0.3">
      <c r="A35" s="9" t="s">
        <v>637</v>
      </c>
      <c r="B35" s="10" t="s">
        <v>972</v>
      </c>
      <c r="C35" s="107">
        <v>217</v>
      </c>
      <c r="D35" s="104">
        <v>100.6</v>
      </c>
      <c r="E35" s="106">
        <v>30</v>
      </c>
      <c r="F35" s="104">
        <v>78.7</v>
      </c>
      <c r="G35" s="17">
        <v>24</v>
      </c>
      <c r="H35" s="107">
        <v>112</v>
      </c>
      <c r="I35" s="108"/>
      <c r="J35" s="108"/>
      <c r="K35" s="108"/>
      <c r="L35" s="108"/>
      <c r="M35" s="109">
        <f>I35-K35</f>
        <v>0</v>
      </c>
      <c r="N35" s="4" t="str">
        <f>IF(ISERROR(K35/I35),"",K35/I35)</f>
        <v/>
      </c>
      <c r="O35" s="105">
        <f>I35/E35</f>
        <v>0</v>
      </c>
      <c r="P35" s="105">
        <f>K35/E35</f>
        <v>0</v>
      </c>
      <c r="Q35" s="75">
        <v>3</v>
      </c>
      <c r="R35" s="75">
        <v>2</v>
      </c>
      <c r="S35" s="75" t="s">
        <v>947</v>
      </c>
      <c r="T35" s="5">
        <v>100</v>
      </c>
      <c r="U35" s="9"/>
      <c r="W35" s="104">
        <f t="shared" si="17"/>
        <v>100.6</v>
      </c>
      <c r="X35" s="106">
        <f t="shared" si="17"/>
        <v>30</v>
      </c>
      <c r="Y35" s="102">
        <f t="shared" si="18"/>
        <v>112</v>
      </c>
      <c r="Z35" s="109">
        <f t="shared" si="18"/>
        <v>0</v>
      </c>
      <c r="AA35" s="109">
        <f>K35</f>
        <v>0</v>
      </c>
      <c r="AB35" s="109">
        <f t="shared" si="19"/>
        <v>0</v>
      </c>
      <c r="AC35" s="4" t="str">
        <f t="shared" si="19"/>
        <v/>
      </c>
      <c r="AD35" s="105">
        <f t="shared" si="19"/>
        <v>0</v>
      </c>
      <c r="AE35" s="75" t="str">
        <f>S35</f>
        <v>계</v>
      </c>
      <c r="AF35" s="75" t="str">
        <f>Q35&amp;"/"&amp;R35</f>
        <v>3/2</v>
      </c>
      <c r="AH35" s="20" t="str">
        <f t="shared" si="1"/>
        <v>창원동전월드메르디앙</v>
      </c>
      <c r="AI35" s="106">
        <f t="shared" ref="AI35:AI66" si="20">IF(E35="","",E35)</f>
        <v>30</v>
      </c>
      <c r="AJ35" s="75" t="str">
        <f>IF(AI35="","",$AJ$2)</f>
        <v>A-</v>
      </c>
      <c r="AK35" s="75" t="s">
        <v>14</v>
      </c>
      <c r="AL35" s="75" t="s">
        <v>944</v>
      </c>
      <c r="AM35" s="75" t="s">
        <v>945</v>
      </c>
      <c r="AN35" s="75" t="str">
        <f>IF(AI35="","",$AN$2)</f>
        <v>C</v>
      </c>
      <c r="AO35" s="75" t="str">
        <f>IF(N35="","",IF(N35&gt;=$AO$1/100,"O","X"))</f>
        <v/>
      </c>
      <c r="AP35" s="75" t="str">
        <f>IF(I35="","",IF(I35&lt;=$AP$1,"O","X"))</f>
        <v/>
      </c>
      <c r="AQ35" s="75" t="str">
        <f>IF(O35="","",IF(O35&lt;=$AQ$1,"O","X"))</f>
        <v>O</v>
      </c>
      <c r="AR35" s="75" t="str">
        <f>IF(M35="","",IF(M35&lt;=$AR$1,"O","X"))</f>
        <v>O</v>
      </c>
      <c r="AS35" s="75" t="s">
        <v>2</v>
      </c>
      <c r="AT35" s="75" t="str">
        <f>IF(OR(F35="",AI35=""),"",IF(AND((F35&lt;=85),(AI35&gt;=15)),"O","X"))</f>
        <v>O</v>
      </c>
      <c r="AU35" s="75" t="str">
        <f>IF(C35="","",IF(C35&gt;=$AU$1,"O","X"))</f>
        <v>X</v>
      </c>
      <c r="AV35" s="75" t="str">
        <f>IF(AO35="","",IF(AND(AO35="O",AP35="O",AR35="O",AT35="O",AU35="O"),"후보","X"))</f>
        <v/>
      </c>
    </row>
    <row r="36" spans="1:48" x14ac:dyDescent="0.3">
      <c r="A36" s="9"/>
      <c r="B36" s="75"/>
      <c r="C36" s="6"/>
      <c r="D36" s="9"/>
      <c r="E36" s="14"/>
      <c r="F36" s="104"/>
      <c r="G36" s="9"/>
      <c r="H36" s="9"/>
      <c r="I36" s="9"/>
      <c r="J36" s="9"/>
      <c r="K36" s="9"/>
      <c r="L36" s="9"/>
      <c r="M36" s="9"/>
      <c r="N36" s="9"/>
      <c r="O36" s="105"/>
      <c r="P36" s="105"/>
      <c r="Q36" s="106"/>
      <c r="R36" s="106"/>
      <c r="S36" s="9"/>
      <c r="T36" s="48"/>
      <c r="U36" s="9"/>
      <c r="W36" s="70" t="str">
        <f>$A$4&amp;" "&amp;A37&amp;"("&amp;B37&amp;","&amp;C37&amp;"^)"</f>
        <v>북면 창원감계힐스테이트4차('17.04.,1665^)</v>
      </c>
      <c r="X36" s="71"/>
      <c r="Y36" s="71"/>
      <c r="Z36" s="71"/>
      <c r="AA36" s="71"/>
      <c r="AB36" s="71"/>
      <c r="AC36" s="71"/>
      <c r="AD36" s="71"/>
      <c r="AE36" s="71"/>
      <c r="AF36" s="72"/>
      <c r="AH36" s="20" t="str">
        <f t="shared" si="1"/>
        <v/>
      </c>
      <c r="AI36" s="103" t="str">
        <f t="shared" si="20"/>
        <v/>
      </c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x14ac:dyDescent="0.3">
      <c r="A37" s="9" t="s">
        <v>652</v>
      </c>
      <c r="B37" s="10" t="s">
        <v>973</v>
      </c>
      <c r="C37" s="107">
        <v>1665</v>
      </c>
      <c r="D37" s="104">
        <v>85.7</v>
      </c>
      <c r="E37" s="106">
        <v>26</v>
      </c>
      <c r="F37" s="104">
        <v>59.9</v>
      </c>
      <c r="G37" s="17">
        <v>18</v>
      </c>
      <c r="H37" s="107">
        <v>164</v>
      </c>
      <c r="I37" s="108"/>
      <c r="J37" s="108"/>
      <c r="K37" s="108"/>
      <c r="L37" s="108"/>
      <c r="M37" s="109">
        <f t="shared" ref="M37:M44" si="21">I37-K37</f>
        <v>0</v>
      </c>
      <c r="N37" s="4" t="str">
        <f t="shared" ref="N37:N44" si="22">IF(ISERROR(K37/I37),"",K37/I37)</f>
        <v/>
      </c>
      <c r="O37" s="105">
        <f t="shared" ref="O37:O44" si="23">I37/E37</f>
        <v>0</v>
      </c>
      <c r="P37" s="105">
        <f t="shared" ref="P37:P44" si="24">K37/E37</f>
        <v>0</v>
      </c>
      <c r="Q37" s="75">
        <v>3</v>
      </c>
      <c r="R37" s="75">
        <v>2</v>
      </c>
      <c r="S37" s="75" t="s">
        <v>947</v>
      </c>
      <c r="T37" s="5" t="s">
        <v>216</v>
      </c>
      <c r="U37" s="9"/>
      <c r="W37" s="104">
        <f t="shared" ref="W37:X44" si="25">D37</f>
        <v>85.7</v>
      </c>
      <c r="X37" s="106">
        <f t="shared" si="25"/>
        <v>26</v>
      </c>
      <c r="Y37" s="102">
        <f t="shared" ref="Y37:Z44" si="26">H37</f>
        <v>164</v>
      </c>
      <c r="Z37" s="109">
        <f t="shared" si="26"/>
        <v>0</v>
      </c>
      <c r="AA37" s="109">
        <f t="shared" ref="AA37:AA44" si="27">K37</f>
        <v>0</v>
      </c>
      <c r="AB37" s="109">
        <f t="shared" ref="AB37:AD44" si="28">M37</f>
        <v>0</v>
      </c>
      <c r="AC37" s="4" t="str">
        <f t="shared" si="28"/>
        <v/>
      </c>
      <c r="AD37" s="105">
        <f t="shared" si="28"/>
        <v>0</v>
      </c>
      <c r="AE37" s="75" t="str">
        <f t="shared" ref="AE37:AE44" si="29">S37</f>
        <v>계</v>
      </c>
      <c r="AF37" s="75" t="str">
        <f t="shared" ref="AF37:AF44" si="30">Q37&amp;"/"&amp;R37</f>
        <v>3/2</v>
      </c>
      <c r="AH37" s="20" t="str">
        <f t="shared" ref="AH37:AH68" si="31">IF(A37="","",A37)</f>
        <v>창원감계힐스테이트4차</v>
      </c>
      <c r="AI37" s="106">
        <f t="shared" si="20"/>
        <v>26</v>
      </c>
      <c r="AJ37" s="75" t="str">
        <f t="shared" ref="AJ37:AJ44" si="32">IF(AI37="","",$AJ$2)</f>
        <v>A-</v>
      </c>
      <c r="AK37" s="75" t="s">
        <v>14</v>
      </c>
      <c r="AL37" s="75" t="s">
        <v>944</v>
      </c>
      <c r="AM37" s="75" t="s">
        <v>945</v>
      </c>
      <c r="AN37" s="75" t="str">
        <f t="shared" ref="AN37:AN44" si="33">IF(AI37="","",$AN$2)</f>
        <v>C</v>
      </c>
      <c r="AO37" s="75" t="str">
        <f t="shared" ref="AO37:AO44" si="34">IF(N37="","",IF(N37&gt;=$AO$1/100,"O","X"))</f>
        <v/>
      </c>
      <c r="AP37" s="75" t="str">
        <f t="shared" ref="AP37:AP44" si="35">IF(I37="","",IF(I37&lt;=$AP$1,"O","X"))</f>
        <v/>
      </c>
      <c r="AQ37" s="75" t="str">
        <f t="shared" ref="AQ37:AQ44" si="36">IF(O37="","",IF(O37&lt;=$AQ$1,"O","X"))</f>
        <v>O</v>
      </c>
      <c r="AR37" s="75" t="str">
        <f t="shared" ref="AR37:AR44" si="37">IF(M37="","",IF(M37&lt;=$AR$1,"O","X"))</f>
        <v>O</v>
      </c>
      <c r="AS37" s="75" t="s">
        <v>2</v>
      </c>
      <c r="AT37" s="75" t="str">
        <f t="shared" ref="AT37:AT44" si="38">IF(OR(F37="",AI37=""),"",IF(AND((F37&lt;=85),(AI37&gt;=15)),"O","X"))</f>
        <v>O</v>
      </c>
      <c r="AU37" s="75" t="str">
        <f t="shared" ref="AU37:AU44" si="39">IF(C37="","",IF(C37&gt;=$AU$1,"O","X"))</f>
        <v>O</v>
      </c>
      <c r="AV37" s="75" t="str">
        <f t="shared" ref="AV37:AV44" si="40">IF(AO37="","",IF(AND(AO37="O",AP37="O",AR37="O",AT37="O",AU37="O"),"후보","X"))</f>
        <v/>
      </c>
    </row>
    <row r="38" spans="1:48" x14ac:dyDescent="0.3">
      <c r="A38" s="9" t="s">
        <v>652</v>
      </c>
      <c r="B38" s="10" t="s">
        <v>973</v>
      </c>
      <c r="C38" s="107">
        <v>1665</v>
      </c>
      <c r="D38" s="104">
        <v>85.4</v>
      </c>
      <c r="E38" s="106">
        <v>26</v>
      </c>
      <c r="F38" s="104">
        <v>59</v>
      </c>
      <c r="G38" s="17">
        <v>18</v>
      </c>
      <c r="H38" s="107">
        <v>93</v>
      </c>
      <c r="I38" s="108">
        <v>24000</v>
      </c>
      <c r="J38" s="108" t="s">
        <v>954</v>
      </c>
      <c r="K38" s="108"/>
      <c r="L38" s="108"/>
      <c r="M38" s="109">
        <f t="shared" si="21"/>
        <v>24000</v>
      </c>
      <c r="N38" s="4">
        <f t="shared" si="22"/>
        <v>0</v>
      </c>
      <c r="O38" s="105">
        <f t="shared" si="23"/>
        <v>923.07692307692309</v>
      </c>
      <c r="P38" s="105">
        <f t="shared" si="24"/>
        <v>0</v>
      </c>
      <c r="Q38" s="75">
        <v>3</v>
      </c>
      <c r="R38" s="75">
        <v>2</v>
      </c>
      <c r="S38" s="75" t="s">
        <v>947</v>
      </c>
      <c r="T38" s="5" t="s">
        <v>188</v>
      </c>
      <c r="U38" s="9"/>
      <c r="W38" s="104">
        <f t="shared" si="25"/>
        <v>85.4</v>
      </c>
      <c r="X38" s="106">
        <f t="shared" si="25"/>
        <v>26</v>
      </c>
      <c r="Y38" s="102">
        <f t="shared" si="26"/>
        <v>93</v>
      </c>
      <c r="Z38" s="109">
        <f t="shared" si="26"/>
        <v>24000</v>
      </c>
      <c r="AA38" s="109">
        <f t="shared" si="27"/>
        <v>0</v>
      </c>
      <c r="AB38" s="109">
        <f t="shared" si="28"/>
        <v>24000</v>
      </c>
      <c r="AC38" s="4">
        <f t="shared" si="28"/>
        <v>0</v>
      </c>
      <c r="AD38" s="105">
        <f t="shared" si="28"/>
        <v>923.07692307692309</v>
      </c>
      <c r="AE38" s="75" t="str">
        <f t="shared" si="29"/>
        <v>계</v>
      </c>
      <c r="AF38" s="75" t="str">
        <f t="shared" si="30"/>
        <v>3/2</v>
      </c>
      <c r="AH38" s="20" t="str">
        <f t="shared" si="31"/>
        <v>창원감계힐스테이트4차</v>
      </c>
      <c r="AI38" s="106">
        <f t="shared" si="20"/>
        <v>26</v>
      </c>
      <c r="AJ38" s="75" t="str">
        <f t="shared" si="32"/>
        <v>A-</v>
      </c>
      <c r="AK38" s="75" t="s">
        <v>14</v>
      </c>
      <c r="AL38" s="75" t="s">
        <v>944</v>
      </c>
      <c r="AM38" s="75" t="s">
        <v>945</v>
      </c>
      <c r="AN38" s="75" t="str">
        <f t="shared" si="33"/>
        <v>C</v>
      </c>
      <c r="AO38" s="75" t="str">
        <f t="shared" si="34"/>
        <v>X</v>
      </c>
      <c r="AP38" s="75" t="str">
        <f t="shared" si="35"/>
        <v>O</v>
      </c>
      <c r="AQ38" s="75" t="str">
        <f t="shared" si="36"/>
        <v>O</v>
      </c>
      <c r="AR38" s="75" t="str">
        <f t="shared" si="37"/>
        <v>X</v>
      </c>
      <c r="AS38" s="75" t="s">
        <v>2</v>
      </c>
      <c r="AT38" s="75" t="str">
        <f t="shared" si="38"/>
        <v>O</v>
      </c>
      <c r="AU38" s="75" t="str">
        <f t="shared" si="39"/>
        <v>O</v>
      </c>
      <c r="AV38" s="75" t="str">
        <f t="shared" si="40"/>
        <v>X</v>
      </c>
    </row>
    <row r="39" spans="1:48" x14ac:dyDescent="0.3">
      <c r="A39" s="9" t="s">
        <v>652</v>
      </c>
      <c r="B39" s="10" t="s">
        <v>973</v>
      </c>
      <c r="C39" s="107">
        <v>1665</v>
      </c>
      <c r="D39" s="104">
        <v>95.3</v>
      </c>
      <c r="E39" s="106">
        <v>29</v>
      </c>
      <c r="F39" s="104">
        <v>69</v>
      </c>
      <c r="G39" s="17">
        <v>21</v>
      </c>
      <c r="H39" s="107">
        <v>380</v>
      </c>
      <c r="I39" s="108"/>
      <c r="J39" s="108"/>
      <c r="K39" s="108"/>
      <c r="L39" s="108"/>
      <c r="M39" s="109">
        <f t="shared" si="21"/>
        <v>0</v>
      </c>
      <c r="N39" s="4" t="str">
        <f t="shared" si="22"/>
        <v/>
      </c>
      <c r="O39" s="105">
        <f t="shared" si="23"/>
        <v>0</v>
      </c>
      <c r="P39" s="105">
        <f t="shared" si="24"/>
        <v>0</v>
      </c>
      <c r="Q39" s="75">
        <v>3</v>
      </c>
      <c r="R39" s="75">
        <v>2</v>
      </c>
      <c r="S39" s="75" t="s">
        <v>947</v>
      </c>
      <c r="T39" s="5" t="s">
        <v>622</v>
      </c>
      <c r="U39" s="9"/>
      <c r="W39" s="104">
        <f t="shared" si="25"/>
        <v>95.3</v>
      </c>
      <c r="X39" s="106">
        <f t="shared" si="25"/>
        <v>29</v>
      </c>
      <c r="Y39" s="102">
        <f t="shared" si="26"/>
        <v>380</v>
      </c>
      <c r="Z39" s="109">
        <f t="shared" si="26"/>
        <v>0</v>
      </c>
      <c r="AA39" s="109">
        <f t="shared" si="27"/>
        <v>0</v>
      </c>
      <c r="AB39" s="109">
        <f t="shared" si="28"/>
        <v>0</v>
      </c>
      <c r="AC39" s="4" t="str">
        <f t="shared" si="28"/>
        <v/>
      </c>
      <c r="AD39" s="105">
        <f t="shared" si="28"/>
        <v>0</v>
      </c>
      <c r="AE39" s="75" t="str">
        <f t="shared" si="29"/>
        <v>계</v>
      </c>
      <c r="AF39" s="75" t="str">
        <f t="shared" si="30"/>
        <v>3/2</v>
      </c>
      <c r="AH39" s="20" t="str">
        <f t="shared" si="31"/>
        <v>창원감계힐스테이트4차</v>
      </c>
      <c r="AI39" s="106">
        <f t="shared" si="20"/>
        <v>29</v>
      </c>
      <c r="AJ39" s="75" t="str">
        <f t="shared" si="32"/>
        <v>A-</v>
      </c>
      <c r="AK39" s="75" t="s">
        <v>14</v>
      </c>
      <c r="AL39" s="75" t="s">
        <v>944</v>
      </c>
      <c r="AM39" s="75" t="s">
        <v>945</v>
      </c>
      <c r="AN39" s="75" t="str">
        <f t="shared" si="33"/>
        <v>C</v>
      </c>
      <c r="AO39" s="75" t="str">
        <f t="shared" si="34"/>
        <v/>
      </c>
      <c r="AP39" s="75" t="str">
        <f t="shared" si="35"/>
        <v/>
      </c>
      <c r="AQ39" s="75" t="str">
        <f t="shared" si="36"/>
        <v>O</v>
      </c>
      <c r="AR39" s="75" t="str">
        <f t="shared" si="37"/>
        <v>O</v>
      </c>
      <c r="AS39" s="75" t="s">
        <v>2</v>
      </c>
      <c r="AT39" s="75" t="str">
        <f t="shared" si="38"/>
        <v>O</v>
      </c>
      <c r="AU39" s="75" t="str">
        <f t="shared" si="39"/>
        <v>O</v>
      </c>
      <c r="AV39" s="75" t="str">
        <f t="shared" si="40"/>
        <v/>
      </c>
    </row>
    <row r="40" spans="1:48" x14ac:dyDescent="0.3">
      <c r="A40" s="9" t="s">
        <v>652</v>
      </c>
      <c r="B40" s="10" t="s">
        <v>973</v>
      </c>
      <c r="C40" s="107">
        <v>1665</v>
      </c>
      <c r="D40" s="104">
        <v>95.8</v>
      </c>
      <c r="E40" s="106">
        <v>29</v>
      </c>
      <c r="F40" s="104">
        <v>68.7</v>
      </c>
      <c r="G40" s="17">
        <v>21</v>
      </c>
      <c r="H40" s="107">
        <v>95</v>
      </c>
      <c r="I40" s="108">
        <v>30000</v>
      </c>
      <c r="J40" s="108" t="s">
        <v>974</v>
      </c>
      <c r="K40" s="108"/>
      <c r="L40" s="108"/>
      <c r="M40" s="109">
        <f t="shared" si="21"/>
        <v>30000</v>
      </c>
      <c r="N40" s="4">
        <f t="shared" si="22"/>
        <v>0</v>
      </c>
      <c r="O40" s="105">
        <f t="shared" si="23"/>
        <v>1034.4827586206898</v>
      </c>
      <c r="P40" s="105">
        <f t="shared" si="24"/>
        <v>0</v>
      </c>
      <c r="Q40" s="75">
        <v>3</v>
      </c>
      <c r="R40" s="75">
        <v>2</v>
      </c>
      <c r="S40" s="75" t="s">
        <v>947</v>
      </c>
      <c r="T40" s="5" t="s">
        <v>626</v>
      </c>
      <c r="U40" s="9"/>
      <c r="W40" s="104">
        <f t="shared" si="25"/>
        <v>95.8</v>
      </c>
      <c r="X40" s="106">
        <f t="shared" si="25"/>
        <v>29</v>
      </c>
      <c r="Y40" s="102">
        <f t="shared" si="26"/>
        <v>95</v>
      </c>
      <c r="Z40" s="109">
        <f t="shared" si="26"/>
        <v>30000</v>
      </c>
      <c r="AA40" s="109">
        <f t="shared" si="27"/>
        <v>0</v>
      </c>
      <c r="AB40" s="109">
        <f t="shared" si="28"/>
        <v>30000</v>
      </c>
      <c r="AC40" s="4">
        <f t="shared" si="28"/>
        <v>0</v>
      </c>
      <c r="AD40" s="105">
        <f t="shared" si="28"/>
        <v>1034.4827586206898</v>
      </c>
      <c r="AE40" s="75" t="str">
        <f t="shared" si="29"/>
        <v>계</v>
      </c>
      <c r="AF40" s="75" t="str">
        <f t="shared" si="30"/>
        <v>3/2</v>
      </c>
      <c r="AH40" s="20" t="str">
        <f t="shared" si="31"/>
        <v>창원감계힐스테이트4차</v>
      </c>
      <c r="AI40" s="106">
        <f t="shared" si="20"/>
        <v>29</v>
      </c>
      <c r="AJ40" s="75" t="str">
        <f t="shared" si="32"/>
        <v>A-</v>
      </c>
      <c r="AK40" s="75" t="s">
        <v>14</v>
      </c>
      <c r="AL40" s="75" t="s">
        <v>944</v>
      </c>
      <c r="AM40" s="75" t="s">
        <v>945</v>
      </c>
      <c r="AN40" s="75" t="str">
        <f t="shared" si="33"/>
        <v>C</v>
      </c>
      <c r="AO40" s="75" t="str">
        <f t="shared" si="34"/>
        <v>X</v>
      </c>
      <c r="AP40" s="75" t="str">
        <f t="shared" si="35"/>
        <v>O</v>
      </c>
      <c r="AQ40" s="75" t="str">
        <f t="shared" si="36"/>
        <v>X</v>
      </c>
      <c r="AR40" s="75" t="str">
        <f t="shared" si="37"/>
        <v>X</v>
      </c>
      <c r="AS40" s="75" t="s">
        <v>2</v>
      </c>
      <c r="AT40" s="75" t="str">
        <f t="shared" si="38"/>
        <v>O</v>
      </c>
      <c r="AU40" s="75" t="str">
        <f t="shared" si="39"/>
        <v>O</v>
      </c>
      <c r="AV40" s="75" t="str">
        <f t="shared" si="40"/>
        <v>X</v>
      </c>
    </row>
    <row r="41" spans="1:48" x14ac:dyDescent="0.3">
      <c r="A41" s="9" t="s">
        <v>652</v>
      </c>
      <c r="B41" s="10" t="s">
        <v>973</v>
      </c>
      <c r="C41" s="107">
        <v>1665</v>
      </c>
      <c r="D41" s="104">
        <v>108.1</v>
      </c>
      <c r="E41" s="106">
        <v>33</v>
      </c>
      <c r="F41" s="104">
        <v>79</v>
      </c>
      <c r="G41" s="17">
        <v>24</v>
      </c>
      <c r="H41" s="107">
        <v>143</v>
      </c>
      <c r="I41" s="108"/>
      <c r="J41" s="108"/>
      <c r="K41" s="108"/>
      <c r="L41" s="108"/>
      <c r="M41" s="109">
        <f t="shared" si="21"/>
        <v>0</v>
      </c>
      <c r="N41" s="4" t="str">
        <f t="shared" si="22"/>
        <v/>
      </c>
      <c r="O41" s="105">
        <f t="shared" si="23"/>
        <v>0</v>
      </c>
      <c r="P41" s="105">
        <f t="shared" si="24"/>
        <v>0</v>
      </c>
      <c r="Q41" s="75">
        <v>3</v>
      </c>
      <c r="R41" s="75">
        <v>2</v>
      </c>
      <c r="S41" s="75" t="s">
        <v>947</v>
      </c>
      <c r="T41" s="5" t="s">
        <v>565</v>
      </c>
      <c r="U41" s="9"/>
      <c r="W41" s="104">
        <f t="shared" si="25"/>
        <v>108.1</v>
      </c>
      <c r="X41" s="106">
        <f t="shared" si="25"/>
        <v>33</v>
      </c>
      <c r="Y41" s="102">
        <f t="shared" si="26"/>
        <v>143</v>
      </c>
      <c r="Z41" s="109">
        <f t="shared" si="26"/>
        <v>0</v>
      </c>
      <c r="AA41" s="109">
        <f t="shared" si="27"/>
        <v>0</v>
      </c>
      <c r="AB41" s="109">
        <f t="shared" si="28"/>
        <v>0</v>
      </c>
      <c r="AC41" s="4" t="str">
        <f t="shared" si="28"/>
        <v/>
      </c>
      <c r="AD41" s="105">
        <f t="shared" si="28"/>
        <v>0</v>
      </c>
      <c r="AE41" s="75" t="str">
        <f t="shared" si="29"/>
        <v>계</v>
      </c>
      <c r="AF41" s="75" t="str">
        <f t="shared" si="30"/>
        <v>3/2</v>
      </c>
      <c r="AH41" s="20" t="str">
        <f t="shared" si="31"/>
        <v>창원감계힐스테이트4차</v>
      </c>
      <c r="AI41" s="106">
        <f t="shared" si="20"/>
        <v>33</v>
      </c>
      <c r="AJ41" s="75" t="str">
        <f t="shared" si="32"/>
        <v>A-</v>
      </c>
      <c r="AK41" s="75" t="s">
        <v>14</v>
      </c>
      <c r="AL41" s="75" t="s">
        <v>944</v>
      </c>
      <c r="AM41" s="75" t="s">
        <v>945</v>
      </c>
      <c r="AN41" s="75" t="str">
        <f t="shared" si="33"/>
        <v>C</v>
      </c>
      <c r="AO41" s="75" t="str">
        <f t="shared" si="34"/>
        <v/>
      </c>
      <c r="AP41" s="75" t="str">
        <f t="shared" si="35"/>
        <v/>
      </c>
      <c r="AQ41" s="75" t="str">
        <f t="shared" si="36"/>
        <v>O</v>
      </c>
      <c r="AR41" s="75" t="str">
        <f t="shared" si="37"/>
        <v>O</v>
      </c>
      <c r="AS41" s="75" t="s">
        <v>2</v>
      </c>
      <c r="AT41" s="75" t="str">
        <f t="shared" si="38"/>
        <v>O</v>
      </c>
      <c r="AU41" s="75" t="str">
        <f t="shared" si="39"/>
        <v>O</v>
      </c>
      <c r="AV41" s="75" t="str">
        <f t="shared" si="40"/>
        <v/>
      </c>
    </row>
    <row r="42" spans="1:48" x14ac:dyDescent="0.3">
      <c r="A42" s="9" t="s">
        <v>652</v>
      </c>
      <c r="B42" s="10" t="s">
        <v>973</v>
      </c>
      <c r="C42" s="107">
        <v>1665</v>
      </c>
      <c r="D42" s="104">
        <v>108.3</v>
      </c>
      <c r="E42" s="106">
        <v>33</v>
      </c>
      <c r="F42" s="104">
        <v>78.900000000000006</v>
      </c>
      <c r="G42" s="17">
        <v>24</v>
      </c>
      <c r="H42" s="107">
        <v>142</v>
      </c>
      <c r="I42" s="108">
        <v>32000</v>
      </c>
      <c r="J42" s="108" t="s">
        <v>954</v>
      </c>
      <c r="K42" s="108">
        <v>29000</v>
      </c>
      <c r="L42" s="108" t="s">
        <v>954</v>
      </c>
      <c r="M42" s="109">
        <f t="shared" si="21"/>
        <v>3000</v>
      </c>
      <c r="N42" s="4">
        <f t="shared" si="22"/>
        <v>0.90625</v>
      </c>
      <c r="O42" s="105">
        <f t="shared" si="23"/>
        <v>969.69696969696975</v>
      </c>
      <c r="P42" s="105">
        <f t="shared" si="24"/>
        <v>878.78787878787875</v>
      </c>
      <c r="Q42" s="75">
        <v>3</v>
      </c>
      <c r="R42" s="75">
        <v>2</v>
      </c>
      <c r="S42" s="75" t="s">
        <v>947</v>
      </c>
      <c r="T42" s="5" t="s">
        <v>570</v>
      </c>
      <c r="U42" s="9"/>
      <c r="W42" s="104">
        <f t="shared" si="25"/>
        <v>108.3</v>
      </c>
      <c r="X42" s="106">
        <f t="shared" si="25"/>
        <v>33</v>
      </c>
      <c r="Y42" s="102">
        <f t="shared" si="26"/>
        <v>142</v>
      </c>
      <c r="Z42" s="109">
        <f t="shared" si="26"/>
        <v>32000</v>
      </c>
      <c r="AA42" s="109">
        <f t="shared" si="27"/>
        <v>29000</v>
      </c>
      <c r="AB42" s="109">
        <f t="shared" si="28"/>
        <v>3000</v>
      </c>
      <c r="AC42" s="4">
        <f t="shared" si="28"/>
        <v>0.90625</v>
      </c>
      <c r="AD42" s="105">
        <f t="shared" si="28"/>
        <v>969.69696969696975</v>
      </c>
      <c r="AE42" s="75" t="str">
        <f t="shared" si="29"/>
        <v>계</v>
      </c>
      <c r="AF42" s="75" t="str">
        <f t="shared" si="30"/>
        <v>3/2</v>
      </c>
      <c r="AH42" s="20" t="str">
        <f t="shared" si="31"/>
        <v>창원감계힐스테이트4차</v>
      </c>
      <c r="AI42" s="106">
        <f t="shared" si="20"/>
        <v>33</v>
      </c>
      <c r="AJ42" s="75" t="str">
        <f t="shared" si="32"/>
        <v>A-</v>
      </c>
      <c r="AK42" s="75" t="s">
        <v>14</v>
      </c>
      <c r="AL42" s="75" t="s">
        <v>944</v>
      </c>
      <c r="AM42" s="75" t="s">
        <v>945</v>
      </c>
      <c r="AN42" s="75" t="str">
        <f t="shared" si="33"/>
        <v>C</v>
      </c>
      <c r="AO42" s="75" t="str">
        <f t="shared" si="34"/>
        <v>O</v>
      </c>
      <c r="AP42" s="75" t="str">
        <f t="shared" si="35"/>
        <v>O</v>
      </c>
      <c r="AQ42" s="75" t="str">
        <f t="shared" si="36"/>
        <v>O</v>
      </c>
      <c r="AR42" s="75" t="str">
        <f t="shared" si="37"/>
        <v>O</v>
      </c>
      <c r="AS42" s="75" t="s">
        <v>2</v>
      </c>
      <c r="AT42" s="75" t="str">
        <f t="shared" si="38"/>
        <v>O</v>
      </c>
      <c r="AU42" s="75" t="str">
        <f t="shared" si="39"/>
        <v>O</v>
      </c>
      <c r="AV42" s="75" t="str">
        <f t="shared" si="40"/>
        <v>후보</v>
      </c>
    </row>
    <row r="43" spans="1:48" x14ac:dyDescent="0.3">
      <c r="A43" s="9" t="s">
        <v>652</v>
      </c>
      <c r="B43" s="10" t="s">
        <v>973</v>
      </c>
      <c r="C43" s="107">
        <v>1665</v>
      </c>
      <c r="D43" s="104">
        <v>115.7</v>
      </c>
      <c r="E43" s="106">
        <v>35</v>
      </c>
      <c r="F43" s="104">
        <v>85</v>
      </c>
      <c r="G43" s="17">
        <v>26</v>
      </c>
      <c r="H43" s="107">
        <v>514</v>
      </c>
      <c r="I43" s="108">
        <v>35000</v>
      </c>
      <c r="J43" s="108" t="s">
        <v>957</v>
      </c>
      <c r="K43" s="108">
        <v>30000</v>
      </c>
      <c r="L43" s="108" t="s">
        <v>959</v>
      </c>
      <c r="M43" s="109">
        <f t="shared" si="21"/>
        <v>5000</v>
      </c>
      <c r="N43" s="4">
        <f t="shared" si="22"/>
        <v>0.8571428571428571</v>
      </c>
      <c r="O43" s="105">
        <f t="shared" si="23"/>
        <v>1000</v>
      </c>
      <c r="P43" s="105">
        <f t="shared" si="24"/>
        <v>857.14285714285711</v>
      </c>
      <c r="Q43" s="75">
        <v>3</v>
      </c>
      <c r="R43" s="75">
        <v>2</v>
      </c>
      <c r="S43" s="75" t="s">
        <v>947</v>
      </c>
      <c r="T43" s="5">
        <v>115</v>
      </c>
      <c r="U43" s="9"/>
      <c r="W43" s="104">
        <f t="shared" si="25"/>
        <v>115.7</v>
      </c>
      <c r="X43" s="106">
        <f t="shared" si="25"/>
        <v>35</v>
      </c>
      <c r="Y43" s="102">
        <f t="shared" si="26"/>
        <v>514</v>
      </c>
      <c r="Z43" s="109">
        <f t="shared" si="26"/>
        <v>35000</v>
      </c>
      <c r="AA43" s="109">
        <f t="shared" si="27"/>
        <v>30000</v>
      </c>
      <c r="AB43" s="109">
        <f t="shared" si="28"/>
        <v>5000</v>
      </c>
      <c r="AC43" s="4">
        <f t="shared" si="28"/>
        <v>0.8571428571428571</v>
      </c>
      <c r="AD43" s="105">
        <f t="shared" si="28"/>
        <v>1000</v>
      </c>
      <c r="AE43" s="75" t="str">
        <f t="shared" si="29"/>
        <v>계</v>
      </c>
      <c r="AF43" s="75" t="str">
        <f t="shared" si="30"/>
        <v>3/2</v>
      </c>
      <c r="AH43" s="20" t="str">
        <f t="shared" si="31"/>
        <v>창원감계힐스테이트4차</v>
      </c>
      <c r="AI43" s="106">
        <f t="shared" si="20"/>
        <v>35</v>
      </c>
      <c r="AJ43" s="75" t="str">
        <f t="shared" si="32"/>
        <v>A-</v>
      </c>
      <c r="AK43" s="75" t="s">
        <v>14</v>
      </c>
      <c r="AL43" s="75" t="s">
        <v>944</v>
      </c>
      <c r="AM43" s="75" t="s">
        <v>945</v>
      </c>
      <c r="AN43" s="75" t="str">
        <f t="shared" si="33"/>
        <v>C</v>
      </c>
      <c r="AO43" s="75" t="str">
        <f t="shared" si="34"/>
        <v>O</v>
      </c>
      <c r="AP43" s="75" t="str">
        <f t="shared" si="35"/>
        <v>O</v>
      </c>
      <c r="AQ43" s="75" t="str">
        <f t="shared" si="36"/>
        <v>O</v>
      </c>
      <c r="AR43" s="75" t="str">
        <f t="shared" si="37"/>
        <v>O</v>
      </c>
      <c r="AS43" s="75" t="s">
        <v>2</v>
      </c>
      <c r="AT43" s="75" t="str">
        <f t="shared" si="38"/>
        <v>O</v>
      </c>
      <c r="AU43" s="75" t="str">
        <f t="shared" si="39"/>
        <v>O</v>
      </c>
      <c r="AV43" s="75" t="str">
        <f t="shared" si="40"/>
        <v>후보</v>
      </c>
    </row>
    <row r="44" spans="1:48" x14ac:dyDescent="0.3">
      <c r="A44" s="9" t="s">
        <v>652</v>
      </c>
      <c r="B44" s="10" t="s">
        <v>973</v>
      </c>
      <c r="C44" s="107">
        <v>1665</v>
      </c>
      <c r="D44" s="104">
        <v>131.80000000000001</v>
      </c>
      <c r="E44" s="106">
        <v>40</v>
      </c>
      <c r="F44" s="104">
        <v>101.9</v>
      </c>
      <c r="G44" s="17">
        <v>31</v>
      </c>
      <c r="H44" s="107">
        <v>134</v>
      </c>
      <c r="I44" s="108">
        <v>44500</v>
      </c>
      <c r="J44" s="108" t="s">
        <v>954</v>
      </c>
      <c r="K44" s="108">
        <v>30000</v>
      </c>
      <c r="L44" s="108" t="s">
        <v>957</v>
      </c>
      <c r="M44" s="109">
        <f t="shared" si="21"/>
        <v>14500</v>
      </c>
      <c r="N44" s="4">
        <f t="shared" si="22"/>
        <v>0.6741573033707865</v>
      </c>
      <c r="O44" s="105">
        <f t="shared" si="23"/>
        <v>1112.5</v>
      </c>
      <c r="P44" s="105">
        <f t="shared" si="24"/>
        <v>750</v>
      </c>
      <c r="Q44" s="75">
        <v>4</v>
      </c>
      <c r="R44" s="75">
        <v>2</v>
      </c>
      <c r="S44" s="75" t="s">
        <v>947</v>
      </c>
      <c r="T44" s="5">
        <v>131</v>
      </c>
      <c r="U44" s="9"/>
      <c r="W44" s="104">
        <f t="shared" si="25"/>
        <v>131.80000000000001</v>
      </c>
      <c r="X44" s="106">
        <f t="shared" si="25"/>
        <v>40</v>
      </c>
      <c r="Y44" s="102">
        <f t="shared" si="26"/>
        <v>134</v>
      </c>
      <c r="Z44" s="109">
        <f t="shared" si="26"/>
        <v>44500</v>
      </c>
      <c r="AA44" s="109">
        <f t="shared" si="27"/>
        <v>30000</v>
      </c>
      <c r="AB44" s="109">
        <f t="shared" si="28"/>
        <v>14500</v>
      </c>
      <c r="AC44" s="4">
        <f t="shared" si="28"/>
        <v>0.6741573033707865</v>
      </c>
      <c r="AD44" s="105">
        <f t="shared" si="28"/>
        <v>1112.5</v>
      </c>
      <c r="AE44" s="75" t="str">
        <f t="shared" si="29"/>
        <v>계</v>
      </c>
      <c r="AF44" s="75" t="str">
        <f t="shared" si="30"/>
        <v>4/2</v>
      </c>
      <c r="AH44" s="20" t="str">
        <f t="shared" si="31"/>
        <v>창원감계힐스테이트4차</v>
      </c>
      <c r="AI44" s="106">
        <f t="shared" si="20"/>
        <v>40</v>
      </c>
      <c r="AJ44" s="75" t="str">
        <f t="shared" si="32"/>
        <v>A-</v>
      </c>
      <c r="AK44" s="75" t="s">
        <v>14</v>
      </c>
      <c r="AL44" s="75" t="s">
        <v>944</v>
      </c>
      <c r="AM44" s="75" t="s">
        <v>945</v>
      </c>
      <c r="AN44" s="75" t="str">
        <f t="shared" si="33"/>
        <v>C</v>
      </c>
      <c r="AO44" s="75" t="str">
        <f t="shared" si="34"/>
        <v>X</v>
      </c>
      <c r="AP44" s="75" t="str">
        <f t="shared" si="35"/>
        <v>O</v>
      </c>
      <c r="AQ44" s="75" t="str">
        <f t="shared" si="36"/>
        <v>X</v>
      </c>
      <c r="AR44" s="75" t="str">
        <f t="shared" si="37"/>
        <v>X</v>
      </c>
      <c r="AS44" s="75" t="s">
        <v>2</v>
      </c>
      <c r="AT44" s="75" t="str">
        <f t="shared" si="38"/>
        <v>X</v>
      </c>
      <c r="AU44" s="75" t="str">
        <f t="shared" si="39"/>
        <v>O</v>
      </c>
      <c r="AV44" s="75" t="str">
        <f t="shared" si="40"/>
        <v>X</v>
      </c>
    </row>
    <row r="45" spans="1:48" x14ac:dyDescent="0.3">
      <c r="A45" s="9"/>
      <c r="B45" s="75"/>
      <c r="C45" s="6"/>
      <c r="D45" s="9"/>
      <c r="E45" s="14"/>
      <c r="F45" s="104"/>
      <c r="G45" s="9"/>
      <c r="H45" s="9"/>
      <c r="I45" s="9"/>
      <c r="J45" s="9"/>
      <c r="K45" s="9"/>
      <c r="L45" s="9"/>
      <c r="M45" s="9"/>
      <c r="N45" s="9"/>
      <c r="O45" s="105"/>
      <c r="P45" s="105"/>
      <c r="Q45" s="106"/>
      <c r="R45" s="106"/>
      <c r="S45" s="9"/>
      <c r="T45" s="48"/>
      <c r="U45" s="9"/>
      <c r="W45" s="70" t="str">
        <f>$A$4&amp;" "&amp;A46&amp;"("&amp;B46&amp;","&amp;C46&amp;"^)"</f>
        <v>북면 대호('98.06.,294^)</v>
      </c>
      <c r="X45" s="71"/>
      <c r="Y45" s="71"/>
      <c r="Z45" s="71"/>
      <c r="AA45" s="71"/>
      <c r="AB45" s="71"/>
      <c r="AC45" s="71"/>
      <c r="AD45" s="71"/>
      <c r="AE45" s="71"/>
      <c r="AF45" s="72"/>
      <c r="AH45" s="20" t="str">
        <f t="shared" si="31"/>
        <v/>
      </c>
      <c r="AI45" s="103" t="str">
        <f t="shared" si="20"/>
        <v/>
      </c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</row>
    <row r="46" spans="1:48" x14ac:dyDescent="0.3">
      <c r="A46" s="9" t="s">
        <v>656</v>
      </c>
      <c r="B46" s="10" t="s">
        <v>975</v>
      </c>
      <c r="C46" s="107">
        <v>294</v>
      </c>
      <c r="D46" s="104">
        <v>69.400000000000006</v>
      </c>
      <c r="E46" s="106">
        <v>21</v>
      </c>
      <c r="F46" s="104">
        <v>59.8</v>
      </c>
      <c r="G46" s="17">
        <v>18</v>
      </c>
      <c r="H46" s="107">
        <v>174</v>
      </c>
      <c r="I46" s="108"/>
      <c r="J46" s="108"/>
      <c r="K46" s="108"/>
      <c r="L46" s="108"/>
      <c r="M46" s="109">
        <f>I46-K46</f>
        <v>0</v>
      </c>
      <c r="N46" s="4" t="str">
        <f>IF(ISERROR(K46/I46),"",K46/I46)</f>
        <v/>
      </c>
      <c r="O46" s="105">
        <f>I46/E46</f>
        <v>0</v>
      </c>
      <c r="P46" s="105">
        <f>K46/E46</f>
        <v>0</v>
      </c>
      <c r="Q46" s="75">
        <v>3</v>
      </c>
      <c r="R46" s="75">
        <v>1</v>
      </c>
      <c r="S46" s="75" t="s">
        <v>947</v>
      </c>
      <c r="T46" s="5" t="s">
        <v>349</v>
      </c>
      <c r="U46" s="9"/>
      <c r="W46" s="104">
        <f>D46</f>
        <v>69.400000000000006</v>
      </c>
      <c r="X46" s="106">
        <f>E46</f>
        <v>21</v>
      </c>
      <c r="Y46" s="102">
        <f>H46</f>
        <v>174</v>
      </c>
      <c r="Z46" s="109">
        <f>I46</f>
        <v>0</v>
      </c>
      <c r="AA46" s="109">
        <f>K46</f>
        <v>0</v>
      </c>
      <c r="AB46" s="109">
        <f t="shared" ref="AB46:AD47" si="41">M46</f>
        <v>0</v>
      </c>
      <c r="AC46" s="4" t="str">
        <f t="shared" si="41"/>
        <v/>
      </c>
      <c r="AD46" s="105">
        <f t="shared" si="41"/>
        <v>0</v>
      </c>
      <c r="AE46" s="75" t="str">
        <f>S46</f>
        <v>계</v>
      </c>
      <c r="AF46" s="75" t="str">
        <f>Q46&amp;"/"&amp;R46</f>
        <v>3/1</v>
      </c>
      <c r="AH46" s="20" t="str">
        <f t="shared" si="31"/>
        <v>대호</v>
      </c>
      <c r="AI46" s="106">
        <f t="shared" si="20"/>
        <v>21</v>
      </c>
      <c r="AJ46" s="75" t="str">
        <f>IF(AI46="","",$AJ$2)</f>
        <v>A-</v>
      </c>
      <c r="AK46" s="75" t="s">
        <v>14</v>
      </c>
      <c r="AL46" s="75" t="s">
        <v>944</v>
      </c>
      <c r="AM46" s="75" t="s">
        <v>945</v>
      </c>
      <c r="AN46" s="75" t="str">
        <f>IF(AI46="","",$AN$2)</f>
        <v>C</v>
      </c>
      <c r="AO46" s="75" t="str">
        <f>IF(N46="","",IF(N46&gt;=$AO$1/100,"O","X"))</f>
        <v/>
      </c>
      <c r="AP46" s="75" t="str">
        <f>IF(I46="","",IF(I46&lt;=$AP$1,"O","X"))</f>
        <v/>
      </c>
      <c r="AQ46" s="75" t="str">
        <f>IF(O46="","",IF(O46&lt;=$AQ$1,"O","X"))</f>
        <v>O</v>
      </c>
      <c r="AR46" s="75" t="str">
        <f>IF(M46="","",IF(M46&lt;=$AR$1,"O","X"))</f>
        <v>O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X</v>
      </c>
      <c r="AV46" s="75" t="str">
        <f>IF(AO46="","",IF(AND(AO46="O",AP46="O",AR46="O",AT46="O",AU46="O"),"후보","X"))</f>
        <v/>
      </c>
    </row>
    <row r="47" spans="1:48" x14ac:dyDescent="0.3">
      <c r="A47" s="9" t="s">
        <v>656</v>
      </c>
      <c r="B47" s="10" t="s">
        <v>975</v>
      </c>
      <c r="C47" s="107">
        <v>294</v>
      </c>
      <c r="D47" s="104">
        <v>69.2</v>
      </c>
      <c r="E47" s="106">
        <v>21</v>
      </c>
      <c r="F47" s="104">
        <v>59.7</v>
      </c>
      <c r="G47" s="17">
        <v>18</v>
      </c>
      <c r="H47" s="107">
        <v>120</v>
      </c>
      <c r="I47" s="108"/>
      <c r="J47" s="108"/>
      <c r="K47" s="108"/>
      <c r="L47" s="108"/>
      <c r="M47" s="109">
        <f>I47-K47</f>
        <v>0</v>
      </c>
      <c r="N47" s="4" t="str">
        <f>IF(ISERROR(K47/I47),"",K47/I47)</f>
        <v/>
      </c>
      <c r="O47" s="105">
        <f>I47/E47</f>
        <v>0</v>
      </c>
      <c r="P47" s="105">
        <f>K47/E47</f>
        <v>0</v>
      </c>
      <c r="Q47" s="75">
        <v>2</v>
      </c>
      <c r="R47" s="75">
        <v>1</v>
      </c>
      <c r="S47" s="75" t="s">
        <v>947</v>
      </c>
      <c r="T47" s="5" t="s">
        <v>345</v>
      </c>
      <c r="U47" s="9"/>
      <c r="W47" s="104">
        <f>D47</f>
        <v>69.2</v>
      </c>
      <c r="X47" s="106">
        <f>E47</f>
        <v>21</v>
      </c>
      <c r="Y47" s="102">
        <f>H47</f>
        <v>120</v>
      </c>
      <c r="Z47" s="109">
        <f>I47</f>
        <v>0</v>
      </c>
      <c r="AA47" s="109">
        <f>K47</f>
        <v>0</v>
      </c>
      <c r="AB47" s="109">
        <f t="shared" si="41"/>
        <v>0</v>
      </c>
      <c r="AC47" s="4" t="str">
        <f t="shared" si="41"/>
        <v/>
      </c>
      <c r="AD47" s="105">
        <f t="shared" si="41"/>
        <v>0</v>
      </c>
      <c r="AE47" s="75" t="str">
        <f>S47</f>
        <v>계</v>
      </c>
      <c r="AF47" s="75" t="str">
        <f>Q47&amp;"/"&amp;R47</f>
        <v>2/1</v>
      </c>
      <c r="AH47" s="20" t="str">
        <f t="shared" si="31"/>
        <v>대호</v>
      </c>
      <c r="AI47" s="106">
        <f t="shared" si="20"/>
        <v>21</v>
      </c>
      <c r="AJ47" s="75" t="str">
        <f>IF(AI47="","",$AJ$2)</f>
        <v>A-</v>
      </c>
      <c r="AK47" s="75" t="s">
        <v>14</v>
      </c>
      <c r="AL47" s="75" t="s">
        <v>944</v>
      </c>
      <c r="AM47" s="75" t="s">
        <v>945</v>
      </c>
      <c r="AN47" s="75" t="str">
        <f>IF(AI47="","",$AN$2)</f>
        <v>C</v>
      </c>
      <c r="AO47" s="75" t="str">
        <f>IF(N47="","",IF(N47&gt;=$AO$1/100,"O","X"))</f>
        <v/>
      </c>
      <c r="AP47" s="75" t="str">
        <f>IF(I47="","",IF(I47&lt;=$AP$1,"O","X"))</f>
        <v/>
      </c>
      <c r="AQ47" s="75" t="str">
        <f>IF(O47="","",IF(O47&lt;=$AQ$1,"O","X"))</f>
        <v>O</v>
      </c>
      <c r="AR47" s="75" t="str">
        <f>IF(M47="","",IF(M47&lt;=$AR$1,"O","X"))</f>
        <v>O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X</v>
      </c>
      <c r="AV47" s="75" t="str">
        <f>IF(AO47="","",IF(AND(AO47="O",AP47="O",AR47="O",AT47="O",AU47="O"),"후보","X"))</f>
        <v/>
      </c>
    </row>
    <row r="48" spans="1:48" x14ac:dyDescent="0.3">
      <c r="A48" s="9"/>
      <c r="B48" s="75"/>
      <c r="C48" s="6"/>
      <c r="D48" s="9"/>
      <c r="E48" s="14"/>
      <c r="F48" s="104"/>
      <c r="G48" s="9"/>
      <c r="H48" s="9"/>
      <c r="I48" s="9"/>
      <c r="J48" s="9"/>
      <c r="K48" s="9"/>
      <c r="L48" s="9"/>
      <c r="M48" s="9"/>
      <c r="N48" s="9"/>
      <c r="O48" s="105"/>
      <c r="P48" s="105"/>
      <c r="Q48" s="106"/>
      <c r="R48" s="106"/>
      <c r="S48" s="9"/>
      <c r="T48" s="48"/>
      <c r="U48" s="9"/>
      <c r="W48" s="70" t="str">
        <f>$A$4&amp;" "&amp;A49&amp;"("&amp;B49&amp;","&amp;C49&amp;"^)"</f>
        <v>북면 창원감계아내에코프리미엄('14.09.,812^)</v>
      </c>
      <c r="X48" s="71"/>
      <c r="Y48" s="71"/>
      <c r="Z48" s="71"/>
      <c r="AA48" s="71"/>
      <c r="AB48" s="71"/>
      <c r="AC48" s="71"/>
      <c r="AD48" s="71"/>
      <c r="AE48" s="71"/>
      <c r="AF48" s="72"/>
      <c r="AH48" s="20" t="str">
        <f t="shared" si="31"/>
        <v/>
      </c>
      <c r="AI48" s="103" t="str">
        <f t="shared" si="20"/>
        <v/>
      </c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</row>
    <row r="49" spans="1:48" x14ac:dyDescent="0.3">
      <c r="A49" s="9" t="s">
        <v>660</v>
      </c>
      <c r="B49" s="10" t="s">
        <v>976</v>
      </c>
      <c r="C49" s="107">
        <v>812</v>
      </c>
      <c r="D49" s="104">
        <v>111.8</v>
      </c>
      <c r="E49" s="106">
        <v>34</v>
      </c>
      <c r="F49" s="104">
        <v>85</v>
      </c>
      <c r="G49" s="17">
        <v>26</v>
      </c>
      <c r="H49" s="107">
        <v>442</v>
      </c>
      <c r="I49" s="108">
        <v>32000</v>
      </c>
      <c r="J49" s="108" t="s">
        <v>957</v>
      </c>
      <c r="K49" s="108">
        <v>27000</v>
      </c>
      <c r="L49" s="108" t="s">
        <v>957</v>
      </c>
      <c r="M49" s="109">
        <f>I49-K49</f>
        <v>5000</v>
      </c>
      <c r="N49" s="4">
        <f>IF(ISERROR(K49/I49),"",K49/I49)</f>
        <v>0.84375</v>
      </c>
      <c r="O49" s="105">
        <f>I49/E49</f>
        <v>941.17647058823525</v>
      </c>
      <c r="P49" s="105">
        <f>K49/E49</f>
        <v>794.11764705882354</v>
      </c>
      <c r="Q49" s="75">
        <v>3</v>
      </c>
      <c r="R49" s="75">
        <v>2</v>
      </c>
      <c r="S49" s="75" t="s">
        <v>947</v>
      </c>
      <c r="T49" s="5" t="s">
        <v>662</v>
      </c>
      <c r="U49" s="9"/>
      <c r="W49" s="104">
        <f t="shared" ref="W49:X51" si="42">D49</f>
        <v>111.8</v>
      </c>
      <c r="X49" s="106">
        <f t="shared" si="42"/>
        <v>34</v>
      </c>
      <c r="Y49" s="102">
        <f t="shared" ref="Y49:Z51" si="43">H49</f>
        <v>442</v>
      </c>
      <c r="Z49" s="109">
        <f t="shared" si="43"/>
        <v>32000</v>
      </c>
      <c r="AA49" s="109">
        <f>K49</f>
        <v>27000</v>
      </c>
      <c r="AB49" s="109">
        <f t="shared" ref="AB49:AD51" si="44">M49</f>
        <v>5000</v>
      </c>
      <c r="AC49" s="4">
        <f t="shared" si="44"/>
        <v>0.84375</v>
      </c>
      <c r="AD49" s="105">
        <f t="shared" si="44"/>
        <v>941.17647058823525</v>
      </c>
      <c r="AE49" s="75" t="str">
        <f>S49</f>
        <v>계</v>
      </c>
      <c r="AF49" s="75" t="str">
        <f>Q49&amp;"/"&amp;R49</f>
        <v>3/2</v>
      </c>
      <c r="AH49" s="20" t="str">
        <f t="shared" si="31"/>
        <v>창원감계아내에코프리미엄</v>
      </c>
      <c r="AI49" s="106">
        <f t="shared" si="20"/>
        <v>34</v>
      </c>
      <c r="AJ49" s="75" t="str">
        <f>IF(AI49="","",$AJ$2)</f>
        <v>A-</v>
      </c>
      <c r="AK49" s="75" t="s">
        <v>14</v>
      </c>
      <c r="AL49" s="75" t="s">
        <v>944</v>
      </c>
      <c r="AM49" s="75" t="s">
        <v>945</v>
      </c>
      <c r="AN49" s="75" t="str">
        <f>IF(AI49="","",$AN$2)</f>
        <v>C</v>
      </c>
      <c r="AO49" s="75" t="str">
        <f>IF(N49="","",IF(N49&gt;=$AO$1/100,"O","X"))</f>
        <v>O</v>
      </c>
      <c r="AP49" s="75" t="str">
        <f>IF(I49="","",IF(I49&lt;=$AP$1,"O","X"))</f>
        <v>O</v>
      </c>
      <c r="AQ49" s="75" t="str">
        <f>IF(O49="","",IF(O49&lt;=$AQ$1,"O","X"))</f>
        <v>O</v>
      </c>
      <c r="AR49" s="75" t="str">
        <f>IF(M49="","",IF(M49&lt;=$AR$1,"O","X"))</f>
        <v>O</v>
      </c>
      <c r="AS49" s="75" t="s">
        <v>2</v>
      </c>
      <c r="AT49" s="75" t="str">
        <f>IF(OR(F49="",AI49=""),"",IF(AND((F49&lt;=85),(AI49&gt;=15)),"O","X"))</f>
        <v>O</v>
      </c>
      <c r="AU49" s="75" t="str">
        <f>IF(C49="","",IF(C49&gt;=$AU$1,"O","X"))</f>
        <v>O</v>
      </c>
      <c r="AV49" s="75" t="str">
        <f>IF(AO49="","",IF(AND(AO49="O",AP49="O",AR49="O",AT49="O",AU49="O"),"후보","X"))</f>
        <v>후보</v>
      </c>
    </row>
    <row r="50" spans="1:48" x14ac:dyDescent="0.3">
      <c r="A50" s="9" t="s">
        <v>660</v>
      </c>
      <c r="B50" s="10" t="s">
        <v>976</v>
      </c>
      <c r="C50" s="107">
        <v>812</v>
      </c>
      <c r="D50" s="104">
        <v>111.3</v>
      </c>
      <c r="E50" s="106">
        <v>34</v>
      </c>
      <c r="F50" s="104">
        <v>84.8</v>
      </c>
      <c r="G50" s="17">
        <v>26</v>
      </c>
      <c r="H50" s="107">
        <v>213</v>
      </c>
      <c r="I50" s="108">
        <v>42500</v>
      </c>
      <c r="J50" s="108" t="s">
        <v>954</v>
      </c>
      <c r="K50" s="108"/>
      <c r="L50" s="108"/>
      <c r="M50" s="109">
        <f>I50-K50</f>
        <v>42500</v>
      </c>
      <c r="N50" s="4">
        <f>IF(ISERROR(K50/I50),"",K50/I50)</f>
        <v>0</v>
      </c>
      <c r="O50" s="105">
        <f>I50/E50</f>
        <v>1250</v>
      </c>
      <c r="P50" s="105">
        <f>K50/E50</f>
        <v>0</v>
      </c>
      <c r="Q50" s="75">
        <v>3</v>
      </c>
      <c r="R50" s="75">
        <v>2</v>
      </c>
      <c r="S50" s="75" t="s">
        <v>947</v>
      </c>
      <c r="T50" s="5" t="s">
        <v>666</v>
      </c>
      <c r="U50" s="9"/>
      <c r="W50" s="104">
        <f t="shared" si="42"/>
        <v>111.3</v>
      </c>
      <c r="X50" s="106">
        <f t="shared" si="42"/>
        <v>34</v>
      </c>
      <c r="Y50" s="102">
        <f t="shared" si="43"/>
        <v>213</v>
      </c>
      <c r="Z50" s="109">
        <f t="shared" si="43"/>
        <v>42500</v>
      </c>
      <c r="AA50" s="109">
        <f>K50</f>
        <v>0</v>
      </c>
      <c r="AB50" s="109">
        <f t="shared" si="44"/>
        <v>42500</v>
      </c>
      <c r="AC50" s="4">
        <f t="shared" si="44"/>
        <v>0</v>
      </c>
      <c r="AD50" s="105">
        <f t="shared" si="44"/>
        <v>1250</v>
      </c>
      <c r="AE50" s="75" t="str">
        <f>S50</f>
        <v>계</v>
      </c>
      <c r="AF50" s="75" t="str">
        <f>Q50&amp;"/"&amp;R50</f>
        <v>3/2</v>
      </c>
      <c r="AH50" s="20" t="str">
        <f t="shared" si="31"/>
        <v>창원감계아내에코프리미엄</v>
      </c>
      <c r="AI50" s="106">
        <f t="shared" si="20"/>
        <v>34</v>
      </c>
      <c r="AJ50" s="75" t="str">
        <f>IF(AI50="","",$AJ$2)</f>
        <v>A-</v>
      </c>
      <c r="AK50" s="75" t="s">
        <v>14</v>
      </c>
      <c r="AL50" s="75" t="s">
        <v>944</v>
      </c>
      <c r="AM50" s="75" t="s">
        <v>945</v>
      </c>
      <c r="AN50" s="75" t="str">
        <f>IF(AI50="","",$AN$2)</f>
        <v>C</v>
      </c>
      <c r="AO50" s="75" t="str">
        <f>IF(N50="","",IF(N50&gt;=$AO$1/100,"O","X"))</f>
        <v>X</v>
      </c>
      <c r="AP50" s="75" t="str">
        <f>IF(I50="","",IF(I50&lt;=$AP$1,"O","X"))</f>
        <v>O</v>
      </c>
      <c r="AQ50" s="75" t="str">
        <f>IF(O50="","",IF(O50&lt;=$AQ$1,"O","X"))</f>
        <v>X</v>
      </c>
      <c r="AR50" s="75" t="str">
        <f>IF(M50="","",IF(M50&lt;=$AR$1,"O","X"))</f>
        <v>X</v>
      </c>
      <c r="AS50" s="75" t="s">
        <v>2</v>
      </c>
      <c r="AT50" s="75" t="str">
        <f>IF(OR(F50="",AI50=""),"",IF(AND((F50&lt;=85),(AI50&gt;=15)),"O","X"))</f>
        <v>O</v>
      </c>
      <c r="AU50" s="75" t="str">
        <f>IF(C50="","",IF(C50&gt;=$AU$1,"O","X"))</f>
        <v>O</v>
      </c>
      <c r="AV50" s="75" t="str">
        <f>IF(AO50="","",IF(AND(AO50="O",AP50="O",AR50="O",AT50="O",AU50="O"),"후보","X"))</f>
        <v>X</v>
      </c>
    </row>
    <row r="51" spans="1:48" x14ac:dyDescent="0.3">
      <c r="A51" s="9" t="s">
        <v>660</v>
      </c>
      <c r="B51" s="10" t="s">
        <v>976</v>
      </c>
      <c r="C51" s="107">
        <v>812</v>
      </c>
      <c r="D51" s="104">
        <v>111.3</v>
      </c>
      <c r="E51" s="106">
        <v>34</v>
      </c>
      <c r="F51" s="104">
        <v>85</v>
      </c>
      <c r="G51" s="17">
        <v>26</v>
      </c>
      <c r="H51" s="107">
        <v>157</v>
      </c>
      <c r="I51" s="108"/>
      <c r="J51" s="108"/>
      <c r="K51" s="108"/>
      <c r="L51" s="108"/>
      <c r="M51" s="109">
        <f>I51-K51</f>
        <v>0</v>
      </c>
      <c r="N51" s="4" t="str">
        <f>IF(ISERROR(K51/I51),"",K51/I51)</f>
        <v/>
      </c>
      <c r="O51" s="105">
        <f>I51/E51</f>
        <v>0</v>
      </c>
      <c r="P51" s="105">
        <f>K51/E51</f>
        <v>0</v>
      </c>
      <c r="Q51" s="75">
        <v>3</v>
      </c>
      <c r="R51" s="75">
        <v>2</v>
      </c>
      <c r="S51" s="75" t="s">
        <v>947</v>
      </c>
      <c r="T51" s="5" t="s">
        <v>667</v>
      </c>
      <c r="U51" s="9"/>
      <c r="W51" s="104">
        <f t="shared" si="42"/>
        <v>111.3</v>
      </c>
      <c r="X51" s="106">
        <f t="shared" si="42"/>
        <v>34</v>
      </c>
      <c r="Y51" s="102">
        <f t="shared" si="43"/>
        <v>157</v>
      </c>
      <c r="Z51" s="109">
        <f t="shared" si="43"/>
        <v>0</v>
      </c>
      <c r="AA51" s="109">
        <f>K51</f>
        <v>0</v>
      </c>
      <c r="AB51" s="109">
        <f t="shared" si="44"/>
        <v>0</v>
      </c>
      <c r="AC51" s="4" t="str">
        <f t="shared" si="44"/>
        <v/>
      </c>
      <c r="AD51" s="105">
        <f t="shared" si="44"/>
        <v>0</v>
      </c>
      <c r="AE51" s="75" t="str">
        <f>S51</f>
        <v>계</v>
      </c>
      <c r="AF51" s="75" t="str">
        <f>Q51&amp;"/"&amp;R51</f>
        <v>3/2</v>
      </c>
      <c r="AH51" s="20" t="str">
        <f t="shared" si="31"/>
        <v>창원감계아내에코프리미엄</v>
      </c>
      <c r="AI51" s="106">
        <f t="shared" si="20"/>
        <v>34</v>
      </c>
      <c r="AJ51" s="75" t="str">
        <f>IF(AI51="","",$AJ$2)</f>
        <v>A-</v>
      </c>
      <c r="AK51" s="75" t="s">
        <v>14</v>
      </c>
      <c r="AL51" s="75" t="s">
        <v>944</v>
      </c>
      <c r="AM51" s="75" t="s">
        <v>945</v>
      </c>
      <c r="AN51" s="75" t="str">
        <f>IF(AI51="","",$AN$2)</f>
        <v>C</v>
      </c>
      <c r="AO51" s="75" t="str">
        <f>IF(N51="","",IF(N51&gt;=$AO$1/100,"O","X"))</f>
        <v/>
      </c>
      <c r="AP51" s="75" t="str">
        <f>IF(I51="","",IF(I51&lt;=$AP$1,"O","X"))</f>
        <v/>
      </c>
      <c r="AQ51" s="75" t="str">
        <f>IF(O51="","",IF(O51&lt;=$AQ$1,"O","X"))</f>
        <v>O</v>
      </c>
      <c r="AR51" s="75" t="str">
        <f>IF(M51="","",IF(M51&lt;=$AR$1,"O","X"))</f>
        <v>O</v>
      </c>
      <c r="AS51" s="75" t="s">
        <v>2</v>
      </c>
      <c r="AT51" s="75" t="str">
        <f>IF(OR(F51="",AI51=""),"",IF(AND((F51&lt;=85),(AI51&gt;=15)),"O","X"))</f>
        <v>O</v>
      </c>
      <c r="AU51" s="75" t="str">
        <f>IF(C51="","",IF(C51&gt;=$AU$1,"O","X"))</f>
        <v>O</v>
      </c>
      <c r="AV51" s="75" t="str">
        <f>IF(AO51="","",IF(AND(AO51="O",AP51="O",AR51="O",AT51="O",AU51="O"),"후보","X"))</f>
        <v/>
      </c>
    </row>
    <row r="52" spans="1:48" x14ac:dyDescent="0.3">
      <c r="A52" s="9"/>
      <c r="B52" s="75"/>
      <c r="C52" s="6"/>
      <c r="D52" s="9"/>
      <c r="E52" s="14"/>
      <c r="F52" s="104"/>
      <c r="G52" s="9"/>
      <c r="H52" s="9"/>
      <c r="I52" s="9"/>
      <c r="J52" s="9"/>
      <c r="K52" s="9"/>
      <c r="L52" s="9"/>
      <c r="M52" s="9"/>
      <c r="N52" s="9"/>
      <c r="O52" s="105"/>
      <c r="P52" s="105"/>
      <c r="Q52" s="106"/>
      <c r="R52" s="106"/>
      <c r="S52" s="9"/>
      <c r="T52" s="48"/>
      <c r="U52" s="9"/>
      <c r="W52" s="70" t="str">
        <f>$A$4&amp;" "&amp;A53&amp;"("&amp;B53&amp;","&amp;C53&amp;"^)"</f>
        <v>북면 창원무동STX칸2차('15.01.,231^)</v>
      </c>
      <c r="X52" s="71"/>
      <c r="Y52" s="71"/>
      <c r="Z52" s="71"/>
      <c r="AA52" s="71"/>
      <c r="AB52" s="71"/>
      <c r="AC52" s="71"/>
      <c r="AD52" s="71"/>
      <c r="AE52" s="71"/>
      <c r="AF52" s="72"/>
      <c r="AH52" s="20" t="str">
        <f t="shared" si="31"/>
        <v/>
      </c>
      <c r="AI52" s="103" t="str">
        <f t="shared" si="20"/>
        <v/>
      </c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</row>
    <row r="53" spans="1:48" x14ac:dyDescent="0.3">
      <c r="A53" s="9" t="s">
        <v>668</v>
      </c>
      <c r="B53" s="10" t="s">
        <v>977</v>
      </c>
      <c r="C53" s="107">
        <v>231</v>
      </c>
      <c r="D53" s="104">
        <v>84.3</v>
      </c>
      <c r="E53" s="106">
        <v>25</v>
      </c>
      <c r="F53" s="104">
        <v>60</v>
      </c>
      <c r="G53" s="17">
        <v>18</v>
      </c>
      <c r="H53" s="107">
        <v>24</v>
      </c>
      <c r="I53" s="108"/>
      <c r="J53" s="108"/>
      <c r="K53" s="108"/>
      <c r="L53" s="108"/>
      <c r="M53" s="109">
        <f>I53-K53</f>
        <v>0</v>
      </c>
      <c r="N53" s="4" t="str">
        <f>IF(ISERROR(K53/I53),"",K53/I53)</f>
        <v/>
      </c>
      <c r="O53" s="105">
        <f>I53/E53</f>
        <v>0</v>
      </c>
      <c r="P53" s="105">
        <f>K53/E53</f>
        <v>0</v>
      </c>
      <c r="Q53" s="75">
        <v>3</v>
      </c>
      <c r="R53" s="75">
        <v>2</v>
      </c>
      <c r="S53" s="75" t="s">
        <v>947</v>
      </c>
      <c r="T53" s="5" t="s">
        <v>187</v>
      </c>
      <c r="U53" s="9"/>
      <c r="W53" s="104">
        <f t="shared" ref="W53:X55" si="45">D53</f>
        <v>84.3</v>
      </c>
      <c r="X53" s="106">
        <f t="shared" si="45"/>
        <v>25</v>
      </c>
      <c r="Y53" s="102">
        <f t="shared" ref="Y53:Z55" si="46">H53</f>
        <v>24</v>
      </c>
      <c r="Z53" s="109">
        <f t="shared" si="46"/>
        <v>0</v>
      </c>
      <c r="AA53" s="109">
        <f>K53</f>
        <v>0</v>
      </c>
      <c r="AB53" s="109">
        <f t="shared" ref="AB53:AD55" si="47">M53</f>
        <v>0</v>
      </c>
      <c r="AC53" s="4" t="str">
        <f t="shared" si="47"/>
        <v/>
      </c>
      <c r="AD53" s="105">
        <f t="shared" si="47"/>
        <v>0</v>
      </c>
      <c r="AE53" s="75" t="str">
        <f>S53</f>
        <v>계</v>
      </c>
      <c r="AF53" s="75" t="str">
        <f>Q53&amp;"/"&amp;R53</f>
        <v>3/2</v>
      </c>
      <c r="AH53" s="20" t="str">
        <f t="shared" si="31"/>
        <v>창원무동STX칸2차</v>
      </c>
      <c r="AI53" s="106">
        <f t="shared" si="20"/>
        <v>25</v>
      </c>
      <c r="AJ53" s="75" t="str">
        <f>IF(AI53="","",$AJ$2)</f>
        <v>A-</v>
      </c>
      <c r="AK53" s="75" t="s">
        <v>14</v>
      </c>
      <c r="AL53" s="75" t="s">
        <v>944</v>
      </c>
      <c r="AM53" s="75" t="s">
        <v>945</v>
      </c>
      <c r="AN53" s="75" t="str">
        <f>IF(AI53="","",$AN$2)</f>
        <v>C</v>
      </c>
      <c r="AO53" s="75" t="str">
        <f>IF(N53="","",IF(N53&gt;=$AO$1/100,"O","X"))</f>
        <v/>
      </c>
      <c r="AP53" s="75" t="str">
        <f>IF(I53="","",IF(I53&lt;=$AP$1,"O","X"))</f>
        <v/>
      </c>
      <c r="AQ53" s="75" t="str">
        <f>IF(O53="","",IF(O53&lt;=$AQ$1,"O","X"))</f>
        <v>O</v>
      </c>
      <c r="AR53" s="75" t="str">
        <f>IF(M53="","",IF(M53&lt;=$AR$1,"O","X"))</f>
        <v>O</v>
      </c>
      <c r="AS53" s="75" t="s">
        <v>2</v>
      </c>
      <c r="AT53" s="75" t="str">
        <f>IF(OR(F53="",AI53=""),"",IF(AND((F53&lt;=85),(AI53&gt;=15)),"O","X"))</f>
        <v>O</v>
      </c>
      <c r="AU53" s="75" t="str">
        <f>IF(C53="","",IF(C53&gt;=$AU$1,"O","X"))</f>
        <v>X</v>
      </c>
      <c r="AV53" s="75" t="str">
        <f>IF(AO53="","",IF(AND(AO53="O",AP53="O",AR53="O",AT53="O",AU53="O"),"후보","X"))</f>
        <v/>
      </c>
    </row>
    <row r="54" spans="1:48" x14ac:dyDescent="0.3">
      <c r="A54" s="9" t="s">
        <v>668</v>
      </c>
      <c r="B54" s="10" t="s">
        <v>977</v>
      </c>
      <c r="C54" s="107">
        <v>231</v>
      </c>
      <c r="D54" s="104">
        <v>113.1</v>
      </c>
      <c r="E54" s="106">
        <v>34</v>
      </c>
      <c r="F54" s="104">
        <v>85</v>
      </c>
      <c r="G54" s="17">
        <v>26</v>
      </c>
      <c r="H54" s="107">
        <v>104</v>
      </c>
      <c r="I54" s="108"/>
      <c r="J54" s="108"/>
      <c r="K54" s="108"/>
      <c r="L54" s="108"/>
      <c r="M54" s="109">
        <f>I54-K54</f>
        <v>0</v>
      </c>
      <c r="N54" s="4" t="str">
        <f>IF(ISERROR(K54/I54),"",K54/I54)</f>
        <v/>
      </c>
      <c r="O54" s="105">
        <f>I54/E54</f>
        <v>0</v>
      </c>
      <c r="P54" s="105">
        <f>K54/E54</f>
        <v>0</v>
      </c>
      <c r="Q54" s="75">
        <v>3</v>
      </c>
      <c r="R54" s="75">
        <v>2</v>
      </c>
      <c r="S54" s="75" t="s">
        <v>947</v>
      </c>
      <c r="T54" s="5" t="s">
        <v>598</v>
      </c>
      <c r="U54" s="9"/>
      <c r="W54" s="104">
        <f t="shared" si="45"/>
        <v>113.1</v>
      </c>
      <c r="X54" s="106">
        <f t="shared" si="45"/>
        <v>34</v>
      </c>
      <c r="Y54" s="102">
        <f t="shared" si="46"/>
        <v>104</v>
      </c>
      <c r="Z54" s="109">
        <f t="shared" si="46"/>
        <v>0</v>
      </c>
      <c r="AA54" s="109">
        <f>K54</f>
        <v>0</v>
      </c>
      <c r="AB54" s="109">
        <f t="shared" si="47"/>
        <v>0</v>
      </c>
      <c r="AC54" s="4" t="str">
        <f t="shared" si="47"/>
        <v/>
      </c>
      <c r="AD54" s="105">
        <f t="shared" si="47"/>
        <v>0</v>
      </c>
      <c r="AE54" s="75" t="str">
        <f>S54</f>
        <v>계</v>
      </c>
      <c r="AF54" s="75" t="str">
        <f>Q54&amp;"/"&amp;R54</f>
        <v>3/2</v>
      </c>
      <c r="AH54" s="20" t="str">
        <f t="shared" si="31"/>
        <v>창원무동STX칸2차</v>
      </c>
      <c r="AI54" s="106">
        <f t="shared" si="20"/>
        <v>34</v>
      </c>
      <c r="AJ54" s="75" t="str">
        <f>IF(AI54="","",$AJ$2)</f>
        <v>A-</v>
      </c>
      <c r="AK54" s="75" t="s">
        <v>14</v>
      </c>
      <c r="AL54" s="75" t="s">
        <v>944</v>
      </c>
      <c r="AM54" s="75" t="s">
        <v>945</v>
      </c>
      <c r="AN54" s="75" t="str">
        <f>IF(AI54="","",$AN$2)</f>
        <v>C</v>
      </c>
      <c r="AO54" s="75" t="str">
        <f>IF(N54="","",IF(N54&gt;=$AO$1/100,"O","X"))</f>
        <v/>
      </c>
      <c r="AP54" s="75" t="str">
        <f>IF(I54="","",IF(I54&lt;=$AP$1,"O","X"))</f>
        <v/>
      </c>
      <c r="AQ54" s="75" t="str">
        <f>IF(O54="","",IF(O54&lt;=$AQ$1,"O","X"))</f>
        <v>O</v>
      </c>
      <c r="AR54" s="75" t="str">
        <f>IF(M54="","",IF(M54&lt;=$AR$1,"O","X"))</f>
        <v>O</v>
      </c>
      <c r="AS54" s="75" t="s">
        <v>2</v>
      </c>
      <c r="AT54" s="75" t="str">
        <f>IF(OR(F54="",AI54=""),"",IF(AND((F54&lt;=85),(AI54&gt;=15)),"O","X"))</f>
        <v>O</v>
      </c>
      <c r="AU54" s="75" t="str">
        <f>IF(C54="","",IF(C54&gt;=$AU$1,"O","X"))</f>
        <v>X</v>
      </c>
      <c r="AV54" s="75" t="str">
        <f>IF(AO54="","",IF(AND(AO54="O",AP54="O",AR54="O",AT54="O",AU54="O"),"후보","X"))</f>
        <v/>
      </c>
    </row>
    <row r="55" spans="1:48" x14ac:dyDescent="0.3">
      <c r="A55" s="9" t="s">
        <v>668</v>
      </c>
      <c r="B55" s="10" t="s">
        <v>977</v>
      </c>
      <c r="C55" s="107">
        <v>231</v>
      </c>
      <c r="D55" s="104">
        <v>113.8</v>
      </c>
      <c r="E55" s="106">
        <v>34</v>
      </c>
      <c r="F55" s="104">
        <v>85</v>
      </c>
      <c r="G55" s="17">
        <v>26</v>
      </c>
      <c r="H55" s="107">
        <v>103</v>
      </c>
      <c r="I55" s="108"/>
      <c r="J55" s="108"/>
      <c r="K55" s="108"/>
      <c r="L55" s="108"/>
      <c r="M55" s="109">
        <f>I55-K55</f>
        <v>0</v>
      </c>
      <c r="N55" s="4" t="str">
        <f>IF(ISERROR(K55/I55),"",K55/I55)</f>
        <v/>
      </c>
      <c r="O55" s="105">
        <f>I55/E55</f>
        <v>0</v>
      </c>
      <c r="P55" s="105">
        <f>K55/E55</f>
        <v>0</v>
      </c>
      <c r="Q55" s="75">
        <v>3</v>
      </c>
      <c r="R55" s="75">
        <v>2</v>
      </c>
      <c r="S55" s="75" t="s">
        <v>947</v>
      </c>
      <c r="T55" s="5" t="s">
        <v>599</v>
      </c>
      <c r="U55" s="9"/>
      <c r="W55" s="104">
        <f t="shared" si="45"/>
        <v>113.8</v>
      </c>
      <c r="X55" s="106">
        <f t="shared" si="45"/>
        <v>34</v>
      </c>
      <c r="Y55" s="102">
        <f t="shared" si="46"/>
        <v>103</v>
      </c>
      <c r="Z55" s="109">
        <f t="shared" si="46"/>
        <v>0</v>
      </c>
      <c r="AA55" s="109">
        <f>K55</f>
        <v>0</v>
      </c>
      <c r="AB55" s="109">
        <f t="shared" si="47"/>
        <v>0</v>
      </c>
      <c r="AC55" s="4" t="str">
        <f t="shared" si="47"/>
        <v/>
      </c>
      <c r="AD55" s="105">
        <f t="shared" si="47"/>
        <v>0</v>
      </c>
      <c r="AE55" s="75" t="str">
        <f>S55</f>
        <v>계</v>
      </c>
      <c r="AF55" s="75" t="str">
        <f>Q55&amp;"/"&amp;R55</f>
        <v>3/2</v>
      </c>
      <c r="AH55" s="20" t="str">
        <f t="shared" si="31"/>
        <v>창원무동STX칸2차</v>
      </c>
      <c r="AI55" s="106">
        <f t="shared" si="20"/>
        <v>34</v>
      </c>
      <c r="AJ55" s="75" t="str">
        <f>IF(AI55="","",$AJ$2)</f>
        <v>A-</v>
      </c>
      <c r="AK55" s="75" t="s">
        <v>14</v>
      </c>
      <c r="AL55" s="75" t="s">
        <v>944</v>
      </c>
      <c r="AM55" s="75" t="s">
        <v>945</v>
      </c>
      <c r="AN55" s="75" t="str">
        <f>IF(AI55="","",$AN$2)</f>
        <v>C</v>
      </c>
      <c r="AO55" s="75" t="str">
        <f>IF(N55="","",IF(N55&gt;=$AO$1/100,"O","X"))</f>
        <v/>
      </c>
      <c r="AP55" s="75" t="str">
        <f>IF(I55="","",IF(I55&lt;=$AP$1,"O","X"))</f>
        <v/>
      </c>
      <c r="AQ55" s="75" t="str">
        <f>IF(O55="","",IF(O55&lt;=$AQ$1,"O","X"))</f>
        <v>O</v>
      </c>
      <c r="AR55" s="75" t="str">
        <f>IF(M55="","",IF(M55&lt;=$AR$1,"O","X"))</f>
        <v>O</v>
      </c>
      <c r="AS55" s="75" t="s">
        <v>2</v>
      </c>
      <c r="AT55" s="75" t="str">
        <f>IF(OR(F55="",AI55=""),"",IF(AND((F55&lt;=85),(AI55&gt;=15)),"O","X"))</f>
        <v>O</v>
      </c>
      <c r="AU55" s="75" t="str">
        <f>IF(C55="","",IF(C55&gt;=$AU$1,"O","X"))</f>
        <v>X</v>
      </c>
      <c r="AV55" s="75" t="str">
        <f>IF(AO55="","",IF(AND(AO55="O",AP55="O",AR55="O",AT55="O",AU55="O"),"후보","X"))</f>
        <v/>
      </c>
    </row>
    <row r="56" spans="1:48" x14ac:dyDescent="0.3">
      <c r="A56" s="9"/>
      <c r="B56" s="75"/>
      <c r="C56" s="6"/>
      <c r="D56" s="9"/>
      <c r="E56" s="14"/>
      <c r="F56" s="104"/>
      <c r="G56" s="9"/>
      <c r="H56" s="9"/>
      <c r="I56" s="9"/>
      <c r="J56" s="9"/>
      <c r="K56" s="9"/>
      <c r="L56" s="9"/>
      <c r="M56" s="9"/>
      <c r="N56" s="9"/>
      <c r="O56" s="105"/>
      <c r="P56" s="105"/>
      <c r="Q56" s="106"/>
      <c r="R56" s="106"/>
      <c r="S56" s="9"/>
      <c r="T56" s="48"/>
      <c r="U56" s="9"/>
      <c r="W56" s="70" t="str">
        <f>$A$4&amp;" "&amp;A57&amp;"("&amp;B57&amp;","&amp;C57&amp;"^)"</f>
        <v>북면 창원감계푸르지오('17.02.,583^)</v>
      </c>
      <c r="X56" s="71"/>
      <c r="Y56" s="71"/>
      <c r="Z56" s="71"/>
      <c r="AA56" s="71"/>
      <c r="AB56" s="71"/>
      <c r="AC56" s="71"/>
      <c r="AD56" s="71"/>
      <c r="AE56" s="71"/>
      <c r="AF56" s="72"/>
      <c r="AH56" s="20" t="str">
        <f t="shared" si="31"/>
        <v/>
      </c>
      <c r="AI56" s="103" t="str">
        <f t="shared" si="20"/>
        <v/>
      </c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</row>
    <row r="57" spans="1:48" x14ac:dyDescent="0.3">
      <c r="A57" s="9" t="s">
        <v>678</v>
      </c>
      <c r="B57" s="10" t="s">
        <v>978</v>
      </c>
      <c r="C57" s="107">
        <v>583</v>
      </c>
      <c r="D57" s="104">
        <v>85.8</v>
      </c>
      <c r="E57" s="106">
        <v>26</v>
      </c>
      <c r="F57" s="104">
        <v>60</v>
      </c>
      <c r="G57" s="17">
        <v>18</v>
      </c>
      <c r="H57" s="107">
        <v>67</v>
      </c>
      <c r="I57" s="108">
        <v>26500</v>
      </c>
      <c r="J57" s="108" t="s">
        <v>954</v>
      </c>
      <c r="K57" s="108"/>
      <c r="L57" s="108"/>
      <c r="M57" s="109">
        <f>I57-K57</f>
        <v>26500</v>
      </c>
      <c r="N57" s="4">
        <f>IF(ISERROR(K57/I57),"",K57/I57)</f>
        <v>0</v>
      </c>
      <c r="O57" s="105">
        <f>I57/E57</f>
        <v>1019.2307692307693</v>
      </c>
      <c r="P57" s="105">
        <f>K57/E57</f>
        <v>0</v>
      </c>
      <c r="Q57" s="75">
        <v>3</v>
      </c>
      <c r="R57" s="75">
        <v>2</v>
      </c>
      <c r="S57" s="75" t="s">
        <v>947</v>
      </c>
      <c r="T57" s="5">
        <v>85</v>
      </c>
      <c r="U57" s="9"/>
      <c r="W57" s="104">
        <f t="shared" ref="W57:X59" si="48">D57</f>
        <v>85.8</v>
      </c>
      <c r="X57" s="106">
        <f t="shared" si="48"/>
        <v>26</v>
      </c>
      <c r="Y57" s="102">
        <f t="shared" ref="Y57:Z59" si="49">H57</f>
        <v>67</v>
      </c>
      <c r="Z57" s="109">
        <f t="shared" si="49"/>
        <v>26500</v>
      </c>
      <c r="AA57" s="109">
        <f>K57</f>
        <v>0</v>
      </c>
      <c r="AB57" s="109">
        <f t="shared" ref="AB57:AD59" si="50">M57</f>
        <v>26500</v>
      </c>
      <c r="AC57" s="4">
        <f t="shared" si="50"/>
        <v>0</v>
      </c>
      <c r="AD57" s="105">
        <f t="shared" si="50"/>
        <v>1019.2307692307693</v>
      </c>
      <c r="AE57" s="75" t="str">
        <f>S57</f>
        <v>계</v>
      </c>
      <c r="AF57" s="75" t="str">
        <f>Q57&amp;"/"&amp;R57</f>
        <v>3/2</v>
      </c>
      <c r="AH57" s="20" t="str">
        <f t="shared" si="31"/>
        <v>창원감계푸르지오</v>
      </c>
      <c r="AI57" s="106">
        <f t="shared" si="20"/>
        <v>26</v>
      </c>
      <c r="AJ57" s="75" t="str">
        <f>IF(AI57="","",$AJ$2)</f>
        <v>A-</v>
      </c>
      <c r="AK57" s="75" t="s">
        <v>14</v>
      </c>
      <c r="AL57" s="75" t="s">
        <v>944</v>
      </c>
      <c r="AM57" s="75" t="s">
        <v>945</v>
      </c>
      <c r="AN57" s="75" t="str">
        <f>IF(AI57="","",$AN$2)</f>
        <v>C</v>
      </c>
      <c r="AO57" s="75" t="str">
        <f>IF(N57="","",IF(N57&gt;=$AO$1/100,"O","X"))</f>
        <v>X</v>
      </c>
      <c r="AP57" s="75" t="str">
        <f>IF(I57="","",IF(I57&lt;=$AP$1,"O","X"))</f>
        <v>O</v>
      </c>
      <c r="AQ57" s="75" t="str">
        <f>IF(O57="","",IF(O57&lt;=$AQ$1,"O","X"))</f>
        <v>X</v>
      </c>
      <c r="AR57" s="75" t="str">
        <f>IF(M57="","",IF(M57&lt;=$AR$1,"O","X"))</f>
        <v>X</v>
      </c>
      <c r="AS57" s="75" t="s">
        <v>2</v>
      </c>
      <c r="AT57" s="75" t="str">
        <f>IF(OR(F57="",AI57=""),"",IF(AND((F57&lt;=85),(AI57&gt;=15)),"O","X"))</f>
        <v>O</v>
      </c>
      <c r="AU57" s="75" t="str">
        <f>IF(C57="","",IF(C57&gt;=$AU$1,"O","X"))</f>
        <v>O</v>
      </c>
      <c r="AV57" s="75" t="str">
        <f>IF(AO57="","",IF(AND(AO57="O",AP57="O",AR57="O",AT57="O",AU57="O"),"후보","X"))</f>
        <v>X</v>
      </c>
    </row>
    <row r="58" spans="1:48" x14ac:dyDescent="0.3">
      <c r="A58" s="9" t="s">
        <v>678</v>
      </c>
      <c r="B58" s="10" t="s">
        <v>978</v>
      </c>
      <c r="C58" s="107">
        <v>583</v>
      </c>
      <c r="D58" s="104">
        <v>97.9</v>
      </c>
      <c r="E58" s="106">
        <v>30</v>
      </c>
      <c r="F58" s="104">
        <v>72.900000000000006</v>
      </c>
      <c r="G58" s="17">
        <v>22</v>
      </c>
      <c r="H58" s="107">
        <v>262</v>
      </c>
      <c r="I58" s="108"/>
      <c r="J58" s="108"/>
      <c r="K58" s="108"/>
      <c r="L58" s="108"/>
      <c r="M58" s="109">
        <f>I58-K58</f>
        <v>0</v>
      </c>
      <c r="N58" s="4" t="str">
        <f>IF(ISERROR(K58/I58),"",K58/I58)</f>
        <v/>
      </c>
      <c r="O58" s="105">
        <f>I58/E58</f>
        <v>0</v>
      </c>
      <c r="P58" s="105">
        <f>K58/E58</f>
        <v>0</v>
      </c>
      <c r="Q58" s="75">
        <v>3</v>
      </c>
      <c r="R58" s="75">
        <v>2</v>
      </c>
      <c r="S58" s="75" t="s">
        <v>947</v>
      </c>
      <c r="T58" s="5">
        <v>97</v>
      </c>
      <c r="U58" s="9"/>
      <c r="W58" s="104">
        <f t="shared" si="48"/>
        <v>97.9</v>
      </c>
      <c r="X58" s="106">
        <f t="shared" si="48"/>
        <v>30</v>
      </c>
      <c r="Y58" s="102">
        <f t="shared" si="49"/>
        <v>262</v>
      </c>
      <c r="Z58" s="109">
        <f t="shared" si="49"/>
        <v>0</v>
      </c>
      <c r="AA58" s="109">
        <f>K58</f>
        <v>0</v>
      </c>
      <c r="AB58" s="109">
        <f t="shared" si="50"/>
        <v>0</v>
      </c>
      <c r="AC58" s="4" t="str">
        <f t="shared" si="50"/>
        <v/>
      </c>
      <c r="AD58" s="105">
        <f t="shared" si="50"/>
        <v>0</v>
      </c>
      <c r="AE58" s="75" t="str">
        <f>S58</f>
        <v>계</v>
      </c>
      <c r="AF58" s="75" t="str">
        <f>Q58&amp;"/"&amp;R58</f>
        <v>3/2</v>
      </c>
      <c r="AH58" s="20" t="str">
        <f t="shared" si="31"/>
        <v>창원감계푸르지오</v>
      </c>
      <c r="AI58" s="106">
        <f t="shared" si="20"/>
        <v>30</v>
      </c>
      <c r="AJ58" s="75" t="str">
        <f>IF(AI58="","",$AJ$2)</f>
        <v>A-</v>
      </c>
      <c r="AK58" s="75" t="s">
        <v>14</v>
      </c>
      <c r="AL58" s="75" t="s">
        <v>944</v>
      </c>
      <c r="AM58" s="75" t="s">
        <v>945</v>
      </c>
      <c r="AN58" s="75" t="str">
        <f>IF(AI58="","",$AN$2)</f>
        <v>C</v>
      </c>
      <c r="AO58" s="75" t="str">
        <f>IF(N58="","",IF(N58&gt;=$AO$1/100,"O","X"))</f>
        <v/>
      </c>
      <c r="AP58" s="75" t="str">
        <f>IF(I58="","",IF(I58&lt;=$AP$1,"O","X"))</f>
        <v/>
      </c>
      <c r="AQ58" s="75" t="str">
        <f>IF(O58="","",IF(O58&lt;=$AQ$1,"O","X"))</f>
        <v>O</v>
      </c>
      <c r="AR58" s="75" t="str">
        <f>IF(M58="","",IF(M58&lt;=$AR$1,"O","X"))</f>
        <v>O</v>
      </c>
      <c r="AS58" s="75" t="s">
        <v>2</v>
      </c>
      <c r="AT58" s="75" t="str">
        <f>IF(OR(F58="",AI58=""),"",IF(AND((F58&lt;=85),(AI58&gt;=15)),"O","X"))</f>
        <v>O</v>
      </c>
      <c r="AU58" s="75" t="str">
        <f>IF(C58="","",IF(C58&gt;=$AU$1,"O","X"))</f>
        <v>O</v>
      </c>
      <c r="AV58" s="75" t="str">
        <f>IF(AO58="","",IF(AND(AO58="O",AP58="O",AR58="O",AT58="O",AU58="O"),"후보","X"))</f>
        <v/>
      </c>
    </row>
    <row r="59" spans="1:48" x14ac:dyDescent="0.3">
      <c r="A59" s="9" t="s">
        <v>678</v>
      </c>
      <c r="B59" s="10" t="s">
        <v>978</v>
      </c>
      <c r="C59" s="107">
        <v>583</v>
      </c>
      <c r="D59" s="104">
        <v>113.4</v>
      </c>
      <c r="E59" s="106">
        <v>34</v>
      </c>
      <c r="F59" s="104">
        <v>84.9</v>
      </c>
      <c r="G59" s="17">
        <v>26</v>
      </c>
      <c r="H59" s="107">
        <v>254</v>
      </c>
      <c r="I59" s="108">
        <v>37000</v>
      </c>
      <c r="J59" s="108" t="s">
        <v>954</v>
      </c>
      <c r="K59" s="108"/>
      <c r="L59" s="108"/>
      <c r="M59" s="109">
        <f>I59-K59</f>
        <v>37000</v>
      </c>
      <c r="N59" s="4">
        <f>IF(ISERROR(K59/I59),"",K59/I59)</f>
        <v>0</v>
      </c>
      <c r="O59" s="105">
        <f>I59/E59</f>
        <v>1088.2352941176471</v>
      </c>
      <c r="P59" s="105">
        <f>K59/E59</f>
        <v>0</v>
      </c>
      <c r="Q59" s="75">
        <v>4</v>
      </c>
      <c r="R59" s="75">
        <v>2</v>
      </c>
      <c r="S59" s="75" t="s">
        <v>947</v>
      </c>
      <c r="T59" s="5">
        <v>113</v>
      </c>
      <c r="U59" s="9"/>
      <c r="W59" s="104">
        <f t="shared" si="48"/>
        <v>113.4</v>
      </c>
      <c r="X59" s="106">
        <f t="shared" si="48"/>
        <v>34</v>
      </c>
      <c r="Y59" s="102">
        <f t="shared" si="49"/>
        <v>254</v>
      </c>
      <c r="Z59" s="109">
        <f t="shared" si="49"/>
        <v>37000</v>
      </c>
      <c r="AA59" s="109">
        <f>K59</f>
        <v>0</v>
      </c>
      <c r="AB59" s="109">
        <f t="shared" si="50"/>
        <v>37000</v>
      </c>
      <c r="AC59" s="4">
        <f t="shared" si="50"/>
        <v>0</v>
      </c>
      <c r="AD59" s="105">
        <f t="shared" si="50"/>
        <v>1088.2352941176471</v>
      </c>
      <c r="AE59" s="75" t="str">
        <f>S59</f>
        <v>계</v>
      </c>
      <c r="AF59" s="75" t="str">
        <f>Q59&amp;"/"&amp;R59</f>
        <v>4/2</v>
      </c>
      <c r="AH59" s="20" t="str">
        <f t="shared" si="31"/>
        <v>창원감계푸르지오</v>
      </c>
      <c r="AI59" s="106">
        <f t="shared" si="20"/>
        <v>34</v>
      </c>
      <c r="AJ59" s="75" t="str">
        <f>IF(AI59="","",$AJ$2)</f>
        <v>A-</v>
      </c>
      <c r="AK59" s="75" t="s">
        <v>14</v>
      </c>
      <c r="AL59" s="75" t="s">
        <v>944</v>
      </c>
      <c r="AM59" s="75" t="s">
        <v>945</v>
      </c>
      <c r="AN59" s="75" t="str">
        <f>IF(AI59="","",$AN$2)</f>
        <v>C</v>
      </c>
      <c r="AO59" s="75" t="str">
        <f>IF(N59="","",IF(N59&gt;=$AO$1/100,"O","X"))</f>
        <v>X</v>
      </c>
      <c r="AP59" s="75" t="str">
        <f>IF(I59="","",IF(I59&lt;=$AP$1,"O","X"))</f>
        <v>O</v>
      </c>
      <c r="AQ59" s="75" t="str">
        <f>IF(O59="","",IF(O59&lt;=$AQ$1,"O","X"))</f>
        <v>X</v>
      </c>
      <c r="AR59" s="75" t="str">
        <f>IF(M59="","",IF(M59&lt;=$AR$1,"O","X"))</f>
        <v>X</v>
      </c>
      <c r="AS59" s="75" t="s">
        <v>2</v>
      </c>
      <c r="AT59" s="75" t="str">
        <f>IF(OR(F59="",AI59=""),"",IF(AND((F59&lt;=85),(AI59&gt;=15)),"O","X"))</f>
        <v>O</v>
      </c>
      <c r="AU59" s="75" t="str">
        <f>IF(C59="","",IF(C59&gt;=$AU$1,"O","X"))</f>
        <v>O</v>
      </c>
      <c r="AV59" s="75" t="str">
        <f>IF(AO59="","",IF(AND(AO59="O",AP59="O",AR59="O",AT59="O",AU59="O"),"후보","X"))</f>
        <v>X</v>
      </c>
    </row>
    <row r="60" spans="1:48" x14ac:dyDescent="0.3">
      <c r="A60" s="9"/>
      <c r="B60" s="75"/>
      <c r="C60" s="6"/>
      <c r="D60" s="9"/>
      <c r="E60" s="14"/>
      <c r="F60" s="104"/>
      <c r="G60" s="9"/>
      <c r="H60" s="9"/>
      <c r="I60" s="9"/>
      <c r="J60" s="9"/>
      <c r="K60" s="9"/>
      <c r="L60" s="9"/>
      <c r="M60" s="9"/>
      <c r="N60" s="9"/>
      <c r="O60" s="105"/>
      <c r="P60" s="105"/>
      <c r="Q60" s="106"/>
      <c r="R60" s="106"/>
      <c r="S60" s="9"/>
      <c r="T60" s="48"/>
      <c r="U60" s="9"/>
      <c r="W60" s="70" t="str">
        <f>$A$4&amp;" "&amp;A61&amp;"("&amp;B61&amp;","&amp;C61&amp;"^)"</f>
        <v>북면 창원감계힐스테이트3차('14.12.,630^)</v>
      </c>
      <c r="X60" s="71"/>
      <c r="Y60" s="71"/>
      <c r="Z60" s="71"/>
      <c r="AA60" s="71"/>
      <c r="AB60" s="71"/>
      <c r="AC60" s="71"/>
      <c r="AD60" s="71"/>
      <c r="AE60" s="71"/>
      <c r="AF60" s="72"/>
      <c r="AH60" s="20" t="str">
        <f t="shared" si="31"/>
        <v/>
      </c>
      <c r="AI60" s="103" t="str">
        <f t="shared" si="20"/>
        <v/>
      </c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</row>
    <row r="61" spans="1:48" x14ac:dyDescent="0.3">
      <c r="A61" s="9" t="s">
        <v>683</v>
      </c>
      <c r="B61" s="10" t="s">
        <v>979</v>
      </c>
      <c r="C61" s="107">
        <v>630</v>
      </c>
      <c r="D61" s="104">
        <v>115</v>
      </c>
      <c r="E61" s="106">
        <v>35</v>
      </c>
      <c r="F61" s="104">
        <v>84.8</v>
      </c>
      <c r="G61" s="17">
        <v>26</v>
      </c>
      <c r="H61" s="107">
        <v>274</v>
      </c>
      <c r="I61" s="108">
        <v>33000</v>
      </c>
      <c r="J61" s="108" t="s">
        <v>958</v>
      </c>
      <c r="K61" s="108">
        <v>29000</v>
      </c>
      <c r="L61" s="108" t="s">
        <v>980</v>
      </c>
      <c r="M61" s="109">
        <f>I61-K61</f>
        <v>4000</v>
      </c>
      <c r="N61" s="4">
        <f>IF(ISERROR(K61/I61),"",K61/I61)</f>
        <v>0.87878787878787878</v>
      </c>
      <c r="O61" s="105">
        <f>I61/E61</f>
        <v>942.85714285714289</v>
      </c>
      <c r="P61" s="105">
        <f>K61/E61</f>
        <v>828.57142857142856</v>
      </c>
      <c r="Q61" s="75">
        <v>3</v>
      </c>
      <c r="R61" s="75">
        <v>2</v>
      </c>
      <c r="S61" s="75" t="s">
        <v>947</v>
      </c>
      <c r="T61" s="5" t="s">
        <v>209</v>
      </c>
      <c r="U61" s="9"/>
      <c r="W61" s="104">
        <f t="shared" ref="W61:X64" si="51">D61</f>
        <v>115</v>
      </c>
      <c r="X61" s="106">
        <f t="shared" si="51"/>
        <v>35</v>
      </c>
      <c r="Y61" s="102">
        <f t="shared" ref="Y61:Z64" si="52">H61</f>
        <v>274</v>
      </c>
      <c r="Z61" s="109">
        <f t="shared" si="52"/>
        <v>33000</v>
      </c>
      <c r="AA61" s="109">
        <f>K61</f>
        <v>29000</v>
      </c>
      <c r="AB61" s="109">
        <f t="shared" ref="AB61:AD64" si="53">M61</f>
        <v>4000</v>
      </c>
      <c r="AC61" s="4">
        <f t="shared" si="53"/>
        <v>0.87878787878787878</v>
      </c>
      <c r="AD61" s="105">
        <f t="shared" si="53"/>
        <v>942.85714285714289</v>
      </c>
      <c r="AE61" s="75" t="str">
        <f>S61</f>
        <v>계</v>
      </c>
      <c r="AF61" s="75" t="str">
        <f>Q61&amp;"/"&amp;R61</f>
        <v>3/2</v>
      </c>
      <c r="AH61" s="20" t="str">
        <f t="shared" si="31"/>
        <v>창원감계힐스테이트3차</v>
      </c>
      <c r="AI61" s="106">
        <f t="shared" si="20"/>
        <v>35</v>
      </c>
      <c r="AJ61" s="75" t="str">
        <f>IF(AI61="","",$AJ$2)</f>
        <v>A-</v>
      </c>
      <c r="AK61" s="75" t="s">
        <v>14</v>
      </c>
      <c r="AL61" s="75" t="s">
        <v>944</v>
      </c>
      <c r="AM61" s="75" t="s">
        <v>945</v>
      </c>
      <c r="AN61" s="75" t="str">
        <f>IF(AI61="","",$AN$2)</f>
        <v>C</v>
      </c>
      <c r="AO61" s="75" t="str">
        <f>IF(N61="","",IF(N61&gt;=$AO$1/100,"O","X"))</f>
        <v>O</v>
      </c>
      <c r="AP61" s="75" t="str">
        <f>IF(I61="","",IF(I61&lt;=$AP$1,"O","X"))</f>
        <v>O</v>
      </c>
      <c r="AQ61" s="75" t="str">
        <f>IF(O61="","",IF(O61&lt;=$AQ$1,"O","X"))</f>
        <v>O</v>
      </c>
      <c r="AR61" s="75" t="str">
        <f>IF(M61="","",IF(M61&lt;=$AR$1,"O","X"))</f>
        <v>O</v>
      </c>
      <c r="AS61" s="75" t="s">
        <v>2</v>
      </c>
      <c r="AT61" s="75" t="str">
        <f>IF(OR(F61="",AI61=""),"",IF(AND((F61&lt;=85),(AI61&gt;=15)),"O","X"))</f>
        <v>O</v>
      </c>
      <c r="AU61" s="75" t="str">
        <f>IF(C61="","",IF(C61&gt;=$AU$1,"O","X"))</f>
        <v>O</v>
      </c>
      <c r="AV61" s="75" t="str">
        <f>IF(AO61="","",IF(AND(AO61="O",AP61="O",AR61="O",AT61="O",AU61="O"),"후보","X"))</f>
        <v>후보</v>
      </c>
    </row>
    <row r="62" spans="1:48" x14ac:dyDescent="0.3">
      <c r="A62" s="9" t="s">
        <v>683</v>
      </c>
      <c r="B62" s="10" t="s">
        <v>979</v>
      </c>
      <c r="C62" s="107">
        <v>630</v>
      </c>
      <c r="D62" s="104">
        <v>114.7</v>
      </c>
      <c r="E62" s="106">
        <v>35</v>
      </c>
      <c r="F62" s="104">
        <v>84.8</v>
      </c>
      <c r="G62" s="17">
        <v>26</v>
      </c>
      <c r="H62" s="107">
        <v>145</v>
      </c>
      <c r="I62" s="108">
        <v>30000</v>
      </c>
      <c r="J62" s="108" t="s">
        <v>949</v>
      </c>
      <c r="K62" s="108">
        <v>28000</v>
      </c>
      <c r="L62" s="108" t="s">
        <v>954</v>
      </c>
      <c r="M62" s="109">
        <f>I62-K62</f>
        <v>2000</v>
      </c>
      <c r="N62" s="4">
        <f>IF(ISERROR(K62/I62),"",K62/I62)</f>
        <v>0.93333333333333335</v>
      </c>
      <c r="O62" s="105">
        <f>I62/E62</f>
        <v>857.14285714285711</v>
      </c>
      <c r="P62" s="105">
        <f>K62/E62</f>
        <v>800</v>
      </c>
      <c r="Q62" s="75">
        <v>3</v>
      </c>
      <c r="R62" s="75">
        <v>2</v>
      </c>
      <c r="S62" s="75" t="s">
        <v>947</v>
      </c>
      <c r="T62" s="5" t="s">
        <v>210</v>
      </c>
      <c r="U62" s="9"/>
      <c r="W62" s="104">
        <f t="shared" si="51"/>
        <v>114.7</v>
      </c>
      <c r="X62" s="106">
        <f t="shared" si="51"/>
        <v>35</v>
      </c>
      <c r="Y62" s="102">
        <f t="shared" si="52"/>
        <v>145</v>
      </c>
      <c r="Z62" s="109">
        <f t="shared" si="52"/>
        <v>30000</v>
      </c>
      <c r="AA62" s="109">
        <f>K62</f>
        <v>28000</v>
      </c>
      <c r="AB62" s="109">
        <f t="shared" si="53"/>
        <v>2000</v>
      </c>
      <c r="AC62" s="4">
        <f t="shared" si="53"/>
        <v>0.93333333333333335</v>
      </c>
      <c r="AD62" s="105">
        <f t="shared" si="53"/>
        <v>857.14285714285711</v>
      </c>
      <c r="AE62" s="75" t="str">
        <f>S62</f>
        <v>계</v>
      </c>
      <c r="AF62" s="75" t="str">
        <f>Q62&amp;"/"&amp;R62</f>
        <v>3/2</v>
      </c>
      <c r="AH62" s="20" t="str">
        <f t="shared" si="31"/>
        <v>창원감계힐스테이트3차</v>
      </c>
      <c r="AI62" s="106">
        <f t="shared" si="20"/>
        <v>35</v>
      </c>
      <c r="AJ62" s="75" t="str">
        <f>IF(AI62="","",$AJ$2)</f>
        <v>A-</v>
      </c>
      <c r="AK62" s="75" t="s">
        <v>14</v>
      </c>
      <c r="AL62" s="75" t="s">
        <v>944</v>
      </c>
      <c r="AM62" s="75" t="s">
        <v>945</v>
      </c>
      <c r="AN62" s="75" t="str">
        <f>IF(AI62="","",$AN$2)</f>
        <v>C</v>
      </c>
      <c r="AO62" s="75" t="str">
        <f>IF(N62="","",IF(N62&gt;=$AO$1/100,"O","X"))</f>
        <v>O</v>
      </c>
      <c r="AP62" s="75" t="str">
        <f>IF(I62="","",IF(I62&lt;=$AP$1,"O","X"))</f>
        <v>O</v>
      </c>
      <c r="AQ62" s="75" t="str">
        <f>IF(O62="","",IF(O62&lt;=$AQ$1,"O","X"))</f>
        <v>O</v>
      </c>
      <c r="AR62" s="75" t="str">
        <f>IF(M62="","",IF(M62&lt;=$AR$1,"O","X"))</f>
        <v>O</v>
      </c>
      <c r="AS62" s="75" t="s">
        <v>2</v>
      </c>
      <c r="AT62" s="75" t="str">
        <f>IF(OR(F62="",AI62=""),"",IF(AND((F62&lt;=85),(AI62&gt;=15)),"O","X"))</f>
        <v>O</v>
      </c>
      <c r="AU62" s="75" t="str">
        <f>IF(C62="","",IF(C62&gt;=$AU$1,"O","X"))</f>
        <v>O</v>
      </c>
      <c r="AV62" s="75" t="str">
        <f>IF(AO62="","",IF(AND(AO62="O",AP62="O",AR62="O",AT62="O",AU62="O"),"후보","X"))</f>
        <v>후보</v>
      </c>
    </row>
    <row r="63" spans="1:48" x14ac:dyDescent="0.3">
      <c r="A63" s="9" t="s">
        <v>683</v>
      </c>
      <c r="B63" s="10" t="s">
        <v>979</v>
      </c>
      <c r="C63" s="107">
        <v>630</v>
      </c>
      <c r="D63" s="104">
        <v>114.6</v>
      </c>
      <c r="E63" s="106">
        <v>35</v>
      </c>
      <c r="F63" s="104">
        <v>84.7</v>
      </c>
      <c r="G63" s="17">
        <v>26</v>
      </c>
      <c r="H63" s="107">
        <v>145</v>
      </c>
      <c r="I63" s="108"/>
      <c r="J63" s="108"/>
      <c r="K63" s="108"/>
      <c r="L63" s="108"/>
      <c r="M63" s="109">
        <f>I63-K63</f>
        <v>0</v>
      </c>
      <c r="N63" s="4" t="str">
        <f>IF(ISERROR(K63/I63),"",K63/I63)</f>
        <v/>
      </c>
      <c r="O63" s="105">
        <f>I63/E63</f>
        <v>0</v>
      </c>
      <c r="P63" s="105">
        <f>K63/E63</f>
        <v>0</v>
      </c>
      <c r="Q63" s="75">
        <v>3</v>
      </c>
      <c r="R63" s="75">
        <v>2</v>
      </c>
      <c r="S63" s="75" t="s">
        <v>947</v>
      </c>
      <c r="T63" s="5" t="s">
        <v>688</v>
      </c>
      <c r="U63" s="9"/>
      <c r="W63" s="104">
        <f t="shared" si="51"/>
        <v>114.6</v>
      </c>
      <c r="X63" s="106">
        <f t="shared" si="51"/>
        <v>35</v>
      </c>
      <c r="Y63" s="102">
        <f t="shared" si="52"/>
        <v>145</v>
      </c>
      <c r="Z63" s="109">
        <f t="shared" si="52"/>
        <v>0</v>
      </c>
      <c r="AA63" s="109">
        <f>K63</f>
        <v>0</v>
      </c>
      <c r="AB63" s="109">
        <f t="shared" si="53"/>
        <v>0</v>
      </c>
      <c r="AC63" s="4" t="str">
        <f t="shared" si="53"/>
        <v/>
      </c>
      <c r="AD63" s="105">
        <f t="shared" si="53"/>
        <v>0</v>
      </c>
      <c r="AE63" s="75" t="str">
        <f>S63</f>
        <v>계</v>
      </c>
      <c r="AF63" s="75" t="str">
        <f>Q63&amp;"/"&amp;R63</f>
        <v>3/2</v>
      </c>
      <c r="AH63" s="20" t="str">
        <f t="shared" si="31"/>
        <v>창원감계힐스테이트3차</v>
      </c>
      <c r="AI63" s="106">
        <f t="shared" si="20"/>
        <v>35</v>
      </c>
      <c r="AJ63" s="75" t="str">
        <f>IF(AI63="","",$AJ$2)</f>
        <v>A-</v>
      </c>
      <c r="AK63" s="75" t="s">
        <v>14</v>
      </c>
      <c r="AL63" s="75" t="s">
        <v>944</v>
      </c>
      <c r="AM63" s="75" t="s">
        <v>945</v>
      </c>
      <c r="AN63" s="75" t="str">
        <f>IF(AI63="","",$AN$2)</f>
        <v>C</v>
      </c>
      <c r="AO63" s="75" t="str">
        <f>IF(N63="","",IF(N63&gt;=$AO$1/100,"O","X"))</f>
        <v/>
      </c>
      <c r="AP63" s="75" t="str">
        <f>IF(I63="","",IF(I63&lt;=$AP$1,"O","X"))</f>
        <v/>
      </c>
      <c r="AQ63" s="75" t="str">
        <f>IF(O63="","",IF(O63&lt;=$AQ$1,"O","X"))</f>
        <v>O</v>
      </c>
      <c r="AR63" s="75" t="str">
        <f>IF(M63="","",IF(M63&lt;=$AR$1,"O","X"))</f>
        <v>O</v>
      </c>
      <c r="AS63" s="75" t="s">
        <v>2</v>
      </c>
      <c r="AT63" s="75" t="str">
        <f>IF(OR(F63="",AI63=""),"",IF(AND((F63&lt;=85),(AI63&gt;=15)),"O","X"))</f>
        <v>O</v>
      </c>
      <c r="AU63" s="75" t="str">
        <f>IF(C63="","",IF(C63&gt;=$AU$1,"O","X"))</f>
        <v>O</v>
      </c>
      <c r="AV63" s="75" t="str">
        <f>IF(AO63="","",IF(AND(AO63="O",AP63="O",AR63="O",AT63="O",AU63="O"),"후보","X"))</f>
        <v/>
      </c>
    </row>
    <row r="64" spans="1:48" x14ac:dyDescent="0.3">
      <c r="A64" s="9" t="s">
        <v>683</v>
      </c>
      <c r="B64" s="10" t="s">
        <v>979</v>
      </c>
      <c r="C64" s="107">
        <v>630</v>
      </c>
      <c r="D64" s="104">
        <v>132.19999999999999</v>
      </c>
      <c r="E64" s="106">
        <v>40</v>
      </c>
      <c r="F64" s="104">
        <v>101.7</v>
      </c>
      <c r="G64" s="17">
        <v>31</v>
      </c>
      <c r="H64" s="107">
        <v>66</v>
      </c>
      <c r="I64" s="108">
        <v>45500</v>
      </c>
      <c r="J64" s="108" t="s">
        <v>981</v>
      </c>
      <c r="K64" s="108"/>
      <c r="L64" s="108"/>
      <c r="M64" s="109">
        <f>I64-K64</f>
        <v>45500</v>
      </c>
      <c r="N64" s="4">
        <f>IF(ISERROR(K64/I64),"",K64/I64)</f>
        <v>0</v>
      </c>
      <c r="O64" s="105">
        <f>I64/E64</f>
        <v>1137.5</v>
      </c>
      <c r="P64" s="105">
        <f>K64/E64</f>
        <v>0</v>
      </c>
      <c r="Q64" s="75">
        <v>4</v>
      </c>
      <c r="R64" s="75">
        <v>2</v>
      </c>
      <c r="S64" s="75" t="s">
        <v>947</v>
      </c>
      <c r="T64" s="5">
        <v>132</v>
      </c>
      <c r="U64" s="9"/>
      <c r="W64" s="104">
        <f t="shared" si="51"/>
        <v>132.19999999999999</v>
      </c>
      <c r="X64" s="106">
        <f t="shared" si="51"/>
        <v>40</v>
      </c>
      <c r="Y64" s="102">
        <f t="shared" si="52"/>
        <v>66</v>
      </c>
      <c r="Z64" s="109">
        <f t="shared" si="52"/>
        <v>45500</v>
      </c>
      <c r="AA64" s="109">
        <f>K64</f>
        <v>0</v>
      </c>
      <c r="AB64" s="109">
        <f t="shared" si="53"/>
        <v>45500</v>
      </c>
      <c r="AC64" s="4">
        <f t="shared" si="53"/>
        <v>0</v>
      </c>
      <c r="AD64" s="105">
        <f t="shared" si="53"/>
        <v>1137.5</v>
      </c>
      <c r="AE64" s="75" t="str">
        <f>S64</f>
        <v>계</v>
      </c>
      <c r="AF64" s="75" t="str">
        <f>Q64&amp;"/"&amp;R64</f>
        <v>4/2</v>
      </c>
      <c r="AH64" s="20" t="str">
        <f t="shared" si="31"/>
        <v>창원감계힐스테이트3차</v>
      </c>
      <c r="AI64" s="106">
        <f t="shared" si="20"/>
        <v>40</v>
      </c>
      <c r="AJ64" s="75" t="str">
        <f>IF(AI64="","",$AJ$2)</f>
        <v>A-</v>
      </c>
      <c r="AK64" s="75" t="s">
        <v>14</v>
      </c>
      <c r="AL64" s="75" t="s">
        <v>944</v>
      </c>
      <c r="AM64" s="75" t="s">
        <v>945</v>
      </c>
      <c r="AN64" s="75" t="str">
        <f>IF(AI64="","",$AN$2)</f>
        <v>C</v>
      </c>
      <c r="AO64" s="75" t="str">
        <f>IF(N64="","",IF(N64&gt;=$AO$1/100,"O","X"))</f>
        <v>X</v>
      </c>
      <c r="AP64" s="75" t="str">
        <f>IF(I64="","",IF(I64&lt;=$AP$1,"O","X"))</f>
        <v>X</v>
      </c>
      <c r="AQ64" s="75" t="str">
        <f>IF(O64="","",IF(O64&lt;=$AQ$1,"O","X"))</f>
        <v>X</v>
      </c>
      <c r="AR64" s="75" t="str">
        <f>IF(M64="","",IF(M64&lt;=$AR$1,"O","X"))</f>
        <v>X</v>
      </c>
      <c r="AS64" s="75" t="s">
        <v>2</v>
      </c>
      <c r="AT64" s="75" t="str">
        <f>IF(OR(F64="",AI64=""),"",IF(AND((F64&lt;=85),(AI64&gt;=15)),"O","X"))</f>
        <v>X</v>
      </c>
      <c r="AU64" s="75" t="str">
        <f>IF(C64="","",IF(C64&gt;=$AU$1,"O","X"))</f>
        <v>O</v>
      </c>
      <c r="AV64" s="75" t="str">
        <f>IF(AO64="","",IF(AND(AO64="O",AP64="O",AR64="O",AT64="O",AU64="O"),"후보","X"))</f>
        <v>X</v>
      </c>
    </row>
    <row r="65" spans="1:48" x14ac:dyDescent="0.3">
      <c r="A65" s="9"/>
      <c r="B65" s="75"/>
      <c r="C65" s="6"/>
      <c r="D65" s="9"/>
      <c r="E65" s="14"/>
      <c r="F65" s="104"/>
      <c r="G65" s="9"/>
      <c r="H65" s="9"/>
      <c r="I65" s="9"/>
      <c r="J65" s="9"/>
      <c r="K65" s="9"/>
      <c r="L65" s="9"/>
      <c r="M65" s="9"/>
      <c r="N65" s="9"/>
      <c r="O65" s="105"/>
      <c r="P65" s="105"/>
      <c r="Q65" s="106"/>
      <c r="R65" s="106"/>
      <c r="S65" s="9"/>
      <c r="T65" s="48"/>
      <c r="U65" s="9"/>
      <c r="W65" s="70" t="str">
        <f>$A$4&amp;" "&amp;A66&amp;"("&amp;B66&amp;","&amp;C66&amp;"^)"</f>
        <v>북면 창원무동휴먼빌1단지('13.06.,546^)</v>
      </c>
      <c r="X65" s="71"/>
      <c r="Y65" s="71"/>
      <c r="Z65" s="71"/>
      <c r="AA65" s="71"/>
      <c r="AB65" s="71"/>
      <c r="AC65" s="71"/>
      <c r="AD65" s="71"/>
      <c r="AE65" s="71"/>
      <c r="AF65" s="72"/>
      <c r="AH65" s="20" t="str">
        <f t="shared" si="31"/>
        <v/>
      </c>
      <c r="AI65" s="103" t="str">
        <f t="shared" si="20"/>
        <v/>
      </c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</row>
    <row r="66" spans="1:48" x14ac:dyDescent="0.3">
      <c r="A66" s="9" t="s">
        <v>689</v>
      </c>
      <c r="B66" s="10" t="s">
        <v>966</v>
      </c>
      <c r="C66" s="107">
        <v>546</v>
      </c>
      <c r="D66" s="104">
        <v>80.3</v>
      </c>
      <c r="E66" s="106">
        <v>24</v>
      </c>
      <c r="F66" s="104">
        <v>60</v>
      </c>
      <c r="G66" s="17">
        <v>18</v>
      </c>
      <c r="H66" s="107">
        <v>54</v>
      </c>
      <c r="I66" s="108">
        <v>19500</v>
      </c>
      <c r="J66" s="108" t="s">
        <v>954</v>
      </c>
      <c r="K66" s="108"/>
      <c r="L66" s="108"/>
      <c r="M66" s="109">
        <f>I66-K66</f>
        <v>19500</v>
      </c>
      <c r="N66" s="4">
        <f>IF(ISERROR(K66/I66),"",K66/I66)</f>
        <v>0</v>
      </c>
      <c r="O66" s="105">
        <f>I66/E66</f>
        <v>812.5</v>
      </c>
      <c r="P66" s="105">
        <f>K66/E66</f>
        <v>0</v>
      </c>
      <c r="Q66" s="75">
        <v>3</v>
      </c>
      <c r="R66" s="75">
        <v>2</v>
      </c>
      <c r="S66" s="75" t="s">
        <v>947</v>
      </c>
      <c r="T66" s="5">
        <v>80</v>
      </c>
      <c r="U66" s="9"/>
      <c r="W66" s="104">
        <f t="shared" ref="W66:X68" si="54">D66</f>
        <v>80.3</v>
      </c>
      <c r="X66" s="106">
        <f t="shared" si="54"/>
        <v>24</v>
      </c>
      <c r="Y66" s="102">
        <f t="shared" ref="Y66:Z68" si="55">H66</f>
        <v>54</v>
      </c>
      <c r="Z66" s="109">
        <f t="shared" si="55"/>
        <v>19500</v>
      </c>
      <c r="AA66" s="109">
        <f>K66</f>
        <v>0</v>
      </c>
      <c r="AB66" s="109">
        <f t="shared" ref="AB66:AD68" si="56">M66</f>
        <v>19500</v>
      </c>
      <c r="AC66" s="4">
        <f t="shared" si="56"/>
        <v>0</v>
      </c>
      <c r="AD66" s="105">
        <f t="shared" si="56"/>
        <v>812.5</v>
      </c>
      <c r="AE66" s="75" t="str">
        <f>S66</f>
        <v>계</v>
      </c>
      <c r="AF66" s="75" t="str">
        <f>Q66&amp;"/"&amp;R66</f>
        <v>3/2</v>
      </c>
      <c r="AH66" s="20" t="str">
        <f t="shared" si="31"/>
        <v>창원무동휴먼빌1단지</v>
      </c>
      <c r="AI66" s="106">
        <f t="shared" si="20"/>
        <v>24</v>
      </c>
      <c r="AJ66" s="75" t="str">
        <f>IF(AI66="","",$AJ$2)</f>
        <v>A-</v>
      </c>
      <c r="AK66" s="75" t="s">
        <v>14</v>
      </c>
      <c r="AL66" s="75" t="s">
        <v>944</v>
      </c>
      <c r="AM66" s="75" t="s">
        <v>945</v>
      </c>
      <c r="AN66" s="75" t="str">
        <f>IF(AI66="","",$AN$2)</f>
        <v>C</v>
      </c>
      <c r="AO66" s="75" t="str">
        <f>IF(N66="","",IF(N66&gt;=$AO$1/100,"O","X"))</f>
        <v>X</v>
      </c>
      <c r="AP66" s="75" t="str">
        <f>IF(I66="","",IF(I66&lt;=$AP$1,"O","X"))</f>
        <v>O</v>
      </c>
      <c r="AQ66" s="75" t="str">
        <f>IF(O66="","",IF(O66&lt;=$AQ$1,"O","X"))</f>
        <v>O</v>
      </c>
      <c r="AR66" s="75" t="str">
        <f>IF(M66="","",IF(M66&lt;=$AR$1,"O","X"))</f>
        <v>X</v>
      </c>
      <c r="AS66" s="75" t="s">
        <v>2</v>
      </c>
      <c r="AT66" s="75" t="str">
        <f>IF(OR(F66="",AI66=""),"",IF(AND((F66&lt;=85),(AI66&gt;=15)),"O","X"))</f>
        <v>O</v>
      </c>
      <c r="AU66" s="75" t="str">
        <f>IF(C66="","",IF(C66&gt;=$AU$1,"O","X"))</f>
        <v>O</v>
      </c>
      <c r="AV66" s="75" t="str">
        <f>IF(AO66="","",IF(AND(AO66="O",AP66="O",AR66="O",AT66="O",AU66="O"),"후보","X"))</f>
        <v>X</v>
      </c>
    </row>
    <row r="67" spans="1:48" x14ac:dyDescent="0.3">
      <c r="A67" s="9" t="s">
        <v>689</v>
      </c>
      <c r="B67" s="10" t="s">
        <v>966</v>
      </c>
      <c r="C67" s="107">
        <v>546</v>
      </c>
      <c r="D67" s="104">
        <v>113.8</v>
      </c>
      <c r="E67" s="106">
        <v>34</v>
      </c>
      <c r="F67" s="104">
        <v>85</v>
      </c>
      <c r="G67" s="17">
        <v>26</v>
      </c>
      <c r="H67" s="107">
        <v>359</v>
      </c>
      <c r="I67" s="108">
        <v>23000</v>
      </c>
      <c r="J67" s="108" t="s">
        <v>954</v>
      </c>
      <c r="K67" s="108">
        <v>23000</v>
      </c>
      <c r="L67" s="108" t="s">
        <v>954</v>
      </c>
      <c r="M67" s="109">
        <f>I67-K67</f>
        <v>0</v>
      </c>
      <c r="N67" s="4">
        <f>IF(ISERROR(K67/I67),"",K67/I67)</f>
        <v>1</v>
      </c>
      <c r="O67" s="105">
        <f>I67/E67</f>
        <v>676.47058823529414</v>
      </c>
      <c r="P67" s="105">
        <f>K67/E67</f>
        <v>676.47058823529414</v>
      </c>
      <c r="Q67" s="75">
        <v>3</v>
      </c>
      <c r="R67" s="75">
        <v>2</v>
      </c>
      <c r="S67" s="75" t="s">
        <v>947</v>
      </c>
      <c r="T67" s="5" t="s">
        <v>598</v>
      </c>
      <c r="U67" s="9"/>
      <c r="W67" s="104">
        <f t="shared" si="54"/>
        <v>113.8</v>
      </c>
      <c r="X67" s="106">
        <f t="shared" si="54"/>
        <v>34</v>
      </c>
      <c r="Y67" s="102">
        <f t="shared" si="55"/>
        <v>359</v>
      </c>
      <c r="Z67" s="109">
        <f t="shared" si="55"/>
        <v>23000</v>
      </c>
      <c r="AA67" s="109">
        <f>K67</f>
        <v>23000</v>
      </c>
      <c r="AB67" s="109">
        <f t="shared" si="56"/>
        <v>0</v>
      </c>
      <c r="AC67" s="4">
        <f t="shared" si="56"/>
        <v>1</v>
      </c>
      <c r="AD67" s="105">
        <f t="shared" si="56"/>
        <v>676.47058823529414</v>
      </c>
      <c r="AE67" s="75" t="str">
        <f>S67</f>
        <v>계</v>
      </c>
      <c r="AF67" s="75" t="str">
        <f>Q67&amp;"/"&amp;R67</f>
        <v>3/2</v>
      </c>
      <c r="AH67" s="20" t="str">
        <f t="shared" si="31"/>
        <v>창원무동휴먼빌1단지</v>
      </c>
      <c r="AI67" s="106">
        <f t="shared" ref="AI67:AI93" si="57">IF(E67="","",E67)</f>
        <v>34</v>
      </c>
      <c r="AJ67" s="75" t="str">
        <f>IF(AI67="","",$AJ$2)</f>
        <v>A-</v>
      </c>
      <c r="AK67" s="75" t="s">
        <v>14</v>
      </c>
      <c r="AL67" s="75" t="s">
        <v>944</v>
      </c>
      <c r="AM67" s="75" t="s">
        <v>945</v>
      </c>
      <c r="AN67" s="75" t="str">
        <f>IF(AI67="","",$AN$2)</f>
        <v>C</v>
      </c>
      <c r="AO67" s="75" t="str">
        <f>IF(N67="","",IF(N67&gt;=$AO$1/100,"O","X"))</f>
        <v>O</v>
      </c>
      <c r="AP67" s="75" t="str">
        <f>IF(I67="","",IF(I67&lt;=$AP$1,"O","X"))</f>
        <v>O</v>
      </c>
      <c r="AQ67" s="75" t="str">
        <f>IF(O67="","",IF(O67&lt;=$AQ$1,"O","X"))</f>
        <v>O</v>
      </c>
      <c r="AR67" s="75" t="str">
        <f>IF(M67="","",IF(M67&lt;=$AR$1,"O","X"))</f>
        <v>O</v>
      </c>
      <c r="AS67" s="75" t="s">
        <v>2</v>
      </c>
      <c r="AT67" s="75" t="str">
        <f>IF(OR(F67="",AI67=""),"",IF(AND((F67&lt;=85),(AI67&gt;=15)),"O","X"))</f>
        <v>O</v>
      </c>
      <c r="AU67" s="75" t="str">
        <f>IF(C67="","",IF(C67&gt;=$AU$1,"O","X"))</f>
        <v>O</v>
      </c>
      <c r="AV67" s="75" t="str">
        <f>IF(AO67="","",IF(AND(AO67="O",AP67="O",AR67="O",AT67="O",AU67="O"),"후보","X"))</f>
        <v>후보</v>
      </c>
    </row>
    <row r="68" spans="1:48" x14ac:dyDescent="0.3">
      <c r="A68" s="9" t="s">
        <v>689</v>
      </c>
      <c r="B68" s="10" t="s">
        <v>966</v>
      </c>
      <c r="C68" s="107">
        <v>546</v>
      </c>
      <c r="D68" s="104">
        <v>113.5</v>
      </c>
      <c r="E68" s="106">
        <v>34</v>
      </c>
      <c r="F68" s="104">
        <v>85</v>
      </c>
      <c r="G68" s="17">
        <v>26</v>
      </c>
      <c r="H68" s="107">
        <v>133</v>
      </c>
      <c r="I68" s="108">
        <v>25000</v>
      </c>
      <c r="J68" s="108" t="s">
        <v>954</v>
      </c>
      <c r="K68" s="108"/>
      <c r="L68" s="108"/>
      <c r="M68" s="109">
        <f>I68-K68</f>
        <v>25000</v>
      </c>
      <c r="N68" s="4">
        <f>IF(ISERROR(K68/I68),"",K68/I68)</f>
        <v>0</v>
      </c>
      <c r="O68" s="105">
        <f>I68/E68</f>
        <v>735.29411764705878</v>
      </c>
      <c r="P68" s="105">
        <f>K68/E68</f>
        <v>0</v>
      </c>
      <c r="Q68" s="75">
        <v>3</v>
      </c>
      <c r="R68" s="75">
        <v>2</v>
      </c>
      <c r="S68" s="75" t="s">
        <v>947</v>
      </c>
      <c r="T68" s="5" t="s">
        <v>599</v>
      </c>
      <c r="U68" s="9"/>
      <c r="W68" s="104">
        <f t="shared" si="54"/>
        <v>113.5</v>
      </c>
      <c r="X68" s="106">
        <f t="shared" si="54"/>
        <v>34</v>
      </c>
      <c r="Y68" s="102">
        <f t="shared" si="55"/>
        <v>133</v>
      </c>
      <c r="Z68" s="109">
        <f t="shared" si="55"/>
        <v>25000</v>
      </c>
      <c r="AA68" s="109">
        <f>K68</f>
        <v>0</v>
      </c>
      <c r="AB68" s="109">
        <f t="shared" si="56"/>
        <v>25000</v>
      </c>
      <c r="AC68" s="4">
        <f t="shared" si="56"/>
        <v>0</v>
      </c>
      <c r="AD68" s="105">
        <f t="shared" si="56"/>
        <v>735.29411764705878</v>
      </c>
      <c r="AE68" s="75" t="str">
        <f>S68</f>
        <v>계</v>
      </c>
      <c r="AF68" s="75" t="str">
        <f>Q68&amp;"/"&amp;R68</f>
        <v>3/2</v>
      </c>
      <c r="AH68" s="20" t="str">
        <f t="shared" si="31"/>
        <v>창원무동휴먼빌1단지</v>
      </c>
      <c r="AI68" s="106">
        <f t="shared" si="57"/>
        <v>34</v>
      </c>
      <c r="AJ68" s="75" t="str">
        <f>IF(AI68="","",$AJ$2)</f>
        <v>A-</v>
      </c>
      <c r="AK68" s="75" t="s">
        <v>14</v>
      </c>
      <c r="AL68" s="75" t="s">
        <v>944</v>
      </c>
      <c r="AM68" s="75" t="s">
        <v>945</v>
      </c>
      <c r="AN68" s="75" t="str">
        <f>IF(AI68="","",$AN$2)</f>
        <v>C</v>
      </c>
      <c r="AO68" s="75" t="str">
        <f>IF(N68="","",IF(N68&gt;=$AO$1/100,"O","X"))</f>
        <v>X</v>
      </c>
      <c r="AP68" s="75" t="str">
        <f>IF(I68="","",IF(I68&lt;=$AP$1,"O","X"))</f>
        <v>O</v>
      </c>
      <c r="AQ68" s="75" t="str">
        <f>IF(O68="","",IF(O68&lt;=$AQ$1,"O","X"))</f>
        <v>O</v>
      </c>
      <c r="AR68" s="75" t="str">
        <f>IF(M68="","",IF(M68&lt;=$AR$1,"O","X"))</f>
        <v>X</v>
      </c>
      <c r="AS68" s="75" t="s">
        <v>2</v>
      </c>
      <c r="AT68" s="75" t="str">
        <f>IF(OR(F68="",AI68=""),"",IF(AND((F68&lt;=85),(AI68&gt;=15)),"O","X"))</f>
        <v>O</v>
      </c>
      <c r="AU68" s="75" t="str">
        <f>IF(C68="","",IF(C68&gt;=$AU$1,"O","X"))</f>
        <v>O</v>
      </c>
      <c r="AV68" s="75" t="str">
        <f>IF(AO68="","",IF(AND(AO68="O",AP68="O",AR68="O",AT68="O",AU68="O"),"후보","X"))</f>
        <v>X</v>
      </c>
    </row>
    <row r="69" spans="1:48" x14ac:dyDescent="0.3">
      <c r="A69" s="9"/>
      <c r="B69" s="75"/>
      <c r="C69" s="6"/>
      <c r="D69" s="9"/>
      <c r="E69" s="14"/>
      <c r="F69" s="104"/>
      <c r="G69" s="9"/>
      <c r="H69" s="9"/>
      <c r="I69" s="9"/>
      <c r="J69" s="9"/>
      <c r="K69" s="9"/>
      <c r="L69" s="9"/>
      <c r="M69" s="9"/>
      <c r="N69" s="9"/>
      <c r="O69" s="105"/>
      <c r="P69" s="105"/>
      <c r="Q69" s="106"/>
      <c r="R69" s="106"/>
      <c r="S69" s="9"/>
      <c r="T69" s="48"/>
      <c r="U69" s="9"/>
      <c r="W69" s="70" t="str">
        <f>$A$4&amp;" "&amp;A70&amp;"("&amp;B70&amp;","&amp;C70&amp;"^)"</f>
        <v>북면 창원무동지구휴먼빌3단지('14.12.,451^)</v>
      </c>
      <c r="X69" s="71"/>
      <c r="Y69" s="71"/>
      <c r="Z69" s="71"/>
      <c r="AA69" s="71"/>
      <c r="AB69" s="71"/>
      <c r="AC69" s="71"/>
      <c r="AD69" s="71"/>
      <c r="AE69" s="71"/>
      <c r="AF69" s="72"/>
      <c r="AH69" s="20" t="str">
        <f t="shared" ref="AH69:AH93" si="58">IF(A69="","",A69)</f>
        <v/>
      </c>
      <c r="AI69" s="103" t="str">
        <f t="shared" si="57"/>
        <v/>
      </c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</row>
    <row r="70" spans="1:48" x14ac:dyDescent="0.3">
      <c r="A70" s="9" t="s">
        <v>693</v>
      </c>
      <c r="B70" s="10" t="s">
        <v>979</v>
      </c>
      <c r="C70" s="107">
        <v>451</v>
      </c>
      <c r="D70" s="104">
        <v>81.7</v>
      </c>
      <c r="E70" s="106">
        <v>25</v>
      </c>
      <c r="F70" s="104">
        <v>60</v>
      </c>
      <c r="G70" s="17">
        <v>18</v>
      </c>
      <c r="H70" s="107">
        <v>117</v>
      </c>
      <c r="I70" s="108"/>
      <c r="J70" s="108"/>
      <c r="K70" s="108"/>
      <c r="L70" s="108"/>
      <c r="M70" s="109">
        <f>I70-K70</f>
        <v>0</v>
      </c>
      <c r="N70" s="4" t="str">
        <f>IF(ISERROR(K70/I70),"",K70/I70)</f>
        <v/>
      </c>
      <c r="O70" s="105">
        <f>I70/E70</f>
        <v>0</v>
      </c>
      <c r="P70" s="105">
        <f>K70/E70</f>
        <v>0</v>
      </c>
      <c r="Q70" s="75">
        <v>3</v>
      </c>
      <c r="R70" s="75">
        <v>2</v>
      </c>
      <c r="S70" s="75" t="s">
        <v>947</v>
      </c>
      <c r="T70" s="5">
        <v>81</v>
      </c>
      <c r="U70" s="9"/>
      <c r="W70" s="104">
        <f t="shared" ref="W70:X72" si="59">D70</f>
        <v>81.7</v>
      </c>
      <c r="X70" s="106">
        <f t="shared" si="59"/>
        <v>25</v>
      </c>
      <c r="Y70" s="102">
        <f t="shared" ref="Y70:Z72" si="60">H70</f>
        <v>117</v>
      </c>
      <c r="Z70" s="109">
        <f t="shared" si="60"/>
        <v>0</v>
      </c>
      <c r="AA70" s="109">
        <f>K70</f>
        <v>0</v>
      </c>
      <c r="AB70" s="109">
        <f t="shared" ref="AB70:AD72" si="61">M70</f>
        <v>0</v>
      </c>
      <c r="AC70" s="4" t="str">
        <f t="shared" si="61"/>
        <v/>
      </c>
      <c r="AD70" s="105">
        <f t="shared" si="61"/>
        <v>0</v>
      </c>
      <c r="AE70" s="75" t="str">
        <f>S70</f>
        <v>계</v>
      </c>
      <c r="AF70" s="75" t="str">
        <f>Q70&amp;"/"&amp;R70</f>
        <v>3/2</v>
      </c>
      <c r="AH70" s="20" t="str">
        <f t="shared" si="58"/>
        <v>창원무동지구휴먼빌3단지</v>
      </c>
      <c r="AI70" s="106">
        <f t="shared" si="57"/>
        <v>25</v>
      </c>
      <c r="AJ70" s="75" t="str">
        <f>IF(AI70="","",$AJ$2)</f>
        <v>A-</v>
      </c>
      <c r="AK70" s="75" t="s">
        <v>14</v>
      </c>
      <c r="AL70" s="75" t="s">
        <v>944</v>
      </c>
      <c r="AM70" s="75" t="s">
        <v>945</v>
      </c>
      <c r="AN70" s="75" t="str">
        <f>IF(AI70="","",$AN$2)</f>
        <v>C</v>
      </c>
      <c r="AO70" s="75" t="str">
        <f>IF(N70="","",IF(N70&gt;=$AO$1/100,"O","X"))</f>
        <v/>
      </c>
      <c r="AP70" s="75" t="str">
        <f>IF(I70="","",IF(I70&lt;=$AP$1,"O","X"))</f>
        <v/>
      </c>
      <c r="AQ70" s="75" t="str">
        <f>IF(O70="","",IF(O70&lt;=$AQ$1,"O","X"))</f>
        <v>O</v>
      </c>
      <c r="AR70" s="75" t="str">
        <f>IF(M70="","",IF(M70&lt;=$AR$1,"O","X"))</f>
        <v>O</v>
      </c>
      <c r="AS70" s="75" t="s">
        <v>2</v>
      </c>
      <c r="AT70" s="75" t="str">
        <f>IF(OR(F70="",AI70=""),"",IF(AND((F70&lt;=85),(AI70&gt;=15)),"O","X"))</f>
        <v>O</v>
      </c>
      <c r="AU70" s="75" t="str">
        <f>IF(C70="","",IF(C70&gt;=$AU$1,"O","X"))</f>
        <v>O</v>
      </c>
      <c r="AV70" s="75" t="str">
        <f>IF(AO70="","",IF(AND(AO70="O",AP70="O",AR70="O",AT70="O",AU70="O"),"후보","X"))</f>
        <v/>
      </c>
    </row>
    <row r="71" spans="1:48" x14ac:dyDescent="0.3">
      <c r="A71" s="9" t="s">
        <v>693</v>
      </c>
      <c r="B71" s="10" t="s">
        <v>979</v>
      </c>
      <c r="C71" s="107">
        <v>451</v>
      </c>
      <c r="D71" s="104">
        <v>115.5</v>
      </c>
      <c r="E71" s="106">
        <v>35</v>
      </c>
      <c r="F71" s="104">
        <v>85</v>
      </c>
      <c r="G71" s="17">
        <v>26</v>
      </c>
      <c r="H71" s="107">
        <v>212</v>
      </c>
      <c r="I71" s="108">
        <v>28000</v>
      </c>
      <c r="J71" s="108" t="s">
        <v>954</v>
      </c>
      <c r="K71" s="108">
        <v>24000</v>
      </c>
      <c r="L71" s="108" t="s">
        <v>954</v>
      </c>
      <c r="M71" s="109">
        <f>I71-K71</f>
        <v>4000</v>
      </c>
      <c r="N71" s="4">
        <f>IF(ISERROR(K71/I71),"",K71/I71)</f>
        <v>0.8571428571428571</v>
      </c>
      <c r="O71" s="105">
        <f>I71/E71</f>
        <v>800</v>
      </c>
      <c r="P71" s="105">
        <f>K71/E71</f>
        <v>685.71428571428567</v>
      </c>
      <c r="Q71" s="75">
        <v>3</v>
      </c>
      <c r="R71" s="75">
        <v>2</v>
      </c>
      <c r="S71" s="75" t="s">
        <v>947</v>
      </c>
      <c r="T71" s="5" t="s">
        <v>697</v>
      </c>
      <c r="U71" s="9"/>
      <c r="W71" s="104">
        <f t="shared" si="59"/>
        <v>115.5</v>
      </c>
      <c r="X71" s="106">
        <f t="shared" si="59"/>
        <v>35</v>
      </c>
      <c r="Y71" s="102">
        <f t="shared" si="60"/>
        <v>212</v>
      </c>
      <c r="Z71" s="109">
        <f t="shared" si="60"/>
        <v>28000</v>
      </c>
      <c r="AA71" s="109">
        <f>K71</f>
        <v>24000</v>
      </c>
      <c r="AB71" s="109">
        <f t="shared" si="61"/>
        <v>4000</v>
      </c>
      <c r="AC71" s="4">
        <f t="shared" si="61"/>
        <v>0.8571428571428571</v>
      </c>
      <c r="AD71" s="105">
        <f t="shared" si="61"/>
        <v>800</v>
      </c>
      <c r="AE71" s="75" t="str">
        <f>S71</f>
        <v>계</v>
      </c>
      <c r="AF71" s="75" t="str">
        <f>Q71&amp;"/"&amp;R71</f>
        <v>3/2</v>
      </c>
      <c r="AH71" s="20" t="str">
        <f t="shared" si="58"/>
        <v>창원무동지구휴먼빌3단지</v>
      </c>
      <c r="AI71" s="106">
        <f t="shared" si="57"/>
        <v>35</v>
      </c>
      <c r="AJ71" s="75" t="str">
        <f>IF(AI71="","",$AJ$2)</f>
        <v>A-</v>
      </c>
      <c r="AK71" s="75" t="s">
        <v>14</v>
      </c>
      <c r="AL71" s="75" t="s">
        <v>944</v>
      </c>
      <c r="AM71" s="75" t="s">
        <v>945</v>
      </c>
      <c r="AN71" s="75" t="str">
        <f>IF(AI71="","",$AN$2)</f>
        <v>C</v>
      </c>
      <c r="AO71" s="75" t="str">
        <f>IF(N71="","",IF(N71&gt;=$AO$1/100,"O","X"))</f>
        <v>O</v>
      </c>
      <c r="AP71" s="75" t="str">
        <f>IF(I71="","",IF(I71&lt;=$AP$1,"O","X"))</f>
        <v>O</v>
      </c>
      <c r="AQ71" s="75" t="str">
        <f>IF(O71="","",IF(O71&lt;=$AQ$1,"O","X"))</f>
        <v>O</v>
      </c>
      <c r="AR71" s="75" t="str">
        <f>IF(M71="","",IF(M71&lt;=$AR$1,"O","X"))</f>
        <v>O</v>
      </c>
      <c r="AS71" s="75" t="s">
        <v>2</v>
      </c>
      <c r="AT71" s="75" t="str">
        <f>IF(OR(F71="",AI71=""),"",IF(AND((F71&lt;=85),(AI71&gt;=15)),"O","X"))</f>
        <v>O</v>
      </c>
      <c r="AU71" s="75" t="str">
        <f>IF(C71="","",IF(C71&gt;=$AU$1,"O","X"))</f>
        <v>O</v>
      </c>
      <c r="AV71" s="75" t="str">
        <f>IF(AO71="","",IF(AND(AO71="O",AP71="O",AR71="O",AT71="O",AU71="O"),"후보","X"))</f>
        <v>후보</v>
      </c>
    </row>
    <row r="72" spans="1:48" x14ac:dyDescent="0.3">
      <c r="A72" s="9" t="s">
        <v>693</v>
      </c>
      <c r="B72" s="10" t="s">
        <v>979</v>
      </c>
      <c r="C72" s="107">
        <v>451</v>
      </c>
      <c r="D72" s="104">
        <v>115.6</v>
      </c>
      <c r="E72" s="106">
        <v>35</v>
      </c>
      <c r="F72" s="104">
        <v>85</v>
      </c>
      <c r="G72" s="17">
        <v>26</v>
      </c>
      <c r="H72" s="107">
        <v>122</v>
      </c>
      <c r="I72" s="108">
        <v>27000</v>
      </c>
      <c r="J72" s="108" t="s">
        <v>954</v>
      </c>
      <c r="K72" s="108"/>
      <c r="L72" s="108"/>
      <c r="M72" s="109">
        <f>I72-K72</f>
        <v>27000</v>
      </c>
      <c r="N72" s="4">
        <f>IF(ISERROR(K72/I72),"",K72/I72)</f>
        <v>0</v>
      </c>
      <c r="O72" s="105">
        <f>I72/E72</f>
        <v>771.42857142857144</v>
      </c>
      <c r="P72" s="105">
        <f>K72/E72</f>
        <v>0</v>
      </c>
      <c r="Q72" s="75">
        <v>3</v>
      </c>
      <c r="R72" s="75">
        <v>2</v>
      </c>
      <c r="S72" s="75" t="s">
        <v>947</v>
      </c>
      <c r="T72" s="5" t="s">
        <v>627</v>
      </c>
      <c r="U72" s="9"/>
      <c r="W72" s="104">
        <f t="shared" si="59"/>
        <v>115.6</v>
      </c>
      <c r="X72" s="106">
        <f t="shared" si="59"/>
        <v>35</v>
      </c>
      <c r="Y72" s="102">
        <f t="shared" si="60"/>
        <v>122</v>
      </c>
      <c r="Z72" s="109">
        <f t="shared" si="60"/>
        <v>27000</v>
      </c>
      <c r="AA72" s="109">
        <f>K72</f>
        <v>0</v>
      </c>
      <c r="AB72" s="109">
        <f t="shared" si="61"/>
        <v>27000</v>
      </c>
      <c r="AC72" s="4">
        <f t="shared" si="61"/>
        <v>0</v>
      </c>
      <c r="AD72" s="105">
        <f t="shared" si="61"/>
        <v>771.42857142857144</v>
      </c>
      <c r="AE72" s="75" t="str">
        <f>S72</f>
        <v>계</v>
      </c>
      <c r="AF72" s="75" t="str">
        <f>Q72&amp;"/"&amp;R72</f>
        <v>3/2</v>
      </c>
      <c r="AH72" s="20" t="str">
        <f t="shared" si="58"/>
        <v>창원무동지구휴먼빌3단지</v>
      </c>
      <c r="AI72" s="106">
        <f t="shared" si="57"/>
        <v>35</v>
      </c>
      <c r="AJ72" s="75" t="str">
        <f>IF(AI72="","",$AJ$2)</f>
        <v>A-</v>
      </c>
      <c r="AK72" s="75" t="s">
        <v>14</v>
      </c>
      <c r="AL72" s="75" t="s">
        <v>944</v>
      </c>
      <c r="AM72" s="75" t="s">
        <v>945</v>
      </c>
      <c r="AN72" s="75" t="str">
        <f>IF(AI72="","",$AN$2)</f>
        <v>C</v>
      </c>
      <c r="AO72" s="75" t="str">
        <f>IF(N72="","",IF(N72&gt;=$AO$1/100,"O","X"))</f>
        <v>X</v>
      </c>
      <c r="AP72" s="75" t="str">
        <f>IF(I72="","",IF(I72&lt;=$AP$1,"O","X"))</f>
        <v>O</v>
      </c>
      <c r="AQ72" s="75" t="str">
        <f>IF(O72="","",IF(O72&lt;=$AQ$1,"O","X"))</f>
        <v>O</v>
      </c>
      <c r="AR72" s="75" t="str">
        <f>IF(M72="","",IF(M72&lt;=$AR$1,"O","X"))</f>
        <v>X</v>
      </c>
      <c r="AS72" s="75" t="s">
        <v>2</v>
      </c>
      <c r="AT72" s="75" t="str">
        <f>IF(OR(F72="",AI72=""),"",IF(AND((F72&lt;=85),(AI72&gt;=15)),"O","X"))</f>
        <v>O</v>
      </c>
      <c r="AU72" s="75" t="str">
        <f>IF(C72="","",IF(C72&gt;=$AU$1,"O","X"))</f>
        <v>O</v>
      </c>
      <c r="AV72" s="75" t="str">
        <f>IF(AO72="","",IF(AND(AO72="O",AP72="O",AR72="O",AT72="O",AU72="O"),"후보","X"))</f>
        <v>X</v>
      </c>
    </row>
    <row r="73" spans="1:48" x14ac:dyDescent="0.3">
      <c r="A73" s="9"/>
      <c r="B73" s="75"/>
      <c r="C73" s="6"/>
      <c r="D73" s="9"/>
      <c r="E73" s="14"/>
      <c r="F73" s="104"/>
      <c r="G73" s="9"/>
      <c r="H73" s="9"/>
      <c r="I73" s="9"/>
      <c r="J73" s="9"/>
      <c r="K73" s="9"/>
      <c r="L73" s="9"/>
      <c r="M73" s="9"/>
      <c r="N73" s="9"/>
      <c r="O73" s="105"/>
      <c r="P73" s="105"/>
      <c r="Q73" s="106"/>
      <c r="R73" s="106"/>
      <c r="S73" s="9"/>
      <c r="T73" s="48"/>
      <c r="U73" s="9"/>
      <c r="W73" s="70" t="str">
        <f>$A$4&amp;" "&amp;A74&amp;"("&amp;B74&amp;","&amp;C74&amp;"^)"</f>
        <v>북면 감계휴먼빌('14.03.,697^)</v>
      </c>
      <c r="X73" s="71"/>
      <c r="Y73" s="71"/>
      <c r="Z73" s="71"/>
      <c r="AA73" s="71"/>
      <c r="AB73" s="71"/>
      <c r="AC73" s="71"/>
      <c r="AD73" s="71"/>
      <c r="AE73" s="71"/>
      <c r="AF73" s="72"/>
      <c r="AH73" s="20" t="str">
        <f t="shared" si="58"/>
        <v/>
      </c>
      <c r="AI73" s="103" t="str">
        <f t="shared" si="57"/>
        <v/>
      </c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</row>
    <row r="74" spans="1:48" x14ac:dyDescent="0.3">
      <c r="A74" s="9" t="s">
        <v>698</v>
      </c>
      <c r="B74" s="10" t="s">
        <v>970</v>
      </c>
      <c r="C74" s="107">
        <v>697</v>
      </c>
      <c r="D74" s="104">
        <v>81.3</v>
      </c>
      <c r="E74" s="106">
        <v>25</v>
      </c>
      <c r="F74" s="104">
        <v>60</v>
      </c>
      <c r="G74" s="17">
        <v>18</v>
      </c>
      <c r="H74" s="107">
        <v>134</v>
      </c>
      <c r="I74" s="108">
        <v>24000</v>
      </c>
      <c r="J74" s="108" t="s">
        <v>954</v>
      </c>
      <c r="K74" s="108">
        <v>23000</v>
      </c>
      <c r="L74" s="108" t="s">
        <v>954</v>
      </c>
      <c r="M74" s="109">
        <f>I74-K74</f>
        <v>1000</v>
      </c>
      <c r="N74" s="4">
        <f>IF(ISERROR(K74/I74),"",K74/I74)</f>
        <v>0.95833333333333337</v>
      </c>
      <c r="O74" s="105">
        <f>I74/E74</f>
        <v>960</v>
      </c>
      <c r="P74" s="105">
        <f>K74/E74</f>
        <v>920</v>
      </c>
      <c r="Q74" s="75">
        <v>3</v>
      </c>
      <c r="R74" s="75">
        <v>2</v>
      </c>
      <c r="S74" s="75" t="s">
        <v>947</v>
      </c>
      <c r="T74" s="5">
        <v>81</v>
      </c>
      <c r="U74" s="9"/>
      <c r="W74" s="104">
        <f t="shared" ref="W74:X76" si="62">D74</f>
        <v>81.3</v>
      </c>
      <c r="X74" s="106">
        <f t="shared" si="62"/>
        <v>25</v>
      </c>
      <c r="Y74" s="102">
        <f t="shared" ref="Y74:Z76" si="63">H74</f>
        <v>134</v>
      </c>
      <c r="Z74" s="109">
        <f t="shared" si="63"/>
        <v>24000</v>
      </c>
      <c r="AA74" s="109">
        <f>K74</f>
        <v>23000</v>
      </c>
      <c r="AB74" s="109">
        <f t="shared" ref="AB74:AD76" si="64">M74</f>
        <v>1000</v>
      </c>
      <c r="AC74" s="4">
        <f t="shared" si="64"/>
        <v>0.95833333333333337</v>
      </c>
      <c r="AD74" s="105">
        <f t="shared" si="64"/>
        <v>960</v>
      </c>
      <c r="AE74" s="75" t="str">
        <f>S74</f>
        <v>계</v>
      </c>
      <c r="AF74" s="75" t="str">
        <f>Q74&amp;"/"&amp;R74</f>
        <v>3/2</v>
      </c>
      <c r="AH74" s="20" t="str">
        <f t="shared" si="58"/>
        <v>감계휴먼빌</v>
      </c>
      <c r="AI74" s="106">
        <f t="shared" si="57"/>
        <v>25</v>
      </c>
      <c r="AJ74" s="75" t="str">
        <f>IF(AI74="","",$AJ$2)</f>
        <v>A-</v>
      </c>
      <c r="AK74" s="75" t="s">
        <v>14</v>
      </c>
      <c r="AL74" s="75" t="s">
        <v>944</v>
      </c>
      <c r="AM74" s="75" t="s">
        <v>945</v>
      </c>
      <c r="AN74" s="75" t="str">
        <f>IF(AI74="","",$AN$2)</f>
        <v>C</v>
      </c>
      <c r="AO74" s="75" t="str">
        <f>IF(N74="","",IF(N74&gt;=$AO$1/100,"O","X"))</f>
        <v>O</v>
      </c>
      <c r="AP74" s="75" t="str">
        <f>IF(I74="","",IF(I74&lt;=$AP$1,"O","X"))</f>
        <v>O</v>
      </c>
      <c r="AQ74" s="75" t="str">
        <f>IF(O74="","",IF(O74&lt;=$AQ$1,"O","X"))</f>
        <v>O</v>
      </c>
      <c r="AR74" s="75" t="str">
        <f>IF(M74="","",IF(M74&lt;=$AR$1,"O","X"))</f>
        <v>O</v>
      </c>
      <c r="AS74" s="75" t="s">
        <v>2</v>
      </c>
      <c r="AT74" s="75" t="str">
        <f>IF(OR(F74="",AI74=""),"",IF(AND((F74&lt;=85),(AI74&gt;=15)),"O","X"))</f>
        <v>O</v>
      </c>
      <c r="AU74" s="75" t="str">
        <f>IF(C74="","",IF(C74&gt;=$AU$1,"O","X"))</f>
        <v>O</v>
      </c>
      <c r="AV74" s="75" t="str">
        <f>IF(AO74="","",IF(AND(AO74="O",AP74="O",AR74="O",AT74="O",AU74="O"),"후보","X"))</f>
        <v>후보</v>
      </c>
    </row>
    <row r="75" spans="1:48" x14ac:dyDescent="0.3">
      <c r="A75" s="9" t="s">
        <v>698</v>
      </c>
      <c r="B75" s="10" t="s">
        <v>970</v>
      </c>
      <c r="C75" s="107">
        <v>697</v>
      </c>
      <c r="D75" s="104">
        <v>114.8</v>
      </c>
      <c r="E75" s="106">
        <v>35</v>
      </c>
      <c r="F75" s="104">
        <v>84.9</v>
      </c>
      <c r="G75" s="17">
        <v>26</v>
      </c>
      <c r="H75" s="107">
        <v>297</v>
      </c>
      <c r="I75" s="108">
        <v>30000</v>
      </c>
      <c r="J75" s="108" t="s">
        <v>949</v>
      </c>
      <c r="K75" s="108">
        <v>26000</v>
      </c>
      <c r="L75" s="108" t="s">
        <v>949</v>
      </c>
      <c r="M75" s="109">
        <f>I75-K75</f>
        <v>4000</v>
      </c>
      <c r="N75" s="4">
        <f>IF(ISERROR(K75/I75),"",K75/I75)</f>
        <v>0.8666666666666667</v>
      </c>
      <c r="O75" s="105">
        <f>I75/E75</f>
        <v>857.14285714285711</v>
      </c>
      <c r="P75" s="105">
        <f>K75/E75</f>
        <v>742.85714285714289</v>
      </c>
      <c r="Q75" s="75">
        <v>3</v>
      </c>
      <c r="R75" s="75">
        <v>2</v>
      </c>
      <c r="S75" s="75" t="s">
        <v>947</v>
      </c>
      <c r="T75" s="5" t="s">
        <v>210</v>
      </c>
      <c r="U75" s="9"/>
      <c r="W75" s="104">
        <f t="shared" si="62"/>
        <v>114.8</v>
      </c>
      <c r="X75" s="106">
        <f t="shared" si="62"/>
        <v>35</v>
      </c>
      <c r="Y75" s="102">
        <f t="shared" si="63"/>
        <v>297</v>
      </c>
      <c r="Z75" s="109">
        <f t="shared" si="63"/>
        <v>30000</v>
      </c>
      <c r="AA75" s="109">
        <f>K75</f>
        <v>26000</v>
      </c>
      <c r="AB75" s="109">
        <f t="shared" si="64"/>
        <v>4000</v>
      </c>
      <c r="AC75" s="4">
        <f t="shared" si="64"/>
        <v>0.8666666666666667</v>
      </c>
      <c r="AD75" s="105">
        <f t="shared" si="64"/>
        <v>857.14285714285711</v>
      </c>
      <c r="AE75" s="75" t="str">
        <f>S75</f>
        <v>계</v>
      </c>
      <c r="AF75" s="75" t="str">
        <f>Q75&amp;"/"&amp;R75</f>
        <v>3/2</v>
      </c>
      <c r="AH75" s="20" t="str">
        <f t="shared" si="58"/>
        <v>감계휴먼빌</v>
      </c>
      <c r="AI75" s="106">
        <f t="shared" si="57"/>
        <v>35</v>
      </c>
      <c r="AJ75" s="75" t="str">
        <f>IF(AI75="","",$AJ$2)</f>
        <v>A-</v>
      </c>
      <c r="AK75" s="75" t="s">
        <v>14</v>
      </c>
      <c r="AL75" s="75" t="s">
        <v>944</v>
      </c>
      <c r="AM75" s="75" t="s">
        <v>945</v>
      </c>
      <c r="AN75" s="75" t="str">
        <f>IF(AI75="","",$AN$2)</f>
        <v>C</v>
      </c>
      <c r="AO75" s="75" t="str">
        <f>IF(N75="","",IF(N75&gt;=$AO$1/100,"O","X"))</f>
        <v>O</v>
      </c>
      <c r="AP75" s="75" t="str">
        <f>IF(I75="","",IF(I75&lt;=$AP$1,"O","X"))</f>
        <v>O</v>
      </c>
      <c r="AQ75" s="75" t="str">
        <f>IF(O75="","",IF(O75&lt;=$AQ$1,"O","X"))</f>
        <v>O</v>
      </c>
      <c r="AR75" s="75" t="str">
        <f>IF(M75="","",IF(M75&lt;=$AR$1,"O","X"))</f>
        <v>O</v>
      </c>
      <c r="AS75" s="75" t="s">
        <v>2</v>
      </c>
      <c r="AT75" s="75" t="str">
        <f>IF(OR(F75="",AI75=""),"",IF(AND((F75&lt;=85),(AI75&gt;=15)),"O","X"))</f>
        <v>O</v>
      </c>
      <c r="AU75" s="75" t="str">
        <f>IF(C75="","",IF(C75&gt;=$AU$1,"O","X"))</f>
        <v>O</v>
      </c>
      <c r="AV75" s="75" t="str">
        <f>IF(AO75="","",IF(AND(AO75="O",AP75="O",AR75="O",AT75="O",AU75="O"),"후보","X"))</f>
        <v>후보</v>
      </c>
    </row>
    <row r="76" spans="1:48" x14ac:dyDescent="0.3">
      <c r="A76" s="9" t="s">
        <v>698</v>
      </c>
      <c r="B76" s="10" t="s">
        <v>970</v>
      </c>
      <c r="C76" s="107">
        <v>697</v>
      </c>
      <c r="D76" s="104">
        <v>114.8</v>
      </c>
      <c r="E76" s="106">
        <v>35</v>
      </c>
      <c r="F76" s="104">
        <v>85</v>
      </c>
      <c r="G76" s="17">
        <v>26</v>
      </c>
      <c r="H76" s="107">
        <v>266</v>
      </c>
      <c r="I76" s="108">
        <v>29000</v>
      </c>
      <c r="J76" s="108" t="s">
        <v>957</v>
      </c>
      <c r="K76" s="108">
        <v>28000</v>
      </c>
      <c r="L76" s="108" t="s">
        <v>957</v>
      </c>
      <c r="M76" s="109">
        <f>I76-K76</f>
        <v>1000</v>
      </c>
      <c r="N76" s="4">
        <f>IF(ISERROR(K76/I76),"",K76/I76)</f>
        <v>0.96551724137931039</v>
      </c>
      <c r="O76" s="105">
        <f>I76/E76</f>
        <v>828.57142857142856</v>
      </c>
      <c r="P76" s="105">
        <f>K76/E76</f>
        <v>800</v>
      </c>
      <c r="Q76" s="75">
        <v>3</v>
      </c>
      <c r="R76" s="75">
        <v>2</v>
      </c>
      <c r="S76" s="75" t="s">
        <v>947</v>
      </c>
      <c r="T76" s="5" t="s">
        <v>209</v>
      </c>
      <c r="U76" s="9"/>
      <c r="W76" s="104">
        <f t="shared" si="62"/>
        <v>114.8</v>
      </c>
      <c r="X76" s="106">
        <f t="shared" si="62"/>
        <v>35</v>
      </c>
      <c r="Y76" s="102">
        <f t="shared" si="63"/>
        <v>266</v>
      </c>
      <c r="Z76" s="109">
        <f t="shared" si="63"/>
        <v>29000</v>
      </c>
      <c r="AA76" s="109">
        <f>K76</f>
        <v>28000</v>
      </c>
      <c r="AB76" s="109">
        <f t="shared" si="64"/>
        <v>1000</v>
      </c>
      <c r="AC76" s="4">
        <f t="shared" si="64"/>
        <v>0.96551724137931039</v>
      </c>
      <c r="AD76" s="105">
        <f t="shared" si="64"/>
        <v>828.57142857142856</v>
      </c>
      <c r="AE76" s="75" t="str">
        <f>S76</f>
        <v>계</v>
      </c>
      <c r="AF76" s="75" t="str">
        <f>Q76&amp;"/"&amp;R76</f>
        <v>3/2</v>
      </c>
      <c r="AH76" s="20" t="str">
        <f t="shared" si="58"/>
        <v>감계휴먼빌</v>
      </c>
      <c r="AI76" s="106">
        <f t="shared" si="57"/>
        <v>35</v>
      </c>
      <c r="AJ76" s="75" t="str">
        <f>IF(AI76="","",$AJ$2)</f>
        <v>A-</v>
      </c>
      <c r="AK76" s="75" t="s">
        <v>14</v>
      </c>
      <c r="AL76" s="75" t="s">
        <v>944</v>
      </c>
      <c r="AM76" s="75" t="s">
        <v>945</v>
      </c>
      <c r="AN76" s="75" t="str">
        <f>IF(AI76="","",$AN$2)</f>
        <v>C</v>
      </c>
      <c r="AO76" s="75" t="str">
        <f>IF(N76="","",IF(N76&gt;=$AO$1/100,"O","X"))</f>
        <v>O</v>
      </c>
      <c r="AP76" s="75" t="str">
        <f>IF(I76="","",IF(I76&lt;=$AP$1,"O","X"))</f>
        <v>O</v>
      </c>
      <c r="AQ76" s="75" t="str">
        <f>IF(O76="","",IF(O76&lt;=$AQ$1,"O","X"))</f>
        <v>O</v>
      </c>
      <c r="AR76" s="75" t="str">
        <f>IF(M76="","",IF(M76&lt;=$AR$1,"O","X"))</f>
        <v>O</v>
      </c>
      <c r="AS76" s="75" t="s">
        <v>2</v>
      </c>
      <c r="AT76" s="75" t="str">
        <f>IF(OR(F76="",AI76=""),"",IF(AND((F76&lt;=85),(AI76&gt;=15)),"O","X"))</f>
        <v>O</v>
      </c>
      <c r="AU76" s="75" t="str">
        <f>IF(C76="","",IF(C76&gt;=$AU$1,"O","X"))</f>
        <v>O</v>
      </c>
      <c r="AV76" s="75" t="str">
        <f>IF(AO76="","",IF(AND(AO76="O",AP76="O",AR76="O",AT76="O",AU76="O"),"후보","X"))</f>
        <v>후보</v>
      </c>
    </row>
    <row r="77" spans="1:48" x14ac:dyDescent="0.3">
      <c r="A77" s="9"/>
      <c r="B77" s="75"/>
      <c r="C77" s="6"/>
      <c r="D77" s="9"/>
      <c r="E77" s="14"/>
      <c r="F77" s="104"/>
      <c r="G77" s="9"/>
      <c r="H77" s="9"/>
      <c r="I77" s="9"/>
      <c r="J77" s="9"/>
      <c r="K77" s="9"/>
      <c r="L77" s="9"/>
      <c r="M77" s="9"/>
      <c r="N77" s="9"/>
      <c r="O77" s="105"/>
      <c r="P77" s="105"/>
      <c r="Q77" s="106"/>
      <c r="R77" s="106"/>
      <c r="S77" s="9"/>
      <c r="T77" s="48"/>
      <c r="U77" s="9"/>
      <c r="W77" s="70" t="str">
        <f>$A$4&amp;" "&amp;A78&amp;"("&amp;B78&amp;","&amp;C78&amp;"^)"</f>
        <v>북면 창원무동STX칸1차('15.01.,854^)</v>
      </c>
      <c r="X77" s="71"/>
      <c r="Y77" s="71"/>
      <c r="Z77" s="71"/>
      <c r="AA77" s="71"/>
      <c r="AB77" s="71"/>
      <c r="AC77" s="71"/>
      <c r="AD77" s="71"/>
      <c r="AE77" s="71"/>
      <c r="AF77" s="72"/>
      <c r="AH77" s="20" t="str">
        <f t="shared" si="58"/>
        <v/>
      </c>
      <c r="AI77" s="103" t="str">
        <f t="shared" si="57"/>
        <v/>
      </c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</row>
    <row r="78" spans="1:48" x14ac:dyDescent="0.3">
      <c r="A78" s="9" t="s">
        <v>702</v>
      </c>
      <c r="B78" s="10" t="s">
        <v>977</v>
      </c>
      <c r="C78" s="107">
        <v>854</v>
      </c>
      <c r="D78" s="104">
        <v>83.5</v>
      </c>
      <c r="E78" s="106">
        <v>25</v>
      </c>
      <c r="F78" s="104">
        <v>60</v>
      </c>
      <c r="G78" s="17">
        <v>18</v>
      </c>
      <c r="H78" s="107">
        <v>43</v>
      </c>
      <c r="I78" s="108"/>
      <c r="J78" s="108"/>
      <c r="K78" s="108"/>
      <c r="L78" s="108"/>
      <c r="M78" s="109">
        <f>I78-K78</f>
        <v>0</v>
      </c>
      <c r="N78" s="4" t="str">
        <f>IF(ISERROR(K78/I78),"",K78/I78)</f>
        <v/>
      </c>
      <c r="O78" s="105">
        <f>I78/E78</f>
        <v>0</v>
      </c>
      <c r="P78" s="105">
        <f>K78/E78</f>
        <v>0</v>
      </c>
      <c r="Q78" s="75">
        <v>3</v>
      </c>
      <c r="R78" s="75">
        <v>2</v>
      </c>
      <c r="S78" s="75" t="s">
        <v>947</v>
      </c>
      <c r="T78" s="5" t="s">
        <v>391</v>
      </c>
      <c r="U78" s="9"/>
      <c r="W78" s="104">
        <f t="shared" ref="W78:X81" si="65">D78</f>
        <v>83.5</v>
      </c>
      <c r="X78" s="106">
        <f t="shared" si="65"/>
        <v>25</v>
      </c>
      <c r="Y78" s="102">
        <f t="shared" ref="Y78:Z81" si="66">H78</f>
        <v>43</v>
      </c>
      <c r="Z78" s="109">
        <f t="shared" si="66"/>
        <v>0</v>
      </c>
      <c r="AA78" s="109">
        <f>K78</f>
        <v>0</v>
      </c>
      <c r="AB78" s="109">
        <f t="shared" ref="AB78:AD81" si="67">M78</f>
        <v>0</v>
      </c>
      <c r="AC78" s="4" t="str">
        <f t="shared" si="67"/>
        <v/>
      </c>
      <c r="AD78" s="105">
        <f t="shared" si="67"/>
        <v>0</v>
      </c>
      <c r="AE78" s="75" t="str">
        <f>S78</f>
        <v>계</v>
      </c>
      <c r="AF78" s="75" t="str">
        <f>Q78&amp;"/"&amp;R78</f>
        <v>3/2</v>
      </c>
      <c r="AH78" s="20" t="str">
        <f t="shared" si="58"/>
        <v>창원무동STX칸1차</v>
      </c>
      <c r="AI78" s="106">
        <f t="shared" si="57"/>
        <v>25</v>
      </c>
      <c r="AJ78" s="75" t="str">
        <f>IF(AI78="","",$AJ$2)</f>
        <v>A-</v>
      </c>
      <c r="AK78" s="75" t="s">
        <v>14</v>
      </c>
      <c r="AL78" s="75" t="s">
        <v>944</v>
      </c>
      <c r="AM78" s="75" t="s">
        <v>945</v>
      </c>
      <c r="AN78" s="75" t="str">
        <f>IF(AI78="","",$AN$2)</f>
        <v>C</v>
      </c>
      <c r="AO78" s="75" t="str">
        <f>IF(N78="","",IF(N78&gt;=$AO$1/100,"O","X"))</f>
        <v/>
      </c>
      <c r="AP78" s="75" t="str">
        <f>IF(I78="","",IF(I78&lt;=$AP$1,"O","X"))</f>
        <v/>
      </c>
      <c r="AQ78" s="75" t="str">
        <f>IF(O78="","",IF(O78&lt;=$AQ$1,"O","X"))</f>
        <v>O</v>
      </c>
      <c r="AR78" s="75" t="str">
        <f>IF(M78="","",IF(M78&lt;=$AR$1,"O","X"))</f>
        <v>O</v>
      </c>
      <c r="AS78" s="75" t="s">
        <v>2</v>
      </c>
      <c r="AT78" s="75" t="str">
        <f>IF(OR(F78="",AI78=""),"",IF(AND((F78&lt;=85),(AI78&gt;=15)),"O","X"))</f>
        <v>O</v>
      </c>
      <c r="AU78" s="75" t="str">
        <f>IF(C78="","",IF(C78&gt;=$AU$1,"O","X"))</f>
        <v>O</v>
      </c>
      <c r="AV78" s="75" t="str">
        <f>IF(AO78="","",IF(AND(AO78="O",AP78="O",AR78="O",AT78="O",AU78="O"),"후보","X"))</f>
        <v/>
      </c>
    </row>
    <row r="79" spans="1:48" x14ac:dyDescent="0.3">
      <c r="A79" s="9" t="s">
        <v>702</v>
      </c>
      <c r="B79" s="10" t="s">
        <v>977</v>
      </c>
      <c r="C79" s="107">
        <v>854</v>
      </c>
      <c r="D79" s="104">
        <v>84.1</v>
      </c>
      <c r="E79" s="106">
        <v>25</v>
      </c>
      <c r="F79" s="104">
        <v>60</v>
      </c>
      <c r="G79" s="17">
        <v>18</v>
      </c>
      <c r="H79" s="107">
        <v>44</v>
      </c>
      <c r="I79" s="108"/>
      <c r="J79" s="108"/>
      <c r="K79" s="108"/>
      <c r="L79" s="108"/>
      <c r="M79" s="109">
        <f>I79-K79</f>
        <v>0</v>
      </c>
      <c r="N79" s="4" t="str">
        <f>IF(ISERROR(K79/I79),"",K79/I79)</f>
        <v/>
      </c>
      <c r="O79" s="105">
        <f>I79/E79</f>
        <v>0</v>
      </c>
      <c r="P79" s="105">
        <f>K79/E79</f>
        <v>0</v>
      </c>
      <c r="Q79" s="75">
        <v>3</v>
      </c>
      <c r="R79" s="75">
        <v>2</v>
      </c>
      <c r="S79" s="75" t="s">
        <v>947</v>
      </c>
      <c r="T79" s="5" t="s">
        <v>225</v>
      </c>
      <c r="U79" s="9"/>
      <c r="W79" s="104">
        <f t="shared" si="65"/>
        <v>84.1</v>
      </c>
      <c r="X79" s="106">
        <f t="shared" si="65"/>
        <v>25</v>
      </c>
      <c r="Y79" s="102">
        <f t="shared" si="66"/>
        <v>44</v>
      </c>
      <c r="Z79" s="109">
        <f t="shared" si="66"/>
        <v>0</v>
      </c>
      <c r="AA79" s="109">
        <f>K79</f>
        <v>0</v>
      </c>
      <c r="AB79" s="109">
        <f t="shared" si="67"/>
        <v>0</v>
      </c>
      <c r="AC79" s="4" t="str">
        <f t="shared" si="67"/>
        <v/>
      </c>
      <c r="AD79" s="105">
        <f t="shared" si="67"/>
        <v>0</v>
      </c>
      <c r="AE79" s="75" t="str">
        <f>S79</f>
        <v>계</v>
      </c>
      <c r="AF79" s="75" t="str">
        <f>Q79&amp;"/"&amp;R79</f>
        <v>3/2</v>
      </c>
      <c r="AH79" s="20" t="str">
        <f t="shared" si="58"/>
        <v>창원무동STX칸1차</v>
      </c>
      <c r="AI79" s="106">
        <f t="shared" si="57"/>
        <v>25</v>
      </c>
      <c r="AJ79" s="75" t="str">
        <f>IF(AI79="","",$AJ$2)</f>
        <v>A-</v>
      </c>
      <c r="AK79" s="75" t="s">
        <v>14</v>
      </c>
      <c r="AL79" s="75" t="s">
        <v>944</v>
      </c>
      <c r="AM79" s="75" t="s">
        <v>945</v>
      </c>
      <c r="AN79" s="75" t="str">
        <f>IF(AI79="","",$AN$2)</f>
        <v>C</v>
      </c>
      <c r="AO79" s="75" t="str">
        <f>IF(N79="","",IF(N79&gt;=$AO$1/100,"O","X"))</f>
        <v/>
      </c>
      <c r="AP79" s="75" t="str">
        <f>IF(I79="","",IF(I79&lt;=$AP$1,"O","X"))</f>
        <v/>
      </c>
      <c r="AQ79" s="75" t="str">
        <f>IF(O79="","",IF(O79&lt;=$AQ$1,"O","X"))</f>
        <v>O</v>
      </c>
      <c r="AR79" s="75" t="str">
        <f>IF(M79="","",IF(M79&lt;=$AR$1,"O","X"))</f>
        <v>O</v>
      </c>
      <c r="AS79" s="75" t="s">
        <v>2</v>
      </c>
      <c r="AT79" s="75" t="str">
        <f>IF(OR(F79="",AI79=""),"",IF(AND((F79&lt;=85),(AI79&gt;=15)),"O","X"))</f>
        <v>O</v>
      </c>
      <c r="AU79" s="75" t="str">
        <f>IF(C79="","",IF(C79&gt;=$AU$1,"O","X"))</f>
        <v>O</v>
      </c>
      <c r="AV79" s="75" t="str">
        <f>IF(AO79="","",IF(AND(AO79="O",AP79="O",AR79="O",AT79="O",AU79="O"),"후보","X"))</f>
        <v/>
      </c>
    </row>
    <row r="80" spans="1:48" x14ac:dyDescent="0.3">
      <c r="A80" s="9" t="s">
        <v>702</v>
      </c>
      <c r="B80" s="10" t="s">
        <v>977</v>
      </c>
      <c r="C80" s="107">
        <v>854</v>
      </c>
      <c r="D80" s="104">
        <v>112.6</v>
      </c>
      <c r="E80" s="106">
        <v>34</v>
      </c>
      <c r="F80" s="104">
        <v>85</v>
      </c>
      <c r="G80" s="17">
        <v>26</v>
      </c>
      <c r="H80" s="107">
        <v>449</v>
      </c>
      <c r="I80" s="108">
        <v>24000</v>
      </c>
      <c r="J80" s="108" t="s">
        <v>959</v>
      </c>
      <c r="K80" s="108">
        <v>23000</v>
      </c>
      <c r="L80" s="108" t="s">
        <v>954</v>
      </c>
      <c r="M80" s="109">
        <f>I80-K80</f>
        <v>1000</v>
      </c>
      <c r="N80" s="4">
        <f>IF(ISERROR(K80/I80),"",K80/I80)</f>
        <v>0.95833333333333337</v>
      </c>
      <c r="O80" s="105">
        <f>I80/E80</f>
        <v>705.88235294117646</v>
      </c>
      <c r="P80" s="105">
        <f>K80/E80</f>
        <v>676.47058823529414</v>
      </c>
      <c r="Q80" s="75">
        <v>3</v>
      </c>
      <c r="R80" s="75">
        <v>2</v>
      </c>
      <c r="S80" s="75" t="s">
        <v>947</v>
      </c>
      <c r="T80" s="5" t="s">
        <v>245</v>
      </c>
      <c r="U80" s="9"/>
      <c r="W80" s="104">
        <f t="shared" si="65"/>
        <v>112.6</v>
      </c>
      <c r="X80" s="106">
        <f t="shared" si="65"/>
        <v>34</v>
      </c>
      <c r="Y80" s="102">
        <f t="shared" si="66"/>
        <v>449</v>
      </c>
      <c r="Z80" s="109">
        <f t="shared" si="66"/>
        <v>24000</v>
      </c>
      <c r="AA80" s="109">
        <f>K80</f>
        <v>23000</v>
      </c>
      <c r="AB80" s="109">
        <f t="shared" si="67"/>
        <v>1000</v>
      </c>
      <c r="AC80" s="4">
        <f t="shared" si="67"/>
        <v>0.95833333333333337</v>
      </c>
      <c r="AD80" s="105">
        <f t="shared" si="67"/>
        <v>705.88235294117646</v>
      </c>
      <c r="AE80" s="75" t="str">
        <f>S80</f>
        <v>계</v>
      </c>
      <c r="AF80" s="75" t="str">
        <f>Q80&amp;"/"&amp;R80</f>
        <v>3/2</v>
      </c>
      <c r="AH80" s="20" t="str">
        <f t="shared" si="58"/>
        <v>창원무동STX칸1차</v>
      </c>
      <c r="AI80" s="106">
        <f t="shared" si="57"/>
        <v>34</v>
      </c>
      <c r="AJ80" s="75" t="str">
        <f>IF(AI80="","",$AJ$2)</f>
        <v>A-</v>
      </c>
      <c r="AK80" s="75" t="s">
        <v>14</v>
      </c>
      <c r="AL80" s="75" t="s">
        <v>944</v>
      </c>
      <c r="AM80" s="75" t="s">
        <v>945</v>
      </c>
      <c r="AN80" s="75" t="str">
        <f>IF(AI80="","",$AN$2)</f>
        <v>C</v>
      </c>
      <c r="AO80" s="75" t="str">
        <f>IF(N80="","",IF(N80&gt;=$AO$1/100,"O","X"))</f>
        <v>O</v>
      </c>
      <c r="AP80" s="75" t="str">
        <f>IF(I80="","",IF(I80&lt;=$AP$1,"O","X"))</f>
        <v>O</v>
      </c>
      <c r="AQ80" s="75" t="str">
        <f>IF(O80="","",IF(O80&lt;=$AQ$1,"O","X"))</f>
        <v>O</v>
      </c>
      <c r="AR80" s="75" t="str">
        <f>IF(M80="","",IF(M80&lt;=$AR$1,"O","X"))</f>
        <v>O</v>
      </c>
      <c r="AS80" s="75" t="s">
        <v>2</v>
      </c>
      <c r="AT80" s="75" t="str">
        <f>IF(OR(F80="",AI80=""),"",IF(AND((F80&lt;=85),(AI80&gt;=15)),"O","X"))</f>
        <v>O</v>
      </c>
      <c r="AU80" s="75" t="str">
        <f>IF(C80="","",IF(C80&gt;=$AU$1,"O","X"))</f>
        <v>O</v>
      </c>
      <c r="AV80" s="75" t="str">
        <f>IF(AO80="","",IF(AND(AO80="O",AP80="O",AR80="O",AT80="O",AU80="O"),"후보","X"))</f>
        <v>후보</v>
      </c>
    </row>
    <row r="81" spans="1:48" x14ac:dyDescent="0.3">
      <c r="A81" s="9" t="s">
        <v>702</v>
      </c>
      <c r="B81" s="10" t="s">
        <v>977</v>
      </c>
      <c r="C81" s="107">
        <v>854</v>
      </c>
      <c r="D81" s="104">
        <v>113.3</v>
      </c>
      <c r="E81" s="106">
        <v>34</v>
      </c>
      <c r="F81" s="104">
        <v>85</v>
      </c>
      <c r="G81" s="17">
        <v>26</v>
      </c>
      <c r="H81" s="107">
        <v>318</v>
      </c>
      <c r="I81" s="108">
        <v>23500</v>
      </c>
      <c r="J81" s="108" t="s">
        <v>957</v>
      </c>
      <c r="K81" s="108"/>
      <c r="L81" s="108"/>
      <c r="M81" s="109">
        <f>I81-K81</f>
        <v>23500</v>
      </c>
      <c r="N81" s="4">
        <f>IF(ISERROR(K81/I81),"",K81/I81)</f>
        <v>0</v>
      </c>
      <c r="O81" s="105">
        <f>I81/E81</f>
        <v>691.17647058823525</v>
      </c>
      <c r="P81" s="105">
        <f>K81/E81</f>
        <v>0</v>
      </c>
      <c r="Q81" s="75">
        <v>3</v>
      </c>
      <c r="R81" s="75">
        <v>2</v>
      </c>
      <c r="S81" s="75" t="s">
        <v>947</v>
      </c>
      <c r="T81" s="5" t="s">
        <v>599</v>
      </c>
      <c r="U81" s="9"/>
      <c r="W81" s="104">
        <f t="shared" si="65"/>
        <v>113.3</v>
      </c>
      <c r="X81" s="106">
        <f t="shared" si="65"/>
        <v>34</v>
      </c>
      <c r="Y81" s="102">
        <f t="shared" si="66"/>
        <v>318</v>
      </c>
      <c r="Z81" s="109">
        <f t="shared" si="66"/>
        <v>23500</v>
      </c>
      <c r="AA81" s="109">
        <f>K81</f>
        <v>0</v>
      </c>
      <c r="AB81" s="109">
        <f t="shared" si="67"/>
        <v>23500</v>
      </c>
      <c r="AC81" s="4">
        <f t="shared" si="67"/>
        <v>0</v>
      </c>
      <c r="AD81" s="105">
        <f t="shared" si="67"/>
        <v>691.17647058823525</v>
      </c>
      <c r="AE81" s="75" t="str">
        <f>S81</f>
        <v>계</v>
      </c>
      <c r="AF81" s="75" t="str">
        <f>Q81&amp;"/"&amp;R81</f>
        <v>3/2</v>
      </c>
      <c r="AH81" s="20" t="str">
        <f t="shared" si="58"/>
        <v>창원무동STX칸1차</v>
      </c>
      <c r="AI81" s="106">
        <f t="shared" si="57"/>
        <v>34</v>
      </c>
      <c r="AJ81" s="75" t="str">
        <f>IF(AI81="","",$AJ$2)</f>
        <v>A-</v>
      </c>
      <c r="AK81" s="75" t="s">
        <v>14</v>
      </c>
      <c r="AL81" s="75" t="s">
        <v>944</v>
      </c>
      <c r="AM81" s="75" t="s">
        <v>945</v>
      </c>
      <c r="AN81" s="75" t="str">
        <f>IF(AI81="","",$AN$2)</f>
        <v>C</v>
      </c>
      <c r="AO81" s="75" t="str">
        <f>IF(N81="","",IF(N81&gt;=$AO$1/100,"O","X"))</f>
        <v>X</v>
      </c>
      <c r="AP81" s="75" t="str">
        <f>IF(I81="","",IF(I81&lt;=$AP$1,"O","X"))</f>
        <v>O</v>
      </c>
      <c r="AQ81" s="75" t="str">
        <f>IF(O81="","",IF(O81&lt;=$AQ$1,"O","X"))</f>
        <v>O</v>
      </c>
      <c r="AR81" s="75" t="str">
        <f>IF(M81="","",IF(M81&lt;=$AR$1,"O","X"))</f>
        <v>X</v>
      </c>
      <c r="AS81" s="75" t="s">
        <v>2</v>
      </c>
      <c r="AT81" s="75" t="str">
        <f>IF(OR(F81="",AI81=""),"",IF(AND((F81&lt;=85),(AI81&gt;=15)),"O","X"))</f>
        <v>O</v>
      </c>
      <c r="AU81" s="75" t="str">
        <f>IF(C81="","",IF(C81&gt;=$AU$1,"O","X"))</f>
        <v>O</v>
      </c>
      <c r="AV81" s="75" t="str">
        <f>IF(AO81="","",IF(AND(AO81="O",AP81="O",AR81="O",AT81="O",AU81="O"),"후보","X"))</f>
        <v>X</v>
      </c>
    </row>
    <row r="82" spans="1:48" x14ac:dyDescent="0.3">
      <c r="A82" s="9"/>
      <c r="B82" s="75"/>
      <c r="C82" s="6"/>
      <c r="D82" s="9"/>
      <c r="E82" s="14"/>
      <c r="F82" s="104"/>
      <c r="G82" s="9"/>
      <c r="H82" s="9"/>
      <c r="I82" s="9"/>
      <c r="J82" s="9"/>
      <c r="K82" s="9"/>
      <c r="L82" s="9"/>
      <c r="M82" s="9"/>
      <c r="N82" s="9"/>
      <c r="O82" s="105"/>
      <c r="P82" s="105"/>
      <c r="Q82" s="106"/>
      <c r="R82" s="106"/>
      <c r="S82" s="9"/>
      <c r="T82" s="48"/>
      <c r="U82" s="9"/>
      <c r="W82" s="70" t="str">
        <f>$A$4&amp;" "&amp;A83&amp;"("&amp;B83&amp;","&amp;C83&amp;"^)"</f>
        <v>북면 창원감계힐스테이트2차('17.10.,836^)</v>
      </c>
      <c r="X82" s="71"/>
      <c r="Y82" s="71"/>
      <c r="Z82" s="71"/>
      <c r="AA82" s="71"/>
      <c r="AB82" s="71"/>
      <c r="AC82" s="71"/>
      <c r="AD82" s="71"/>
      <c r="AE82" s="71"/>
      <c r="AF82" s="72"/>
      <c r="AH82" s="20" t="str">
        <f t="shared" si="58"/>
        <v/>
      </c>
      <c r="AI82" s="103" t="str">
        <f t="shared" si="57"/>
        <v/>
      </c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</row>
    <row r="83" spans="1:48" x14ac:dyDescent="0.3">
      <c r="A83" s="9" t="s">
        <v>706</v>
      </c>
      <c r="B83" s="10" t="s">
        <v>982</v>
      </c>
      <c r="C83" s="107">
        <v>836</v>
      </c>
      <c r="D83" s="104">
        <v>85.6</v>
      </c>
      <c r="E83" s="106">
        <v>26</v>
      </c>
      <c r="F83" s="104">
        <v>59.3</v>
      </c>
      <c r="G83" s="17">
        <v>18</v>
      </c>
      <c r="H83" s="107">
        <v>147</v>
      </c>
      <c r="I83" s="108">
        <v>28000</v>
      </c>
      <c r="J83" s="108" t="s">
        <v>954</v>
      </c>
      <c r="K83" s="108">
        <v>25000</v>
      </c>
      <c r="L83" s="108" t="s">
        <v>954</v>
      </c>
      <c r="M83" s="109">
        <f>I83-K83</f>
        <v>3000</v>
      </c>
      <c r="N83" s="4">
        <f>IF(ISERROR(K83/I83),"",K83/I83)</f>
        <v>0.8928571428571429</v>
      </c>
      <c r="O83" s="105">
        <f>I83/E83</f>
        <v>1076.9230769230769</v>
      </c>
      <c r="P83" s="105">
        <f>K83/E83</f>
        <v>961.53846153846155</v>
      </c>
      <c r="Q83" s="75">
        <v>3</v>
      </c>
      <c r="R83" s="75">
        <v>2</v>
      </c>
      <c r="S83" s="75" t="s">
        <v>947</v>
      </c>
      <c r="T83" s="5">
        <v>85</v>
      </c>
      <c r="U83" s="9"/>
      <c r="W83" s="104">
        <f t="shared" ref="W83:X87" si="68">D83</f>
        <v>85.6</v>
      </c>
      <c r="X83" s="106">
        <f t="shared" si="68"/>
        <v>26</v>
      </c>
      <c r="Y83" s="102">
        <f t="shared" ref="Y83:Z87" si="69">H83</f>
        <v>147</v>
      </c>
      <c r="Z83" s="109">
        <f t="shared" si="69"/>
        <v>28000</v>
      </c>
      <c r="AA83" s="109">
        <f>K83</f>
        <v>25000</v>
      </c>
      <c r="AB83" s="109">
        <f t="shared" ref="AB83:AD87" si="70">M83</f>
        <v>3000</v>
      </c>
      <c r="AC83" s="4">
        <f t="shared" si="70"/>
        <v>0.8928571428571429</v>
      </c>
      <c r="AD83" s="105">
        <f t="shared" si="70"/>
        <v>1076.9230769230769</v>
      </c>
      <c r="AE83" s="75" t="str">
        <f>S83</f>
        <v>계</v>
      </c>
      <c r="AF83" s="75" t="str">
        <f>Q83&amp;"/"&amp;R83</f>
        <v>3/2</v>
      </c>
      <c r="AH83" s="20" t="str">
        <f t="shared" si="58"/>
        <v>창원감계힐스테이트2차</v>
      </c>
      <c r="AI83" s="106">
        <f t="shared" si="57"/>
        <v>26</v>
      </c>
      <c r="AJ83" s="75" t="str">
        <f>IF(AI83="","",$AJ$2)</f>
        <v>A-</v>
      </c>
      <c r="AK83" s="75" t="s">
        <v>14</v>
      </c>
      <c r="AL83" s="75" t="s">
        <v>944</v>
      </c>
      <c r="AM83" s="75" t="s">
        <v>945</v>
      </c>
      <c r="AN83" s="75" t="str">
        <f>IF(AI83="","",$AN$2)</f>
        <v>C</v>
      </c>
      <c r="AO83" s="75" t="str">
        <f>IF(N83="","",IF(N83&gt;=$AO$1/100,"O","X"))</f>
        <v>O</v>
      </c>
      <c r="AP83" s="75" t="str">
        <f>IF(I83="","",IF(I83&lt;=$AP$1,"O","X"))</f>
        <v>O</v>
      </c>
      <c r="AQ83" s="75" t="str">
        <f>IF(O83="","",IF(O83&lt;=$AQ$1,"O","X"))</f>
        <v>X</v>
      </c>
      <c r="AR83" s="75" t="str">
        <f>IF(M83="","",IF(M83&lt;=$AR$1,"O","X"))</f>
        <v>O</v>
      </c>
      <c r="AS83" s="75" t="s">
        <v>2</v>
      </c>
      <c r="AT83" s="75" t="str">
        <f>IF(OR(F83="",AI83=""),"",IF(AND((F83&lt;=85),(AI83&gt;=15)),"O","X"))</f>
        <v>O</v>
      </c>
      <c r="AU83" s="75" t="str">
        <f>IF(C83="","",IF(C83&gt;=$AU$1,"O","X"))</f>
        <v>O</v>
      </c>
      <c r="AV83" s="75" t="str">
        <f>IF(AO83="","",IF(AND(AO83="O",AP83="O",AR83="O",AT83="O",AU83="O"),"후보","X"))</f>
        <v>후보</v>
      </c>
    </row>
    <row r="84" spans="1:48" x14ac:dyDescent="0.3">
      <c r="A84" s="9" t="s">
        <v>706</v>
      </c>
      <c r="B84" s="10" t="s">
        <v>982</v>
      </c>
      <c r="C84" s="107">
        <v>836</v>
      </c>
      <c r="D84" s="104">
        <v>95.7</v>
      </c>
      <c r="E84" s="106">
        <v>29</v>
      </c>
      <c r="F84" s="104">
        <v>70.099999999999994</v>
      </c>
      <c r="G84" s="17">
        <v>21</v>
      </c>
      <c r="H84" s="107">
        <v>215</v>
      </c>
      <c r="I84" s="108">
        <v>34500</v>
      </c>
      <c r="J84" s="108" t="s">
        <v>954</v>
      </c>
      <c r="K84" s="108">
        <v>30000</v>
      </c>
      <c r="L84" s="108" t="s">
        <v>954</v>
      </c>
      <c r="M84" s="109">
        <f>I84-K84</f>
        <v>4500</v>
      </c>
      <c r="N84" s="4">
        <f>IF(ISERROR(K84/I84),"",K84/I84)</f>
        <v>0.86956521739130432</v>
      </c>
      <c r="O84" s="105">
        <f>I84/E84</f>
        <v>1189.655172413793</v>
      </c>
      <c r="P84" s="105">
        <f>K84/E84</f>
        <v>1034.4827586206898</v>
      </c>
      <c r="Q84" s="75">
        <v>3</v>
      </c>
      <c r="R84" s="75">
        <v>2</v>
      </c>
      <c r="S84" s="75" t="s">
        <v>947</v>
      </c>
      <c r="T84" s="5">
        <v>95</v>
      </c>
      <c r="U84" s="9"/>
      <c r="W84" s="104">
        <f t="shared" si="68"/>
        <v>95.7</v>
      </c>
      <c r="X84" s="106">
        <f t="shared" si="68"/>
        <v>29</v>
      </c>
      <c r="Y84" s="102">
        <f t="shared" si="69"/>
        <v>215</v>
      </c>
      <c r="Z84" s="109">
        <f t="shared" si="69"/>
        <v>34500</v>
      </c>
      <c r="AA84" s="109">
        <f>K84</f>
        <v>30000</v>
      </c>
      <c r="AB84" s="109">
        <f t="shared" si="70"/>
        <v>4500</v>
      </c>
      <c r="AC84" s="4">
        <f t="shared" si="70"/>
        <v>0.86956521739130432</v>
      </c>
      <c r="AD84" s="105">
        <f t="shared" si="70"/>
        <v>1189.655172413793</v>
      </c>
      <c r="AE84" s="75" t="str">
        <f>S84</f>
        <v>계</v>
      </c>
      <c r="AF84" s="75" t="str">
        <f>Q84&amp;"/"&amp;R84</f>
        <v>3/2</v>
      </c>
      <c r="AH84" s="20" t="str">
        <f t="shared" si="58"/>
        <v>창원감계힐스테이트2차</v>
      </c>
      <c r="AI84" s="106">
        <f t="shared" si="57"/>
        <v>29</v>
      </c>
      <c r="AJ84" s="75" t="str">
        <f>IF(AI84="","",$AJ$2)</f>
        <v>A-</v>
      </c>
      <c r="AK84" s="75" t="s">
        <v>14</v>
      </c>
      <c r="AL84" s="75" t="s">
        <v>944</v>
      </c>
      <c r="AM84" s="75" t="s">
        <v>945</v>
      </c>
      <c r="AN84" s="75" t="str">
        <f>IF(AI84="","",$AN$2)</f>
        <v>C</v>
      </c>
      <c r="AO84" s="75" t="str">
        <f>IF(N84="","",IF(N84&gt;=$AO$1/100,"O","X"))</f>
        <v>O</v>
      </c>
      <c r="AP84" s="75" t="str">
        <f>IF(I84="","",IF(I84&lt;=$AP$1,"O","X"))</f>
        <v>O</v>
      </c>
      <c r="AQ84" s="75" t="str">
        <f>IF(O84="","",IF(O84&lt;=$AQ$1,"O","X"))</f>
        <v>X</v>
      </c>
      <c r="AR84" s="75" t="str">
        <f>IF(M84="","",IF(M84&lt;=$AR$1,"O","X"))</f>
        <v>O</v>
      </c>
      <c r="AS84" s="75" t="s">
        <v>2</v>
      </c>
      <c r="AT84" s="75" t="str">
        <f>IF(OR(F84="",AI84=""),"",IF(AND((F84&lt;=85),(AI84&gt;=15)),"O","X"))</f>
        <v>O</v>
      </c>
      <c r="AU84" s="75" t="str">
        <f>IF(C84="","",IF(C84&gt;=$AU$1,"O","X"))</f>
        <v>O</v>
      </c>
      <c r="AV84" s="75" t="str">
        <f>IF(AO84="","",IF(AND(AO84="O",AP84="O",AR84="O",AT84="O",AU84="O"),"후보","X"))</f>
        <v>후보</v>
      </c>
    </row>
    <row r="85" spans="1:48" x14ac:dyDescent="0.3">
      <c r="A85" s="9" t="s">
        <v>706</v>
      </c>
      <c r="B85" s="10" t="s">
        <v>982</v>
      </c>
      <c r="C85" s="107">
        <v>836</v>
      </c>
      <c r="D85" s="104">
        <v>112.1</v>
      </c>
      <c r="E85" s="106">
        <v>34</v>
      </c>
      <c r="F85" s="104">
        <v>84.9</v>
      </c>
      <c r="G85" s="17">
        <v>26</v>
      </c>
      <c r="H85" s="107">
        <v>284</v>
      </c>
      <c r="I85" s="108"/>
      <c r="J85" s="108"/>
      <c r="K85" s="108"/>
      <c r="L85" s="108"/>
      <c r="M85" s="109">
        <f>I85-K85</f>
        <v>0</v>
      </c>
      <c r="N85" s="4" t="str">
        <f>IF(ISERROR(K85/I85),"",K85/I85)</f>
        <v/>
      </c>
      <c r="O85" s="105">
        <f>I85/E85</f>
        <v>0</v>
      </c>
      <c r="P85" s="105">
        <f>K85/E85</f>
        <v>0</v>
      </c>
      <c r="Q85" s="75">
        <v>4</v>
      </c>
      <c r="R85" s="75">
        <v>2</v>
      </c>
      <c r="S85" s="75" t="s">
        <v>947</v>
      </c>
      <c r="T85" s="5" t="s">
        <v>245</v>
      </c>
      <c r="U85" s="9"/>
      <c r="W85" s="104">
        <f t="shared" si="68"/>
        <v>112.1</v>
      </c>
      <c r="X85" s="106">
        <f t="shared" si="68"/>
        <v>34</v>
      </c>
      <c r="Y85" s="102">
        <f t="shared" si="69"/>
        <v>284</v>
      </c>
      <c r="Z85" s="109">
        <f t="shared" si="69"/>
        <v>0</v>
      </c>
      <c r="AA85" s="109">
        <f>K85</f>
        <v>0</v>
      </c>
      <c r="AB85" s="109">
        <f t="shared" si="70"/>
        <v>0</v>
      </c>
      <c r="AC85" s="4" t="str">
        <f t="shared" si="70"/>
        <v/>
      </c>
      <c r="AD85" s="105">
        <f t="shared" si="70"/>
        <v>0</v>
      </c>
      <c r="AE85" s="75" t="str">
        <f>S85</f>
        <v>계</v>
      </c>
      <c r="AF85" s="75" t="str">
        <f>Q85&amp;"/"&amp;R85</f>
        <v>4/2</v>
      </c>
      <c r="AH85" s="20" t="str">
        <f t="shared" si="58"/>
        <v>창원감계힐스테이트2차</v>
      </c>
      <c r="AI85" s="106">
        <f t="shared" si="57"/>
        <v>34</v>
      </c>
      <c r="AJ85" s="75" t="str">
        <f>IF(AI85="","",$AJ$2)</f>
        <v>A-</v>
      </c>
      <c r="AK85" s="75" t="s">
        <v>14</v>
      </c>
      <c r="AL85" s="75" t="s">
        <v>944</v>
      </c>
      <c r="AM85" s="75" t="s">
        <v>945</v>
      </c>
      <c r="AN85" s="75" t="str">
        <f>IF(AI85="","",$AN$2)</f>
        <v>C</v>
      </c>
      <c r="AO85" s="75" t="str">
        <f>IF(N85="","",IF(N85&gt;=$AO$1/100,"O","X"))</f>
        <v/>
      </c>
      <c r="AP85" s="75" t="str">
        <f>IF(I85="","",IF(I85&lt;=$AP$1,"O","X"))</f>
        <v/>
      </c>
      <c r="AQ85" s="75" t="str">
        <f>IF(O85="","",IF(O85&lt;=$AQ$1,"O","X"))</f>
        <v>O</v>
      </c>
      <c r="AR85" s="75" t="str">
        <f>IF(M85="","",IF(M85&lt;=$AR$1,"O","X"))</f>
        <v>O</v>
      </c>
      <c r="AS85" s="75" t="s">
        <v>2</v>
      </c>
      <c r="AT85" s="75" t="str">
        <f>IF(OR(F85="",AI85=""),"",IF(AND((F85&lt;=85),(AI85&gt;=15)),"O","X"))</f>
        <v>O</v>
      </c>
      <c r="AU85" s="75" t="str">
        <f>IF(C85="","",IF(C85&gt;=$AU$1,"O","X"))</f>
        <v>O</v>
      </c>
      <c r="AV85" s="75" t="str">
        <f>IF(AO85="","",IF(AND(AO85="O",AP85="O",AR85="O",AT85="O",AU85="O"),"후보","X"))</f>
        <v/>
      </c>
    </row>
    <row r="86" spans="1:48" x14ac:dyDescent="0.3">
      <c r="A86" s="9" t="s">
        <v>706</v>
      </c>
      <c r="B86" s="10" t="s">
        <v>982</v>
      </c>
      <c r="C86" s="107">
        <v>836</v>
      </c>
      <c r="D86" s="104">
        <v>112.1</v>
      </c>
      <c r="E86" s="106">
        <v>34</v>
      </c>
      <c r="F86" s="104">
        <v>84.1</v>
      </c>
      <c r="G86" s="17">
        <v>25</v>
      </c>
      <c r="H86" s="107">
        <v>101</v>
      </c>
      <c r="I86" s="108">
        <v>39000</v>
      </c>
      <c r="J86" s="108" t="s">
        <v>957</v>
      </c>
      <c r="K86" s="108">
        <v>32000</v>
      </c>
      <c r="L86" s="108" t="s">
        <v>957</v>
      </c>
      <c r="M86" s="109">
        <f>I86-K86</f>
        <v>7000</v>
      </c>
      <c r="N86" s="4">
        <f>IF(ISERROR(K86/I86),"",K86/I86)</f>
        <v>0.82051282051282048</v>
      </c>
      <c r="O86" s="105">
        <f>I86/E86</f>
        <v>1147.0588235294117</v>
      </c>
      <c r="P86" s="105">
        <f>K86/E86</f>
        <v>941.17647058823525</v>
      </c>
      <c r="Q86" s="75">
        <v>4</v>
      </c>
      <c r="R86" s="75">
        <v>2</v>
      </c>
      <c r="S86" s="75" t="s">
        <v>947</v>
      </c>
      <c r="T86" s="5" t="s">
        <v>246</v>
      </c>
      <c r="U86" s="9"/>
      <c r="W86" s="104">
        <f t="shared" si="68"/>
        <v>112.1</v>
      </c>
      <c r="X86" s="106">
        <f t="shared" si="68"/>
        <v>34</v>
      </c>
      <c r="Y86" s="102">
        <f t="shared" si="69"/>
        <v>101</v>
      </c>
      <c r="Z86" s="109">
        <f t="shared" si="69"/>
        <v>39000</v>
      </c>
      <c r="AA86" s="109">
        <f>K86</f>
        <v>32000</v>
      </c>
      <c r="AB86" s="109">
        <f t="shared" si="70"/>
        <v>7000</v>
      </c>
      <c r="AC86" s="4">
        <f t="shared" si="70"/>
        <v>0.82051282051282048</v>
      </c>
      <c r="AD86" s="105">
        <f t="shared" si="70"/>
        <v>1147.0588235294117</v>
      </c>
      <c r="AE86" s="75" t="str">
        <f>S86</f>
        <v>계</v>
      </c>
      <c r="AF86" s="75" t="str">
        <f>Q86&amp;"/"&amp;R86</f>
        <v>4/2</v>
      </c>
      <c r="AH86" s="20" t="str">
        <f t="shared" si="58"/>
        <v>창원감계힐스테이트2차</v>
      </c>
      <c r="AI86" s="106">
        <f t="shared" si="57"/>
        <v>34</v>
      </c>
      <c r="AJ86" s="75" t="str">
        <f>IF(AI86="","",$AJ$2)</f>
        <v>A-</v>
      </c>
      <c r="AK86" s="75" t="s">
        <v>14</v>
      </c>
      <c r="AL86" s="75" t="s">
        <v>944</v>
      </c>
      <c r="AM86" s="75" t="s">
        <v>945</v>
      </c>
      <c r="AN86" s="75" t="str">
        <f>IF(AI86="","",$AN$2)</f>
        <v>C</v>
      </c>
      <c r="AO86" s="75" t="str">
        <f>IF(N86="","",IF(N86&gt;=$AO$1/100,"O","X"))</f>
        <v>O</v>
      </c>
      <c r="AP86" s="75" t="str">
        <f>IF(I86="","",IF(I86&lt;=$AP$1,"O","X"))</f>
        <v>O</v>
      </c>
      <c r="AQ86" s="75" t="str">
        <f>IF(O86="","",IF(O86&lt;=$AQ$1,"O","X"))</f>
        <v>X</v>
      </c>
      <c r="AR86" s="75" t="str">
        <f>IF(M86="","",IF(M86&lt;=$AR$1,"O","X"))</f>
        <v>X</v>
      </c>
      <c r="AS86" s="75" t="s">
        <v>2</v>
      </c>
      <c r="AT86" s="75" t="str">
        <f>IF(OR(F86="",AI86=""),"",IF(AND((F86&lt;=85),(AI86&gt;=15)),"O","X"))</f>
        <v>O</v>
      </c>
      <c r="AU86" s="75" t="str">
        <f>IF(C86="","",IF(C86&gt;=$AU$1,"O","X"))</f>
        <v>O</v>
      </c>
      <c r="AV86" s="75" t="str">
        <f>IF(AO86="","",IF(AND(AO86="O",AP86="O",AR86="O",AT86="O",AU86="O"),"후보","X"))</f>
        <v>X</v>
      </c>
    </row>
    <row r="87" spans="1:48" x14ac:dyDescent="0.3">
      <c r="A87" s="9" t="s">
        <v>706</v>
      </c>
      <c r="B87" s="10" t="s">
        <v>982</v>
      </c>
      <c r="C87" s="107">
        <v>836</v>
      </c>
      <c r="D87" s="104">
        <v>132.1</v>
      </c>
      <c r="E87" s="106">
        <v>40</v>
      </c>
      <c r="F87" s="104">
        <v>101.4</v>
      </c>
      <c r="G87" s="17">
        <v>31</v>
      </c>
      <c r="H87" s="107">
        <v>89</v>
      </c>
      <c r="I87" s="108">
        <v>49000</v>
      </c>
      <c r="J87" s="108" t="s">
        <v>957</v>
      </c>
      <c r="K87" s="108">
        <v>38000</v>
      </c>
      <c r="L87" s="108" t="s">
        <v>971</v>
      </c>
      <c r="M87" s="109">
        <f>I87-K87</f>
        <v>11000</v>
      </c>
      <c r="N87" s="4">
        <f>IF(ISERROR(K87/I87),"",K87/I87)</f>
        <v>0.77551020408163263</v>
      </c>
      <c r="O87" s="105">
        <f>I87/E87</f>
        <v>1225</v>
      </c>
      <c r="P87" s="105">
        <f>K87/E87</f>
        <v>950</v>
      </c>
      <c r="Q87" s="75">
        <v>4</v>
      </c>
      <c r="R87" s="75">
        <v>2</v>
      </c>
      <c r="S87" s="75" t="s">
        <v>947</v>
      </c>
      <c r="T87" s="5">
        <v>132</v>
      </c>
      <c r="U87" s="9"/>
      <c r="W87" s="104">
        <f t="shared" si="68"/>
        <v>132.1</v>
      </c>
      <c r="X87" s="106">
        <f t="shared" si="68"/>
        <v>40</v>
      </c>
      <c r="Y87" s="102">
        <f t="shared" si="69"/>
        <v>89</v>
      </c>
      <c r="Z87" s="109">
        <f t="shared" si="69"/>
        <v>49000</v>
      </c>
      <c r="AA87" s="109">
        <f>K87</f>
        <v>38000</v>
      </c>
      <c r="AB87" s="109">
        <f t="shared" si="70"/>
        <v>11000</v>
      </c>
      <c r="AC87" s="4">
        <f t="shared" si="70"/>
        <v>0.77551020408163263</v>
      </c>
      <c r="AD87" s="105">
        <f t="shared" si="70"/>
        <v>1225</v>
      </c>
      <c r="AE87" s="75" t="str">
        <f>S87</f>
        <v>계</v>
      </c>
      <c r="AF87" s="75" t="str">
        <f>Q87&amp;"/"&amp;R87</f>
        <v>4/2</v>
      </c>
      <c r="AH87" s="20" t="str">
        <f t="shared" si="58"/>
        <v>창원감계힐스테이트2차</v>
      </c>
      <c r="AI87" s="106">
        <f t="shared" si="57"/>
        <v>40</v>
      </c>
      <c r="AJ87" s="75" t="str">
        <f>IF(AI87="","",$AJ$2)</f>
        <v>A-</v>
      </c>
      <c r="AK87" s="75" t="s">
        <v>14</v>
      </c>
      <c r="AL87" s="75" t="s">
        <v>944</v>
      </c>
      <c r="AM87" s="75" t="s">
        <v>945</v>
      </c>
      <c r="AN87" s="75" t="str">
        <f>IF(AI87="","",$AN$2)</f>
        <v>C</v>
      </c>
      <c r="AO87" s="75" t="str">
        <f>IF(N87="","",IF(N87&gt;=$AO$1/100,"O","X"))</f>
        <v>X</v>
      </c>
      <c r="AP87" s="75" t="str">
        <f>IF(I87="","",IF(I87&lt;=$AP$1,"O","X"))</f>
        <v>X</v>
      </c>
      <c r="AQ87" s="75" t="str">
        <f>IF(O87="","",IF(O87&lt;=$AQ$1,"O","X"))</f>
        <v>X</v>
      </c>
      <c r="AR87" s="75" t="str">
        <f>IF(M87="","",IF(M87&lt;=$AR$1,"O","X"))</f>
        <v>X</v>
      </c>
      <c r="AS87" s="75" t="s">
        <v>2</v>
      </c>
      <c r="AT87" s="75" t="str">
        <f>IF(OR(F87="",AI87=""),"",IF(AND((F87&lt;=85),(AI87&gt;=15)),"O","X"))</f>
        <v>X</v>
      </c>
      <c r="AU87" s="75" t="str">
        <f>IF(C87="","",IF(C87&gt;=$AU$1,"O","X"))</f>
        <v>O</v>
      </c>
      <c r="AV87" s="75" t="str">
        <f>IF(AO87="","",IF(AND(AO87="O",AP87="O",AR87="O",AT87="O",AU87="O"),"후보","X"))</f>
        <v>X</v>
      </c>
    </row>
    <row r="88" spans="1:48" x14ac:dyDescent="0.3">
      <c r="A88" s="9"/>
      <c r="B88" s="75"/>
      <c r="C88" s="6"/>
      <c r="D88" s="9"/>
      <c r="E88" s="14"/>
      <c r="F88" s="104"/>
      <c r="G88" s="9"/>
      <c r="H88" s="9"/>
      <c r="I88" s="9"/>
      <c r="J88" s="9"/>
      <c r="K88" s="9"/>
      <c r="L88" s="9"/>
      <c r="M88" s="9"/>
      <c r="N88" s="9"/>
      <c r="O88" s="105"/>
      <c r="P88" s="105"/>
      <c r="Q88" s="106"/>
      <c r="R88" s="106"/>
      <c r="S88" s="9"/>
      <c r="T88" s="48"/>
      <c r="U88" s="9"/>
      <c r="W88" s="70" t="str">
        <f>$A$4&amp;" "&amp;A89&amp;"("&amp;B89&amp;","&amp;C89&amp;"^)"</f>
        <v>북면 창원감계아내에코프리미엄2차('19.01.,1393^)</v>
      </c>
      <c r="X88" s="71"/>
      <c r="Y88" s="71"/>
      <c r="Z88" s="71"/>
      <c r="AA88" s="71"/>
      <c r="AB88" s="71"/>
      <c r="AC88" s="71"/>
      <c r="AD88" s="71"/>
      <c r="AE88" s="71"/>
      <c r="AF88" s="72"/>
      <c r="AH88" s="20" t="str">
        <f t="shared" si="58"/>
        <v/>
      </c>
      <c r="AI88" s="103" t="str">
        <f t="shared" si="57"/>
        <v/>
      </c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</row>
    <row r="89" spans="1:48" x14ac:dyDescent="0.3">
      <c r="A89" s="9" t="s">
        <v>710</v>
      </c>
      <c r="B89" s="10" t="s">
        <v>983</v>
      </c>
      <c r="C89" s="107">
        <v>1393</v>
      </c>
      <c r="D89" s="104">
        <v>85.1</v>
      </c>
      <c r="E89" s="106">
        <v>26</v>
      </c>
      <c r="F89" s="104">
        <v>59.9</v>
      </c>
      <c r="G89" s="17">
        <v>18</v>
      </c>
      <c r="H89" s="107">
        <v>408</v>
      </c>
      <c r="I89" s="108">
        <v>28000</v>
      </c>
      <c r="J89" s="108" t="s">
        <v>957</v>
      </c>
      <c r="K89" s="108">
        <v>27000</v>
      </c>
      <c r="L89" s="108" t="s">
        <v>957</v>
      </c>
      <c r="M89" s="109">
        <f>I89-K89</f>
        <v>1000</v>
      </c>
      <c r="N89" s="4">
        <f>IF(ISERROR(K89/I89),"",K89/I89)</f>
        <v>0.9642857142857143</v>
      </c>
      <c r="O89" s="105">
        <f>I89/E89</f>
        <v>1076.9230769230769</v>
      </c>
      <c r="P89" s="105">
        <f>K89/E89</f>
        <v>1038.4615384615386</v>
      </c>
      <c r="Q89" s="75">
        <v>3</v>
      </c>
      <c r="R89" s="75">
        <v>2</v>
      </c>
      <c r="S89" s="75" t="s">
        <v>947</v>
      </c>
      <c r="T89" s="5">
        <v>85</v>
      </c>
      <c r="U89" s="9"/>
      <c r="W89" s="104">
        <f t="shared" ref="W89:X93" si="71">D89</f>
        <v>85.1</v>
      </c>
      <c r="X89" s="106">
        <f t="shared" si="71"/>
        <v>26</v>
      </c>
      <c r="Y89" s="102">
        <f t="shared" ref="Y89:Z93" si="72">H89</f>
        <v>408</v>
      </c>
      <c r="Z89" s="109">
        <f t="shared" si="72"/>
        <v>28000</v>
      </c>
      <c r="AA89" s="109">
        <f>K89</f>
        <v>27000</v>
      </c>
      <c r="AB89" s="109">
        <f t="shared" ref="AB89:AD93" si="73">M89</f>
        <v>1000</v>
      </c>
      <c r="AC89" s="4">
        <f t="shared" si="73"/>
        <v>0.9642857142857143</v>
      </c>
      <c r="AD89" s="105">
        <f t="shared" si="73"/>
        <v>1076.9230769230769</v>
      </c>
      <c r="AE89" s="75" t="str">
        <f>S89</f>
        <v>계</v>
      </c>
      <c r="AF89" s="75" t="str">
        <f>Q89&amp;"/"&amp;R89</f>
        <v>3/2</v>
      </c>
      <c r="AH89" s="20" t="str">
        <f t="shared" si="58"/>
        <v>창원감계아내에코프리미엄2차</v>
      </c>
      <c r="AI89" s="106">
        <f t="shared" si="57"/>
        <v>26</v>
      </c>
      <c r="AJ89" s="75" t="str">
        <f>IF(AI89="","",$AJ$2)</f>
        <v>A-</v>
      </c>
      <c r="AK89" s="75" t="s">
        <v>14</v>
      </c>
      <c r="AL89" s="75" t="s">
        <v>944</v>
      </c>
      <c r="AM89" s="75" t="s">
        <v>945</v>
      </c>
      <c r="AN89" s="75" t="str">
        <f>IF(AI89="","",$AN$2)</f>
        <v>C</v>
      </c>
      <c r="AO89" s="75" t="str">
        <f>IF(N89="","",IF(N89&gt;=$AO$1/100,"O","X"))</f>
        <v>O</v>
      </c>
      <c r="AP89" s="75" t="str">
        <f>IF(I89="","",IF(I89&lt;=$AP$1,"O","X"))</f>
        <v>O</v>
      </c>
      <c r="AQ89" s="75" t="str">
        <f>IF(O89="","",IF(O89&lt;=$AQ$1,"O","X"))</f>
        <v>X</v>
      </c>
      <c r="AR89" s="75" t="str">
        <f>IF(M89="","",IF(M89&lt;=$AR$1,"O","X"))</f>
        <v>O</v>
      </c>
      <c r="AS89" s="75" t="s">
        <v>2</v>
      </c>
      <c r="AT89" s="75" t="str">
        <f>IF(OR(F89="",AI89=""),"",IF(AND((F89&lt;=85),(AI89&gt;=15)),"O","X"))</f>
        <v>O</v>
      </c>
      <c r="AU89" s="75" t="str">
        <f>IF(C89="","",IF(C89&gt;=$AU$1,"O","X"))</f>
        <v>O</v>
      </c>
      <c r="AV89" s="75" t="str">
        <f>IF(AO89="","",IF(AND(AO89="O",AP89="O",AR89="O",AT89="O",AU89="O"),"후보","X"))</f>
        <v>후보</v>
      </c>
    </row>
    <row r="90" spans="1:48" x14ac:dyDescent="0.3">
      <c r="A90" s="9" t="s">
        <v>710</v>
      </c>
      <c r="B90" s="10" t="s">
        <v>983</v>
      </c>
      <c r="C90" s="107">
        <v>1393</v>
      </c>
      <c r="D90" s="104">
        <v>97.6</v>
      </c>
      <c r="E90" s="106">
        <v>30</v>
      </c>
      <c r="F90" s="104">
        <v>70.599999999999994</v>
      </c>
      <c r="G90" s="17">
        <v>21</v>
      </c>
      <c r="H90" s="107">
        <v>174</v>
      </c>
      <c r="I90" s="108">
        <v>35000</v>
      </c>
      <c r="J90" s="108" t="s">
        <v>957</v>
      </c>
      <c r="K90" s="108"/>
      <c r="L90" s="108"/>
      <c r="M90" s="109">
        <f>I90-K90</f>
        <v>35000</v>
      </c>
      <c r="N90" s="4">
        <f>IF(ISERROR(K90/I90),"",K90/I90)</f>
        <v>0</v>
      </c>
      <c r="O90" s="105">
        <f>I90/E90</f>
        <v>1166.6666666666667</v>
      </c>
      <c r="P90" s="105">
        <f>K90/E90</f>
        <v>0</v>
      </c>
      <c r="Q90" s="75">
        <v>3</v>
      </c>
      <c r="R90" s="75">
        <v>2</v>
      </c>
      <c r="S90" s="75" t="s">
        <v>947</v>
      </c>
      <c r="T90" s="5" t="s">
        <v>392</v>
      </c>
      <c r="U90" s="9"/>
      <c r="W90" s="104">
        <f t="shared" si="71"/>
        <v>97.6</v>
      </c>
      <c r="X90" s="106">
        <f t="shared" si="71"/>
        <v>30</v>
      </c>
      <c r="Y90" s="102">
        <f t="shared" si="72"/>
        <v>174</v>
      </c>
      <c r="Z90" s="109">
        <f t="shared" si="72"/>
        <v>35000</v>
      </c>
      <c r="AA90" s="109">
        <f>K90</f>
        <v>0</v>
      </c>
      <c r="AB90" s="109">
        <f t="shared" si="73"/>
        <v>35000</v>
      </c>
      <c r="AC90" s="4">
        <f t="shared" si="73"/>
        <v>0</v>
      </c>
      <c r="AD90" s="105">
        <f t="shared" si="73"/>
        <v>1166.6666666666667</v>
      </c>
      <c r="AE90" s="75" t="str">
        <f>S90</f>
        <v>계</v>
      </c>
      <c r="AF90" s="75" t="str">
        <f>Q90&amp;"/"&amp;R90</f>
        <v>3/2</v>
      </c>
      <c r="AH90" s="20" t="str">
        <f t="shared" si="58"/>
        <v>창원감계아내에코프리미엄2차</v>
      </c>
      <c r="AI90" s="106">
        <f t="shared" si="57"/>
        <v>30</v>
      </c>
      <c r="AJ90" s="75" t="str">
        <f>IF(AI90="","",$AJ$2)</f>
        <v>A-</v>
      </c>
      <c r="AK90" s="75" t="s">
        <v>14</v>
      </c>
      <c r="AL90" s="75" t="s">
        <v>944</v>
      </c>
      <c r="AM90" s="75" t="s">
        <v>945</v>
      </c>
      <c r="AN90" s="75" t="str">
        <f>IF(AI90="","",$AN$2)</f>
        <v>C</v>
      </c>
      <c r="AO90" s="75" t="str">
        <f>IF(N90="","",IF(N90&gt;=$AO$1/100,"O","X"))</f>
        <v>X</v>
      </c>
      <c r="AP90" s="75" t="str">
        <f>IF(I90="","",IF(I90&lt;=$AP$1,"O","X"))</f>
        <v>O</v>
      </c>
      <c r="AQ90" s="75" t="str">
        <f>IF(O90="","",IF(O90&lt;=$AQ$1,"O","X"))</f>
        <v>X</v>
      </c>
      <c r="AR90" s="75" t="str">
        <f>IF(M90="","",IF(M90&lt;=$AR$1,"O","X"))</f>
        <v>X</v>
      </c>
      <c r="AS90" s="75" t="s">
        <v>2</v>
      </c>
      <c r="AT90" s="75" t="str">
        <f>IF(OR(F90="",AI90=""),"",IF(AND((F90&lt;=85),(AI90&gt;=15)),"O","X"))</f>
        <v>O</v>
      </c>
      <c r="AU90" s="75" t="str">
        <f>IF(C90="","",IF(C90&gt;=$AU$1,"O","X"))</f>
        <v>O</v>
      </c>
      <c r="AV90" s="75" t="str">
        <f>IF(AO90="","",IF(AND(AO90="O",AP90="O",AR90="O",AT90="O",AU90="O"),"후보","X"))</f>
        <v>X</v>
      </c>
    </row>
    <row r="91" spans="1:48" x14ac:dyDescent="0.3">
      <c r="A91" s="9" t="s">
        <v>710</v>
      </c>
      <c r="B91" s="10" t="s">
        <v>983</v>
      </c>
      <c r="C91" s="107">
        <v>1393</v>
      </c>
      <c r="D91" s="104">
        <v>97.8</v>
      </c>
      <c r="E91" s="106">
        <v>30</v>
      </c>
      <c r="F91" s="104">
        <v>70.900000000000006</v>
      </c>
      <c r="G91" s="17">
        <v>21</v>
      </c>
      <c r="H91" s="107">
        <v>172</v>
      </c>
      <c r="I91" s="108">
        <v>35000</v>
      </c>
      <c r="J91" s="108" t="s">
        <v>949</v>
      </c>
      <c r="K91" s="108"/>
      <c r="L91" s="108"/>
      <c r="M91" s="109">
        <f>I91-K91</f>
        <v>35000</v>
      </c>
      <c r="N91" s="4">
        <f>IF(ISERROR(K91/I91),"",K91/I91)</f>
        <v>0</v>
      </c>
      <c r="O91" s="105">
        <f>I91/E91</f>
        <v>1166.6666666666667</v>
      </c>
      <c r="P91" s="105">
        <f>K91/E91</f>
        <v>0</v>
      </c>
      <c r="Q91" s="75">
        <v>3</v>
      </c>
      <c r="R91" s="75">
        <v>2</v>
      </c>
      <c r="S91" s="75" t="s">
        <v>947</v>
      </c>
      <c r="T91" s="5" t="s">
        <v>442</v>
      </c>
      <c r="U91" s="9"/>
      <c r="W91" s="104">
        <f t="shared" si="71"/>
        <v>97.8</v>
      </c>
      <c r="X91" s="106">
        <f t="shared" si="71"/>
        <v>30</v>
      </c>
      <c r="Y91" s="102">
        <f t="shared" si="72"/>
        <v>172</v>
      </c>
      <c r="Z91" s="109">
        <f t="shared" si="72"/>
        <v>35000</v>
      </c>
      <c r="AA91" s="109">
        <f>K91</f>
        <v>0</v>
      </c>
      <c r="AB91" s="109">
        <f t="shared" si="73"/>
        <v>35000</v>
      </c>
      <c r="AC91" s="4">
        <f t="shared" si="73"/>
        <v>0</v>
      </c>
      <c r="AD91" s="105">
        <f t="shared" si="73"/>
        <v>1166.6666666666667</v>
      </c>
      <c r="AE91" s="75" t="str">
        <f>S91</f>
        <v>계</v>
      </c>
      <c r="AF91" s="75" t="str">
        <f>Q91&amp;"/"&amp;R91</f>
        <v>3/2</v>
      </c>
      <c r="AH91" s="20" t="str">
        <f t="shared" si="58"/>
        <v>창원감계아내에코프리미엄2차</v>
      </c>
      <c r="AI91" s="106">
        <f t="shared" si="57"/>
        <v>30</v>
      </c>
      <c r="AJ91" s="75" t="str">
        <f>IF(AI91="","",$AJ$2)</f>
        <v>A-</v>
      </c>
      <c r="AK91" s="75" t="s">
        <v>14</v>
      </c>
      <c r="AL91" s="75" t="s">
        <v>944</v>
      </c>
      <c r="AM91" s="75" t="s">
        <v>945</v>
      </c>
      <c r="AN91" s="75" t="str">
        <f>IF(AI91="","",$AN$2)</f>
        <v>C</v>
      </c>
      <c r="AO91" s="75" t="str">
        <f>IF(N91="","",IF(N91&gt;=$AO$1/100,"O","X"))</f>
        <v>X</v>
      </c>
      <c r="AP91" s="75" t="str">
        <f>IF(I91="","",IF(I91&lt;=$AP$1,"O","X"))</f>
        <v>O</v>
      </c>
      <c r="AQ91" s="75" t="str">
        <f>IF(O91="","",IF(O91&lt;=$AQ$1,"O","X"))</f>
        <v>X</v>
      </c>
      <c r="AR91" s="75" t="str">
        <f>IF(M91="","",IF(M91&lt;=$AR$1,"O","X"))</f>
        <v>X</v>
      </c>
      <c r="AS91" s="75" t="s">
        <v>2</v>
      </c>
      <c r="AT91" s="75" t="str">
        <f>IF(OR(F91="",AI91=""),"",IF(AND((F91&lt;=85),(AI91&gt;=15)),"O","X"))</f>
        <v>O</v>
      </c>
      <c r="AU91" s="75" t="str">
        <f>IF(C91="","",IF(C91&gt;=$AU$1,"O","X"))</f>
        <v>O</v>
      </c>
      <c r="AV91" s="75" t="str">
        <f>IF(AO91="","",IF(AND(AO91="O",AP91="O",AR91="O",AT91="O",AU91="O"),"후보","X"))</f>
        <v>X</v>
      </c>
    </row>
    <row r="92" spans="1:48" x14ac:dyDescent="0.3">
      <c r="A92" s="9" t="s">
        <v>710</v>
      </c>
      <c r="B92" s="10" t="s">
        <v>983</v>
      </c>
      <c r="C92" s="107">
        <v>1393</v>
      </c>
      <c r="D92" s="104">
        <v>112.6</v>
      </c>
      <c r="E92" s="106">
        <v>34</v>
      </c>
      <c r="F92" s="104">
        <v>84.5</v>
      </c>
      <c r="G92" s="17">
        <v>26</v>
      </c>
      <c r="H92" s="107">
        <v>285</v>
      </c>
      <c r="I92" s="108">
        <v>40000</v>
      </c>
      <c r="J92" s="108" t="s">
        <v>980</v>
      </c>
      <c r="K92" s="108"/>
      <c r="L92" s="108"/>
      <c r="M92" s="109">
        <f>I92-K92</f>
        <v>40000</v>
      </c>
      <c r="N92" s="4">
        <f>IF(ISERROR(K92/I92),"",K92/I92)</f>
        <v>0</v>
      </c>
      <c r="O92" s="105">
        <f>I92/E92</f>
        <v>1176.4705882352941</v>
      </c>
      <c r="P92" s="105">
        <f>K92/E92</f>
        <v>0</v>
      </c>
      <c r="Q92" s="75">
        <v>3</v>
      </c>
      <c r="R92" s="75">
        <v>2</v>
      </c>
      <c r="S92" s="75" t="s">
        <v>947</v>
      </c>
      <c r="T92" s="5" t="s">
        <v>245</v>
      </c>
      <c r="U92" s="9"/>
      <c r="W92" s="104">
        <f t="shared" si="71"/>
        <v>112.6</v>
      </c>
      <c r="X92" s="106">
        <f t="shared" si="71"/>
        <v>34</v>
      </c>
      <c r="Y92" s="102">
        <f t="shared" si="72"/>
        <v>285</v>
      </c>
      <c r="Z92" s="109">
        <f t="shared" si="72"/>
        <v>40000</v>
      </c>
      <c r="AA92" s="109">
        <f>K92</f>
        <v>0</v>
      </c>
      <c r="AB92" s="109">
        <f t="shared" si="73"/>
        <v>40000</v>
      </c>
      <c r="AC92" s="4">
        <f t="shared" si="73"/>
        <v>0</v>
      </c>
      <c r="AD92" s="105">
        <f t="shared" si="73"/>
        <v>1176.4705882352941</v>
      </c>
      <c r="AE92" s="75" t="str">
        <f>S92</f>
        <v>계</v>
      </c>
      <c r="AF92" s="75" t="str">
        <f>Q92&amp;"/"&amp;R92</f>
        <v>3/2</v>
      </c>
      <c r="AH92" s="20" t="str">
        <f t="shared" si="58"/>
        <v>창원감계아내에코프리미엄2차</v>
      </c>
      <c r="AI92" s="106">
        <f t="shared" si="57"/>
        <v>34</v>
      </c>
      <c r="AJ92" s="75" t="str">
        <f>IF(AI92="","",$AJ$2)</f>
        <v>A-</v>
      </c>
      <c r="AK92" s="75" t="s">
        <v>14</v>
      </c>
      <c r="AL92" s="75" t="s">
        <v>944</v>
      </c>
      <c r="AM92" s="75" t="s">
        <v>945</v>
      </c>
      <c r="AN92" s="75" t="str">
        <f>IF(AI92="","",$AN$2)</f>
        <v>C</v>
      </c>
      <c r="AO92" s="75" t="str">
        <f>IF(N92="","",IF(N92&gt;=$AO$1/100,"O","X"))</f>
        <v>X</v>
      </c>
      <c r="AP92" s="75" t="str">
        <f>IF(I92="","",IF(I92&lt;=$AP$1,"O","X"))</f>
        <v>O</v>
      </c>
      <c r="AQ92" s="75" t="str">
        <f>IF(O92="","",IF(O92&lt;=$AQ$1,"O","X"))</f>
        <v>X</v>
      </c>
      <c r="AR92" s="75" t="str">
        <f>IF(M92="","",IF(M92&lt;=$AR$1,"O","X"))</f>
        <v>X</v>
      </c>
      <c r="AS92" s="75" t="s">
        <v>2</v>
      </c>
      <c r="AT92" s="75" t="str">
        <f>IF(OR(F92="",AI92=""),"",IF(AND((F92&lt;=85),(AI92&gt;=15)),"O","X"))</f>
        <v>O</v>
      </c>
      <c r="AU92" s="75" t="str">
        <f>IF(C92="","",IF(C92&gt;=$AU$1,"O","X"))</f>
        <v>O</v>
      </c>
      <c r="AV92" s="75" t="str">
        <f>IF(AO92="","",IF(AND(AO92="O",AP92="O",AR92="O",AT92="O",AU92="O"),"후보","X"))</f>
        <v>X</v>
      </c>
    </row>
    <row r="93" spans="1:48" x14ac:dyDescent="0.3">
      <c r="A93" s="9" t="s">
        <v>710</v>
      </c>
      <c r="B93" s="10" t="s">
        <v>983</v>
      </c>
      <c r="C93" s="107">
        <v>1393</v>
      </c>
      <c r="D93" s="104">
        <v>113.1</v>
      </c>
      <c r="E93" s="106">
        <v>34</v>
      </c>
      <c r="F93" s="104">
        <v>84.9</v>
      </c>
      <c r="G93" s="17">
        <v>26</v>
      </c>
      <c r="H93" s="107">
        <v>354</v>
      </c>
      <c r="I93" s="108">
        <v>40000</v>
      </c>
      <c r="J93" s="108" t="s">
        <v>984</v>
      </c>
      <c r="K93" s="108"/>
      <c r="L93" s="108"/>
      <c r="M93" s="109">
        <f>I93-K93</f>
        <v>40000</v>
      </c>
      <c r="N93" s="4">
        <f>IF(ISERROR(K93/I93),"",K93/I93)</f>
        <v>0</v>
      </c>
      <c r="O93" s="105">
        <f>I93/E93</f>
        <v>1176.4705882352941</v>
      </c>
      <c r="P93" s="105">
        <f>K93/E93</f>
        <v>0</v>
      </c>
      <c r="Q93" s="75">
        <v>3</v>
      </c>
      <c r="R93" s="75">
        <v>2</v>
      </c>
      <c r="S93" s="75" t="s">
        <v>947</v>
      </c>
      <c r="T93" s="5" t="s">
        <v>599</v>
      </c>
      <c r="U93" s="9"/>
      <c r="W93" s="104">
        <f t="shared" si="71"/>
        <v>113.1</v>
      </c>
      <c r="X93" s="106">
        <f t="shared" si="71"/>
        <v>34</v>
      </c>
      <c r="Y93" s="102">
        <f t="shared" si="72"/>
        <v>354</v>
      </c>
      <c r="Z93" s="109">
        <f t="shared" si="72"/>
        <v>40000</v>
      </c>
      <c r="AA93" s="109">
        <f>K93</f>
        <v>0</v>
      </c>
      <c r="AB93" s="109">
        <f t="shared" si="73"/>
        <v>40000</v>
      </c>
      <c r="AC93" s="4">
        <f t="shared" si="73"/>
        <v>0</v>
      </c>
      <c r="AD93" s="105">
        <f t="shared" si="73"/>
        <v>1176.4705882352941</v>
      </c>
      <c r="AE93" s="75" t="str">
        <f>S93</f>
        <v>계</v>
      </c>
      <c r="AF93" s="75" t="str">
        <f>Q93&amp;"/"&amp;R93</f>
        <v>3/2</v>
      </c>
      <c r="AH93" s="20" t="str">
        <f t="shared" si="58"/>
        <v>창원감계아내에코프리미엄2차</v>
      </c>
      <c r="AI93" s="106">
        <f t="shared" si="57"/>
        <v>34</v>
      </c>
      <c r="AJ93" s="75" t="str">
        <f>IF(AI93="","",$AJ$2)</f>
        <v>A-</v>
      </c>
      <c r="AK93" s="75" t="s">
        <v>14</v>
      </c>
      <c r="AL93" s="75" t="s">
        <v>944</v>
      </c>
      <c r="AM93" s="75" t="s">
        <v>945</v>
      </c>
      <c r="AN93" s="75" t="str">
        <f>IF(AI93="","",$AN$2)</f>
        <v>C</v>
      </c>
      <c r="AO93" s="75" t="str">
        <f>IF(N93="","",IF(N93&gt;=$AO$1/100,"O","X"))</f>
        <v>X</v>
      </c>
      <c r="AP93" s="75" t="str">
        <f>IF(I93="","",IF(I93&lt;=$AP$1,"O","X"))</f>
        <v>O</v>
      </c>
      <c r="AQ93" s="75" t="str">
        <f>IF(O93="","",IF(O93&lt;=$AQ$1,"O","X"))</f>
        <v>X</v>
      </c>
      <c r="AR93" s="75" t="str">
        <f>IF(M93="","",IF(M93&lt;=$AR$1,"O","X"))</f>
        <v>X</v>
      </c>
      <c r="AS93" s="75" t="s">
        <v>2</v>
      </c>
      <c r="AT93" s="75" t="str">
        <f>IF(OR(F93="",AI93=""),"",IF(AND((F93&lt;=85),(AI93&gt;=15)),"O","X"))</f>
        <v>O</v>
      </c>
      <c r="AU93" s="75" t="str">
        <f>IF(C93="","",IF(C93&gt;=$AU$1,"O","X"))</f>
        <v>O</v>
      </c>
      <c r="AV93" s="75" t="str">
        <f>IF(AO93="","",IF(AND(AO93="O",AP93="O",AR93="O",AT93="O",AU93="O"),"후보","X"))</f>
        <v>X</v>
      </c>
    </row>
  </sheetData>
  <mergeCells count="1">
    <mergeCell ref="AJ1:AN1"/>
  </mergeCells>
  <phoneticPr fontId="2" type="noConversion"/>
  <conditionalFormatting sqref="AV4:AV6">
    <cfRule type="expression" dxfId="2329" priority="1421">
      <formula>AV4="X"</formula>
    </cfRule>
    <cfRule type="expression" dxfId="2328" priority="1422">
      <formula>AV4="후보"</formula>
    </cfRule>
  </conditionalFormatting>
  <conditionalFormatting sqref="AC1:AC2 AC4:AC6 N4:N5">
    <cfRule type="cellIs" dxfId="2327" priority="1418" operator="greaterThan">
      <formula>0.9</formula>
    </cfRule>
    <cfRule type="cellIs" dxfId="2326" priority="1419" operator="greaterThan">
      <formula>0.85</formula>
    </cfRule>
  </conditionalFormatting>
  <conditionalFormatting sqref="N1:N2">
    <cfRule type="cellIs" dxfId="2325" priority="1416" operator="greaterThan">
      <formula>0.9</formula>
    </cfRule>
    <cfRule type="cellIs" dxfId="2324" priority="1417" operator="greaterThan">
      <formula>0.85</formula>
    </cfRule>
  </conditionalFormatting>
  <conditionalFormatting sqref="N6">
    <cfRule type="cellIs" dxfId="2323" priority="1414" operator="greaterThan">
      <formula>0.9</formula>
    </cfRule>
    <cfRule type="cellIs" dxfId="2322" priority="1415" operator="greaterThan">
      <formula>0.85</formula>
    </cfRule>
  </conditionalFormatting>
  <conditionalFormatting sqref="E6">
    <cfRule type="expression" dxfId="2321" priority="1410">
      <formula>AND(IF(OR($Q6=1,$Q6=2),1,0),IF($X6&lt;=20,1,0))</formula>
    </cfRule>
    <cfRule type="expression" dxfId="2320" priority="1411">
      <formula>AND(IF($Q6=2,1,0),IF($X6&lt;30,1,0))</formula>
    </cfRule>
    <cfRule type="expression" dxfId="2319" priority="1412">
      <formula>AND(IF($Q6=3,1,0),IF($X6&lt;30,1,0))</formula>
    </cfRule>
    <cfRule type="expression" dxfId="2318" priority="1413">
      <formula>AND(IF($Q6=3,1,IF($Q6=4,1,0)),IF($F6&lt;=85,1,0))</formula>
    </cfRule>
  </conditionalFormatting>
  <conditionalFormatting sqref="X6">
    <cfRule type="expression" dxfId="2317" priority="1406">
      <formula>AND(IF(OR($Q6=1,$Q6=2),1,0),IF($X6&lt;=20,1,0))</formula>
    </cfRule>
    <cfRule type="expression" dxfId="2316" priority="1407">
      <formula>AND(IF($Q6=2,1,0),IF($X6&lt;30,1,0))</formula>
    </cfRule>
    <cfRule type="expression" dxfId="2315" priority="1408">
      <formula>AND(IF($Q6=3,1,0),IF($X6&lt;30,1,0))</formula>
    </cfRule>
    <cfRule type="expression" dxfId="2314" priority="1409">
      <formula>AND(IF($Q6=3,1,IF($Q6=4,1,0)),IF($F6&lt;=85,1,0))</formula>
    </cfRule>
  </conditionalFormatting>
  <conditionalFormatting sqref="AI6">
    <cfRule type="expression" dxfId="2313" priority="1402">
      <formula>AND(IF(OR($Q6=1,$Q6=2),1,0),IF($X6&lt;=20,1,0))</formula>
    </cfRule>
    <cfRule type="expression" dxfId="2312" priority="1403">
      <formula>AND(IF($Q6=2,1,0),IF($X6&lt;30,1,0))</formula>
    </cfRule>
    <cfRule type="expression" dxfId="2311" priority="1404">
      <formula>AND(IF($Q6=3,1,0),IF($X6&lt;30,1,0))</formula>
    </cfRule>
    <cfRule type="expression" dxfId="2310" priority="1405">
      <formula>AND(IF($Q6=3,1,IF($Q6=4,1,0)),IF($F6&lt;=85,1,0))</formula>
    </cfRule>
  </conditionalFormatting>
  <conditionalFormatting sqref="AV7">
    <cfRule type="expression" dxfId="2309" priority="1400">
      <formula>AV7="X"</formula>
    </cfRule>
    <cfRule type="expression" dxfId="2308" priority="1401">
      <formula>AV7="후보"</formula>
    </cfRule>
  </conditionalFormatting>
  <conditionalFormatting sqref="AC7">
    <cfRule type="cellIs" dxfId="2307" priority="1397" operator="greaterThan">
      <formula>0.9</formula>
    </cfRule>
    <cfRule type="cellIs" dxfId="2306" priority="1398" operator="greaterThan">
      <formula>0.85</formula>
    </cfRule>
  </conditionalFormatting>
  <conditionalFormatting sqref="N7">
    <cfRule type="cellIs" dxfId="2305" priority="1395" operator="greaterThan">
      <formula>0.9</formula>
    </cfRule>
    <cfRule type="cellIs" dxfId="2304" priority="1396" operator="greaterThan">
      <formula>0.85</formula>
    </cfRule>
  </conditionalFormatting>
  <conditionalFormatting sqref="E7">
    <cfRule type="expression" dxfId="2303" priority="1391">
      <formula>AND(IF(OR($Q7=1,$Q7=2),1,0),IF($X7&lt;=20,1,0))</formula>
    </cfRule>
    <cfRule type="expression" dxfId="2302" priority="1392">
      <formula>AND(IF($Q7=2,1,0),IF($X7&lt;30,1,0))</formula>
    </cfRule>
    <cfRule type="expression" dxfId="2301" priority="1393">
      <formula>AND(IF($Q7=3,1,0),IF($X7&lt;30,1,0))</formula>
    </cfRule>
    <cfRule type="expression" dxfId="2300" priority="1394">
      <formula>AND(IF($Q7=3,1,IF($Q7=4,1,0)),IF($F7&lt;=85,1,0))</formula>
    </cfRule>
  </conditionalFormatting>
  <conditionalFormatting sqref="X7">
    <cfRule type="expression" dxfId="2299" priority="1387">
      <formula>AND(IF(OR($Q7=1,$Q7=2),1,0),IF($X7&lt;=20,1,0))</formula>
    </cfRule>
    <cfRule type="expression" dxfId="2298" priority="1388">
      <formula>AND(IF($Q7=2,1,0),IF($X7&lt;30,1,0))</formula>
    </cfRule>
    <cfRule type="expression" dxfId="2297" priority="1389">
      <formula>AND(IF($Q7=3,1,0),IF($X7&lt;30,1,0))</formula>
    </cfRule>
    <cfRule type="expression" dxfId="2296" priority="1390">
      <formula>AND(IF($Q7=3,1,IF($Q7=4,1,0)),IF($F7&lt;=85,1,0))</formula>
    </cfRule>
  </conditionalFormatting>
  <conditionalFormatting sqref="AI7">
    <cfRule type="expression" dxfId="2295" priority="1383">
      <formula>AND(IF(OR($Q7=1,$Q7=2),1,0),IF($X7&lt;=20,1,0))</formula>
    </cfRule>
    <cfRule type="expression" dxfId="2294" priority="1384">
      <formula>AND(IF($Q7=2,1,0),IF($X7&lt;30,1,0))</formula>
    </cfRule>
    <cfRule type="expression" dxfId="2293" priority="1385">
      <formula>AND(IF($Q7=3,1,0),IF($X7&lt;30,1,0))</formula>
    </cfRule>
    <cfRule type="expression" dxfId="2292" priority="1386">
      <formula>AND(IF($Q7=3,1,IF($Q7=4,1,0)),IF($F7&lt;=85,1,0))</formula>
    </cfRule>
  </conditionalFormatting>
  <conditionalFormatting sqref="AV8">
    <cfRule type="expression" dxfId="2291" priority="1381">
      <formula>AV8="X"</formula>
    </cfRule>
    <cfRule type="expression" dxfId="2290" priority="1382">
      <formula>AV8="후보"</formula>
    </cfRule>
  </conditionalFormatting>
  <conditionalFormatting sqref="AC8">
    <cfRule type="cellIs" dxfId="2289" priority="1378" operator="greaterThan">
      <formula>0.9</formula>
    </cfRule>
    <cfRule type="cellIs" dxfId="2288" priority="1379" operator="greaterThan">
      <formula>0.85</formula>
    </cfRule>
  </conditionalFormatting>
  <conditionalFormatting sqref="N8">
    <cfRule type="cellIs" dxfId="2287" priority="1376" operator="greaterThan">
      <formula>0.9</formula>
    </cfRule>
    <cfRule type="cellIs" dxfId="2286" priority="1377" operator="greaterThan">
      <formula>0.85</formula>
    </cfRule>
  </conditionalFormatting>
  <conditionalFormatting sqref="E8">
    <cfRule type="expression" dxfId="2285" priority="1372">
      <formula>AND(IF(OR($Q8=1,$Q8=2),1,0),IF($X8&lt;=20,1,0))</formula>
    </cfRule>
    <cfRule type="expression" dxfId="2284" priority="1373">
      <formula>AND(IF($Q8=2,1,0),IF($X8&lt;30,1,0))</formula>
    </cfRule>
    <cfRule type="expression" dxfId="2283" priority="1374">
      <formula>AND(IF($Q8=3,1,0),IF($X8&lt;30,1,0))</formula>
    </cfRule>
    <cfRule type="expression" dxfId="2282" priority="1375">
      <formula>AND(IF($Q8=3,1,IF($Q8=4,1,0)),IF($F8&lt;=85,1,0))</formula>
    </cfRule>
  </conditionalFormatting>
  <conditionalFormatting sqref="X8">
    <cfRule type="expression" dxfId="2281" priority="1368">
      <formula>AND(IF(OR($Q8=1,$Q8=2),1,0),IF($X8&lt;=20,1,0))</formula>
    </cfRule>
    <cfRule type="expression" dxfId="2280" priority="1369">
      <formula>AND(IF($Q8=2,1,0),IF($X8&lt;30,1,0))</formula>
    </cfRule>
    <cfRule type="expression" dxfId="2279" priority="1370">
      <formula>AND(IF($Q8=3,1,0),IF($X8&lt;30,1,0))</formula>
    </cfRule>
    <cfRule type="expression" dxfId="2278" priority="1371">
      <formula>AND(IF($Q8=3,1,IF($Q8=4,1,0)),IF($F8&lt;=85,1,0))</formula>
    </cfRule>
  </conditionalFormatting>
  <conditionalFormatting sqref="AI8">
    <cfRule type="expression" dxfId="2277" priority="1364">
      <formula>AND(IF(OR($Q8=1,$Q8=2),1,0),IF($X8&lt;=20,1,0))</formula>
    </cfRule>
    <cfRule type="expression" dxfId="2276" priority="1365">
      <formula>AND(IF($Q8=2,1,0),IF($X8&lt;30,1,0))</formula>
    </cfRule>
    <cfRule type="expression" dxfId="2275" priority="1366">
      <formula>AND(IF($Q8=3,1,0),IF($X8&lt;30,1,0))</formula>
    </cfRule>
    <cfRule type="expression" dxfId="2274" priority="1367">
      <formula>AND(IF($Q8=3,1,IF($Q8=4,1,0)),IF($F8&lt;=85,1,0))</formula>
    </cfRule>
  </conditionalFormatting>
  <conditionalFormatting sqref="AV9">
    <cfRule type="expression" dxfId="2273" priority="1362">
      <formula>AV9="X"</formula>
    </cfRule>
    <cfRule type="expression" dxfId="2272" priority="1363">
      <formula>AV9="후보"</formula>
    </cfRule>
  </conditionalFormatting>
  <conditionalFormatting sqref="AC9 N9">
    <cfRule type="cellIs" dxfId="2271" priority="1359" operator="greaterThan">
      <formula>0.9</formula>
    </cfRule>
    <cfRule type="cellIs" dxfId="2270" priority="1360" operator="greaterThan">
      <formula>0.85</formula>
    </cfRule>
  </conditionalFormatting>
  <conditionalFormatting sqref="AV10">
    <cfRule type="expression" dxfId="2269" priority="1357">
      <formula>AV10="X"</formula>
    </cfRule>
    <cfRule type="expression" dxfId="2268" priority="1358">
      <formula>AV10="후보"</formula>
    </cfRule>
  </conditionalFormatting>
  <conditionalFormatting sqref="AC10">
    <cfRule type="cellIs" dxfId="2267" priority="1354" operator="greaterThan">
      <formula>0.9</formula>
    </cfRule>
    <cfRule type="cellIs" dxfId="2266" priority="1355" operator="greaterThan">
      <formula>0.85</formula>
    </cfRule>
  </conditionalFormatting>
  <conditionalFormatting sqref="N10">
    <cfRule type="cellIs" dxfId="2265" priority="1352" operator="greaterThan">
      <formula>0.9</formula>
    </cfRule>
    <cfRule type="cellIs" dxfId="2264" priority="1353" operator="greaterThan">
      <formula>0.85</formula>
    </cfRule>
  </conditionalFormatting>
  <conditionalFormatting sqref="E10">
    <cfRule type="expression" dxfId="2263" priority="1348">
      <formula>AND(IF(OR($Q10=1,$Q10=2),1,0),IF($X10&lt;=20,1,0))</formula>
    </cfRule>
    <cfRule type="expression" dxfId="2262" priority="1349">
      <formula>AND(IF($Q10=2,1,0),IF($X10&lt;30,1,0))</formula>
    </cfRule>
    <cfRule type="expression" dxfId="2261" priority="1350">
      <formula>AND(IF($Q10=3,1,0),IF($X10&lt;30,1,0))</formula>
    </cfRule>
    <cfRule type="expression" dxfId="2260" priority="1351">
      <formula>AND(IF($Q10=3,1,IF($Q10=4,1,0)),IF($F10&lt;=85,1,0))</formula>
    </cfRule>
  </conditionalFormatting>
  <conditionalFormatting sqref="X10">
    <cfRule type="expression" dxfId="2259" priority="1344">
      <formula>AND(IF(OR($Q10=1,$Q10=2),1,0),IF($X10&lt;=20,1,0))</formula>
    </cfRule>
    <cfRule type="expression" dxfId="2258" priority="1345">
      <formula>AND(IF($Q10=2,1,0),IF($X10&lt;30,1,0))</formula>
    </cfRule>
    <cfRule type="expression" dxfId="2257" priority="1346">
      <formula>AND(IF($Q10=3,1,0),IF($X10&lt;30,1,0))</formula>
    </cfRule>
    <cfRule type="expression" dxfId="2256" priority="1347">
      <formula>AND(IF($Q10=3,1,IF($Q10=4,1,0)),IF($F10&lt;=85,1,0))</formula>
    </cfRule>
  </conditionalFormatting>
  <conditionalFormatting sqref="AI10">
    <cfRule type="expression" dxfId="2255" priority="1340">
      <formula>AND(IF(OR($Q10=1,$Q10=2),1,0),IF($X10&lt;=20,1,0))</formula>
    </cfRule>
    <cfRule type="expression" dxfId="2254" priority="1341">
      <formula>AND(IF($Q10=2,1,0),IF($X10&lt;30,1,0))</formula>
    </cfRule>
    <cfRule type="expression" dxfId="2253" priority="1342">
      <formula>AND(IF($Q10=3,1,0),IF($X10&lt;30,1,0))</formula>
    </cfRule>
    <cfRule type="expression" dxfId="2252" priority="1343">
      <formula>AND(IF($Q10=3,1,IF($Q10=4,1,0)),IF($F10&lt;=85,1,0))</formula>
    </cfRule>
  </conditionalFormatting>
  <conditionalFormatting sqref="AV11">
    <cfRule type="expression" dxfId="2251" priority="1338">
      <formula>AV11="X"</formula>
    </cfRule>
    <cfRule type="expression" dxfId="2250" priority="1339">
      <formula>AV11="후보"</formula>
    </cfRule>
  </conditionalFormatting>
  <conditionalFormatting sqref="AC11 N11">
    <cfRule type="cellIs" dxfId="2249" priority="1335" operator="greaterThan">
      <formula>0.9</formula>
    </cfRule>
    <cfRule type="cellIs" dxfId="2248" priority="1336" operator="greaterThan">
      <formula>0.85</formula>
    </cfRule>
  </conditionalFormatting>
  <conditionalFormatting sqref="AV12">
    <cfRule type="expression" dxfId="2247" priority="1333">
      <formula>AV12="X"</formula>
    </cfRule>
    <cfRule type="expression" dxfId="2246" priority="1334">
      <formula>AV12="후보"</formula>
    </cfRule>
  </conditionalFormatting>
  <conditionalFormatting sqref="AC12">
    <cfRule type="cellIs" dxfId="2245" priority="1330" operator="greaterThan">
      <formula>0.9</formula>
    </cfRule>
    <cfRule type="cellIs" dxfId="2244" priority="1331" operator="greaterThan">
      <formula>0.85</formula>
    </cfRule>
  </conditionalFormatting>
  <conditionalFormatting sqref="N12">
    <cfRule type="cellIs" dxfId="2243" priority="1328" operator="greaterThan">
      <formula>0.9</formula>
    </cfRule>
    <cfRule type="cellIs" dxfId="2242" priority="1329" operator="greaterThan">
      <formula>0.85</formula>
    </cfRule>
  </conditionalFormatting>
  <conditionalFormatting sqref="E12">
    <cfRule type="expression" dxfId="2241" priority="1324">
      <formula>AND(IF(OR($Q12=1,$Q12=2),1,0),IF($X12&lt;=20,1,0))</formula>
    </cfRule>
    <cfRule type="expression" dxfId="2240" priority="1325">
      <formula>AND(IF($Q12=2,1,0),IF($X12&lt;30,1,0))</formula>
    </cfRule>
    <cfRule type="expression" dxfId="2239" priority="1326">
      <formula>AND(IF($Q12=3,1,0),IF($X12&lt;30,1,0))</formula>
    </cfRule>
    <cfRule type="expression" dxfId="2238" priority="1327">
      <formula>AND(IF($Q12=3,1,IF($Q12=4,1,0)),IF($F12&lt;=85,1,0))</formula>
    </cfRule>
  </conditionalFormatting>
  <conditionalFormatting sqref="X12">
    <cfRule type="expression" dxfId="2237" priority="1320">
      <formula>AND(IF(OR($Q12=1,$Q12=2),1,0),IF($X12&lt;=20,1,0))</formula>
    </cfRule>
    <cfRule type="expression" dxfId="2236" priority="1321">
      <formula>AND(IF($Q12=2,1,0),IF($X12&lt;30,1,0))</formula>
    </cfRule>
    <cfRule type="expression" dxfId="2235" priority="1322">
      <formula>AND(IF($Q12=3,1,0),IF($X12&lt;30,1,0))</formula>
    </cfRule>
    <cfRule type="expression" dxfId="2234" priority="1323">
      <formula>AND(IF($Q12=3,1,IF($Q12=4,1,0)),IF($F12&lt;=85,1,0))</formula>
    </cfRule>
  </conditionalFormatting>
  <conditionalFormatting sqref="AI12">
    <cfRule type="expression" dxfId="2233" priority="1316">
      <formula>AND(IF(OR($Q12=1,$Q12=2),1,0),IF($X12&lt;=20,1,0))</formula>
    </cfRule>
    <cfRule type="expression" dxfId="2232" priority="1317">
      <formula>AND(IF($Q12=2,1,0),IF($X12&lt;30,1,0))</formula>
    </cfRule>
    <cfRule type="expression" dxfId="2231" priority="1318">
      <formula>AND(IF($Q12=3,1,0),IF($X12&lt;30,1,0))</formula>
    </cfRule>
    <cfRule type="expression" dxfId="2230" priority="1319">
      <formula>AND(IF($Q12=3,1,IF($Q12=4,1,0)),IF($F12&lt;=85,1,0))</formula>
    </cfRule>
  </conditionalFormatting>
  <conditionalFormatting sqref="AV13">
    <cfRule type="expression" dxfId="2229" priority="1314">
      <formula>AV13="X"</formula>
    </cfRule>
    <cfRule type="expression" dxfId="2228" priority="1315">
      <formula>AV13="후보"</formula>
    </cfRule>
  </conditionalFormatting>
  <conditionalFormatting sqref="AC13">
    <cfRule type="cellIs" dxfId="2227" priority="1311" operator="greaterThan">
      <formula>0.9</formula>
    </cfRule>
    <cfRule type="cellIs" dxfId="2226" priority="1312" operator="greaterThan">
      <formula>0.85</formula>
    </cfRule>
  </conditionalFormatting>
  <conditionalFormatting sqref="N13">
    <cfRule type="cellIs" dxfId="2225" priority="1309" operator="greaterThan">
      <formula>0.9</formula>
    </cfRule>
    <cfRule type="cellIs" dxfId="2224" priority="1310" operator="greaterThan">
      <formula>0.85</formula>
    </cfRule>
  </conditionalFormatting>
  <conditionalFormatting sqref="E13">
    <cfRule type="expression" dxfId="2223" priority="1305">
      <formula>AND(IF(OR($Q13=1,$Q13=2),1,0),IF($X13&lt;=20,1,0))</formula>
    </cfRule>
    <cfRule type="expression" dxfId="2222" priority="1306">
      <formula>AND(IF($Q13=2,1,0),IF($X13&lt;30,1,0))</formula>
    </cfRule>
    <cfRule type="expression" dxfId="2221" priority="1307">
      <formula>AND(IF($Q13=3,1,0),IF($X13&lt;30,1,0))</formula>
    </cfRule>
    <cfRule type="expression" dxfId="2220" priority="1308">
      <formula>AND(IF($Q13=3,1,IF($Q13=4,1,0)),IF($F13&lt;=85,1,0))</formula>
    </cfRule>
  </conditionalFormatting>
  <conditionalFormatting sqref="X13">
    <cfRule type="expression" dxfId="2219" priority="1301">
      <formula>AND(IF(OR($Q13=1,$Q13=2),1,0),IF($X13&lt;=20,1,0))</formula>
    </cfRule>
    <cfRule type="expression" dxfId="2218" priority="1302">
      <formula>AND(IF($Q13=2,1,0),IF($X13&lt;30,1,0))</formula>
    </cfRule>
    <cfRule type="expression" dxfId="2217" priority="1303">
      <formula>AND(IF($Q13=3,1,0),IF($X13&lt;30,1,0))</formula>
    </cfRule>
    <cfRule type="expression" dxfId="2216" priority="1304">
      <formula>AND(IF($Q13=3,1,IF($Q13=4,1,0)),IF($F13&lt;=85,1,0))</formula>
    </cfRule>
  </conditionalFormatting>
  <conditionalFormatting sqref="AI13">
    <cfRule type="expression" dxfId="2215" priority="1297">
      <formula>AND(IF(OR($Q13=1,$Q13=2),1,0),IF($X13&lt;=20,1,0))</formula>
    </cfRule>
    <cfRule type="expression" dxfId="2214" priority="1298">
      <formula>AND(IF($Q13=2,1,0),IF($X13&lt;30,1,0))</formula>
    </cfRule>
    <cfRule type="expression" dxfId="2213" priority="1299">
      <formula>AND(IF($Q13=3,1,0),IF($X13&lt;30,1,0))</formula>
    </cfRule>
    <cfRule type="expression" dxfId="2212" priority="1300">
      <formula>AND(IF($Q13=3,1,IF($Q13=4,1,0)),IF($F13&lt;=85,1,0))</formula>
    </cfRule>
  </conditionalFormatting>
  <conditionalFormatting sqref="AV14">
    <cfRule type="expression" dxfId="2211" priority="1295">
      <formula>AV14="X"</formula>
    </cfRule>
    <cfRule type="expression" dxfId="2210" priority="1296">
      <formula>AV14="후보"</formula>
    </cfRule>
  </conditionalFormatting>
  <conditionalFormatting sqref="AC14">
    <cfRule type="cellIs" dxfId="2209" priority="1292" operator="greaterThan">
      <formula>0.9</formula>
    </cfRule>
    <cfRule type="cellIs" dxfId="2208" priority="1293" operator="greaterThan">
      <formula>0.85</formula>
    </cfRule>
  </conditionalFormatting>
  <conditionalFormatting sqref="N14">
    <cfRule type="cellIs" dxfId="2207" priority="1290" operator="greaterThan">
      <formula>0.9</formula>
    </cfRule>
    <cfRule type="cellIs" dxfId="2206" priority="1291" operator="greaterThan">
      <formula>0.85</formula>
    </cfRule>
  </conditionalFormatting>
  <conditionalFormatting sqref="E14">
    <cfRule type="expression" dxfId="2205" priority="1286">
      <formula>AND(IF(OR($Q14=1,$Q14=2),1,0),IF($X14&lt;=20,1,0))</formula>
    </cfRule>
    <cfRule type="expression" dxfId="2204" priority="1287">
      <formula>AND(IF($Q14=2,1,0),IF($X14&lt;30,1,0))</formula>
    </cfRule>
    <cfRule type="expression" dxfId="2203" priority="1288">
      <formula>AND(IF($Q14=3,1,0),IF($X14&lt;30,1,0))</formula>
    </cfRule>
    <cfRule type="expression" dxfId="2202" priority="1289">
      <formula>AND(IF($Q14=3,1,IF($Q14=4,1,0)),IF($F14&lt;=85,1,0))</formula>
    </cfRule>
  </conditionalFormatting>
  <conditionalFormatting sqref="X14">
    <cfRule type="expression" dxfId="2201" priority="1282">
      <formula>AND(IF(OR($Q14=1,$Q14=2),1,0),IF($X14&lt;=20,1,0))</formula>
    </cfRule>
    <cfRule type="expression" dxfId="2200" priority="1283">
      <formula>AND(IF($Q14=2,1,0),IF($X14&lt;30,1,0))</formula>
    </cfRule>
    <cfRule type="expression" dxfId="2199" priority="1284">
      <formula>AND(IF($Q14=3,1,0),IF($X14&lt;30,1,0))</formula>
    </cfRule>
    <cfRule type="expression" dxfId="2198" priority="1285">
      <formula>AND(IF($Q14=3,1,IF($Q14=4,1,0)),IF($F14&lt;=85,1,0))</formula>
    </cfRule>
  </conditionalFormatting>
  <conditionalFormatting sqref="AI14">
    <cfRule type="expression" dxfId="2197" priority="1278">
      <formula>AND(IF(OR($Q14=1,$Q14=2),1,0),IF($X14&lt;=20,1,0))</formula>
    </cfRule>
    <cfRule type="expression" dxfId="2196" priority="1279">
      <formula>AND(IF($Q14=2,1,0),IF($X14&lt;30,1,0))</formula>
    </cfRule>
    <cfRule type="expression" dxfId="2195" priority="1280">
      <formula>AND(IF($Q14=3,1,0),IF($X14&lt;30,1,0))</formula>
    </cfRule>
    <cfRule type="expression" dxfId="2194" priority="1281">
      <formula>AND(IF($Q14=3,1,IF($Q14=4,1,0)),IF($F14&lt;=85,1,0))</formula>
    </cfRule>
  </conditionalFormatting>
  <conditionalFormatting sqref="AV15">
    <cfRule type="expression" dxfId="2193" priority="1276">
      <formula>AV15="X"</formula>
    </cfRule>
    <cfRule type="expression" dxfId="2192" priority="1277">
      <formula>AV15="후보"</formula>
    </cfRule>
  </conditionalFormatting>
  <conditionalFormatting sqref="AC15 N15">
    <cfRule type="cellIs" dxfId="2191" priority="1273" operator="greaterThan">
      <formula>0.9</formula>
    </cfRule>
    <cfRule type="cellIs" dxfId="2190" priority="1274" operator="greaterThan">
      <formula>0.85</formula>
    </cfRule>
  </conditionalFormatting>
  <conditionalFormatting sqref="AV16">
    <cfRule type="expression" dxfId="2189" priority="1271">
      <formula>AV16="X"</formula>
    </cfRule>
    <cfRule type="expression" dxfId="2188" priority="1272">
      <formula>AV16="후보"</formula>
    </cfRule>
  </conditionalFormatting>
  <conditionalFormatting sqref="AC16">
    <cfRule type="cellIs" dxfId="2187" priority="1268" operator="greaterThan">
      <formula>0.9</formula>
    </cfRule>
    <cfRule type="cellIs" dxfId="2186" priority="1269" operator="greaterThan">
      <formula>0.85</formula>
    </cfRule>
  </conditionalFormatting>
  <conditionalFormatting sqref="N16">
    <cfRule type="cellIs" dxfId="2185" priority="1266" operator="greaterThan">
      <formula>0.9</formula>
    </cfRule>
    <cfRule type="cellIs" dxfId="2184" priority="1267" operator="greaterThan">
      <formula>0.85</formula>
    </cfRule>
  </conditionalFormatting>
  <conditionalFormatting sqref="E16">
    <cfRule type="expression" dxfId="2183" priority="1262">
      <formula>AND(IF(OR($Q16=1,$Q16=2),1,0),IF($X16&lt;=20,1,0))</formula>
    </cfRule>
    <cfRule type="expression" dxfId="2182" priority="1263">
      <formula>AND(IF($Q16=2,1,0),IF($X16&lt;30,1,0))</formula>
    </cfRule>
    <cfRule type="expression" dxfId="2181" priority="1264">
      <formula>AND(IF($Q16=3,1,0),IF($X16&lt;30,1,0))</formula>
    </cfRule>
    <cfRule type="expression" dxfId="2180" priority="1265">
      <formula>AND(IF($Q16=3,1,IF($Q16=4,1,0)),IF($F16&lt;=85,1,0))</formula>
    </cfRule>
  </conditionalFormatting>
  <conditionalFormatting sqref="X16">
    <cfRule type="expression" dxfId="2179" priority="1258">
      <formula>AND(IF(OR($Q16=1,$Q16=2),1,0),IF($X16&lt;=20,1,0))</formula>
    </cfRule>
    <cfRule type="expression" dxfId="2178" priority="1259">
      <formula>AND(IF($Q16=2,1,0),IF($X16&lt;30,1,0))</formula>
    </cfRule>
    <cfRule type="expression" dxfId="2177" priority="1260">
      <formula>AND(IF($Q16=3,1,0),IF($X16&lt;30,1,0))</formula>
    </cfRule>
    <cfRule type="expression" dxfId="2176" priority="1261">
      <formula>AND(IF($Q16=3,1,IF($Q16=4,1,0)),IF($F16&lt;=85,1,0))</formula>
    </cfRule>
  </conditionalFormatting>
  <conditionalFormatting sqref="AI16">
    <cfRule type="expression" dxfId="2175" priority="1254">
      <formula>AND(IF(OR($Q16=1,$Q16=2),1,0),IF($X16&lt;=20,1,0))</formula>
    </cfRule>
    <cfRule type="expression" dxfId="2174" priority="1255">
      <formula>AND(IF($Q16=2,1,0),IF($X16&lt;30,1,0))</formula>
    </cfRule>
    <cfRule type="expression" dxfId="2173" priority="1256">
      <formula>AND(IF($Q16=3,1,0),IF($X16&lt;30,1,0))</formula>
    </cfRule>
    <cfRule type="expression" dxfId="2172" priority="1257">
      <formula>AND(IF($Q16=3,1,IF($Q16=4,1,0)),IF($F16&lt;=85,1,0))</formula>
    </cfRule>
  </conditionalFormatting>
  <conditionalFormatting sqref="AV17">
    <cfRule type="expression" dxfId="2171" priority="1252">
      <formula>AV17="X"</formula>
    </cfRule>
    <cfRule type="expression" dxfId="2170" priority="1253">
      <formula>AV17="후보"</formula>
    </cfRule>
  </conditionalFormatting>
  <conditionalFormatting sqref="AC17">
    <cfRule type="cellIs" dxfId="2169" priority="1249" operator="greaterThan">
      <formula>0.9</formula>
    </cfRule>
    <cfRule type="cellIs" dxfId="2168" priority="1250" operator="greaterThan">
      <formula>0.85</formula>
    </cfRule>
  </conditionalFormatting>
  <conditionalFormatting sqref="N17">
    <cfRule type="cellIs" dxfId="2167" priority="1247" operator="greaterThan">
      <formula>0.9</formula>
    </cfRule>
    <cfRule type="cellIs" dxfId="2166" priority="1248" operator="greaterThan">
      <formula>0.85</formula>
    </cfRule>
  </conditionalFormatting>
  <conditionalFormatting sqref="E17">
    <cfRule type="expression" dxfId="2165" priority="1243">
      <formula>AND(IF(OR($Q17=1,$Q17=2),1,0),IF($X17&lt;=20,1,0))</formula>
    </cfRule>
    <cfRule type="expression" dxfId="2164" priority="1244">
      <formula>AND(IF($Q17=2,1,0),IF($X17&lt;30,1,0))</formula>
    </cfRule>
    <cfRule type="expression" dxfId="2163" priority="1245">
      <formula>AND(IF($Q17=3,1,0),IF($X17&lt;30,1,0))</formula>
    </cfRule>
    <cfRule type="expression" dxfId="2162" priority="1246">
      <formula>AND(IF($Q17=3,1,IF($Q17=4,1,0)),IF($F17&lt;=85,1,0))</formula>
    </cfRule>
  </conditionalFormatting>
  <conditionalFormatting sqref="X17">
    <cfRule type="expression" dxfId="2161" priority="1239">
      <formula>AND(IF(OR($Q17=1,$Q17=2),1,0),IF($X17&lt;=20,1,0))</formula>
    </cfRule>
    <cfRule type="expression" dxfId="2160" priority="1240">
      <formula>AND(IF($Q17=2,1,0),IF($X17&lt;30,1,0))</formula>
    </cfRule>
    <cfRule type="expression" dxfId="2159" priority="1241">
      <formula>AND(IF($Q17=3,1,0),IF($X17&lt;30,1,0))</formula>
    </cfRule>
    <cfRule type="expression" dxfId="2158" priority="1242">
      <formula>AND(IF($Q17=3,1,IF($Q17=4,1,0)),IF($F17&lt;=85,1,0))</formula>
    </cfRule>
  </conditionalFormatting>
  <conditionalFormatting sqref="AI17">
    <cfRule type="expression" dxfId="2157" priority="1235">
      <formula>AND(IF(OR($Q17=1,$Q17=2),1,0),IF($X17&lt;=20,1,0))</formula>
    </cfRule>
    <cfRule type="expression" dxfId="2156" priority="1236">
      <formula>AND(IF($Q17=2,1,0),IF($X17&lt;30,1,0))</formula>
    </cfRule>
    <cfRule type="expression" dxfId="2155" priority="1237">
      <formula>AND(IF($Q17=3,1,0),IF($X17&lt;30,1,0))</formula>
    </cfRule>
    <cfRule type="expression" dxfId="2154" priority="1238">
      <formula>AND(IF($Q17=3,1,IF($Q17=4,1,0)),IF($F17&lt;=85,1,0))</formula>
    </cfRule>
  </conditionalFormatting>
  <conditionalFormatting sqref="AV18">
    <cfRule type="expression" dxfId="2153" priority="1233">
      <formula>AV18="X"</formula>
    </cfRule>
    <cfRule type="expression" dxfId="2152" priority="1234">
      <formula>AV18="후보"</formula>
    </cfRule>
  </conditionalFormatting>
  <conditionalFormatting sqref="AC18">
    <cfRule type="cellIs" dxfId="2151" priority="1230" operator="greaterThan">
      <formula>0.9</formula>
    </cfRule>
    <cfRule type="cellIs" dxfId="2150" priority="1231" operator="greaterThan">
      <formula>0.85</formula>
    </cfRule>
  </conditionalFormatting>
  <conditionalFormatting sqref="N18">
    <cfRule type="cellIs" dxfId="2149" priority="1228" operator="greaterThan">
      <formula>0.9</formula>
    </cfRule>
    <cfRule type="cellIs" dxfId="2148" priority="1229" operator="greaterThan">
      <formula>0.85</formula>
    </cfRule>
  </conditionalFormatting>
  <conditionalFormatting sqref="E18">
    <cfRule type="expression" dxfId="2147" priority="1224">
      <formula>AND(IF(OR($Q18=1,$Q18=2),1,0),IF($X18&lt;=20,1,0))</formula>
    </cfRule>
    <cfRule type="expression" dxfId="2146" priority="1225">
      <formula>AND(IF($Q18=2,1,0),IF($X18&lt;30,1,0))</formula>
    </cfRule>
    <cfRule type="expression" dxfId="2145" priority="1226">
      <formula>AND(IF($Q18=3,1,0),IF($X18&lt;30,1,0))</formula>
    </cfRule>
    <cfRule type="expression" dxfId="2144" priority="1227">
      <formula>AND(IF($Q18=3,1,IF($Q18=4,1,0)),IF($F18&lt;=85,1,0))</formula>
    </cfRule>
  </conditionalFormatting>
  <conditionalFormatting sqref="X18">
    <cfRule type="expression" dxfId="2143" priority="1220">
      <formula>AND(IF(OR($Q18=1,$Q18=2),1,0),IF($X18&lt;=20,1,0))</formula>
    </cfRule>
    <cfRule type="expression" dxfId="2142" priority="1221">
      <formula>AND(IF($Q18=2,1,0),IF($X18&lt;30,1,0))</formula>
    </cfRule>
    <cfRule type="expression" dxfId="2141" priority="1222">
      <formula>AND(IF($Q18=3,1,0),IF($X18&lt;30,1,0))</formula>
    </cfRule>
    <cfRule type="expression" dxfId="2140" priority="1223">
      <formula>AND(IF($Q18=3,1,IF($Q18=4,1,0)),IF($F18&lt;=85,1,0))</formula>
    </cfRule>
  </conditionalFormatting>
  <conditionalFormatting sqref="AI18">
    <cfRule type="expression" dxfId="2139" priority="1216">
      <formula>AND(IF(OR($Q18=1,$Q18=2),1,0),IF($X18&lt;=20,1,0))</formula>
    </cfRule>
    <cfRule type="expression" dxfId="2138" priority="1217">
      <formula>AND(IF($Q18=2,1,0),IF($X18&lt;30,1,0))</formula>
    </cfRule>
    <cfRule type="expression" dxfId="2137" priority="1218">
      <formula>AND(IF($Q18=3,1,0),IF($X18&lt;30,1,0))</formula>
    </cfRule>
    <cfRule type="expression" dxfId="2136" priority="1219">
      <formula>AND(IF($Q18=3,1,IF($Q18=4,1,0)),IF($F18&lt;=85,1,0))</formula>
    </cfRule>
  </conditionalFormatting>
  <conditionalFormatting sqref="AV19">
    <cfRule type="expression" dxfId="2135" priority="1214">
      <formula>AV19="X"</formula>
    </cfRule>
    <cfRule type="expression" dxfId="2134" priority="1215">
      <formula>AV19="후보"</formula>
    </cfRule>
  </conditionalFormatting>
  <conditionalFormatting sqref="AC19">
    <cfRule type="cellIs" dxfId="2133" priority="1211" operator="greaterThan">
      <formula>0.9</formula>
    </cfRule>
    <cfRule type="cellIs" dxfId="2132" priority="1212" operator="greaterThan">
      <formula>0.85</formula>
    </cfRule>
  </conditionalFormatting>
  <conditionalFormatting sqref="N19">
    <cfRule type="cellIs" dxfId="2131" priority="1209" operator="greaterThan">
      <formula>0.9</formula>
    </cfRule>
    <cfRule type="cellIs" dxfId="2130" priority="1210" operator="greaterThan">
      <formula>0.85</formula>
    </cfRule>
  </conditionalFormatting>
  <conditionalFormatting sqref="E19">
    <cfRule type="expression" dxfId="2129" priority="1205">
      <formula>AND(IF(OR($Q19=1,$Q19=2),1,0),IF($X19&lt;=20,1,0))</formula>
    </cfRule>
    <cfRule type="expression" dxfId="2128" priority="1206">
      <formula>AND(IF($Q19=2,1,0),IF($X19&lt;30,1,0))</formula>
    </cfRule>
    <cfRule type="expression" dxfId="2127" priority="1207">
      <formula>AND(IF($Q19=3,1,0),IF($X19&lt;30,1,0))</formula>
    </cfRule>
    <cfRule type="expression" dxfId="2126" priority="1208">
      <formula>AND(IF($Q19=3,1,IF($Q19=4,1,0)),IF($F19&lt;=85,1,0))</formula>
    </cfRule>
  </conditionalFormatting>
  <conditionalFormatting sqref="X19">
    <cfRule type="expression" dxfId="2125" priority="1201">
      <formula>AND(IF(OR($Q19=1,$Q19=2),1,0),IF($X19&lt;=20,1,0))</formula>
    </cfRule>
    <cfRule type="expression" dxfId="2124" priority="1202">
      <formula>AND(IF($Q19=2,1,0),IF($X19&lt;30,1,0))</formula>
    </cfRule>
    <cfRule type="expression" dxfId="2123" priority="1203">
      <formula>AND(IF($Q19=3,1,0),IF($X19&lt;30,1,0))</formula>
    </cfRule>
    <cfRule type="expression" dxfId="2122" priority="1204">
      <formula>AND(IF($Q19=3,1,IF($Q19=4,1,0)),IF($F19&lt;=85,1,0))</formula>
    </cfRule>
  </conditionalFormatting>
  <conditionalFormatting sqref="AI19">
    <cfRule type="expression" dxfId="2121" priority="1197">
      <formula>AND(IF(OR($Q19=1,$Q19=2),1,0),IF($X19&lt;=20,1,0))</formula>
    </cfRule>
    <cfRule type="expression" dxfId="2120" priority="1198">
      <formula>AND(IF($Q19=2,1,0),IF($X19&lt;30,1,0))</formula>
    </cfRule>
    <cfRule type="expression" dxfId="2119" priority="1199">
      <formula>AND(IF($Q19=3,1,0),IF($X19&lt;30,1,0))</formula>
    </cfRule>
    <cfRule type="expression" dxfId="2118" priority="1200">
      <formula>AND(IF($Q19=3,1,IF($Q19=4,1,0)),IF($F19&lt;=85,1,0))</formula>
    </cfRule>
  </conditionalFormatting>
  <conditionalFormatting sqref="AV20">
    <cfRule type="expression" dxfId="2117" priority="1195">
      <formula>AV20="X"</formula>
    </cfRule>
    <cfRule type="expression" dxfId="2116" priority="1196">
      <formula>AV20="후보"</formula>
    </cfRule>
  </conditionalFormatting>
  <conditionalFormatting sqref="AC20 N20">
    <cfRule type="cellIs" dxfId="2115" priority="1192" operator="greaterThan">
      <formula>0.9</formula>
    </cfRule>
    <cfRule type="cellIs" dxfId="2114" priority="1193" operator="greaterThan">
      <formula>0.85</formula>
    </cfRule>
  </conditionalFormatting>
  <conditionalFormatting sqref="AV21">
    <cfRule type="expression" dxfId="2113" priority="1190">
      <formula>AV21="X"</formula>
    </cfRule>
    <cfRule type="expression" dxfId="2112" priority="1191">
      <formula>AV21="후보"</formula>
    </cfRule>
  </conditionalFormatting>
  <conditionalFormatting sqref="AC21">
    <cfRule type="cellIs" dxfId="2111" priority="1187" operator="greaterThan">
      <formula>0.9</formula>
    </cfRule>
    <cfRule type="cellIs" dxfId="2110" priority="1188" operator="greaterThan">
      <formula>0.85</formula>
    </cfRule>
  </conditionalFormatting>
  <conditionalFormatting sqref="N21">
    <cfRule type="cellIs" dxfId="2109" priority="1185" operator="greaterThan">
      <formula>0.9</formula>
    </cfRule>
    <cfRule type="cellIs" dxfId="2108" priority="1186" operator="greaterThan">
      <formula>0.85</formula>
    </cfRule>
  </conditionalFormatting>
  <conditionalFormatting sqref="E21">
    <cfRule type="expression" dxfId="2107" priority="1181">
      <formula>AND(IF(OR($Q21=1,$Q21=2),1,0),IF($X21&lt;=20,1,0))</formula>
    </cfRule>
    <cfRule type="expression" dxfId="2106" priority="1182">
      <formula>AND(IF($Q21=2,1,0),IF($X21&lt;30,1,0))</formula>
    </cfRule>
    <cfRule type="expression" dxfId="2105" priority="1183">
      <formula>AND(IF($Q21=3,1,0),IF($X21&lt;30,1,0))</formula>
    </cfRule>
    <cfRule type="expression" dxfId="2104" priority="1184">
      <formula>AND(IF($Q21=3,1,IF($Q21=4,1,0)),IF($F21&lt;=85,1,0))</formula>
    </cfRule>
  </conditionalFormatting>
  <conditionalFormatting sqref="X21">
    <cfRule type="expression" dxfId="2103" priority="1177">
      <formula>AND(IF(OR($Q21=1,$Q21=2),1,0),IF($X21&lt;=20,1,0))</formula>
    </cfRule>
    <cfRule type="expression" dxfId="2102" priority="1178">
      <formula>AND(IF($Q21=2,1,0),IF($X21&lt;30,1,0))</formula>
    </cfRule>
    <cfRule type="expression" dxfId="2101" priority="1179">
      <formula>AND(IF($Q21=3,1,0),IF($X21&lt;30,1,0))</formula>
    </cfRule>
    <cfRule type="expression" dxfId="2100" priority="1180">
      <formula>AND(IF($Q21=3,1,IF($Q21=4,1,0)),IF($F21&lt;=85,1,0))</formula>
    </cfRule>
  </conditionalFormatting>
  <conditionalFormatting sqref="AI21">
    <cfRule type="expression" dxfId="2099" priority="1173">
      <formula>AND(IF(OR($Q21=1,$Q21=2),1,0),IF($X21&lt;=20,1,0))</formula>
    </cfRule>
    <cfRule type="expression" dxfId="2098" priority="1174">
      <formula>AND(IF($Q21=2,1,0),IF($X21&lt;30,1,0))</formula>
    </cfRule>
    <cfRule type="expression" dxfId="2097" priority="1175">
      <formula>AND(IF($Q21=3,1,0),IF($X21&lt;30,1,0))</formula>
    </cfRule>
    <cfRule type="expression" dxfId="2096" priority="1176">
      <formula>AND(IF($Q21=3,1,IF($Q21=4,1,0)),IF($F21&lt;=85,1,0))</formula>
    </cfRule>
  </conditionalFormatting>
  <conditionalFormatting sqref="AV22">
    <cfRule type="expression" dxfId="2095" priority="1171">
      <formula>AV22="X"</formula>
    </cfRule>
    <cfRule type="expression" dxfId="2094" priority="1172">
      <formula>AV22="후보"</formula>
    </cfRule>
  </conditionalFormatting>
  <conditionalFormatting sqref="AC22">
    <cfRule type="cellIs" dxfId="2093" priority="1168" operator="greaterThan">
      <formula>0.9</formula>
    </cfRule>
    <cfRule type="cellIs" dxfId="2092" priority="1169" operator="greaterThan">
      <formula>0.85</formula>
    </cfRule>
  </conditionalFormatting>
  <conditionalFormatting sqref="N22">
    <cfRule type="cellIs" dxfId="2091" priority="1166" operator="greaterThan">
      <formula>0.9</formula>
    </cfRule>
    <cfRule type="cellIs" dxfId="2090" priority="1167" operator="greaterThan">
      <formula>0.85</formula>
    </cfRule>
  </conditionalFormatting>
  <conditionalFormatting sqref="E22">
    <cfRule type="expression" dxfId="2089" priority="1162">
      <formula>AND(IF(OR($Q22=1,$Q22=2),1,0),IF($X22&lt;=20,1,0))</formula>
    </cfRule>
    <cfRule type="expression" dxfId="2088" priority="1163">
      <formula>AND(IF($Q22=2,1,0),IF($X22&lt;30,1,0))</formula>
    </cfRule>
    <cfRule type="expression" dxfId="2087" priority="1164">
      <formula>AND(IF($Q22=3,1,0),IF($X22&lt;30,1,0))</formula>
    </cfRule>
    <cfRule type="expression" dxfId="2086" priority="1165">
      <formula>AND(IF($Q22=3,1,IF($Q22=4,1,0)),IF($F22&lt;=85,1,0))</formula>
    </cfRule>
  </conditionalFormatting>
  <conditionalFormatting sqref="X22">
    <cfRule type="expression" dxfId="2085" priority="1158">
      <formula>AND(IF(OR($Q22=1,$Q22=2),1,0),IF($X22&lt;=20,1,0))</formula>
    </cfRule>
    <cfRule type="expression" dxfId="2084" priority="1159">
      <formula>AND(IF($Q22=2,1,0),IF($X22&lt;30,1,0))</formula>
    </cfRule>
    <cfRule type="expression" dxfId="2083" priority="1160">
      <formula>AND(IF($Q22=3,1,0),IF($X22&lt;30,1,0))</formula>
    </cfRule>
    <cfRule type="expression" dxfId="2082" priority="1161">
      <formula>AND(IF($Q22=3,1,IF($Q22=4,1,0)),IF($F22&lt;=85,1,0))</formula>
    </cfRule>
  </conditionalFormatting>
  <conditionalFormatting sqref="AI22">
    <cfRule type="expression" dxfId="2081" priority="1154">
      <formula>AND(IF(OR($Q22=1,$Q22=2),1,0),IF($X22&lt;=20,1,0))</formula>
    </cfRule>
    <cfRule type="expression" dxfId="2080" priority="1155">
      <formula>AND(IF($Q22=2,1,0),IF($X22&lt;30,1,0))</formula>
    </cfRule>
    <cfRule type="expression" dxfId="2079" priority="1156">
      <formula>AND(IF($Q22=3,1,0),IF($X22&lt;30,1,0))</formula>
    </cfRule>
    <cfRule type="expression" dxfId="2078" priority="1157">
      <formula>AND(IF($Q22=3,1,IF($Q22=4,1,0)),IF($F22&lt;=85,1,0))</formula>
    </cfRule>
  </conditionalFormatting>
  <conditionalFormatting sqref="AV23">
    <cfRule type="expression" dxfId="2077" priority="1152">
      <formula>AV23="X"</formula>
    </cfRule>
    <cfRule type="expression" dxfId="2076" priority="1153">
      <formula>AV23="후보"</formula>
    </cfRule>
  </conditionalFormatting>
  <conditionalFormatting sqref="AC23">
    <cfRule type="cellIs" dxfId="2075" priority="1149" operator="greaterThan">
      <formula>0.9</formula>
    </cfRule>
    <cfRule type="cellIs" dxfId="2074" priority="1150" operator="greaterThan">
      <formula>0.85</formula>
    </cfRule>
  </conditionalFormatting>
  <conditionalFormatting sqref="N23">
    <cfRule type="cellIs" dxfId="2073" priority="1147" operator="greaterThan">
      <formula>0.9</formula>
    </cfRule>
    <cfRule type="cellIs" dxfId="2072" priority="1148" operator="greaterThan">
      <formula>0.85</formula>
    </cfRule>
  </conditionalFormatting>
  <conditionalFormatting sqref="E23">
    <cfRule type="expression" dxfId="2071" priority="1143">
      <formula>AND(IF(OR($Q23=1,$Q23=2),1,0),IF($X23&lt;=20,1,0))</formula>
    </cfRule>
    <cfRule type="expression" dxfId="2070" priority="1144">
      <formula>AND(IF($Q23=2,1,0),IF($X23&lt;30,1,0))</formula>
    </cfRule>
    <cfRule type="expression" dxfId="2069" priority="1145">
      <formula>AND(IF($Q23=3,1,0),IF($X23&lt;30,1,0))</formula>
    </cfRule>
    <cfRule type="expression" dxfId="2068" priority="1146">
      <formula>AND(IF($Q23=3,1,IF($Q23=4,1,0)),IF($F23&lt;=85,1,0))</formula>
    </cfRule>
  </conditionalFormatting>
  <conditionalFormatting sqref="X23">
    <cfRule type="expression" dxfId="2067" priority="1139">
      <formula>AND(IF(OR($Q23=1,$Q23=2),1,0),IF($X23&lt;=20,1,0))</formula>
    </cfRule>
    <cfRule type="expression" dxfId="2066" priority="1140">
      <formula>AND(IF($Q23=2,1,0),IF($X23&lt;30,1,0))</formula>
    </cfRule>
    <cfRule type="expression" dxfId="2065" priority="1141">
      <formula>AND(IF($Q23=3,1,0),IF($X23&lt;30,1,0))</formula>
    </cfRule>
    <cfRule type="expression" dxfId="2064" priority="1142">
      <formula>AND(IF($Q23=3,1,IF($Q23=4,1,0)),IF($F23&lt;=85,1,0))</formula>
    </cfRule>
  </conditionalFormatting>
  <conditionalFormatting sqref="AI23">
    <cfRule type="expression" dxfId="2063" priority="1135">
      <formula>AND(IF(OR($Q23=1,$Q23=2),1,0),IF($X23&lt;=20,1,0))</formula>
    </cfRule>
    <cfRule type="expression" dxfId="2062" priority="1136">
      <formula>AND(IF($Q23=2,1,0),IF($X23&lt;30,1,0))</formula>
    </cfRule>
    <cfRule type="expression" dxfId="2061" priority="1137">
      <formula>AND(IF($Q23=3,1,0),IF($X23&lt;30,1,0))</formula>
    </cfRule>
    <cfRule type="expression" dxfId="2060" priority="1138">
      <formula>AND(IF($Q23=3,1,IF($Q23=4,1,0)),IF($F23&lt;=85,1,0))</formula>
    </cfRule>
  </conditionalFormatting>
  <conditionalFormatting sqref="AV24">
    <cfRule type="expression" dxfId="2059" priority="1133">
      <formula>AV24="X"</formula>
    </cfRule>
    <cfRule type="expression" dxfId="2058" priority="1134">
      <formula>AV24="후보"</formula>
    </cfRule>
  </conditionalFormatting>
  <conditionalFormatting sqref="AC24 N24">
    <cfRule type="cellIs" dxfId="2057" priority="1130" operator="greaterThan">
      <formula>0.9</formula>
    </cfRule>
    <cfRule type="cellIs" dxfId="2056" priority="1131" operator="greaterThan">
      <formula>0.85</formula>
    </cfRule>
  </conditionalFormatting>
  <conditionalFormatting sqref="AV25">
    <cfRule type="expression" dxfId="2055" priority="1128">
      <formula>AV25="X"</formula>
    </cfRule>
    <cfRule type="expression" dxfId="2054" priority="1129">
      <formula>AV25="후보"</formula>
    </cfRule>
  </conditionalFormatting>
  <conditionalFormatting sqref="AC25">
    <cfRule type="cellIs" dxfId="2053" priority="1125" operator="greaterThan">
      <formula>0.9</formula>
    </cfRule>
    <cfRule type="cellIs" dxfId="2052" priority="1126" operator="greaterThan">
      <formula>0.85</formula>
    </cfRule>
  </conditionalFormatting>
  <conditionalFormatting sqref="N25">
    <cfRule type="cellIs" dxfId="2051" priority="1123" operator="greaterThan">
      <formula>0.9</formula>
    </cfRule>
    <cfRule type="cellIs" dxfId="2050" priority="1124" operator="greaterThan">
      <formula>0.85</formula>
    </cfRule>
  </conditionalFormatting>
  <conditionalFormatting sqref="E25">
    <cfRule type="expression" dxfId="2049" priority="1119">
      <formula>AND(IF(OR($Q25=1,$Q25=2),1,0),IF($X25&lt;=20,1,0))</formula>
    </cfRule>
    <cfRule type="expression" dxfId="2048" priority="1120">
      <formula>AND(IF($Q25=2,1,0),IF($X25&lt;30,1,0))</formula>
    </cfRule>
    <cfRule type="expression" dxfId="2047" priority="1121">
      <formula>AND(IF($Q25=3,1,0),IF($X25&lt;30,1,0))</formula>
    </cfRule>
    <cfRule type="expression" dxfId="2046" priority="1122">
      <formula>AND(IF($Q25=3,1,IF($Q25=4,1,0)),IF($F25&lt;=85,1,0))</formula>
    </cfRule>
  </conditionalFormatting>
  <conditionalFormatting sqref="X25">
    <cfRule type="expression" dxfId="2045" priority="1115">
      <formula>AND(IF(OR($Q25=1,$Q25=2),1,0),IF($X25&lt;=20,1,0))</formula>
    </cfRule>
    <cfRule type="expression" dxfId="2044" priority="1116">
      <formula>AND(IF($Q25=2,1,0),IF($X25&lt;30,1,0))</formula>
    </cfRule>
    <cfRule type="expression" dxfId="2043" priority="1117">
      <formula>AND(IF($Q25=3,1,0),IF($X25&lt;30,1,0))</formula>
    </cfRule>
    <cfRule type="expression" dxfId="2042" priority="1118">
      <formula>AND(IF($Q25=3,1,IF($Q25=4,1,0)),IF($F25&lt;=85,1,0))</formula>
    </cfRule>
  </conditionalFormatting>
  <conditionalFormatting sqref="AI25">
    <cfRule type="expression" dxfId="2041" priority="1111">
      <formula>AND(IF(OR($Q25=1,$Q25=2),1,0),IF($X25&lt;=20,1,0))</formula>
    </cfRule>
    <cfRule type="expression" dxfId="2040" priority="1112">
      <formula>AND(IF($Q25=2,1,0),IF($X25&lt;30,1,0))</formula>
    </cfRule>
    <cfRule type="expression" dxfId="2039" priority="1113">
      <formula>AND(IF($Q25=3,1,0),IF($X25&lt;30,1,0))</formula>
    </cfRule>
    <cfRule type="expression" dxfId="2038" priority="1114">
      <formula>AND(IF($Q25=3,1,IF($Q25=4,1,0)),IF($F25&lt;=85,1,0))</formula>
    </cfRule>
  </conditionalFormatting>
  <conditionalFormatting sqref="AV26">
    <cfRule type="expression" dxfId="2037" priority="1109">
      <formula>AV26="X"</formula>
    </cfRule>
    <cfRule type="expression" dxfId="2036" priority="1110">
      <formula>AV26="후보"</formula>
    </cfRule>
  </conditionalFormatting>
  <conditionalFormatting sqref="AC26">
    <cfRule type="cellIs" dxfId="2035" priority="1106" operator="greaterThan">
      <formula>0.9</formula>
    </cfRule>
    <cfRule type="cellIs" dxfId="2034" priority="1107" operator="greaterThan">
      <formula>0.85</formula>
    </cfRule>
  </conditionalFormatting>
  <conditionalFormatting sqref="N26">
    <cfRule type="cellIs" dxfId="2033" priority="1104" operator="greaterThan">
      <formula>0.9</formula>
    </cfRule>
    <cfRule type="cellIs" dxfId="2032" priority="1105" operator="greaterThan">
      <formula>0.85</formula>
    </cfRule>
  </conditionalFormatting>
  <conditionalFormatting sqref="E26">
    <cfRule type="expression" dxfId="2031" priority="1100">
      <formula>AND(IF(OR($Q26=1,$Q26=2),1,0),IF($X26&lt;=20,1,0))</formula>
    </cfRule>
    <cfRule type="expression" dxfId="2030" priority="1101">
      <formula>AND(IF($Q26=2,1,0),IF($X26&lt;30,1,0))</formula>
    </cfRule>
    <cfRule type="expression" dxfId="2029" priority="1102">
      <formula>AND(IF($Q26=3,1,0),IF($X26&lt;30,1,0))</formula>
    </cfRule>
    <cfRule type="expression" dxfId="2028" priority="1103">
      <formula>AND(IF($Q26=3,1,IF($Q26=4,1,0)),IF($F26&lt;=85,1,0))</formula>
    </cfRule>
  </conditionalFormatting>
  <conditionalFormatting sqref="X26">
    <cfRule type="expression" dxfId="2027" priority="1096">
      <formula>AND(IF(OR($Q26=1,$Q26=2),1,0),IF($X26&lt;=20,1,0))</formula>
    </cfRule>
    <cfRule type="expression" dxfId="2026" priority="1097">
      <formula>AND(IF($Q26=2,1,0),IF($X26&lt;30,1,0))</formula>
    </cfRule>
    <cfRule type="expression" dxfId="2025" priority="1098">
      <formula>AND(IF($Q26=3,1,0),IF($X26&lt;30,1,0))</formula>
    </cfRule>
    <cfRule type="expression" dxfId="2024" priority="1099">
      <formula>AND(IF($Q26=3,1,IF($Q26=4,1,0)),IF($F26&lt;=85,1,0))</formula>
    </cfRule>
  </conditionalFormatting>
  <conditionalFormatting sqref="AI26">
    <cfRule type="expression" dxfId="2023" priority="1092">
      <formula>AND(IF(OR($Q26=1,$Q26=2),1,0),IF($X26&lt;=20,1,0))</formula>
    </cfRule>
    <cfRule type="expression" dxfId="2022" priority="1093">
      <formula>AND(IF($Q26=2,1,0),IF($X26&lt;30,1,0))</formula>
    </cfRule>
    <cfRule type="expression" dxfId="2021" priority="1094">
      <formula>AND(IF($Q26=3,1,0),IF($X26&lt;30,1,0))</formula>
    </cfRule>
    <cfRule type="expression" dxfId="2020" priority="1095">
      <formula>AND(IF($Q26=3,1,IF($Q26=4,1,0)),IF($F26&lt;=85,1,0))</formula>
    </cfRule>
  </conditionalFormatting>
  <conditionalFormatting sqref="AV27">
    <cfRule type="expression" dxfId="2019" priority="1090">
      <formula>AV27="X"</formula>
    </cfRule>
    <cfRule type="expression" dxfId="2018" priority="1091">
      <formula>AV27="후보"</formula>
    </cfRule>
  </conditionalFormatting>
  <conditionalFormatting sqref="AC27">
    <cfRule type="cellIs" dxfId="2017" priority="1087" operator="greaterThan">
      <formula>0.9</formula>
    </cfRule>
    <cfRule type="cellIs" dxfId="2016" priority="1088" operator="greaterThan">
      <formula>0.85</formula>
    </cfRule>
  </conditionalFormatting>
  <conditionalFormatting sqref="N27">
    <cfRule type="cellIs" dxfId="2015" priority="1085" operator="greaterThan">
      <formula>0.9</formula>
    </cfRule>
    <cfRule type="cellIs" dxfId="2014" priority="1086" operator="greaterThan">
      <formula>0.85</formula>
    </cfRule>
  </conditionalFormatting>
  <conditionalFormatting sqref="E27">
    <cfRule type="expression" dxfId="2013" priority="1081">
      <formula>AND(IF(OR($Q27=1,$Q27=2),1,0),IF($X27&lt;=20,1,0))</formula>
    </cfRule>
    <cfRule type="expression" dxfId="2012" priority="1082">
      <formula>AND(IF($Q27=2,1,0),IF($X27&lt;30,1,0))</formula>
    </cfRule>
    <cfRule type="expression" dxfId="2011" priority="1083">
      <formula>AND(IF($Q27=3,1,0),IF($X27&lt;30,1,0))</formula>
    </cfRule>
    <cfRule type="expression" dxfId="2010" priority="1084">
      <formula>AND(IF($Q27=3,1,IF($Q27=4,1,0)),IF($F27&lt;=85,1,0))</formula>
    </cfRule>
  </conditionalFormatting>
  <conditionalFormatting sqref="X27">
    <cfRule type="expression" dxfId="2009" priority="1077">
      <formula>AND(IF(OR($Q27=1,$Q27=2),1,0),IF($X27&lt;=20,1,0))</formula>
    </cfRule>
    <cfRule type="expression" dxfId="2008" priority="1078">
      <formula>AND(IF($Q27=2,1,0),IF($X27&lt;30,1,0))</formula>
    </cfRule>
    <cfRule type="expression" dxfId="2007" priority="1079">
      <formula>AND(IF($Q27=3,1,0),IF($X27&lt;30,1,0))</formula>
    </cfRule>
    <cfRule type="expression" dxfId="2006" priority="1080">
      <formula>AND(IF($Q27=3,1,IF($Q27=4,1,0)),IF($F27&lt;=85,1,0))</formula>
    </cfRule>
  </conditionalFormatting>
  <conditionalFormatting sqref="AI27">
    <cfRule type="expression" dxfId="2005" priority="1073">
      <formula>AND(IF(OR($Q27=1,$Q27=2),1,0),IF($X27&lt;=20,1,0))</formula>
    </cfRule>
    <cfRule type="expression" dxfId="2004" priority="1074">
      <formula>AND(IF($Q27=2,1,0),IF($X27&lt;30,1,0))</formula>
    </cfRule>
    <cfRule type="expression" dxfId="2003" priority="1075">
      <formula>AND(IF($Q27=3,1,0),IF($X27&lt;30,1,0))</formula>
    </cfRule>
    <cfRule type="expression" dxfId="2002" priority="1076">
      <formula>AND(IF($Q27=3,1,IF($Q27=4,1,0)),IF($F27&lt;=85,1,0))</formula>
    </cfRule>
  </conditionalFormatting>
  <conditionalFormatting sqref="AV28">
    <cfRule type="expression" dxfId="2001" priority="1071">
      <formula>AV28="X"</formula>
    </cfRule>
    <cfRule type="expression" dxfId="2000" priority="1072">
      <formula>AV28="후보"</formula>
    </cfRule>
  </conditionalFormatting>
  <conditionalFormatting sqref="AC28">
    <cfRule type="cellIs" dxfId="1999" priority="1068" operator="greaterThan">
      <formula>0.9</formula>
    </cfRule>
    <cfRule type="cellIs" dxfId="1998" priority="1069" operator="greaterThan">
      <formula>0.85</formula>
    </cfRule>
  </conditionalFormatting>
  <conditionalFormatting sqref="N28">
    <cfRule type="cellIs" dxfId="1997" priority="1066" operator="greaterThan">
      <formula>0.9</formula>
    </cfRule>
    <cfRule type="cellIs" dxfId="1996" priority="1067" operator="greaterThan">
      <formula>0.85</formula>
    </cfRule>
  </conditionalFormatting>
  <conditionalFormatting sqref="E28">
    <cfRule type="expression" dxfId="1995" priority="1062">
      <formula>AND(IF(OR($Q28=1,$Q28=2),1,0),IF($X28&lt;=20,1,0))</formula>
    </cfRule>
    <cfRule type="expression" dxfId="1994" priority="1063">
      <formula>AND(IF($Q28=2,1,0),IF($X28&lt;30,1,0))</formula>
    </cfRule>
    <cfRule type="expression" dxfId="1993" priority="1064">
      <formula>AND(IF($Q28=3,1,0),IF($X28&lt;30,1,0))</formula>
    </cfRule>
    <cfRule type="expression" dxfId="1992" priority="1065">
      <formula>AND(IF($Q28=3,1,IF($Q28=4,1,0)),IF($F28&lt;=85,1,0))</formula>
    </cfRule>
  </conditionalFormatting>
  <conditionalFormatting sqref="X28">
    <cfRule type="expression" dxfId="1991" priority="1058">
      <formula>AND(IF(OR($Q28=1,$Q28=2),1,0),IF($X28&lt;=20,1,0))</formula>
    </cfRule>
    <cfRule type="expression" dxfId="1990" priority="1059">
      <formula>AND(IF($Q28=2,1,0),IF($X28&lt;30,1,0))</formula>
    </cfRule>
    <cfRule type="expression" dxfId="1989" priority="1060">
      <formula>AND(IF($Q28=3,1,0),IF($X28&lt;30,1,0))</formula>
    </cfRule>
    <cfRule type="expression" dxfId="1988" priority="1061">
      <formula>AND(IF($Q28=3,1,IF($Q28=4,1,0)),IF($F28&lt;=85,1,0))</formula>
    </cfRule>
  </conditionalFormatting>
  <conditionalFormatting sqref="AI28">
    <cfRule type="expression" dxfId="1987" priority="1054">
      <formula>AND(IF(OR($Q28=1,$Q28=2),1,0),IF($X28&lt;=20,1,0))</formula>
    </cfRule>
    <cfRule type="expression" dxfId="1986" priority="1055">
      <formula>AND(IF($Q28=2,1,0),IF($X28&lt;30,1,0))</formula>
    </cfRule>
    <cfRule type="expression" dxfId="1985" priority="1056">
      <formula>AND(IF($Q28=3,1,0),IF($X28&lt;30,1,0))</formula>
    </cfRule>
    <cfRule type="expression" dxfId="1984" priority="1057">
      <formula>AND(IF($Q28=3,1,IF($Q28=4,1,0)),IF($F28&lt;=85,1,0))</formula>
    </cfRule>
  </conditionalFormatting>
  <conditionalFormatting sqref="AV29">
    <cfRule type="expression" dxfId="1983" priority="1052">
      <formula>AV29="X"</formula>
    </cfRule>
    <cfRule type="expression" dxfId="1982" priority="1053">
      <formula>AV29="후보"</formula>
    </cfRule>
  </conditionalFormatting>
  <conditionalFormatting sqref="AC29">
    <cfRule type="cellIs" dxfId="1981" priority="1049" operator="greaterThan">
      <formula>0.9</formula>
    </cfRule>
    <cfRule type="cellIs" dxfId="1980" priority="1050" operator="greaterThan">
      <formula>0.85</formula>
    </cfRule>
  </conditionalFormatting>
  <conditionalFormatting sqref="N29">
    <cfRule type="cellIs" dxfId="1979" priority="1047" operator="greaterThan">
      <formula>0.9</formula>
    </cfRule>
    <cfRule type="cellIs" dxfId="1978" priority="1048" operator="greaterThan">
      <formula>0.85</formula>
    </cfRule>
  </conditionalFormatting>
  <conditionalFormatting sqref="E29">
    <cfRule type="expression" dxfId="1977" priority="1043">
      <formula>AND(IF(OR($Q29=1,$Q29=2),1,0),IF($X29&lt;=20,1,0))</formula>
    </cfRule>
    <cfRule type="expression" dxfId="1976" priority="1044">
      <formula>AND(IF($Q29=2,1,0),IF($X29&lt;30,1,0))</formula>
    </cfRule>
    <cfRule type="expression" dxfId="1975" priority="1045">
      <formula>AND(IF($Q29=3,1,0),IF($X29&lt;30,1,0))</formula>
    </cfRule>
    <cfRule type="expression" dxfId="1974" priority="1046">
      <formula>AND(IF($Q29=3,1,IF($Q29=4,1,0)),IF($F29&lt;=85,1,0))</formula>
    </cfRule>
  </conditionalFormatting>
  <conditionalFormatting sqref="X29">
    <cfRule type="expression" dxfId="1973" priority="1039">
      <formula>AND(IF(OR($Q29=1,$Q29=2),1,0),IF($X29&lt;=20,1,0))</formula>
    </cfRule>
    <cfRule type="expression" dxfId="1972" priority="1040">
      <formula>AND(IF($Q29=2,1,0),IF($X29&lt;30,1,0))</formula>
    </cfRule>
    <cfRule type="expression" dxfId="1971" priority="1041">
      <formula>AND(IF($Q29=3,1,0),IF($X29&lt;30,1,0))</formula>
    </cfRule>
    <cfRule type="expression" dxfId="1970" priority="1042">
      <formula>AND(IF($Q29=3,1,IF($Q29=4,1,0)),IF($F29&lt;=85,1,0))</formula>
    </cfRule>
  </conditionalFormatting>
  <conditionalFormatting sqref="AI29">
    <cfRule type="expression" dxfId="1969" priority="1035">
      <formula>AND(IF(OR($Q29=1,$Q29=2),1,0),IF($X29&lt;=20,1,0))</formula>
    </cfRule>
    <cfRule type="expression" dxfId="1968" priority="1036">
      <formula>AND(IF($Q29=2,1,0),IF($X29&lt;30,1,0))</formula>
    </cfRule>
    <cfRule type="expression" dxfId="1967" priority="1037">
      <formula>AND(IF($Q29=3,1,0),IF($X29&lt;30,1,0))</formula>
    </cfRule>
    <cfRule type="expression" dxfId="1966" priority="1038">
      <formula>AND(IF($Q29=3,1,IF($Q29=4,1,0)),IF($F29&lt;=85,1,0))</formula>
    </cfRule>
  </conditionalFormatting>
  <conditionalFormatting sqref="AV30">
    <cfRule type="expression" dxfId="1965" priority="1033">
      <formula>AV30="X"</formula>
    </cfRule>
    <cfRule type="expression" dxfId="1964" priority="1034">
      <formula>AV30="후보"</formula>
    </cfRule>
  </conditionalFormatting>
  <conditionalFormatting sqref="AC30 N30">
    <cfRule type="cellIs" dxfId="1963" priority="1030" operator="greaterThan">
      <formula>0.9</formula>
    </cfRule>
    <cfRule type="cellIs" dxfId="1962" priority="1031" operator="greaterThan">
      <formula>0.85</formula>
    </cfRule>
  </conditionalFormatting>
  <conditionalFormatting sqref="AV31">
    <cfRule type="expression" dxfId="1961" priority="1028">
      <formula>AV31="X"</formula>
    </cfRule>
    <cfRule type="expression" dxfId="1960" priority="1029">
      <formula>AV31="후보"</formula>
    </cfRule>
  </conditionalFormatting>
  <conditionalFormatting sqref="AC31">
    <cfRule type="cellIs" dxfId="1959" priority="1025" operator="greaterThan">
      <formula>0.9</formula>
    </cfRule>
    <cfRule type="cellIs" dxfId="1958" priority="1026" operator="greaterThan">
      <formula>0.85</formula>
    </cfRule>
  </conditionalFormatting>
  <conditionalFormatting sqref="N31">
    <cfRule type="cellIs" dxfId="1957" priority="1023" operator="greaterThan">
      <formula>0.9</formula>
    </cfRule>
    <cfRule type="cellIs" dxfId="1956" priority="1024" operator="greaterThan">
      <formula>0.85</formula>
    </cfRule>
  </conditionalFormatting>
  <conditionalFormatting sqref="E31">
    <cfRule type="expression" dxfId="1955" priority="1019">
      <formula>AND(IF(OR($Q31=1,$Q31=2),1,0),IF($X31&lt;=20,1,0))</formula>
    </cfRule>
    <cfRule type="expression" dxfId="1954" priority="1020">
      <formula>AND(IF($Q31=2,1,0),IF($X31&lt;30,1,0))</formula>
    </cfRule>
    <cfRule type="expression" dxfId="1953" priority="1021">
      <formula>AND(IF($Q31=3,1,0),IF($X31&lt;30,1,0))</formula>
    </cfRule>
    <cfRule type="expression" dxfId="1952" priority="1022">
      <formula>AND(IF($Q31=3,1,IF($Q31=4,1,0)),IF($F31&lt;=85,1,0))</formula>
    </cfRule>
  </conditionalFormatting>
  <conditionalFormatting sqref="X31">
    <cfRule type="expression" dxfId="1951" priority="1015">
      <formula>AND(IF(OR($Q31=1,$Q31=2),1,0),IF($X31&lt;=20,1,0))</formula>
    </cfRule>
    <cfRule type="expression" dxfId="1950" priority="1016">
      <formula>AND(IF($Q31=2,1,0),IF($X31&lt;30,1,0))</formula>
    </cfRule>
    <cfRule type="expression" dxfId="1949" priority="1017">
      <formula>AND(IF($Q31=3,1,0),IF($X31&lt;30,1,0))</formula>
    </cfRule>
    <cfRule type="expression" dxfId="1948" priority="1018">
      <formula>AND(IF($Q31=3,1,IF($Q31=4,1,0)),IF($F31&lt;=85,1,0))</formula>
    </cfRule>
  </conditionalFormatting>
  <conditionalFormatting sqref="AI31">
    <cfRule type="expression" dxfId="1947" priority="1011">
      <formula>AND(IF(OR($Q31=1,$Q31=2),1,0),IF($X31&lt;=20,1,0))</formula>
    </cfRule>
    <cfRule type="expression" dxfId="1946" priority="1012">
      <formula>AND(IF($Q31=2,1,0),IF($X31&lt;30,1,0))</formula>
    </cfRule>
    <cfRule type="expression" dxfId="1945" priority="1013">
      <formula>AND(IF($Q31=3,1,0),IF($X31&lt;30,1,0))</formula>
    </cfRule>
    <cfRule type="expression" dxfId="1944" priority="1014">
      <formula>AND(IF($Q31=3,1,IF($Q31=4,1,0)),IF($F31&lt;=85,1,0))</formula>
    </cfRule>
  </conditionalFormatting>
  <conditionalFormatting sqref="AV32">
    <cfRule type="expression" dxfId="1943" priority="1009">
      <formula>AV32="X"</formula>
    </cfRule>
    <cfRule type="expression" dxfId="1942" priority="1010">
      <formula>AV32="후보"</formula>
    </cfRule>
  </conditionalFormatting>
  <conditionalFormatting sqref="AC32">
    <cfRule type="cellIs" dxfId="1941" priority="1006" operator="greaterThan">
      <formula>0.9</formula>
    </cfRule>
    <cfRule type="cellIs" dxfId="1940" priority="1007" operator="greaterThan">
      <formula>0.85</formula>
    </cfRule>
  </conditionalFormatting>
  <conditionalFormatting sqref="N32">
    <cfRule type="cellIs" dxfId="1939" priority="1004" operator="greaterThan">
      <formula>0.9</formula>
    </cfRule>
    <cfRule type="cellIs" dxfId="1938" priority="1005" operator="greaterThan">
      <formula>0.85</formula>
    </cfRule>
  </conditionalFormatting>
  <conditionalFormatting sqref="E32">
    <cfRule type="expression" dxfId="1937" priority="1000">
      <formula>AND(IF(OR($Q32=1,$Q32=2),1,0),IF($X32&lt;=20,1,0))</formula>
    </cfRule>
    <cfRule type="expression" dxfId="1936" priority="1001">
      <formula>AND(IF($Q32=2,1,0),IF($X32&lt;30,1,0))</formula>
    </cfRule>
    <cfRule type="expression" dxfId="1935" priority="1002">
      <formula>AND(IF($Q32=3,1,0),IF($X32&lt;30,1,0))</formula>
    </cfRule>
    <cfRule type="expression" dxfId="1934" priority="1003">
      <formula>AND(IF($Q32=3,1,IF($Q32=4,1,0)),IF($F32&lt;=85,1,0))</formula>
    </cfRule>
  </conditionalFormatting>
  <conditionalFormatting sqref="X32">
    <cfRule type="expression" dxfId="1933" priority="996">
      <formula>AND(IF(OR($Q32=1,$Q32=2),1,0),IF($X32&lt;=20,1,0))</formula>
    </cfRule>
    <cfRule type="expression" dxfId="1932" priority="997">
      <formula>AND(IF($Q32=2,1,0),IF($X32&lt;30,1,0))</formula>
    </cfRule>
    <cfRule type="expression" dxfId="1931" priority="998">
      <formula>AND(IF($Q32=3,1,0),IF($X32&lt;30,1,0))</formula>
    </cfRule>
    <cfRule type="expression" dxfId="1930" priority="999">
      <formula>AND(IF($Q32=3,1,IF($Q32=4,1,0)),IF($F32&lt;=85,1,0))</formula>
    </cfRule>
  </conditionalFormatting>
  <conditionalFormatting sqref="AI32">
    <cfRule type="expression" dxfId="1929" priority="992">
      <formula>AND(IF(OR($Q32=1,$Q32=2),1,0),IF($X32&lt;=20,1,0))</formula>
    </cfRule>
    <cfRule type="expression" dxfId="1928" priority="993">
      <formula>AND(IF($Q32=2,1,0),IF($X32&lt;30,1,0))</formula>
    </cfRule>
    <cfRule type="expression" dxfId="1927" priority="994">
      <formula>AND(IF($Q32=3,1,0),IF($X32&lt;30,1,0))</formula>
    </cfRule>
    <cfRule type="expression" dxfId="1926" priority="995">
      <formula>AND(IF($Q32=3,1,IF($Q32=4,1,0)),IF($F32&lt;=85,1,0))</formula>
    </cfRule>
  </conditionalFormatting>
  <conditionalFormatting sqref="AV33">
    <cfRule type="expression" dxfId="1925" priority="990">
      <formula>AV33="X"</formula>
    </cfRule>
    <cfRule type="expression" dxfId="1924" priority="991">
      <formula>AV33="후보"</formula>
    </cfRule>
  </conditionalFormatting>
  <conditionalFormatting sqref="AC33">
    <cfRule type="cellIs" dxfId="1923" priority="987" operator="greaterThan">
      <formula>0.9</formula>
    </cfRule>
    <cfRule type="cellIs" dxfId="1922" priority="988" operator="greaterThan">
      <formula>0.85</formula>
    </cfRule>
  </conditionalFormatting>
  <conditionalFormatting sqref="N33">
    <cfRule type="cellIs" dxfId="1921" priority="985" operator="greaterThan">
      <formula>0.9</formula>
    </cfRule>
    <cfRule type="cellIs" dxfId="1920" priority="986" operator="greaterThan">
      <formula>0.85</formula>
    </cfRule>
  </conditionalFormatting>
  <conditionalFormatting sqref="E33">
    <cfRule type="expression" dxfId="1919" priority="981">
      <formula>AND(IF(OR($Q33=1,$Q33=2),1,0),IF($X33&lt;=20,1,0))</formula>
    </cfRule>
    <cfRule type="expression" dxfId="1918" priority="982">
      <formula>AND(IF($Q33=2,1,0),IF($X33&lt;30,1,0))</formula>
    </cfRule>
    <cfRule type="expression" dxfId="1917" priority="983">
      <formula>AND(IF($Q33=3,1,0),IF($X33&lt;30,1,0))</formula>
    </cfRule>
    <cfRule type="expression" dxfId="1916" priority="984">
      <formula>AND(IF($Q33=3,1,IF($Q33=4,1,0)),IF($F33&lt;=85,1,0))</formula>
    </cfRule>
  </conditionalFormatting>
  <conditionalFormatting sqref="X33">
    <cfRule type="expression" dxfId="1915" priority="977">
      <formula>AND(IF(OR($Q33=1,$Q33=2),1,0),IF($X33&lt;=20,1,0))</formula>
    </cfRule>
    <cfRule type="expression" dxfId="1914" priority="978">
      <formula>AND(IF($Q33=2,1,0),IF($X33&lt;30,1,0))</formula>
    </cfRule>
    <cfRule type="expression" dxfId="1913" priority="979">
      <formula>AND(IF($Q33=3,1,0),IF($X33&lt;30,1,0))</formula>
    </cfRule>
    <cfRule type="expression" dxfId="1912" priority="980">
      <formula>AND(IF($Q33=3,1,IF($Q33=4,1,0)),IF($F33&lt;=85,1,0))</formula>
    </cfRule>
  </conditionalFormatting>
  <conditionalFormatting sqref="AI33">
    <cfRule type="expression" dxfId="1911" priority="973">
      <formula>AND(IF(OR($Q33=1,$Q33=2),1,0),IF($X33&lt;=20,1,0))</formula>
    </cfRule>
    <cfRule type="expression" dxfId="1910" priority="974">
      <formula>AND(IF($Q33=2,1,0),IF($X33&lt;30,1,0))</formula>
    </cfRule>
    <cfRule type="expression" dxfId="1909" priority="975">
      <formula>AND(IF($Q33=3,1,0),IF($X33&lt;30,1,0))</formula>
    </cfRule>
    <cfRule type="expression" dxfId="1908" priority="976">
      <formula>AND(IF($Q33=3,1,IF($Q33=4,1,0)),IF($F33&lt;=85,1,0))</formula>
    </cfRule>
  </conditionalFormatting>
  <conditionalFormatting sqref="AV34">
    <cfRule type="expression" dxfId="1907" priority="971">
      <formula>AV34="X"</formula>
    </cfRule>
    <cfRule type="expression" dxfId="1906" priority="972">
      <formula>AV34="후보"</formula>
    </cfRule>
  </conditionalFormatting>
  <conditionalFormatting sqref="AC34">
    <cfRule type="cellIs" dxfId="1905" priority="968" operator="greaterThan">
      <formula>0.9</formula>
    </cfRule>
    <cfRule type="cellIs" dxfId="1904" priority="969" operator="greaterThan">
      <formula>0.85</formula>
    </cfRule>
  </conditionalFormatting>
  <conditionalFormatting sqref="N34">
    <cfRule type="cellIs" dxfId="1903" priority="966" operator="greaterThan">
      <formula>0.9</formula>
    </cfRule>
    <cfRule type="cellIs" dxfId="1902" priority="967" operator="greaterThan">
      <formula>0.85</formula>
    </cfRule>
  </conditionalFormatting>
  <conditionalFormatting sqref="E34">
    <cfRule type="expression" dxfId="1901" priority="962">
      <formula>AND(IF(OR($Q34=1,$Q34=2),1,0),IF($X34&lt;=20,1,0))</formula>
    </cfRule>
    <cfRule type="expression" dxfId="1900" priority="963">
      <formula>AND(IF($Q34=2,1,0),IF($X34&lt;30,1,0))</formula>
    </cfRule>
    <cfRule type="expression" dxfId="1899" priority="964">
      <formula>AND(IF($Q34=3,1,0),IF($X34&lt;30,1,0))</formula>
    </cfRule>
    <cfRule type="expression" dxfId="1898" priority="965">
      <formula>AND(IF($Q34=3,1,IF($Q34=4,1,0)),IF($F34&lt;=85,1,0))</formula>
    </cfRule>
  </conditionalFormatting>
  <conditionalFormatting sqref="X34">
    <cfRule type="expression" dxfId="1897" priority="958">
      <formula>AND(IF(OR($Q34=1,$Q34=2),1,0),IF($X34&lt;=20,1,0))</formula>
    </cfRule>
    <cfRule type="expression" dxfId="1896" priority="959">
      <formula>AND(IF($Q34=2,1,0),IF($X34&lt;30,1,0))</formula>
    </cfRule>
    <cfRule type="expression" dxfId="1895" priority="960">
      <formula>AND(IF($Q34=3,1,0),IF($X34&lt;30,1,0))</formula>
    </cfRule>
    <cfRule type="expression" dxfId="1894" priority="961">
      <formula>AND(IF($Q34=3,1,IF($Q34=4,1,0)),IF($F34&lt;=85,1,0))</formula>
    </cfRule>
  </conditionalFormatting>
  <conditionalFormatting sqref="AI34">
    <cfRule type="expression" dxfId="1893" priority="954">
      <formula>AND(IF(OR($Q34=1,$Q34=2),1,0),IF($X34&lt;=20,1,0))</formula>
    </cfRule>
    <cfRule type="expression" dxfId="1892" priority="955">
      <formula>AND(IF($Q34=2,1,0),IF($X34&lt;30,1,0))</formula>
    </cfRule>
    <cfRule type="expression" dxfId="1891" priority="956">
      <formula>AND(IF($Q34=3,1,0),IF($X34&lt;30,1,0))</formula>
    </cfRule>
    <cfRule type="expression" dxfId="1890" priority="957">
      <formula>AND(IF($Q34=3,1,IF($Q34=4,1,0)),IF($F34&lt;=85,1,0))</formula>
    </cfRule>
  </conditionalFormatting>
  <conditionalFormatting sqref="AV35">
    <cfRule type="expression" dxfId="1889" priority="952">
      <formula>AV35="X"</formula>
    </cfRule>
    <cfRule type="expression" dxfId="1888" priority="953">
      <formula>AV35="후보"</formula>
    </cfRule>
  </conditionalFormatting>
  <conditionalFormatting sqref="AC35">
    <cfRule type="cellIs" dxfId="1887" priority="949" operator="greaterThan">
      <formula>0.9</formula>
    </cfRule>
    <cfRule type="cellIs" dxfId="1886" priority="950" operator="greaterThan">
      <formula>0.85</formula>
    </cfRule>
  </conditionalFormatting>
  <conditionalFormatting sqref="N35">
    <cfRule type="cellIs" dxfId="1885" priority="947" operator="greaterThan">
      <formula>0.9</formula>
    </cfRule>
    <cfRule type="cellIs" dxfId="1884" priority="948" operator="greaterThan">
      <formula>0.85</formula>
    </cfRule>
  </conditionalFormatting>
  <conditionalFormatting sqref="E35">
    <cfRule type="expression" dxfId="1883" priority="943">
      <formula>AND(IF(OR($Q35=1,$Q35=2),1,0),IF($X35&lt;=20,1,0))</formula>
    </cfRule>
    <cfRule type="expression" dxfId="1882" priority="944">
      <formula>AND(IF($Q35=2,1,0),IF($X35&lt;30,1,0))</formula>
    </cfRule>
    <cfRule type="expression" dxfId="1881" priority="945">
      <formula>AND(IF($Q35=3,1,0),IF($X35&lt;30,1,0))</formula>
    </cfRule>
    <cfRule type="expression" dxfId="1880" priority="946">
      <formula>AND(IF($Q35=3,1,IF($Q35=4,1,0)),IF($F35&lt;=85,1,0))</formula>
    </cfRule>
  </conditionalFormatting>
  <conditionalFormatting sqref="X35">
    <cfRule type="expression" dxfId="1879" priority="939">
      <formula>AND(IF(OR($Q35=1,$Q35=2),1,0),IF($X35&lt;=20,1,0))</formula>
    </cfRule>
    <cfRule type="expression" dxfId="1878" priority="940">
      <formula>AND(IF($Q35=2,1,0),IF($X35&lt;30,1,0))</formula>
    </cfRule>
    <cfRule type="expression" dxfId="1877" priority="941">
      <formula>AND(IF($Q35=3,1,0),IF($X35&lt;30,1,0))</formula>
    </cfRule>
    <cfRule type="expression" dxfId="1876" priority="942">
      <formula>AND(IF($Q35=3,1,IF($Q35=4,1,0)),IF($F35&lt;=85,1,0))</formula>
    </cfRule>
  </conditionalFormatting>
  <conditionalFormatting sqref="AI35">
    <cfRule type="expression" dxfId="1875" priority="935">
      <formula>AND(IF(OR($Q35=1,$Q35=2),1,0),IF($X35&lt;=20,1,0))</formula>
    </cfRule>
    <cfRule type="expression" dxfId="1874" priority="936">
      <formula>AND(IF($Q35=2,1,0),IF($X35&lt;30,1,0))</formula>
    </cfRule>
    <cfRule type="expression" dxfId="1873" priority="937">
      <formula>AND(IF($Q35=3,1,0),IF($X35&lt;30,1,0))</formula>
    </cfRule>
    <cfRule type="expression" dxfId="1872" priority="938">
      <formula>AND(IF($Q35=3,1,IF($Q35=4,1,0)),IF($F35&lt;=85,1,0))</formula>
    </cfRule>
  </conditionalFormatting>
  <conditionalFormatting sqref="AV36">
    <cfRule type="expression" dxfId="1871" priority="933">
      <formula>AV36="X"</formula>
    </cfRule>
    <cfRule type="expression" dxfId="1870" priority="934">
      <formula>AV36="후보"</formula>
    </cfRule>
  </conditionalFormatting>
  <conditionalFormatting sqref="AC36 N36">
    <cfRule type="cellIs" dxfId="1869" priority="930" operator="greaterThan">
      <formula>0.9</formula>
    </cfRule>
    <cfRule type="cellIs" dxfId="1868" priority="931" operator="greaterThan">
      <formula>0.85</formula>
    </cfRule>
  </conditionalFormatting>
  <conditionalFormatting sqref="AV37">
    <cfRule type="expression" dxfId="1867" priority="928">
      <formula>AV37="X"</formula>
    </cfRule>
    <cfRule type="expression" dxfId="1866" priority="929">
      <formula>AV37="후보"</formula>
    </cfRule>
  </conditionalFormatting>
  <conditionalFormatting sqref="AC37">
    <cfRule type="cellIs" dxfId="1865" priority="925" operator="greaterThan">
      <formula>0.9</formula>
    </cfRule>
    <cfRule type="cellIs" dxfId="1864" priority="926" operator="greaterThan">
      <formula>0.85</formula>
    </cfRule>
  </conditionalFormatting>
  <conditionalFormatting sqref="N37">
    <cfRule type="cellIs" dxfId="1863" priority="923" operator="greaterThan">
      <formula>0.9</formula>
    </cfRule>
    <cfRule type="cellIs" dxfId="1862" priority="924" operator="greaterThan">
      <formula>0.85</formula>
    </cfRule>
  </conditionalFormatting>
  <conditionalFormatting sqref="E37">
    <cfRule type="expression" dxfId="1861" priority="919">
      <formula>AND(IF(OR($Q37=1,$Q37=2),1,0),IF($X37&lt;=20,1,0))</formula>
    </cfRule>
    <cfRule type="expression" dxfId="1860" priority="920">
      <formula>AND(IF($Q37=2,1,0),IF($X37&lt;30,1,0))</formula>
    </cfRule>
    <cfRule type="expression" dxfId="1859" priority="921">
      <formula>AND(IF($Q37=3,1,0),IF($X37&lt;30,1,0))</formula>
    </cfRule>
    <cfRule type="expression" dxfId="1858" priority="922">
      <formula>AND(IF($Q37=3,1,IF($Q37=4,1,0)),IF($F37&lt;=85,1,0))</formula>
    </cfRule>
  </conditionalFormatting>
  <conditionalFormatting sqref="X37">
    <cfRule type="expression" dxfId="1857" priority="915">
      <formula>AND(IF(OR($Q37=1,$Q37=2),1,0),IF($X37&lt;=20,1,0))</formula>
    </cfRule>
    <cfRule type="expression" dxfId="1856" priority="916">
      <formula>AND(IF($Q37=2,1,0),IF($X37&lt;30,1,0))</formula>
    </cfRule>
    <cfRule type="expression" dxfId="1855" priority="917">
      <formula>AND(IF($Q37=3,1,0),IF($X37&lt;30,1,0))</formula>
    </cfRule>
    <cfRule type="expression" dxfId="1854" priority="918">
      <formula>AND(IF($Q37=3,1,IF($Q37=4,1,0)),IF($F37&lt;=85,1,0))</formula>
    </cfRule>
  </conditionalFormatting>
  <conditionalFormatting sqref="AI37">
    <cfRule type="expression" dxfId="1853" priority="911">
      <formula>AND(IF(OR($Q37=1,$Q37=2),1,0),IF($X37&lt;=20,1,0))</formula>
    </cfRule>
    <cfRule type="expression" dxfId="1852" priority="912">
      <formula>AND(IF($Q37=2,1,0),IF($X37&lt;30,1,0))</formula>
    </cfRule>
    <cfRule type="expression" dxfId="1851" priority="913">
      <formula>AND(IF($Q37=3,1,0),IF($X37&lt;30,1,0))</formula>
    </cfRule>
    <cfRule type="expression" dxfId="1850" priority="914">
      <formula>AND(IF($Q37=3,1,IF($Q37=4,1,0)),IF($F37&lt;=85,1,0))</formula>
    </cfRule>
  </conditionalFormatting>
  <conditionalFormatting sqref="AV38">
    <cfRule type="expression" dxfId="1849" priority="909">
      <formula>AV38="X"</formula>
    </cfRule>
    <cfRule type="expression" dxfId="1848" priority="910">
      <formula>AV38="후보"</formula>
    </cfRule>
  </conditionalFormatting>
  <conditionalFormatting sqref="AC38">
    <cfRule type="cellIs" dxfId="1847" priority="906" operator="greaterThan">
      <formula>0.9</formula>
    </cfRule>
    <cfRule type="cellIs" dxfId="1846" priority="907" operator="greaterThan">
      <formula>0.85</formula>
    </cfRule>
  </conditionalFormatting>
  <conditionalFormatting sqref="N38">
    <cfRule type="cellIs" dxfId="1845" priority="904" operator="greaterThan">
      <formula>0.9</formula>
    </cfRule>
    <cfRule type="cellIs" dxfId="1844" priority="905" operator="greaterThan">
      <formula>0.85</formula>
    </cfRule>
  </conditionalFormatting>
  <conditionalFormatting sqref="E38">
    <cfRule type="expression" dxfId="1843" priority="900">
      <formula>AND(IF(OR($Q38=1,$Q38=2),1,0),IF($X38&lt;=20,1,0))</formula>
    </cfRule>
    <cfRule type="expression" dxfId="1842" priority="901">
      <formula>AND(IF($Q38=2,1,0),IF($X38&lt;30,1,0))</formula>
    </cfRule>
    <cfRule type="expression" dxfId="1841" priority="902">
      <formula>AND(IF($Q38=3,1,0),IF($X38&lt;30,1,0))</formula>
    </cfRule>
    <cfRule type="expression" dxfId="1840" priority="903">
      <formula>AND(IF($Q38=3,1,IF($Q38=4,1,0)),IF($F38&lt;=85,1,0))</formula>
    </cfRule>
  </conditionalFormatting>
  <conditionalFormatting sqref="X38">
    <cfRule type="expression" dxfId="1839" priority="896">
      <formula>AND(IF(OR($Q38=1,$Q38=2),1,0),IF($X38&lt;=20,1,0))</formula>
    </cfRule>
    <cfRule type="expression" dxfId="1838" priority="897">
      <formula>AND(IF($Q38=2,1,0),IF($X38&lt;30,1,0))</formula>
    </cfRule>
    <cfRule type="expression" dxfId="1837" priority="898">
      <formula>AND(IF($Q38=3,1,0),IF($X38&lt;30,1,0))</formula>
    </cfRule>
    <cfRule type="expression" dxfId="1836" priority="899">
      <formula>AND(IF($Q38=3,1,IF($Q38=4,1,0)),IF($F38&lt;=85,1,0))</formula>
    </cfRule>
  </conditionalFormatting>
  <conditionalFormatting sqref="AI38">
    <cfRule type="expression" dxfId="1835" priority="892">
      <formula>AND(IF(OR($Q38=1,$Q38=2),1,0),IF($X38&lt;=20,1,0))</formula>
    </cfRule>
    <cfRule type="expression" dxfId="1834" priority="893">
      <formula>AND(IF($Q38=2,1,0),IF($X38&lt;30,1,0))</formula>
    </cfRule>
    <cfRule type="expression" dxfId="1833" priority="894">
      <formula>AND(IF($Q38=3,1,0),IF($X38&lt;30,1,0))</formula>
    </cfRule>
    <cfRule type="expression" dxfId="1832" priority="895">
      <formula>AND(IF($Q38=3,1,IF($Q38=4,1,0)),IF($F38&lt;=85,1,0))</formula>
    </cfRule>
  </conditionalFormatting>
  <conditionalFormatting sqref="AV39">
    <cfRule type="expression" dxfId="1831" priority="890">
      <formula>AV39="X"</formula>
    </cfRule>
    <cfRule type="expression" dxfId="1830" priority="891">
      <formula>AV39="후보"</formula>
    </cfRule>
  </conditionalFormatting>
  <conditionalFormatting sqref="AC39">
    <cfRule type="cellIs" dxfId="1829" priority="887" operator="greaterThan">
      <formula>0.9</formula>
    </cfRule>
    <cfRule type="cellIs" dxfId="1828" priority="888" operator="greaterThan">
      <formula>0.85</formula>
    </cfRule>
  </conditionalFormatting>
  <conditionalFormatting sqref="N39">
    <cfRule type="cellIs" dxfId="1827" priority="885" operator="greaterThan">
      <formula>0.9</formula>
    </cfRule>
    <cfRule type="cellIs" dxfId="1826" priority="886" operator="greaterThan">
      <formula>0.85</formula>
    </cfRule>
  </conditionalFormatting>
  <conditionalFormatting sqref="E39">
    <cfRule type="expression" dxfId="1825" priority="881">
      <formula>AND(IF(OR($Q39=1,$Q39=2),1,0),IF($X39&lt;=20,1,0))</formula>
    </cfRule>
    <cfRule type="expression" dxfId="1824" priority="882">
      <formula>AND(IF($Q39=2,1,0),IF($X39&lt;30,1,0))</formula>
    </cfRule>
    <cfRule type="expression" dxfId="1823" priority="883">
      <formula>AND(IF($Q39=3,1,0),IF($X39&lt;30,1,0))</formula>
    </cfRule>
    <cfRule type="expression" dxfId="1822" priority="884">
      <formula>AND(IF($Q39=3,1,IF($Q39=4,1,0)),IF($F39&lt;=85,1,0))</formula>
    </cfRule>
  </conditionalFormatting>
  <conditionalFormatting sqref="X39">
    <cfRule type="expression" dxfId="1821" priority="877">
      <formula>AND(IF(OR($Q39=1,$Q39=2),1,0),IF($X39&lt;=20,1,0))</formula>
    </cfRule>
    <cfRule type="expression" dxfId="1820" priority="878">
      <formula>AND(IF($Q39=2,1,0),IF($X39&lt;30,1,0))</formula>
    </cfRule>
    <cfRule type="expression" dxfId="1819" priority="879">
      <formula>AND(IF($Q39=3,1,0),IF($X39&lt;30,1,0))</formula>
    </cfRule>
    <cfRule type="expression" dxfId="1818" priority="880">
      <formula>AND(IF($Q39=3,1,IF($Q39=4,1,0)),IF($F39&lt;=85,1,0))</formula>
    </cfRule>
  </conditionalFormatting>
  <conditionalFormatting sqref="AI39">
    <cfRule type="expression" dxfId="1817" priority="873">
      <formula>AND(IF(OR($Q39=1,$Q39=2),1,0),IF($X39&lt;=20,1,0))</formula>
    </cfRule>
    <cfRule type="expression" dxfId="1816" priority="874">
      <formula>AND(IF($Q39=2,1,0),IF($X39&lt;30,1,0))</formula>
    </cfRule>
    <cfRule type="expression" dxfId="1815" priority="875">
      <formula>AND(IF($Q39=3,1,0),IF($X39&lt;30,1,0))</formula>
    </cfRule>
    <cfRule type="expression" dxfId="1814" priority="876">
      <formula>AND(IF($Q39=3,1,IF($Q39=4,1,0)),IF($F39&lt;=85,1,0))</formula>
    </cfRule>
  </conditionalFormatting>
  <conditionalFormatting sqref="AV40">
    <cfRule type="expression" dxfId="1813" priority="871">
      <formula>AV40="X"</formula>
    </cfRule>
    <cfRule type="expression" dxfId="1812" priority="872">
      <formula>AV40="후보"</formula>
    </cfRule>
  </conditionalFormatting>
  <conditionalFormatting sqref="AC40">
    <cfRule type="cellIs" dxfId="1811" priority="868" operator="greaterThan">
      <formula>0.9</formula>
    </cfRule>
    <cfRule type="cellIs" dxfId="1810" priority="869" operator="greaterThan">
      <formula>0.85</formula>
    </cfRule>
  </conditionalFormatting>
  <conditionalFormatting sqref="N40">
    <cfRule type="cellIs" dxfId="1809" priority="866" operator="greaterThan">
      <formula>0.9</formula>
    </cfRule>
    <cfRule type="cellIs" dxfId="1808" priority="867" operator="greaterThan">
      <formula>0.85</formula>
    </cfRule>
  </conditionalFormatting>
  <conditionalFormatting sqref="E40">
    <cfRule type="expression" dxfId="1807" priority="862">
      <formula>AND(IF(OR($Q40=1,$Q40=2),1,0),IF($X40&lt;=20,1,0))</formula>
    </cfRule>
    <cfRule type="expression" dxfId="1806" priority="863">
      <formula>AND(IF($Q40=2,1,0),IF($X40&lt;30,1,0))</formula>
    </cfRule>
    <cfRule type="expression" dxfId="1805" priority="864">
      <formula>AND(IF($Q40=3,1,0),IF($X40&lt;30,1,0))</formula>
    </cfRule>
    <cfRule type="expression" dxfId="1804" priority="865">
      <formula>AND(IF($Q40=3,1,IF($Q40=4,1,0)),IF($F40&lt;=85,1,0))</formula>
    </cfRule>
  </conditionalFormatting>
  <conditionalFormatting sqref="X40">
    <cfRule type="expression" dxfId="1803" priority="858">
      <formula>AND(IF(OR($Q40=1,$Q40=2),1,0),IF($X40&lt;=20,1,0))</formula>
    </cfRule>
    <cfRule type="expression" dxfId="1802" priority="859">
      <formula>AND(IF($Q40=2,1,0),IF($X40&lt;30,1,0))</formula>
    </cfRule>
    <cfRule type="expression" dxfId="1801" priority="860">
      <formula>AND(IF($Q40=3,1,0),IF($X40&lt;30,1,0))</formula>
    </cfRule>
    <cfRule type="expression" dxfId="1800" priority="861">
      <formula>AND(IF($Q40=3,1,IF($Q40=4,1,0)),IF($F40&lt;=85,1,0))</formula>
    </cfRule>
  </conditionalFormatting>
  <conditionalFormatting sqref="AI40">
    <cfRule type="expression" dxfId="1799" priority="854">
      <formula>AND(IF(OR($Q40=1,$Q40=2),1,0),IF($X40&lt;=20,1,0))</formula>
    </cfRule>
    <cfRule type="expression" dxfId="1798" priority="855">
      <formula>AND(IF($Q40=2,1,0),IF($X40&lt;30,1,0))</formula>
    </cfRule>
    <cfRule type="expression" dxfId="1797" priority="856">
      <formula>AND(IF($Q40=3,1,0),IF($X40&lt;30,1,0))</formula>
    </cfRule>
    <cfRule type="expression" dxfId="1796" priority="857">
      <formula>AND(IF($Q40=3,1,IF($Q40=4,1,0)),IF($F40&lt;=85,1,0))</formula>
    </cfRule>
  </conditionalFormatting>
  <conditionalFormatting sqref="AV41">
    <cfRule type="expression" dxfId="1795" priority="852">
      <formula>AV41="X"</formula>
    </cfRule>
    <cfRule type="expression" dxfId="1794" priority="853">
      <formula>AV41="후보"</formula>
    </cfRule>
  </conditionalFormatting>
  <conditionalFormatting sqref="AC41">
    <cfRule type="cellIs" dxfId="1793" priority="849" operator="greaterThan">
      <formula>0.9</formula>
    </cfRule>
    <cfRule type="cellIs" dxfId="1792" priority="850" operator="greaterThan">
      <formula>0.85</formula>
    </cfRule>
  </conditionalFormatting>
  <conditionalFormatting sqref="N41">
    <cfRule type="cellIs" dxfId="1791" priority="847" operator="greaterThan">
      <formula>0.9</formula>
    </cfRule>
    <cfRule type="cellIs" dxfId="1790" priority="848" operator="greaterThan">
      <formula>0.85</formula>
    </cfRule>
  </conditionalFormatting>
  <conditionalFormatting sqref="E41">
    <cfRule type="expression" dxfId="1789" priority="843">
      <formula>AND(IF(OR($Q41=1,$Q41=2),1,0),IF($X41&lt;=20,1,0))</formula>
    </cfRule>
    <cfRule type="expression" dxfId="1788" priority="844">
      <formula>AND(IF($Q41=2,1,0),IF($X41&lt;30,1,0))</formula>
    </cfRule>
    <cfRule type="expression" dxfId="1787" priority="845">
      <formula>AND(IF($Q41=3,1,0),IF($X41&lt;30,1,0))</formula>
    </cfRule>
    <cfRule type="expression" dxfId="1786" priority="846">
      <formula>AND(IF($Q41=3,1,IF($Q41=4,1,0)),IF($F41&lt;=85,1,0))</formula>
    </cfRule>
  </conditionalFormatting>
  <conditionalFormatting sqref="X41">
    <cfRule type="expression" dxfId="1785" priority="839">
      <formula>AND(IF(OR($Q41=1,$Q41=2),1,0),IF($X41&lt;=20,1,0))</formula>
    </cfRule>
    <cfRule type="expression" dxfId="1784" priority="840">
      <formula>AND(IF($Q41=2,1,0),IF($X41&lt;30,1,0))</formula>
    </cfRule>
    <cfRule type="expression" dxfId="1783" priority="841">
      <formula>AND(IF($Q41=3,1,0),IF($X41&lt;30,1,0))</formula>
    </cfRule>
    <cfRule type="expression" dxfId="1782" priority="842">
      <formula>AND(IF($Q41=3,1,IF($Q41=4,1,0)),IF($F41&lt;=85,1,0))</formula>
    </cfRule>
  </conditionalFormatting>
  <conditionalFormatting sqref="AI41">
    <cfRule type="expression" dxfId="1781" priority="835">
      <formula>AND(IF(OR($Q41=1,$Q41=2),1,0),IF($X41&lt;=20,1,0))</formula>
    </cfRule>
    <cfRule type="expression" dxfId="1780" priority="836">
      <formula>AND(IF($Q41=2,1,0),IF($X41&lt;30,1,0))</formula>
    </cfRule>
    <cfRule type="expression" dxfId="1779" priority="837">
      <formula>AND(IF($Q41=3,1,0),IF($X41&lt;30,1,0))</formula>
    </cfRule>
    <cfRule type="expression" dxfId="1778" priority="838">
      <formula>AND(IF($Q41=3,1,IF($Q41=4,1,0)),IF($F41&lt;=85,1,0))</formula>
    </cfRule>
  </conditionalFormatting>
  <conditionalFormatting sqref="AV42">
    <cfRule type="expression" dxfId="1777" priority="833">
      <formula>AV42="X"</formula>
    </cfRule>
    <cfRule type="expression" dxfId="1776" priority="834">
      <formula>AV42="후보"</formula>
    </cfRule>
  </conditionalFormatting>
  <conditionalFormatting sqref="AC42">
    <cfRule type="cellIs" dxfId="1775" priority="830" operator="greaterThan">
      <formula>0.9</formula>
    </cfRule>
    <cfRule type="cellIs" dxfId="1774" priority="831" operator="greaterThan">
      <formula>0.85</formula>
    </cfRule>
  </conditionalFormatting>
  <conditionalFormatting sqref="N42">
    <cfRule type="cellIs" dxfId="1773" priority="828" operator="greaterThan">
      <formula>0.9</formula>
    </cfRule>
    <cfRule type="cellIs" dxfId="1772" priority="829" operator="greaterThan">
      <formula>0.85</formula>
    </cfRule>
  </conditionalFormatting>
  <conditionalFormatting sqref="E42">
    <cfRule type="expression" dxfId="1771" priority="824">
      <formula>AND(IF(OR($Q42=1,$Q42=2),1,0),IF($X42&lt;=20,1,0))</formula>
    </cfRule>
    <cfRule type="expression" dxfId="1770" priority="825">
      <formula>AND(IF($Q42=2,1,0),IF($X42&lt;30,1,0))</formula>
    </cfRule>
    <cfRule type="expression" dxfId="1769" priority="826">
      <formula>AND(IF($Q42=3,1,0),IF($X42&lt;30,1,0))</formula>
    </cfRule>
    <cfRule type="expression" dxfId="1768" priority="827">
      <formula>AND(IF($Q42=3,1,IF($Q42=4,1,0)),IF($F42&lt;=85,1,0))</formula>
    </cfRule>
  </conditionalFormatting>
  <conditionalFormatting sqref="X42">
    <cfRule type="expression" dxfId="1767" priority="820">
      <formula>AND(IF(OR($Q42=1,$Q42=2),1,0),IF($X42&lt;=20,1,0))</formula>
    </cfRule>
    <cfRule type="expression" dxfId="1766" priority="821">
      <formula>AND(IF($Q42=2,1,0),IF($X42&lt;30,1,0))</formula>
    </cfRule>
    <cfRule type="expression" dxfId="1765" priority="822">
      <formula>AND(IF($Q42=3,1,0),IF($X42&lt;30,1,0))</formula>
    </cfRule>
    <cfRule type="expression" dxfId="1764" priority="823">
      <formula>AND(IF($Q42=3,1,IF($Q42=4,1,0)),IF($F42&lt;=85,1,0))</formula>
    </cfRule>
  </conditionalFormatting>
  <conditionalFormatting sqref="AI42">
    <cfRule type="expression" dxfId="1763" priority="816">
      <formula>AND(IF(OR($Q42=1,$Q42=2),1,0),IF($X42&lt;=20,1,0))</formula>
    </cfRule>
    <cfRule type="expression" dxfId="1762" priority="817">
      <formula>AND(IF($Q42=2,1,0),IF($X42&lt;30,1,0))</formula>
    </cfRule>
    <cfRule type="expression" dxfId="1761" priority="818">
      <formula>AND(IF($Q42=3,1,0),IF($X42&lt;30,1,0))</formula>
    </cfRule>
    <cfRule type="expression" dxfId="1760" priority="819">
      <formula>AND(IF($Q42=3,1,IF($Q42=4,1,0)),IF($F42&lt;=85,1,0))</formula>
    </cfRule>
  </conditionalFormatting>
  <conditionalFormatting sqref="AV43">
    <cfRule type="expression" dxfId="1759" priority="814">
      <formula>AV43="X"</formula>
    </cfRule>
    <cfRule type="expression" dxfId="1758" priority="815">
      <formula>AV43="후보"</formula>
    </cfRule>
  </conditionalFormatting>
  <conditionalFormatting sqref="AC43">
    <cfRule type="cellIs" dxfId="1757" priority="811" operator="greaterThan">
      <formula>0.9</formula>
    </cfRule>
    <cfRule type="cellIs" dxfId="1756" priority="812" operator="greaterThan">
      <formula>0.85</formula>
    </cfRule>
  </conditionalFormatting>
  <conditionalFormatting sqref="N43">
    <cfRule type="cellIs" dxfId="1755" priority="809" operator="greaterThan">
      <formula>0.9</formula>
    </cfRule>
    <cfRule type="cellIs" dxfId="1754" priority="810" operator="greaterThan">
      <formula>0.85</formula>
    </cfRule>
  </conditionalFormatting>
  <conditionalFormatting sqref="E43">
    <cfRule type="expression" dxfId="1753" priority="805">
      <formula>AND(IF(OR($Q43=1,$Q43=2),1,0),IF($X43&lt;=20,1,0))</formula>
    </cfRule>
    <cfRule type="expression" dxfId="1752" priority="806">
      <formula>AND(IF($Q43=2,1,0),IF($X43&lt;30,1,0))</formula>
    </cfRule>
    <cfRule type="expression" dxfId="1751" priority="807">
      <formula>AND(IF($Q43=3,1,0),IF($X43&lt;30,1,0))</formula>
    </cfRule>
    <cfRule type="expression" dxfId="1750" priority="808">
      <formula>AND(IF($Q43=3,1,IF($Q43=4,1,0)),IF($F43&lt;=85,1,0))</formula>
    </cfRule>
  </conditionalFormatting>
  <conditionalFormatting sqref="X43">
    <cfRule type="expression" dxfId="1749" priority="801">
      <formula>AND(IF(OR($Q43=1,$Q43=2),1,0),IF($X43&lt;=20,1,0))</formula>
    </cfRule>
    <cfRule type="expression" dxfId="1748" priority="802">
      <formula>AND(IF($Q43=2,1,0),IF($X43&lt;30,1,0))</formula>
    </cfRule>
    <cfRule type="expression" dxfId="1747" priority="803">
      <formula>AND(IF($Q43=3,1,0),IF($X43&lt;30,1,0))</formula>
    </cfRule>
    <cfRule type="expression" dxfId="1746" priority="804">
      <formula>AND(IF($Q43=3,1,IF($Q43=4,1,0)),IF($F43&lt;=85,1,0))</formula>
    </cfRule>
  </conditionalFormatting>
  <conditionalFormatting sqref="AI43">
    <cfRule type="expression" dxfId="1745" priority="797">
      <formula>AND(IF(OR($Q43=1,$Q43=2),1,0),IF($X43&lt;=20,1,0))</formula>
    </cfRule>
    <cfRule type="expression" dxfId="1744" priority="798">
      <formula>AND(IF($Q43=2,1,0),IF($X43&lt;30,1,0))</formula>
    </cfRule>
    <cfRule type="expression" dxfId="1743" priority="799">
      <formula>AND(IF($Q43=3,1,0),IF($X43&lt;30,1,0))</formula>
    </cfRule>
    <cfRule type="expression" dxfId="1742" priority="800">
      <formula>AND(IF($Q43=3,1,IF($Q43=4,1,0)),IF($F43&lt;=85,1,0))</formula>
    </cfRule>
  </conditionalFormatting>
  <conditionalFormatting sqref="AV44">
    <cfRule type="expression" dxfId="1741" priority="795">
      <formula>AV44="X"</formula>
    </cfRule>
    <cfRule type="expression" dxfId="1740" priority="796">
      <formula>AV44="후보"</formula>
    </cfRule>
  </conditionalFormatting>
  <conditionalFormatting sqref="AC44">
    <cfRule type="cellIs" dxfId="1739" priority="792" operator="greaterThan">
      <formula>0.9</formula>
    </cfRule>
    <cfRule type="cellIs" dxfId="1738" priority="793" operator="greaterThan">
      <formula>0.85</formula>
    </cfRule>
  </conditionalFormatting>
  <conditionalFormatting sqref="N44">
    <cfRule type="cellIs" dxfId="1737" priority="790" operator="greaterThan">
      <formula>0.9</formula>
    </cfRule>
    <cfRule type="cellIs" dxfId="1736" priority="791" operator="greaterThan">
      <formula>0.85</formula>
    </cfRule>
  </conditionalFormatting>
  <conditionalFormatting sqref="E44">
    <cfRule type="expression" dxfId="1735" priority="786">
      <formula>AND(IF(OR($Q44=1,$Q44=2),1,0),IF($X44&lt;=20,1,0))</formula>
    </cfRule>
    <cfRule type="expression" dxfId="1734" priority="787">
      <formula>AND(IF($Q44=2,1,0),IF($X44&lt;30,1,0))</formula>
    </cfRule>
    <cfRule type="expression" dxfId="1733" priority="788">
      <formula>AND(IF($Q44=3,1,0),IF($X44&lt;30,1,0))</formula>
    </cfRule>
    <cfRule type="expression" dxfId="1732" priority="789">
      <formula>AND(IF($Q44=3,1,IF($Q44=4,1,0)),IF($F44&lt;=85,1,0))</formula>
    </cfRule>
  </conditionalFormatting>
  <conditionalFormatting sqref="X44">
    <cfRule type="expression" dxfId="1731" priority="782">
      <formula>AND(IF(OR($Q44=1,$Q44=2),1,0),IF($X44&lt;=20,1,0))</formula>
    </cfRule>
    <cfRule type="expression" dxfId="1730" priority="783">
      <formula>AND(IF($Q44=2,1,0),IF($X44&lt;30,1,0))</formula>
    </cfRule>
    <cfRule type="expression" dxfId="1729" priority="784">
      <formula>AND(IF($Q44=3,1,0),IF($X44&lt;30,1,0))</formula>
    </cfRule>
    <cfRule type="expression" dxfId="1728" priority="785">
      <formula>AND(IF($Q44=3,1,IF($Q44=4,1,0)),IF($F44&lt;=85,1,0))</formula>
    </cfRule>
  </conditionalFormatting>
  <conditionalFormatting sqref="AI44">
    <cfRule type="expression" dxfId="1727" priority="778">
      <formula>AND(IF(OR($Q44=1,$Q44=2),1,0),IF($X44&lt;=20,1,0))</formula>
    </cfRule>
    <cfRule type="expression" dxfId="1726" priority="779">
      <formula>AND(IF($Q44=2,1,0),IF($X44&lt;30,1,0))</formula>
    </cfRule>
    <cfRule type="expression" dxfId="1725" priority="780">
      <formula>AND(IF($Q44=3,1,0),IF($X44&lt;30,1,0))</formula>
    </cfRule>
    <cfRule type="expression" dxfId="1724" priority="781">
      <formula>AND(IF($Q44=3,1,IF($Q44=4,1,0)),IF($F44&lt;=85,1,0))</formula>
    </cfRule>
  </conditionalFormatting>
  <conditionalFormatting sqref="AV45">
    <cfRule type="expression" dxfId="1723" priority="776">
      <formula>AV45="X"</formula>
    </cfRule>
    <cfRule type="expression" dxfId="1722" priority="777">
      <formula>AV45="후보"</formula>
    </cfRule>
  </conditionalFormatting>
  <conditionalFormatting sqref="AC45 N45">
    <cfRule type="cellIs" dxfId="1721" priority="773" operator="greaterThan">
      <formula>0.9</formula>
    </cfRule>
    <cfRule type="cellIs" dxfId="1720" priority="774" operator="greaterThan">
      <formula>0.85</formula>
    </cfRule>
  </conditionalFormatting>
  <conditionalFormatting sqref="AV46">
    <cfRule type="expression" dxfId="1719" priority="771">
      <formula>AV46="X"</formula>
    </cfRule>
    <cfRule type="expression" dxfId="1718" priority="772">
      <formula>AV46="후보"</formula>
    </cfRule>
  </conditionalFormatting>
  <conditionalFormatting sqref="AC46">
    <cfRule type="cellIs" dxfId="1717" priority="768" operator="greaterThan">
      <formula>0.9</formula>
    </cfRule>
    <cfRule type="cellIs" dxfId="1716" priority="769" operator="greaterThan">
      <formula>0.85</formula>
    </cfRule>
  </conditionalFormatting>
  <conditionalFormatting sqref="N46">
    <cfRule type="cellIs" dxfId="1715" priority="766" operator="greaterThan">
      <formula>0.9</formula>
    </cfRule>
    <cfRule type="cellIs" dxfId="1714" priority="767" operator="greaterThan">
      <formula>0.85</formula>
    </cfRule>
  </conditionalFormatting>
  <conditionalFormatting sqref="E46">
    <cfRule type="expression" dxfId="1713" priority="762">
      <formula>AND(IF(OR($Q46=1,$Q46=2),1,0),IF($X46&lt;=20,1,0))</formula>
    </cfRule>
    <cfRule type="expression" dxfId="1712" priority="763">
      <formula>AND(IF($Q46=2,1,0),IF($X46&lt;30,1,0))</formula>
    </cfRule>
    <cfRule type="expression" dxfId="1711" priority="764">
      <formula>AND(IF($Q46=3,1,0),IF($X46&lt;30,1,0))</formula>
    </cfRule>
    <cfRule type="expression" dxfId="1710" priority="765">
      <formula>AND(IF($Q46=3,1,IF($Q46=4,1,0)),IF($F46&lt;=85,1,0))</formula>
    </cfRule>
  </conditionalFormatting>
  <conditionalFormatting sqref="X46">
    <cfRule type="expression" dxfId="1709" priority="758">
      <formula>AND(IF(OR($Q46=1,$Q46=2),1,0),IF($X46&lt;=20,1,0))</formula>
    </cfRule>
    <cfRule type="expression" dxfId="1708" priority="759">
      <formula>AND(IF($Q46=2,1,0),IF($X46&lt;30,1,0))</formula>
    </cfRule>
    <cfRule type="expression" dxfId="1707" priority="760">
      <formula>AND(IF($Q46=3,1,0),IF($X46&lt;30,1,0))</formula>
    </cfRule>
    <cfRule type="expression" dxfId="1706" priority="761">
      <formula>AND(IF($Q46=3,1,IF($Q46=4,1,0)),IF($F46&lt;=85,1,0))</formula>
    </cfRule>
  </conditionalFormatting>
  <conditionalFormatting sqref="AI46">
    <cfRule type="expression" dxfId="1705" priority="754">
      <formula>AND(IF(OR($Q46=1,$Q46=2),1,0),IF($X46&lt;=20,1,0))</formula>
    </cfRule>
    <cfRule type="expression" dxfId="1704" priority="755">
      <formula>AND(IF($Q46=2,1,0),IF($X46&lt;30,1,0))</formula>
    </cfRule>
    <cfRule type="expression" dxfId="1703" priority="756">
      <formula>AND(IF($Q46=3,1,0),IF($X46&lt;30,1,0))</formula>
    </cfRule>
    <cfRule type="expression" dxfId="1702" priority="757">
      <formula>AND(IF($Q46=3,1,IF($Q46=4,1,0)),IF($F46&lt;=85,1,0))</formula>
    </cfRule>
  </conditionalFormatting>
  <conditionalFormatting sqref="AV47">
    <cfRule type="expression" dxfId="1701" priority="752">
      <formula>AV47="X"</formula>
    </cfRule>
    <cfRule type="expression" dxfId="1700" priority="753">
      <formula>AV47="후보"</formula>
    </cfRule>
  </conditionalFormatting>
  <conditionalFormatting sqref="AC47">
    <cfRule type="cellIs" dxfId="1699" priority="749" operator="greaterThan">
      <formula>0.9</formula>
    </cfRule>
    <cfRule type="cellIs" dxfId="1698" priority="750" operator="greaterThan">
      <formula>0.85</formula>
    </cfRule>
  </conditionalFormatting>
  <conditionalFormatting sqref="N47">
    <cfRule type="cellIs" dxfId="1697" priority="747" operator="greaterThan">
      <formula>0.9</formula>
    </cfRule>
    <cfRule type="cellIs" dxfId="1696" priority="748" operator="greaterThan">
      <formula>0.85</formula>
    </cfRule>
  </conditionalFormatting>
  <conditionalFormatting sqref="E47">
    <cfRule type="expression" dxfId="1695" priority="743">
      <formula>AND(IF(OR($Q47=1,$Q47=2),1,0),IF($X47&lt;=20,1,0))</formula>
    </cfRule>
    <cfRule type="expression" dxfId="1694" priority="744">
      <formula>AND(IF($Q47=2,1,0),IF($X47&lt;30,1,0))</formula>
    </cfRule>
    <cfRule type="expression" dxfId="1693" priority="745">
      <formula>AND(IF($Q47=3,1,0),IF($X47&lt;30,1,0))</formula>
    </cfRule>
    <cfRule type="expression" dxfId="1692" priority="746">
      <formula>AND(IF($Q47=3,1,IF($Q47=4,1,0)),IF($F47&lt;=85,1,0))</formula>
    </cfRule>
  </conditionalFormatting>
  <conditionalFormatting sqref="X47">
    <cfRule type="expression" dxfId="1691" priority="739">
      <formula>AND(IF(OR($Q47=1,$Q47=2),1,0),IF($X47&lt;=20,1,0))</formula>
    </cfRule>
    <cfRule type="expression" dxfId="1690" priority="740">
      <formula>AND(IF($Q47=2,1,0),IF($X47&lt;30,1,0))</formula>
    </cfRule>
    <cfRule type="expression" dxfId="1689" priority="741">
      <formula>AND(IF($Q47=3,1,0),IF($X47&lt;30,1,0))</formula>
    </cfRule>
    <cfRule type="expression" dxfId="1688" priority="742">
      <formula>AND(IF($Q47=3,1,IF($Q47=4,1,0)),IF($F47&lt;=85,1,0))</formula>
    </cfRule>
  </conditionalFormatting>
  <conditionalFormatting sqref="AI47">
    <cfRule type="expression" dxfId="1687" priority="735">
      <formula>AND(IF(OR($Q47=1,$Q47=2),1,0),IF($X47&lt;=20,1,0))</formula>
    </cfRule>
    <cfRule type="expression" dxfId="1686" priority="736">
      <formula>AND(IF($Q47=2,1,0),IF($X47&lt;30,1,0))</formula>
    </cfRule>
    <cfRule type="expression" dxfId="1685" priority="737">
      <formula>AND(IF($Q47=3,1,0),IF($X47&lt;30,1,0))</formula>
    </cfRule>
    <cfRule type="expression" dxfId="1684" priority="738">
      <formula>AND(IF($Q47=3,1,IF($Q47=4,1,0)),IF($F47&lt;=85,1,0))</formula>
    </cfRule>
  </conditionalFormatting>
  <conditionalFormatting sqref="AV48">
    <cfRule type="expression" dxfId="1683" priority="733">
      <formula>AV48="X"</formula>
    </cfRule>
    <cfRule type="expression" dxfId="1682" priority="734">
      <formula>AV48="후보"</formula>
    </cfRule>
  </conditionalFormatting>
  <conditionalFormatting sqref="AC48 N48">
    <cfRule type="cellIs" dxfId="1681" priority="730" operator="greaterThan">
      <formula>0.9</formula>
    </cfRule>
    <cfRule type="cellIs" dxfId="1680" priority="731" operator="greaterThan">
      <formula>0.85</formula>
    </cfRule>
  </conditionalFormatting>
  <conditionalFormatting sqref="AV49">
    <cfRule type="expression" dxfId="1679" priority="728">
      <formula>AV49="X"</formula>
    </cfRule>
    <cfRule type="expression" dxfId="1678" priority="729">
      <formula>AV49="후보"</formula>
    </cfRule>
  </conditionalFormatting>
  <conditionalFormatting sqref="AC49">
    <cfRule type="cellIs" dxfId="1677" priority="725" operator="greaterThan">
      <formula>0.9</formula>
    </cfRule>
    <cfRule type="cellIs" dxfId="1676" priority="726" operator="greaterThan">
      <formula>0.85</formula>
    </cfRule>
  </conditionalFormatting>
  <conditionalFormatting sqref="N49">
    <cfRule type="cellIs" dxfId="1675" priority="723" operator="greaterThan">
      <formula>0.9</formula>
    </cfRule>
    <cfRule type="cellIs" dxfId="1674" priority="724" operator="greaterThan">
      <formula>0.85</formula>
    </cfRule>
  </conditionalFormatting>
  <conditionalFormatting sqref="E49">
    <cfRule type="expression" dxfId="1673" priority="719">
      <formula>AND(IF(OR($Q49=1,$Q49=2),1,0),IF($X49&lt;=20,1,0))</formula>
    </cfRule>
    <cfRule type="expression" dxfId="1672" priority="720">
      <formula>AND(IF($Q49=2,1,0),IF($X49&lt;30,1,0))</formula>
    </cfRule>
    <cfRule type="expression" dxfId="1671" priority="721">
      <formula>AND(IF($Q49=3,1,0),IF($X49&lt;30,1,0))</formula>
    </cfRule>
    <cfRule type="expression" dxfId="1670" priority="722">
      <formula>AND(IF($Q49=3,1,IF($Q49=4,1,0)),IF($F49&lt;=85,1,0))</formula>
    </cfRule>
  </conditionalFormatting>
  <conditionalFormatting sqref="X49">
    <cfRule type="expression" dxfId="1669" priority="715">
      <formula>AND(IF(OR($Q49=1,$Q49=2),1,0),IF($X49&lt;=20,1,0))</formula>
    </cfRule>
    <cfRule type="expression" dxfId="1668" priority="716">
      <formula>AND(IF($Q49=2,1,0),IF($X49&lt;30,1,0))</formula>
    </cfRule>
    <cfRule type="expression" dxfId="1667" priority="717">
      <formula>AND(IF($Q49=3,1,0),IF($X49&lt;30,1,0))</formula>
    </cfRule>
    <cfRule type="expression" dxfId="1666" priority="718">
      <formula>AND(IF($Q49=3,1,IF($Q49=4,1,0)),IF($F49&lt;=85,1,0))</formula>
    </cfRule>
  </conditionalFormatting>
  <conditionalFormatting sqref="AI49">
    <cfRule type="expression" dxfId="1665" priority="711">
      <formula>AND(IF(OR($Q49=1,$Q49=2),1,0),IF($X49&lt;=20,1,0))</formula>
    </cfRule>
    <cfRule type="expression" dxfId="1664" priority="712">
      <formula>AND(IF($Q49=2,1,0),IF($X49&lt;30,1,0))</formula>
    </cfRule>
    <cfRule type="expression" dxfId="1663" priority="713">
      <formula>AND(IF($Q49=3,1,0),IF($X49&lt;30,1,0))</formula>
    </cfRule>
    <cfRule type="expression" dxfId="1662" priority="714">
      <formula>AND(IF($Q49=3,1,IF($Q49=4,1,0)),IF($F49&lt;=85,1,0))</formula>
    </cfRule>
  </conditionalFormatting>
  <conditionalFormatting sqref="AV50">
    <cfRule type="expression" dxfId="1661" priority="709">
      <formula>AV50="X"</formula>
    </cfRule>
    <cfRule type="expression" dxfId="1660" priority="710">
      <formula>AV50="후보"</formula>
    </cfRule>
  </conditionalFormatting>
  <conditionalFormatting sqref="AC50">
    <cfRule type="cellIs" dxfId="1659" priority="706" operator="greaterThan">
      <formula>0.9</formula>
    </cfRule>
    <cfRule type="cellIs" dxfId="1658" priority="707" operator="greaterThan">
      <formula>0.85</formula>
    </cfRule>
  </conditionalFormatting>
  <conditionalFormatting sqref="N50">
    <cfRule type="cellIs" dxfId="1657" priority="704" operator="greaterThan">
      <formula>0.9</formula>
    </cfRule>
    <cfRule type="cellIs" dxfId="1656" priority="705" operator="greaterThan">
      <formula>0.85</formula>
    </cfRule>
  </conditionalFormatting>
  <conditionalFormatting sqref="E50">
    <cfRule type="expression" dxfId="1655" priority="700">
      <formula>AND(IF(OR($Q50=1,$Q50=2),1,0),IF($X50&lt;=20,1,0))</formula>
    </cfRule>
    <cfRule type="expression" dxfId="1654" priority="701">
      <formula>AND(IF($Q50=2,1,0),IF($X50&lt;30,1,0))</formula>
    </cfRule>
    <cfRule type="expression" dxfId="1653" priority="702">
      <formula>AND(IF($Q50=3,1,0),IF($X50&lt;30,1,0))</formula>
    </cfRule>
    <cfRule type="expression" dxfId="1652" priority="703">
      <formula>AND(IF($Q50=3,1,IF($Q50=4,1,0)),IF($F50&lt;=85,1,0))</formula>
    </cfRule>
  </conditionalFormatting>
  <conditionalFormatting sqref="X50">
    <cfRule type="expression" dxfId="1651" priority="696">
      <formula>AND(IF(OR($Q50=1,$Q50=2),1,0),IF($X50&lt;=20,1,0))</formula>
    </cfRule>
    <cfRule type="expression" dxfId="1650" priority="697">
      <formula>AND(IF($Q50=2,1,0),IF($X50&lt;30,1,0))</formula>
    </cfRule>
    <cfRule type="expression" dxfId="1649" priority="698">
      <formula>AND(IF($Q50=3,1,0),IF($X50&lt;30,1,0))</formula>
    </cfRule>
    <cfRule type="expression" dxfId="1648" priority="699">
      <formula>AND(IF($Q50=3,1,IF($Q50=4,1,0)),IF($F50&lt;=85,1,0))</formula>
    </cfRule>
  </conditionalFormatting>
  <conditionalFormatting sqref="AI50">
    <cfRule type="expression" dxfId="1647" priority="692">
      <formula>AND(IF(OR($Q50=1,$Q50=2),1,0),IF($X50&lt;=20,1,0))</formula>
    </cfRule>
    <cfRule type="expression" dxfId="1646" priority="693">
      <formula>AND(IF($Q50=2,1,0),IF($X50&lt;30,1,0))</formula>
    </cfRule>
    <cfRule type="expression" dxfId="1645" priority="694">
      <formula>AND(IF($Q50=3,1,0),IF($X50&lt;30,1,0))</formula>
    </cfRule>
    <cfRule type="expression" dxfId="1644" priority="695">
      <formula>AND(IF($Q50=3,1,IF($Q50=4,1,0)),IF($F50&lt;=85,1,0))</formula>
    </cfRule>
  </conditionalFormatting>
  <conditionalFormatting sqref="AV51">
    <cfRule type="expression" dxfId="1643" priority="690">
      <formula>AV51="X"</formula>
    </cfRule>
    <cfRule type="expression" dxfId="1642" priority="691">
      <formula>AV51="후보"</formula>
    </cfRule>
  </conditionalFormatting>
  <conditionalFormatting sqref="AC51">
    <cfRule type="cellIs" dxfId="1641" priority="687" operator="greaterThan">
      <formula>0.9</formula>
    </cfRule>
    <cfRule type="cellIs" dxfId="1640" priority="688" operator="greaterThan">
      <formula>0.85</formula>
    </cfRule>
  </conditionalFormatting>
  <conditionalFormatting sqref="N51">
    <cfRule type="cellIs" dxfId="1639" priority="685" operator="greaterThan">
      <formula>0.9</formula>
    </cfRule>
    <cfRule type="cellIs" dxfId="1638" priority="686" operator="greaterThan">
      <formula>0.85</formula>
    </cfRule>
  </conditionalFormatting>
  <conditionalFormatting sqref="E51">
    <cfRule type="expression" dxfId="1637" priority="681">
      <formula>AND(IF(OR($Q51=1,$Q51=2),1,0),IF($X51&lt;=20,1,0))</formula>
    </cfRule>
    <cfRule type="expression" dxfId="1636" priority="682">
      <formula>AND(IF($Q51=2,1,0),IF($X51&lt;30,1,0))</formula>
    </cfRule>
    <cfRule type="expression" dxfId="1635" priority="683">
      <formula>AND(IF($Q51=3,1,0),IF($X51&lt;30,1,0))</formula>
    </cfRule>
    <cfRule type="expression" dxfId="1634" priority="684">
      <formula>AND(IF($Q51=3,1,IF($Q51=4,1,0)),IF($F51&lt;=85,1,0))</formula>
    </cfRule>
  </conditionalFormatting>
  <conditionalFormatting sqref="X51">
    <cfRule type="expression" dxfId="1633" priority="677">
      <formula>AND(IF(OR($Q51=1,$Q51=2),1,0),IF($X51&lt;=20,1,0))</formula>
    </cfRule>
    <cfRule type="expression" dxfId="1632" priority="678">
      <formula>AND(IF($Q51=2,1,0),IF($X51&lt;30,1,0))</formula>
    </cfRule>
    <cfRule type="expression" dxfId="1631" priority="679">
      <formula>AND(IF($Q51=3,1,0),IF($X51&lt;30,1,0))</formula>
    </cfRule>
    <cfRule type="expression" dxfId="1630" priority="680">
      <formula>AND(IF($Q51=3,1,IF($Q51=4,1,0)),IF($F51&lt;=85,1,0))</formula>
    </cfRule>
  </conditionalFormatting>
  <conditionalFormatting sqref="AI51">
    <cfRule type="expression" dxfId="1629" priority="673">
      <formula>AND(IF(OR($Q51=1,$Q51=2),1,0),IF($X51&lt;=20,1,0))</formula>
    </cfRule>
    <cfRule type="expression" dxfId="1628" priority="674">
      <formula>AND(IF($Q51=2,1,0),IF($X51&lt;30,1,0))</formula>
    </cfRule>
    <cfRule type="expression" dxfId="1627" priority="675">
      <formula>AND(IF($Q51=3,1,0),IF($X51&lt;30,1,0))</formula>
    </cfRule>
    <cfRule type="expression" dxfId="1626" priority="676">
      <formula>AND(IF($Q51=3,1,IF($Q51=4,1,0)),IF($F51&lt;=85,1,0))</formula>
    </cfRule>
  </conditionalFormatting>
  <conditionalFormatting sqref="AV52">
    <cfRule type="expression" dxfId="1625" priority="671">
      <formula>AV52="X"</formula>
    </cfRule>
    <cfRule type="expression" dxfId="1624" priority="672">
      <formula>AV52="후보"</formula>
    </cfRule>
  </conditionalFormatting>
  <conditionalFormatting sqref="AC52 N52">
    <cfRule type="cellIs" dxfId="1623" priority="668" operator="greaterThan">
      <formula>0.9</formula>
    </cfRule>
    <cfRule type="cellIs" dxfId="1622" priority="669" operator="greaterThan">
      <formula>0.85</formula>
    </cfRule>
  </conditionalFormatting>
  <conditionalFormatting sqref="AV53">
    <cfRule type="expression" dxfId="1621" priority="666">
      <formula>AV53="X"</formula>
    </cfRule>
    <cfRule type="expression" dxfId="1620" priority="667">
      <formula>AV53="후보"</formula>
    </cfRule>
  </conditionalFormatting>
  <conditionalFormatting sqref="AC53">
    <cfRule type="cellIs" dxfId="1619" priority="663" operator="greaterThan">
      <formula>0.9</formula>
    </cfRule>
    <cfRule type="cellIs" dxfId="1618" priority="664" operator="greaterThan">
      <formula>0.85</formula>
    </cfRule>
  </conditionalFormatting>
  <conditionalFormatting sqref="N53">
    <cfRule type="cellIs" dxfId="1617" priority="661" operator="greaterThan">
      <formula>0.9</formula>
    </cfRule>
    <cfRule type="cellIs" dxfId="1616" priority="662" operator="greaterThan">
      <formula>0.85</formula>
    </cfRule>
  </conditionalFormatting>
  <conditionalFormatting sqref="E53">
    <cfRule type="expression" dxfId="1615" priority="657">
      <formula>AND(IF(OR($Q53=1,$Q53=2),1,0),IF($X53&lt;=20,1,0))</formula>
    </cfRule>
    <cfRule type="expression" dxfId="1614" priority="658">
      <formula>AND(IF($Q53=2,1,0),IF($X53&lt;30,1,0))</formula>
    </cfRule>
    <cfRule type="expression" dxfId="1613" priority="659">
      <formula>AND(IF($Q53=3,1,0),IF($X53&lt;30,1,0))</formula>
    </cfRule>
    <cfRule type="expression" dxfId="1612" priority="660">
      <formula>AND(IF($Q53=3,1,IF($Q53=4,1,0)),IF($F53&lt;=85,1,0))</formula>
    </cfRule>
  </conditionalFormatting>
  <conditionalFormatting sqref="X53">
    <cfRule type="expression" dxfId="1611" priority="653">
      <formula>AND(IF(OR($Q53=1,$Q53=2),1,0),IF($X53&lt;=20,1,0))</formula>
    </cfRule>
    <cfRule type="expression" dxfId="1610" priority="654">
      <formula>AND(IF($Q53=2,1,0),IF($X53&lt;30,1,0))</formula>
    </cfRule>
    <cfRule type="expression" dxfId="1609" priority="655">
      <formula>AND(IF($Q53=3,1,0),IF($X53&lt;30,1,0))</formula>
    </cfRule>
    <cfRule type="expression" dxfId="1608" priority="656">
      <formula>AND(IF($Q53=3,1,IF($Q53=4,1,0)),IF($F53&lt;=85,1,0))</formula>
    </cfRule>
  </conditionalFormatting>
  <conditionalFormatting sqref="AI53">
    <cfRule type="expression" dxfId="1607" priority="649">
      <formula>AND(IF(OR($Q53=1,$Q53=2),1,0),IF($X53&lt;=20,1,0))</formula>
    </cfRule>
    <cfRule type="expression" dxfId="1606" priority="650">
      <formula>AND(IF($Q53=2,1,0),IF($X53&lt;30,1,0))</formula>
    </cfRule>
    <cfRule type="expression" dxfId="1605" priority="651">
      <formula>AND(IF($Q53=3,1,0),IF($X53&lt;30,1,0))</formula>
    </cfRule>
    <cfRule type="expression" dxfId="1604" priority="652">
      <formula>AND(IF($Q53=3,1,IF($Q53=4,1,0)),IF($F53&lt;=85,1,0))</formula>
    </cfRule>
  </conditionalFormatting>
  <conditionalFormatting sqref="AV54">
    <cfRule type="expression" dxfId="1603" priority="647">
      <formula>AV54="X"</formula>
    </cfRule>
    <cfRule type="expression" dxfId="1602" priority="648">
      <formula>AV54="후보"</formula>
    </cfRule>
  </conditionalFormatting>
  <conditionalFormatting sqref="AC54">
    <cfRule type="cellIs" dxfId="1601" priority="644" operator="greaterThan">
      <formula>0.9</formula>
    </cfRule>
    <cfRule type="cellIs" dxfId="1600" priority="645" operator="greaterThan">
      <formula>0.85</formula>
    </cfRule>
  </conditionalFormatting>
  <conditionalFormatting sqref="N54">
    <cfRule type="cellIs" dxfId="1599" priority="642" operator="greaterThan">
      <formula>0.9</formula>
    </cfRule>
    <cfRule type="cellIs" dxfId="1598" priority="643" operator="greaterThan">
      <formula>0.85</formula>
    </cfRule>
  </conditionalFormatting>
  <conditionalFormatting sqref="E54">
    <cfRule type="expression" dxfId="1597" priority="638">
      <formula>AND(IF(OR($Q54=1,$Q54=2),1,0),IF($X54&lt;=20,1,0))</formula>
    </cfRule>
    <cfRule type="expression" dxfId="1596" priority="639">
      <formula>AND(IF($Q54=2,1,0),IF($X54&lt;30,1,0))</formula>
    </cfRule>
    <cfRule type="expression" dxfId="1595" priority="640">
      <formula>AND(IF($Q54=3,1,0),IF($X54&lt;30,1,0))</formula>
    </cfRule>
    <cfRule type="expression" dxfId="1594" priority="641">
      <formula>AND(IF($Q54=3,1,IF($Q54=4,1,0)),IF($F54&lt;=85,1,0))</formula>
    </cfRule>
  </conditionalFormatting>
  <conditionalFormatting sqref="X54">
    <cfRule type="expression" dxfId="1593" priority="634">
      <formula>AND(IF(OR($Q54=1,$Q54=2),1,0),IF($X54&lt;=20,1,0))</formula>
    </cfRule>
    <cfRule type="expression" dxfId="1592" priority="635">
      <formula>AND(IF($Q54=2,1,0),IF($X54&lt;30,1,0))</formula>
    </cfRule>
    <cfRule type="expression" dxfId="1591" priority="636">
      <formula>AND(IF($Q54=3,1,0),IF($X54&lt;30,1,0))</formula>
    </cfRule>
    <cfRule type="expression" dxfId="1590" priority="637">
      <formula>AND(IF($Q54=3,1,IF($Q54=4,1,0)),IF($F54&lt;=85,1,0))</formula>
    </cfRule>
  </conditionalFormatting>
  <conditionalFormatting sqref="AI54">
    <cfRule type="expression" dxfId="1589" priority="630">
      <formula>AND(IF(OR($Q54=1,$Q54=2),1,0),IF($X54&lt;=20,1,0))</formula>
    </cfRule>
    <cfRule type="expression" dxfId="1588" priority="631">
      <formula>AND(IF($Q54=2,1,0),IF($X54&lt;30,1,0))</formula>
    </cfRule>
    <cfRule type="expression" dxfId="1587" priority="632">
      <formula>AND(IF($Q54=3,1,0),IF($X54&lt;30,1,0))</formula>
    </cfRule>
    <cfRule type="expression" dxfId="1586" priority="633">
      <formula>AND(IF($Q54=3,1,IF($Q54=4,1,0)),IF($F54&lt;=85,1,0))</formula>
    </cfRule>
  </conditionalFormatting>
  <conditionalFormatting sqref="AV55">
    <cfRule type="expression" dxfId="1585" priority="628">
      <formula>AV55="X"</formula>
    </cfRule>
    <cfRule type="expression" dxfId="1584" priority="629">
      <formula>AV55="후보"</formula>
    </cfRule>
  </conditionalFormatting>
  <conditionalFormatting sqref="AC55">
    <cfRule type="cellIs" dxfId="1583" priority="625" operator="greaterThan">
      <formula>0.9</formula>
    </cfRule>
    <cfRule type="cellIs" dxfId="1582" priority="626" operator="greaterThan">
      <formula>0.85</formula>
    </cfRule>
  </conditionalFormatting>
  <conditionalFormatting sqref="N55">
    <cfRule type="cellIs" dxfId="1581" priority="623" operator="greaterThan">
      <formula>0.9</formula>
    </cfRule>
    <cfRule type="cellIs" dxfId="1580" priority="624" operator="greaterThan">
      <formula>0.85</formula>
    </cfRule>
  </conditionalFormatting>
  <conditionalFormatting sqref="E55">
    <cfRule type="expression" dxfId="1579" priority="619">
      <formula>AND(IF(OR($Q55=1,$Q55=2),1,0),IF($X55&lt;=20,1,0))</formula>
    </cfRule>
    <cfRule type="expression" dxfId="1578" priority="620">
      <formula>AND(IF($Q55=2,1,0),IF($X55&lt;30,1,0))</formula>
    </cfRule>
    <cfRule type="expression" dxfId="1577" priority="621">
      <formula>AND(IF($Q55=3,1,0),IF($X55&lt;30,1,0))</formula>
    </cfRule>
    <cfRule type="expression" dxfId="1576" priority="622">
      <formula>AND(IF($Q55=3,1,IF($Q55=4,1,0)),IF($F55&lt;=85,1,0))</formula>
    </cfRule>
  </conditionalFormatting>
  <conditionalFormatting sqref="X55">
    <cfRule type="expression" dxfId="1575" priority="615">
      <formula>AND(IF(OR($Q55=1,$Q55=2),1,0),IF($X55&lt;=20,1,0))</formula>
    </cfRule>
    <cfRule type="expression" dxfId="1574" priority="616">
      <formula>AND(IF($Q55=2,1,0),IF($X55&lt;30,1,0))</formula>
    </cfRule>
    <cfRule type="expression" dxfId="1573" priority="617">
      <formula>AND(IF($Q55=3,1,0),IF($X55&lt;30,1,0))</formula>
    </cfRule>
    <cfRule type="expression" dxfId="1572" priority="618">
      <formula>AND(IF($Q55=3,1,IF($Q55=4,1,0)),IF($F55&lt;=85,1,0))</formula>
    </cfRule>
  </conditionalFormatting>
  <conditionalFormatting sqref="AI55">
    <cfRule type="expression" dxfId="1571" priority="611">
      <formula>AND(IF(OR($Q55=1,$Q55=2),1,0),IF($X55&lt;=20,1,0))</formula>
    </cfRule>
    <cfRule type="expression" dxfId="1570" priority="612">
      <formula>AND(IF($Q55=2,1,0),IF($X55&lt;30,1,0))</formula>
    </cfRule>
    <cfRule type="expression" dxfId="1569" priority="613">
      <formula>AND(IF($Q55=3,1,0),IF($X55&lt;30,1,0))</formula>
    </cfRule>
    <cfRule type="expression" dxfId="1568" priority="614">
      <formula>AND(IF($Q55=3,1,IF($Q55=4,1,0)),IF($F55&lt;=85,1,0))</formula>
    </cfRule>
  </conditionalFormatting>
  <conditionalFormatting sqref="AV56">
    <cfRule type="expression" dxfId="1567" priority="609">
      <formula>AV56="X"</formula>
    </cfRule>
    <cfRule type="expression" dxfId="1566" priority="610">
      <formula>AV56="후보"</formula>
    </cfRule>
  </conditionalFormatting>
  <conditionalFormatting sqref="AC56 N56">
    <cfRule type="cellIs" dxfId="1565" priority="606" operator="greaterThan">
      <formula>0.9</formula>
    </cfRule>
    <cfRule type="cellIs" dxfId="1564" priority="607" operator="greaterThan">
      <formula>0.85</formula>
    </cfRule>
  </conditionalFormatting>
  <conditionalFormatting sqref="AV57">
    <cfRule type="expression" dxfId="1563" priority="604">
      <formula>AV57="X"</formula>
    </cfRule>
    <cfRule type="expression" dxfId="1562" priority="605">
      <formula>AV57="후보"</formula>
    </cfRule>
  </conditionalFormatting>
  <conditionalFormatting sqref="AC57">
    <cfRule type="cellIs" dxfId="1561" priority="601" operator="greaterThan">
      <formula>0.9</formula>
    </cfRule>
    <cfRule type="cellIs" dxfId="1560" priority="602" operator="greaterThan">
      <formula>0.85</formula>
    </cfRule>
  </conditionalFormatting>
  <conditionalFormatting sqref="N57">
    <cfRule type="cellIs" dxfId="1559" priority="599" operator="greaterThan">
      <formula>0.9</formula>
    </cfRule>
    <cfRule type="cellIs" dxfId="1558" priority="600" operator="greaterThan">
      <formula>0.85</formula>
    </cfRule>
  </conditionalFormatting>
  <conditionalFormatting sqref="E57">
    <cfRule type="expression" dxfId="1557" priority="595">
      <formula>AND(IF(OR($Q57=1,$Q57=2),1,0),IF($X57&lt;=20,1,0))</formula>
    </cfRule>
    <cfRule type="expression" dxfId="1556" priority="596">
      <formula>AND(IF($Q57=2,1,0),IF($X57&lt;30,1,0))</formula>
    </cfRule>
    <cfRule type="expression" dxfId="1555" priority="597">
      <formula>AND(IF($Q57=3,1,0),IF($X57&lt;30,1,0))</formula>
    </cfRule>
    <cfRule type="expression" dxfId="1554" priority="598">
      <formula>AND(IF($Q57=3,1,IF($Q57=4,1,0)),IF($F57&lt;=85,1,0))</formula>
    </cfRule>
  </conditionalFormatting>
  <conditionalFormatting sqref="X57">
    <cfRule type="expression" dxfId="1553" priority="591">
      <formula>AND(IF(OR($Q57=1,$Q57=2),1,0),IF($X57&lt;=20,1,0))</formula>
    </cfRule>
    <cfRule type="expression" dxfId="1552" priority="592">
      <formula>AND(IF($Q57=2,1,0),IF($X57&lt;30,1,0))</formula>
    </cfRule>
    <cfRule type="expression" dxfId="1551" priority="593">
      <formula>AND(IF($Q57=3,1,0),IF($X57&lt;30,1,0))</formula>
    </cfRule>
    <cfRule type="expression" dxfId="1550" priority="594">
      <formula>AND(IF($Q57=3,1,IF($Q57=4,1,0)),IF($F57&lt;=85,1,0))</formula>
    </cfRule>
  </conditionalFormatting>
  <conditionalFormatting sqref="AI57">
    <cfRule type="expression" dxfId="1549" priority="587">
      <formula>AND(IF(OR($Q57=1,$Q57=2),1,0),IF($X57&lt;=20,1,0))</formula>
    </cfRule>
    <cfRule type="expression" dxfId="1548" priority="588">
      <formula>AND(IF($Q57=2,1,0),IF($X57&lt;30,1,0))</formula>
    </cfRule>
    <cfRule type="expression" dxfId="1547" priority="589">
      <formula>AND(IF($Q57=3,1,0),IF($X57&lt;30,1,0))</formula>
    </cfRule>
    <cfRule type="expression" dxfId="1546" priority="590">
      <formula>AND(IF($Q57=3,1,IF($Q57=4,1,0)),IF($F57&lt;=85,1,0))</formula>
    </cfRule>
  </conditionalFormatting>
  <conditionalFormatting sqref="AV58">
    <cfRule type="expression" dxfId="1545" priority="585">
      <formula>AV58="X"</formula>
    </cfRule>
    <cfRule type="expression" dxfId="1544" priority="586">
      <formula>AV58="후보"</formula>
    </cfRule>
  </conditionalFormatting>
  <conditionalFormatting sqref="AC58">
    <cfRule type="cellIs" dxfId="1543" priority="582" operator="greaterThan">
      <formula>0.9</formula>
    </cfRule>
    <cfRule type="cellIs" dxfId="1542" priority="583" operator="greaterThan">
      <formula>0.85</formula>
    </cfRule>
  </conditionalFormatting>
  <conditionalFormatting sqref="N58">
    <cfRule type="cellIs" dxfId="1541" priority="580" operator="greaterThan">
      <formula>0.9</formula>
    </cfRule>
    <cfRule type="cellIs" dxfId="1540" priority="581" operator="greaterThan">
      <formula>0.85</formula>
    </cfRule>
  </conditionalFormatting>
  <conditionalFormatting sqref="E58">
    <cfRule type="expression" dxfId="1539" priority="576">
      <formula>AND(IF(OR($Q58=1,$Q58=2),1,0),IF($X58&lt;=20,1,0))</formula>
    </cfRule>
    <cfRule type="expression" dxfId="1538" priority="577">
      <formula>AND(IF($Q58=2,1,0),IF($X58&lt;30,1,0))</formula>
    </cfRule>
    <cfRule type="expression" dxfId="1537" priority="578">
      <formula>AND(IF($Q58=3,1,0),IF($X58&lt;30,1,0))</formula>
    </cfRule>
    <cfRule type="expression" dxfId="1536" priority="579">
      <formula>AND(IF($Q58=3,1,IF($Q58=4,1,0)),IF($F58&lt;=85,1,0))</formula>
    </cfRule>
  </conditionalFormatting>
  <conditionalFormatting sqref="X58">
    <cfRule type="expression" dxfId="1535" priority="572">
      <formula>AND(IF(OR($Q58=1,$Q58=2),1,0),IF($X58&lt;=20,1,0))</formula>
    </cfRule>
    <cfRule type="expression" dxfId="1534" priority="573">
      <formula>AND(IF($Q58=2,1,0),IF($X58&lt;30,1,0))</formula>
    </cfRule>
    <cfRule type="expression" dxfId="1533" priority="574">
      <formula>AND(IF($Q58=3,1,0),IF($X58&lt;30,1,0))</formula>
    </cfRule>
    <cfRule type="expression" dxfId="1532" priority="575">
      <formula>AND(IF($Q58=3,1,IF($Q58=4,1,0)),IF($F58&lt;=85,1,0))</formula>
    </cfRule>
  </conditionalFormatting>
  <conditionalFormatting sqref="AI58">
    <cfRule type="expression" dxfId="1531" priority="568">
      <formula>AND(IF(OR($Q58=1,$Q58=2),1,0),IF($X58&lt;=20,1,0))</formula>
    </cfRule>
    <cfRule type="expression" dxfId="1530" priority="569">
      <formula>AND(IF($Q58=2,1,0),IF($X58&lt;30,1,0))</formula>
    </cfRule>
    <cfRule type="expression" dxfId="1529" priority="570">
      <formula>AND(IF($Q58=3,1,0),IF($X58&lt;30,1,0))</formula>
    </cfRule>
    <cfRule type="expression" dxfId="1528" priority="571">
      <formula>AND(IF($Q58=3,1,IF($Q58=4,1,0)),IF($F58&lt;=85,1,0))</formula>
    </cfRule>
  </conditionalFormatting>
  <conditionalFormatting sqref="AV59">
    <cfRule type="expression" dxfId="1527" priority="566">
      <formula>AV59="X"</formula>
    </cfRule>
    <cfRule type="expression" dxfId="1526" priority="567">
      <formula>AV59="후보"</formula>
    </cfRule>
  </conditionalFormatting>
  <conditionalFormatting sqref="AC59">
    <cfRule type="cellIs" dxfId="1525" priority="563" operator="greaterThan">
      <formula>0.9</formula>
    </cfRule>
    <cfRule type="cellIs" dxfId="1524" priority="564" operator="greaterThan">
      <formula>0.85</formula>
    </cfRule>
  </conditionalFormatting>
  <conditionalFormatting sqref="N59">
    <cfRule type="cellIs" dxfId="1523" priority="561" operator="greaterThan">
      <formula>0.9</formula>
    </cfRule>
    <cfRule type="cellIs" dxfId="1522" priority="562" operator="greaterThan">
      <formula>0.85</formula>
    </cfRule>
  </conditionalFormatting>
  <conditionalFormatting sqref="E59">
    <cfRule type="expression" dxfId="1521" priority="557">
      <formula>AND(IF(OR($Q59=1,$Q59=2),1,0),IF($X59&lt;=20,1,0))</formula>
    </cfRule>
    <cfRule type="expression" dxfId="1520" priority="558">
      <formula>AND(IF($Q59=2,1,0),IF($X59&lt;30,1,0))</formula>
    </cfRule>
    <cfRule type="expression" dxfId="1519" priority="559">
      <formula>AND(IF($Q59=3,1,0),IF($X59&lt;30,1,0))</formula>
    </cfRule>
    <cfRule type="expression" dxfId="1518" priority="560">
      <formula>AND(IF($Q59=3,1,IF($Q59=4,1,0)),IF($F59&lt;=85,1,0))</formula>
    </cfRule>
  </conditionalFormatting>
  <conditionalFormatting sqref="X59">
    <cfRule type="expression" dxfId="1517" priority="553">
      <formula>AND(IF(OR($Q59=1,$Q59=2),1,0),IF($X59&lt;=20,1,0))</formula>
    </cfRule>
    <cfRule type="expression" dxfId="1516" priority="554">
      <formula>AND(IF($Q59=2,1,0),IF($X59&lt;30,1,0))</formula>
    </cfRule>
    <cfRule type="expression" dxfId="1515" priority="555">
      <formula>AND(IF($Q59=3,1,0),IF($X59&lt;30,1,0))</formula>
    </cfRule>
    <cfRule type="expression" dxfId="1514" priority="556">
      <formula>AND(IF($Q59=3,1,IF($Q59=4,1,0)),IF($F59&lt;=85,1,0))</formula>
    </cfRule>
  </conditionalFormatting>
  <conditionalFormatting sqref="AI59">
    <cfRule type="expression" dxfId="1513" priority="549">
      <formula>AND(IF(OR($Q59=1,$Q59=2),1,0),IF($X59&lt;=20,1,0))</formula>
    </cfRule>
    <cfRule type="expression" dxfId="1512" priority="550">
      <formula>AND(IF($Q59=2,1,0),IF($X59&lt;30,1,0))</formula>
    </cfRule>
    <cfRule type="expression" dxfId="1511" priority="551">
      <formula>AND(IF($Q59=3,1,0),IF($X59&lt;30,1,0))</formula>
    </cfRule>
    <cfRule type="expression" dxfId="1510" priority="552">
      <formula>AND(IF($Q59=3,1,IF($Q59=4,1,0)),IF($F59&lt;=85,1,0))</formula>
    </cfRule>
  </conditionalFormatting>
  <conditionalFormatting sqref="AV60">
    <cfRule type="expression" dxfId="1509" priority="547">
      <formula>AV60="X"</formula>
    </cfRule>
    <cfRule type="expression" dxfId="1508" priority="548">
      <formula>AV60="후보"</formula>
    </cfRule>
  </conditionalFormatting>
  <conditionalFormatting sqref="AC60 N60">
    <cfRule type="cellIs" dxfId="1507" priority="544" operator="greaterThan">
      <formula>0.9</formula>
    </cfRule>
    <cfRule type="cellIs" dxfId="1506" priority="545" operator="greaterThan">
      <formula>0.85</formula>
    </cfRule>
  </conditionalFormatting>
  <conditionalFormatting sqref="AV61">
    <cfRule type="expression" dxfId="1505" priority="542">
      <formula>AV61="X"</formula>
    </cfRule>
    <cfRule type="expression" dxfId="1504" priority="543">
      <formula>AV61="후보"</formula>
    </cfRule>
  </conditionalFormatting>
  <conditionalFormatting sqref="AC61">
    <cfRule type="cellIs" dxfId="1503" priority="539" operator="greaterThan">
      <formula>0.9</formula>
    </cfRule>
    <cfRule type="cellIs" dxfId="1502" priority="540" operator="greaterThan">
      <formula>0.85</formula>
    </cfRule>
  </conditionalFormatting>
  <conditionalFormatting sqref="N61">
    <cfRule type="cellIs" dxfId="1501" priority="537" operator="greaterThan">
      <formula>0.9</formula>
    </cfRule>
    <cfRule type="cellIs" dxfId="1500" priority="538" operator="greaterThan">
      <formula>0.85</formula>
    </cfRule>
  </conditionalFormatting>
  <conditionalFormatting sqref="E61">
    <cfRule type="expression" dxfId="1499" priority="533">
      <formula>AND(IF(OR($Q61=1,$Q61=2),1,0),IF($X61&lt;=20,1,0))</formula>
    </cfRule>
    <cfRule type="expression" dxfId="1498" priority="534">
      <formula>AND(IF($Q61=2,1,0),IF($X61&lt;30,1,0))</formula>
    </cfRule>
    <cfRule type="expression" dxfId="1497" priority="535">
      <formula>AND(IF($Q61=3,1,0),IF($X61&lt;30,1,0))</formula>
    </cfRule>
    <cfRule type="expression" dxfId="1496" priority="536">
      <formula>AND(IF($Q61=3,1,IF($Q61=4,1,0)),IF($F61&lt;=85,1,0))</formula>
    </cfRule>
  </conditionalFormatting>
  <conditionalFormatting sqref="X61">
    <cfRule type="expression" dxfId="1495" priority="529">
      <formula>AND(IF(OR($Q61=1,$Q61=2),1,0),IF($X61&lt;=20,1,0))</formula>
    </cfRule>
    <cfRule type="expression" dxfId="1494" priority="530">
      <formula>AND(IF($Q61=2,1,0),IF($X61&lt;30,1,0))</formula>
    </cfRule>
    <cfRule type="expression" dxfId="1493" priority="531">
      <formula>AND(IF($Q61=3,1,0),IF($X61&lt;30,1,0))</formula>
    </cfRule>
    <cfRule type="expression" dxfId="1492" priority="532">
      <formula>AND(IF($Q61=3,1,IF($Q61=4,1,0)),IF($F61&lt;=85,1,0))</formula>
    </cfRule>
  </conditionalFormatting>
  <conditionalFormatting sqref="AI61">
    <cfRule type="expression" dxfId="1491" priority="525">
      <formula>AND(IF(OR($Q61=1,$Q61=2),1,0),IF($X61&lt;=20,1,0))</formula>
    </cfRule>
    <cfRule type="expression" dxfId="1490" priority="526">
      <formula>AND(IF($Q61=2,1,0),IF($X61&lt;30,1,0))</formula>
    </cfRule>
    <cfRule type="expression" dxfId="1489" priority="527">
      <formula>AND(IF($Q61=3,1,0),IF($X61&lt;30,1,0))</formula>
    </cfRule>
    <cfRule type="expression" dxfId="1488" priority="528">
      <formula>AND(IF($Q61=3,1,IF($Q61=4,1,0)),IF($F61&lt;=85,1,0))</formula>
    </cfRule>
  </conditionalFormatting>
  <conditionalFormatting sqref="AV62">
    <cfRule type="expression" dxfId="1487" priority="523">
      <formula>AV62="X"</formula>
    </cfRule>
    <cfRule type="expression" dxfId="1486" priority="524">
      <formula>AV62="후보"</formula>
    </cfRule>
  </conditionalFormatting>
  <conditionalFormatting sqref="AC62">
    <cfRule type="cellIs" dxfId="1485" priority="520" operator="greaterThan">
      <formula>0.9</formula>
    </cfRule>
    <cfRule type="cellIs" dxfId="1484" priority="521" operator="greaterThan">
      <formula>0.85</formula>
    </cfRule>
  </conditionalFormatting>
  <conditionalFormatting sqref="N62">
    <cfRule type="cellIs" dxfId="1483" priority="518" operator="greaterThan">
      <formula>0.9</formula>
    </cfRule>
    <cfRule type="cellIs" dxfId="1482" priority="519" operator="greaterThan">
      <formula>0.85</formula>
    </cfRule>
  </conditionalFormatting>
  <conditionalFormatting sqref="E62">
    <cfRule type="expression" dxfId="1481" priority="514">
      <formula>AND(IF(OR($Q62=1,$Q62=2),1,0),IF($X62&lt;=20,1,0))</formula>
    </cfRule>
    <cfRule type="expression" dxfId="1480" priority="515">
      <formula>AND(IF($Q62=2,1,0),IF($X62&lt;30,1,0))</formula>
    </cfRule>
    <cfRule type="expression" dxfId="1479" priority="516">
      <formula>AND(IF($Q62=3,1,0),IF($X62&lt;30,1,0))</formula>
    </cfRule>
    <cfRule type="expression" dxfId="1478" priority="517">
      <formula>AND(IF($Q62=3,1,IF($Q62=4,1,0)),IF($F62&lt;=85,1,0))</formula>
    </cfRule>
  </conditionalFormatting>
  <conditionalFormatting sqref="X62">
    <cfRule type="expression" dxfId="1477" priority="510">
      <formula>AND(IF(OR($Q62=1,$Q62=2),1,0),IF($X62&lt;=20,1,0))</formula>
    </cfRule>
    <cfRule type="expression" dxfId="1476" priority="511">
      <formula>AND(IF($Q62=2,1,0),IF($X62&lt;30,1,0))</formula>
    </cfRule>
    <cfRule type="expression" dxfId="1475" priority="512">
      <formula>AND(IF($Q62=3,1,0),IF($X62&lt;30,1,0))</formula>
    </cfRule>
    <cfRule type="expression" dxfId="1474" priority="513">
      <formula>AND(IF($Q62=3,1,IF($Q62=4,1,0)),IF($F62&lt;=85,1,0))</formula>
    </cfRule>
  </conditionalFormatting>
  <conditionalFormatting sqref="AI62">
    <cfRule type="expression" dxfId="1473" priority="506">
      <formula>AND(IF(OR($Q62=1,$Q62=2),1,0),IF($X62&lt;=20,1,0))</formula>
    </cfRule>
    <cfRule type="expression" dxfId="1472" priority="507">
      <formula>AND(IF($Q62=2,1,0),IF($X62&lt;30,1,0))</formula>
    </cfRule>
    <cfRule type="expression" dxfId="1471" priority="508">
      <formula>AND(IF($Q62=3,1,0),IF($X62&lt;30,1,0))</formula>
    </cfRule>
    <cfRule type="expression" dxfId="1470" priority="509">
      <formula>AND(IF($Q62=3,1,IF($Q62=4,1,0)),IF($F62&lt;=85,1,0))</formula>
    </cfRule>
  </conditionalFormatting>
  <conditionalFormatting sqref="AV63">
    <cfRule type="expression" dxfId="1469" priority="504">
      <formula>AV63="X"</formula>
    </cfRule>
    <cfRule type="expression" dxfId="1468" priority="505">
      <formula>AV63="후보"</formula>
    </cfRule>
  </conditionalFormatting>
  <conditionalFormatting sqref="AC63">
    <cfRule type="cellIs" dxfId="1467" priority="501" operator="greaterThan">
      <formula>0.9</formula>
    </cfRule>
    <cfRule type="cellIs" dxfId="1466" priority="502" operator="greaterThan">
      <formula>0.85</formula>
    </cfRule>
  </conditionalFormatting>
  <conditionalFormatting sqref="N63">
    <cfRule type="cellIs" dxfId="1465" priority="499" operator="greaterThan">
      <formula>0.9</formula>
    </cfRule>
    <cfRule type="cellIs" dxfId="1464" priority="500" operator="greaterThan">
      <formula>0.85</formula>
    </cfRule>
  </conditionalFormatting>
  <conditionalFormatting sqref="E63">
    <cfRule type="expression" dxfId="1463" priority="495">
      <formula>AND(IF(OR($Q63=1,$Q63=2),1,0),IF($X63&lt;=20,1,0))</formula>
    </cfRule>
    <cfRule type="expression" dxfId="1462" priority="496">
      <formula>AND(IF($Q63=2,1,0),IF($X63&lt;30,1,0))</formula>
    </cfRule>
    <cfRule type="expression" dxfId="1461" priority="497">
      <formula>AND(IF($Q63=3,1,0),IF($X63&lt;30,1,0))</formula>
    </cfRule>
    <cfRule type="expression" dxfId="1460" priority="498">
      <formula>AND(IF($Q63=3,1,IF($Q63=4,1,0)),IF($F63&lt;=85,1,0))</formula>
    </cfRule>
  </conditionalFormatting>
  <conditionalFormatting sqref="X63">
    <cfRule type="expression" dxfId="1459" priority="491">
      <formula>AND(IF(OR($Q63=1,$Q63=2),1,0),IF($X63&lt;=20,1,0))</formula>
    </cfRule>
    <cfRule type="expression" dxfId="1458" priority="492">
      <formula>AND(IF($Q63=2,1,0),IF($X63&lt;30,1,0))</formula>
    </cfRule>
    <cfRule type="expression" dxfId="1457" priority="493">
      <formula>AND(IF($Q63=3,1,0),IF($X63&lt;30,1,0))</formula>
    </cfRule>
    <cfRule type="expression" dxfId="1456" priority="494">
      <formula>AND(IF($Q63=3,1,IF($Q63=4,1,0)),IF($F63&lt;=85,1,0))</formula>
    </cfRule>
  </conditionalFormatting>
  <conditionalFormatting sqref="AI63">
    <cfRule type="expression" dxfId="1455" priority="487">
      <formula>AND(IF(OR($Q63=1,$Q63=2),1,0),IF($X63&lt;=20,1,0))</formula>
    </cfRule>
    <cfRule type="expression" dxfId="1454" priority="488">
      <formula>AND(IF($Q63=2,1,0),IF($X63&lt;30,1,0))</formula>
    </cfRule>
    <cfRule type="expression" dxfId="1453" priority="489">
      <formula>AND(IF($Q63=3,1,0),IF($X63&lt;30,1,0))</formula>
    </cfRule>
    <cfRule type="expression" dxfId="1452" priority="490">
      <formula>AND(IF($Q63=3,1,IF($Q63=4,1,0)),IF($F63&lt;=85,1,0))</formula>
    </cfRule>
  </conditionalFormatting>
  <conditionalFormatting sqref="AV64">
    <cfRule type="expression" dxfId="1451" priority="485">
      <formula>AV64="X"</formula>
    </cfRule>
    <cfRule type="expression" dxfId="1450" priority="486">
      <formula>AV64="후보"</formula>
    </cfRule>
  </conditionalFormatting>
  <conditionalFormatting sqref="AC64">
    <cfRule type="cellIs" dxfId="1449" priority="482" operator="greaterThan">
      <formula>0.9</formula>
    </cfRule>
    <cfRule type="cellIs" dxfId="1448" priority="483" operator="greaterThan">
      <formula>0.85</formula>
    </cfRule>
  </conditionalFormatting>
  <conditionalFormatting sqref="N64">
    <cfRule type="cellIs" dxfId="1447" priority="480" operator="greaterThan">
      <formula>0.9</formula>
    </cfRule>
    <cfRule type="cellIs" dxfId="1446" priority="481" operator="greaterThan">
      <formula>0.85</formula>
    </cfRule>
  </conditionalFormatting>
  <conditionalFormatting sqref="E64">
    <cfRule type="expression" dxfId="1445" priority="476">
      <formula>AND(IF(OR($Q64=1,$Q64=2),1,0),IF($X64&lt;=20,1,0))</formula>
    </cfRule>
    <cfRule type="expression" dxfId="1444" priority="477">
      <formula>AND(IF($Q64=2,1,0),IF($X64&lt;30,1,0))</formula>
    </cfRule>
    <cfRule type="expression" dxfId="1443" priority="478">
      <formula>AND(IF($Q64=3,1,0),IF($X64&lt;30,1,0))</formula>
    </cfRule>
    <cfRule type="expression" dxfId="1442" priority="479">
      <formula>AND(IF($Q64=3,1,IF($Q64=4,1,0)),IF($F64&lt;=85,1,0))</formula>
    </cfRule>
  </conditionalFormatting>
  <conditionalFormatting sqref="X64">
    <cfRule type="expression" dxfId="1441" priority="472">
      <formula>AND(IF(OR($Q64=1,$Q64=2),1,0),IF($X64&lt;=20,1,0))</formula>
    </cfRule>
    <cfRule type="expression" dxfId="1440" priority="473">
      <formula>AND(IF($Q64=2,1,0),IF($X64&lt;30,1,0))</formula>
    </cfRule>
    <cfRule type="expression" dxfId="1439" priority="474">
      <formula>AND(IF($Q64=3,1,0),IF($X64&lt;30,1,0))</formula>
    </cfRule>
    <cfRule type="expression" dxfId="1438" priority="475">
      <formula>AND(IF($Q64=3,1,IF($Q64=4,1,0)),IF($F64&lt;=85,1,0))</formula>
    </cfRule>
  </conditionalFormatting>
  <conditionalFormatting sqref="AI64">
    <cfRule type="expression" dxfId="1437" priority="468">
      <formula>AND(IF(OR($Q64=1,$Q64=2),1,0),IF($X64&lt;=20,1,0))</formula>
    </cfRule>
    <cfRule type="expression" dxfId="1436" priority="469">
      <formula>AND(IF($Q64=2,1,0),IF($X64&lt;30,1,0))</formula>
    </cfRule>
    <cfRule type="expression" dxfId="1435" priority="470">
      <formula>AND(IF($Q64=3,1,0),IF($X64&lt;30,1,0))</formula>
    </cfRule>
    <cfRule type="expression" dxfId="1434" priority="471">
      <formula>AND(IF($Q64=3,1,IF($Q64=4,1,0)),IF($F64&lt;=85,1,0))</formula>
    </cfRule>
  </conditionalFormatting>
  <conditionalFormatting sqref="AV65">
    <cfRule type="expression" dxfId="1433" priority="466">
      <formula>AV65="X"</formula>
    </cfRule>
    <cfRule type="expression" dxfId="1432" priority="467">
      <formula>AV65="후보"</formula>
    </cfRule>
  </conditionalFormatting>
  <conditionalFormatting sqref="AC65 N65">
    <cfRule type="cellIs" dxfId="1431" priority="463" operator="greaterThan">
      <formula>0.9</formula>
    </cfRule>
    <cfRule type="cellIs" dxfId="1430" priority="464" operator="greaterThan">
      <formula>0.85</formula>
    </cfRule>
  </conditionalFormatting>
  <conditionalFormatting sqref="AV66">
    <cfRule type="expression" dxfId="1429" priority="461">
      <formula>AV66="X"</formula>
    </cfRule>
    <cfRule type="expression" dxfId="1428" priority="462">
      <formula>AV66="후보"</formula>
    </cfRule>
  </conditionalFormatting>
  <conditionalFormatting sqref="AC66">
    <cfRule type="cellIs" dxfId="1427" priority="458" operator="greaterThan">
      <formula>0.9</formula>
    </cfRule>
    <cfRule type="cellIs" dxfId="1426" priority="459" operator="greaterThan">
      <formula>0.85</formula>
    </cfRule>
  </conditionalFormatting>
  <conditionalFormatting sqref="N66">
    <cfRule type="cellIs" dxfId="1425" priority="456" operator="greaterThan">
      <formula>0.9</formula>
    </cfRule>
    <cfRule type="cellIs" dxfId="1424" priority="457" operator="greaterThan">
      <formula>0.85</formula>
    </cfRule>
  </conditionalFormatting>
  <conditionalFormatting sqref="E66">
    <cfRule type="expression" dxfId="1423" priority="452">
      <formula>AND(IF(OR($Q66=1,$Q66=2),1,0),IF($X66&lt;=20,1,0))</formula>
    </cfRule>
    <cfRule type="expression" dxfId="1422" priority="453">
      <formula>AND(IF($Q66=2,1,0),IF($X66&lt;30,1,0))</formula>
    </cfRule>
    <cfRule type="expression" dxfId="1421" priority="454">
      <formula>AND(IF($Q66=3,1,0),IF($X66&lt;30,1,0))</formula>
    </cfRule>
    <cfRule type="expression" dxfId="1420" priority="455">
      <formula>AND(IF($Q66=3,1,IF($Q66=4,1,0)),IF($F66&lt;=85,1,0))</formula>
    </cfRule>
  </conditionalFormatting>
  <conditionalFormatting sqref="X66">
    <cfRule type="expression" dxfId="1419" priority="448">
      <formula>AND(IF(OR($Q66=1,$Q66=2),1,0),IF($X66&lt;=20,1,0))</formula>
    </cfRule>
    <cfRule type="expression" dxfId="1418" priority="449">
      <formula>AND(IF($Q66=2,1,0),IF($X66&lt;30,1,0))</formula>
    </cfRule>
    <cfRule type="expression" dxfId="1417" priority="450">
      <formula>AND(IF($Q66=3,1,0),IF($X66&lt;30,1,0))</formula>
    </cfRule>
    <cfRule type="expression" dxfId="1416" priority="451">
      <formula>AND(IF($Q66=3,1,IF($Q66=4,1,0)),IF($F66&lt;=85,1,0))</formula>
    </cfRule>
  </conditionalFormatting>
  <conditionalFormatting sqref="AI66">
    <cfRule type="expression" dxfId="1415" priority="444">
      <formula>AND(IF(OR($Q66=1,$Q66=2),1,0),IF($X66&lt;=20,1,0))</formula>
    </cfRule>
    <cfRule type="expression" dxfId="1414" priority="445">
      <formula>AND(IF($Q66=2,1,0),IF($X66&lt;30,1,0))</formula>
    </cfRule>
    <cfRule type="expression" dxfId="1413" priority="446">
      <formula>AND(IF($Q66=3,1,0),IF($X66&lt;30,1,0))</formula>
    </cfRule>
    <cfRule type="expression" dxfId="1412" priority="447">
      <formula>AND(IF($Q66=3,1,IF($Q66=4,1,0)),IF($F66&lt;=85,1,0))</formula>
    </cfRule>
  </conditionalFormatting>
  <conditionalFormatting sqref="AV67">
    <cfRule type="expression" dxfId="1411" priority="442">
      <formula>AV67="X"</formula>
    </cfRule>
    <cfRule type="expression" dxfId="1410" priority="443">
      <formula>AV67="후보"</formula>
    </cfRule>
  </conditionalFormatting>
  <conditionalFormatting sqref="AC67">
    <cfRule type="cellIs" dxfId="1409" priority="439" operator="greaterThan">
      <formula>0.9</formula>
    </cfRule>
    <cfRule type="cellIs" dxfId="1408" priority="440" operator="greaterThan">
      <formula>0.85</formula>
    </cfRule>
  </conditionalFormatting>
  <conditionalFormatting sqref="N67">
    <cfRule type="cellIs" dxfId="1407" priority="437" operator="greaterThan">
      <formula>0.9</formula>
    </cfRule>
    <cfRule type="cellIs" dxfId="1406" priority="438" operator="greaterThan">
      <formula>0.85</formula>
    </cfRule>
  </conditionalFormatting>
  <conditionalFormatting sqref="E67">
    <cfRule type="expression" dxfId="1405" priority="433">
      <formula>AND(IF(OR($Q67=1,$Q67=2),1,0),IF($X67&lt;=20,1,0))</formula>
    </cfRule>
    <cfRule type="expression" dxfId="1404" priority="434">
      <formula>AND(IF($Q67=2,1,0),IF($X67&lt;30,1,0))</formula>
    </cfRule>
    <cfRule type="expression" dxfId="1403" priority="435">
      <formula>AND(IF($Q67=3,1,0),IF($X67&lt;30,1,0))</formula>
    </cfRule>
    <cfRule type="expression" dxfId="1402" priority="436">
      <formula>AND(IF($Q67=3,1,IF($Q67=4,1,0)),IF($F67&lt;=85,1,0))</formula>
    </cfRule>
  </conditionalFormatting>
  <conditionalFormatting sqref="X67">
    <cfRule type="expression" dxfId="1401" priority="429">
      <formula>AND(IF(OR($Q67=1,$Q67=2),1,0),IF($X67&lt;=20,1,0))</formula>
    </cfRule>
    <cfRule type="expression" dxfId="1400" priority="430">
      <formula>AND(IF($Q67=2,1,0),IF($X67&lt;30,1,0))</formula>
    </cfRule>
    <cfRule type="expression" dxfId="1399" priority="431">
      <formula>AND(IF($Q67=3,1,0),IF($X67&lt;30,1,0))</formula>
    </cfRule>
    <cfRule type="expression" dxfId="1398" priority="432">
      <formula>AND(IF($Q67=3,1,IF($Q67=4,1,0)),IF($F67&lt;=85,1,0))</formula>
    </cfRule>
  </conditionalFormatting>
  <conditionalFormatting sqref="AI67">
    <cfRule type="expression" dxfId="1397" priority="425">
      <formula>AND(IF(OR($Q67=1,$Q67=2),1,0),IF($X67&lt;=20,1,0))</formula>
    </cfRule>
    <cfRule type="expression" dxfId="1396" priority="426">
      <formula>AND(IF($Q67=2,1,0),IF($X67&lt;30,1,0))</formula>
    </cfRule>
    <cfRule type="expression" dxfId="1395" priority="427">
      <formula>AND(IF($Q67=3,1,0),IF($X67&lt;30,1,0))</formula>
    </cfRule>
    <cfRule type="expression" dxfId="1394" priority="428">
      <formula>AND(IF($Q67=3,1,IF($Q67=4,1,0)),IF($F67&lt;=85,1,0))</formula>
    </cfRule>
  </conditionalFormatting>
  <conditionalFormatting sqref="AV68">
    <cfRule type="expression" dxfId="1393" priority="423">
      <formula>AV68="X"</formula>
    </cfRule>
    <cfRule type="expression" dxfId="1392" priority="424">
      <formula>AV68="후보"</formula>
    </cfRule>
  </conditionalFormatting>
  <conditionalFormatting sqref="AC68">
    <cfRule type="cellIs" dxfId="1391" priority="420" operator="greaterThan">
      <formula>0.9</formula>
    </cfRule>
    <cfRule type="cellIs" dxfId="1390" priority="421" operator="greaterThan">
      <formula>0.85</formula>
    </cfRule>
  </conditionalFormatting>
  <conditionalFormatting sqref="N68">
    <cfRule type="cellIs" dxfId="1389" priority="418" operator="greaterThan">
      <formula>0.9</formula>
    </cfRule>
    <cfRule type="cellIs" dxfId="1388" priority="419" operator="greaterThan">
      <formula>0.85</formula>
    </cfRule>
  </conditionalFormatting>
  <conditionalFormatting sqref="E68">
    <cfRule type="expression" dxfId="1387" priority="414">
      <formula>AND(IF(OR($Q68=1,$Q68=2),1,0),IF($X68&lt;=20,1,0))</formula>
    </cfRule>
    <cfRule type="expression" dxfId="1386" priority="415">
      <formula>AND(IF($Q68=2,1,0),IF($X68&lt;30,1,0))</formula>
    </cfRule>
    <cfRule type="expression" dxfId="1385" priority="416">
      <formula>AND(IF($Q68=3,1,0),IF($X68&lt;30,1,0))</formula>
    </cfRule>
    <cfRule type="expression" dxfId="1384" priority="417">
      <formula>AND(IF($Q68=3,1,IF($Q68=4,1,0)),IF($F68&lt;=85,1,0))</formula>
    </cfRule>
  </conditionalFormatting>
  <conditionalFormatting sqref="X68">
    <cfRule type="expression" dxfId="1383" priority="410">
      <formula>AND(IF(OR($Q68=1,$Q68=2),1,0),IF($X68&lt;=20,1,0))</formula>
    </cfRule>
    <cfRule type="expression" dxfId="1382" priority="411">
      <formula>AND(IF($Q68=2,1,0),IF($X68&lt;30,1,0))</formula>
    </cfRule>
    <cfRule type="expression" dxfId="1381" priority="412">
      <formula>AND(IF($Q68=3,1,0),IF($X68&lt;30,1,0))</formula>
    </cfRule>
    <cfRule type="expression" dxfId="1380" priority="413">
      <formula>AND(IF($Q68=3,1,IF($Q68=4,1,0)),IF($F68&lt;=85,1,0))</formula>
    </cfRule>
  </conditionalFormatting>
  <conditionalFormatting sqref="AI68">
    <cfRule type="expression" dxfId="1379" priority="406">
      <formula>AND(IF(OR($Q68=1,$Q68=2),1,0),IF($X68&lt;=20,1,0))</formula>
    </cfRule>
    <cfRule type="expression" dxfId="1378" priority="407">
      <formula>AND(IF($Q68=2,1,0),IF($X68&lt;30,1,0))</formula>
    </cfRule>
    <cfRule type="expression" dxfId="1377" priority="408">
      <formula>AND(IF($Q68=3,1,0),IF($X68&lt;30,1,0))</formula>
    </cfRule>
    <cfRule type="expression" dxfId="1376" priority="409">
      <formula>AND(IF($Q68=3,1,IF($Q68=4,1,0)),IF($F68&lt;=85,1,0))</formula>
    </cfRule>
  </conditionalFormatting>
  <conditionalFormatting sqref="AV69">
    <cfRule type="expression" dxfId="1375" priority="404">
      <formula>AV69="X"</formula>
    </cfRule>
    <cfRule type="expression" dxfId="1374" priority="405">
      <formula>AV69="후보"</formula>
    </cfRule>
  </conditionalFormatting>
  <conditionalFormatting sqref="AC69 N69">
    <cfRule type="cellIs" dxfId="1373" priority="401" operator="greaterThan">
      <formula>0.9</formula>
    </cfRule>
    <cfRule type="cellIs" dxfId="1372" priority="402" operator="greaterThan">
      <formula>0.85</formula>
    </cfRule>
  </conditionalFormatting>
  <conditionalFormatting sqref="AV70">
    <cfRule type="expression" dxfId="1371" priority="399">
      <formula>AV70="X"</formula>
    </cfRule>
    <cfRule type="expression" dxfId="1370" priority="400">
      <formula>AV70="후보"</formula>
    </cfRule>
  </conditionalFormatting>
  <conditionalFormatting sqref="AC70">
    <cfRule type="cellIs" dxfId="1369" priority="396" operator="greaterThan">
      <formula>0.9</formula>
    </cfRule>
    <cfRule type="cellIs" dxfId="1368" priority="397" operator="greaterThan">
      <formula>0.85</formula>
    </cfRule>
  </conditionalFormatting>
  <conditionalFormatting sqref="N70">
    <cfRule type="cellIs" dxfId="1367" priority="394" operator="greaterThan">
      <formula>0.9</formula>
    </cfRule>
    <cfRule type="cellIs" dxfId="1366" priority="395" operator="greaterThan">
      <formula>0.85</formula>
    </cfRule>
  </conditionalFormatting>
  <conditionalFormatting sqref="E70">
    <cfRule type="expression" dxfId="1365" priority="390">
      <formula>AND(IF(OR($Q70=1,$Q70=2),1,0),IF($X70&lt;=20,1,0))</formula>
    </cfRule>
    <cfRule type="expression" dxfId="1364" priority="391">
      <formula>AND(IF($Q70=2,1,0),IF($X70&lt;30,1,0))</formula>
    </cfRule>
    <cfRule type="expression" dxfId="1363" priority="392">
      <formula>AND(IF($Q70=3,1,0),IF($X70&lt;30,1,0))</formula>
    </cfRule>
    <cfRule type="expression" dxfId="1362" priority="393">
      <formula>AND(IF($Q70=3,1,IF($Q70=4,1,0)),IF($F70&lt;=85,1,0))</formula>
    </cfRule>
  </conditionalFormatting>
  <conditionalFormatting sqref="X70">
    <cfRule type="expression" dxfId="1361" priority="386">
      <formula>AND(IF(OR($Q70=1,$Q70=2),1,0),IF($X70&lt;=20,1,0))</formula>
    </cfRule>
    <cfRule type="expression" dxfId="1360" priority="387">
      <formula>AND(IF($Q70=2,1,0),IF($X70&lt;30,1,0))</formula>
    </cfRule>
    <cfRule type="expression" dxfId="1359" priority="388">
      <formula>AND(IF($Q70=3,1,0),IF($X70&lt;30,1,0))</formula>
    </cfRule>
    <cfRule type="expression" dxfId="1358" priority="389">
      <formula>AND(IF($Q70=3,1,IF($Q70=4,1,0)),IF($F70&lt;=85,1,0))</formula>
    </cfRule>
  </conditionalFormatting>
  <conditionalFormatting sqref="AI70">
    <cfRule type="expression" dxfId="1357" priority="382">
      <formula>AND(IF(OR($Q70=1,$Q70=2),1,0),IF($X70&lt;=20,1,0))</formula>
    </cfRule>
    <cfRule type="expression" dxfId="1356" priority="383">
      <formula>AND(IF($Q70=2,1,0),IF($X70&lt;30,1,0))</formula>
    </cfRule>
    <cfRule type="expression" dxfId="1355" priority="384">
      <formula>AND(IF($Q70=3,1,0),IF($X70&lt;30,1,0))</formula>
    </cfRule>
    <cfRule type="expression" dxfId="1354" priority="385">
      <formula>AND(IF($Q70=3,1,IF($Q70=4,1,0)),IF($F70&lt;=85,1,0))</formula>
    </cfRule>
  </conditionalFormatting>
  <conditionalFormatting sqref="AV71">
    <cfRule type="expression" dxfId="1353" priority="380">
      <formula>AV71="X"</formula>
    </cfRule>
    <cfRule type="expression" dxfId="1352" priority="381">
      <formula>AV71="후보"</formula>
    </cfRule>
  </conditionalFormatting>
  <conditionalFormatting sqref="AC71">
    <cfRule type="cellIs" dxfId="1351" priority="377" operator="greaterThan">
      <formula>0.9</formula>
    </cfRule>
    <cfRule type="cellIs" dxfId="1350" priority="378" operator="greaterThan">
      <formula>0.85</formula>
    </cfRule>
  </conditionalFormatting>
  <conditionalFormatting sqref="N71">
    <cfRule type="cellIs" dxfId="1349" priority="375" operator="greaterThan">
      <formula>0.9</formula>
    </cfRule>
    <cfRule type="cellIs" dxfId="1348" priority="376" operator="greaterThan">
      <formula>0.85</formula>
    </cfRule>
  </conditionalFormatting>
  <conditionalFormatting sqref="E71">
    <cfRule type="expression" dxfId="1347" priority="371">
      <formula>AND(IF(OR($Q71=1,$Q71=2),1,0),IF($X71&lt;=20,1,0))</formula>
    </cfRule>
    <cfRule type="expression" dxfId="1346" priority="372">
      <formula>AND(IF($Q71=2,1,0),IF($X71&lt;30,1,0))</formula>
    </cfRule>
    <cfRule type="expression" dxfId="1345" priority="373">
      <formula>AND(IF($Q71=3,1,0),IF($X71&lt;30,1,0))</formula>
    </cfRule>
    <cfRule type="expression" dxfId="1344" priority="374">
      <formula>AND(IF($Q71=3,1,IF($Q71=4,1,0)),IF($F71&lt;=85,1,0))</formula>
    </cfRule>
  </conditionalFormatting>
  <conditionalFormatting sqref="X71">
    <cfRule type="expression" dxfId="1343" priority="367">
      <formula>AND(IF(OR($Q71=1,$Q71=2),1,0),IF($X71&lt;=20,1,0))</formula>
    </cfRule>
    <cfRule type="expression" dxfId="1342" priority="368">
      <formula>AND(IF($Q71=2,1,0),IF($X71&lt;30,1,0))</formula>
    </cfRule>
    <cfRule type="expression" dxfId="1341" priority="369">
      <formula>AND(IF($Q71=3,1,0),IF($X71&lt;30,1,0))</formula>
    </cfRule>
    <cfRule type="expression" dxfId="1340" priority="370">
      <formula>AND(IF($Q71=3,1,IF($Q71=4,1,0)),IF($F71&lt;=85,1,0))</formula>
    </cfRule>
  </conditionalFormatting>
  <conditionalFormatting sqref="AI71">
    <cfRule type="expression" dxfId="1339" priority="363">
      <formula>AND(IF(OR($Q71=1,$Q71=2),1,0),IF($X71&lt;=20,1,0))</formula>
    </cfRule>
    <cfRule type="expression" dxfId="1338" priority="364">
      <formula>AND(IF($Q71=2,1,0),IF($X71&lt;30,1,0))</formula>
    </cfRule>
    <cfRule type="expression" dxfId="1337" priority="365">
      <formula>AND(IF($Q71=3,1,0),IF($X71&lt;30,1,0))</formula>
    </cfRule>
    <cfRule type="expression" dxfId="1336" priority="366">
      <formula>AND(IF($Q71=3,1,IF($Q71=4,1,0)),IF($F71&lt;=85,1,0))</formula>
    </cfRule>
  </conditionalFormatting>
  <conditionalFormatting sqref="AV72">
    <cfRule type="expression" dxfId="1335" priority="361">
      <formula>AV72="X"</formula>
    </cfRule>
    <cfRule type="expression" dxfId="1334" priority="362">
      <formula>AV72="후보"</formula>
    </cfRule>
  </conditionalFormatting>
  <conditionalFormatting sqref="AC72">
    <cfRule type="cellIs" dxfId="1333" priority="358" operator="greaterThan">
      <formula>0.9</formula>
    </cfRule>
    <cfRule type="cellIs" dxfId="1332" priority="359" operator="greaterThan">
      <formula>0.85</formula>
    </cfRule>
  </conditionalFormatting>
  <conditionalFormatting sqref="N72">
    <cfRule type="cellIs" dxfId="1331" priority="356" operator="greaterThan">
      <formula>0.9</formula>
    </cfRule>
    <cfRule type="cellIs" dxfId="1330" priority="357" operator="greaterThan">
      <formula>0.85</formula>
    </cfRule>
  </conditionalFormatting>
  <conditionalFormatting sqref="E72">
    <cfRule type="expression" dxfId="1329" priority="352">
      <formula>AND(IF(OR($Q72=1,$Q72=2),1,0),IF($X72&lt;=20,1,0))</formula>
    </cfRule>
    <cfRule type="expression" dxfId="1328" priority="353">
      <formula>AND(IF($Q72=2,1,0),IF($X72&lt;30,1,0))</formula>
    </cfRule>
    <cfRule type="expression" dxfId="1327" priority="354">
      <formula>AND(IF($Q72=3,1,0),IF($X72&lt;30,1,0))</formula>
    </cfRule>
    <cfRule type="expression" dxfId="1326" priority="355">
      <formula>AND(IF($Q72=3,1,IF($Q72=4,1,0)),IF($F72&lt;=85,1,0))</formula>
    </cfRule>
  </conditionalFormatting>
  <conditionalFormatting sqref="X72">
    <cfRule type="expression" dxfId="1325" priority="348">
      <formula>AND(IF(OR($Q72=1,$Q72=2),1,0),IF($X72&lt;=20,1,0))</formula>
    </cfRule>
    <cfRule type="expression" dxfId="1324" priority="349">
      <formula>AND(IF($Q72=2,1,0),IF($X72&lt;30,1,0))</formula>
    </cfRule>
    <cfRule type="expression" dxfId="1323" priority="350">
      <formula>AND(IF($Q72=3,1,0),IF($X72&lt;30,1,0))</formula>
    </cfRule>
    <cfRule type="expression" dxfId="1322" priority="351">
      <formula>AND(IF($Q72=3,1,IF($Q72=4,1,0)),IF($F72&lt;=85,1,0))</formula>
    </cfRule>
  </conditionalFormatting>
  <conditionalFormatting sqref="AI72">
    <cfRule type="expression" dxfId="1321" priority="344">
      <formula>AND(IF(OR($Q72=1,$Q72=2),1,0),IF($X72&lt;=20,1,0))</formula>
    </cfRule>
    <cfRule type="expression" dxfId="1320" priority="345">
      <formula>AND(IF($Q72=2,1,0),IF($X72&lt;30,1,0))</formula>
    </cfRule>
    <cfRule type="expression" dxfId="1319" priority="346">
      <formula>AND(IF($Q72=3,1,0),IF($X72&lt;30,1,0))</formula>
    </cfRule>
    <cfRule type="expression" dxfId="1318" priority="347">
      <formula>AND(IF($Q72=3,1,IF($Q72=4,1,0)),IF($F72&lt;=85,1,0))</formula>
    </cfRule>
  </conditionalFormatting>
  <conditionalFormatting sqref="AV73">
    <cfRule type="expression" dxfId="1317" priority="342">
      <formula>AV73="X"</formula>
    </cfRule>
    <cfRule type="expression" dxfId="1316" priority="343">
      <formula>AV73="후보"</formula>
    </cfRule>
  </conditionalFormatting>
  <conditionalFormatting sqref="AC73 N73">
    <cfRule type="cellIs" dxfId="1315" priority="339" operator="greaterThan">
      <formula>0.9</formula>
    </cfRule>
    <cfRule type="cellIs" dxfId="1314" priority="340" operator="greaterThan">
      <formula>0.85</formula>
    </cfRule>
  </conditionalFormatting>
  <conditionalFormatting sqref="AV74">
    <cfRule type="expression" dxfId="1313" priority="337">
      <formula>AV74="X"</formula>
    </cfRule>
    <cfRule type="expression" dxfId="1312" priority="338">
      <formula>AV74="후보"</formula>
    </cfRule>
  </conditionalFormatting>
  <conditionalFormatting sqref="AC74">
    <cfRule type="cellIs" dxfId="1311" priority="334" operator="greaterThan">
      <formula>0.9</formula>
    </cfRule>
    <cfRule type="cellIs" dxfId="1310" priority="335" operator="greaterThan">
      <formula>0.85</formula>
    </cfRule>
  </conditionalFormatting>
  <conditionalFormatting sqref="N74">
    <cfRule type="cellIs" dxfId="1309" priority="332" operator="greaterThan">
      <formula>0.9</formula>
    </cfRule>
    <cfRule type="cellIs" dxfId="1308" priority="333" operator="greaterThan">
      <formula>0.85</formula>
    </cfRule>
  </conditionalFormatting>
  <conditionalFormatting sqref="E74">
    <cfRule type="expression" dxfId="1307" priority="328">
      <formula>AND(IF(OR($Q74=1,$Q74=2),1,0),IF($X74&lt;=20,1,0))</formula>
    </cfRule>
    <cfRule type="expression" dxfId="1306" priority="329">
      <formula>AND(IF($Q74=2,1,0),IF($X74&lt;30,1,0))</formula>
    </cfRule>
    <cfRule type="expression" dxfId="1305" priority="330">
      <formula>AND(IF($Q74=3,1,0),IF($X74&lt;30,1,0))</formula>
    </cfRule>
    <cfRule type="expression" dxfId="1304" priority="331">
      <formula>AND(IF($Q74=3,1,IF($Q74=4,1,0)),IF($F74&lt;=85,1,0))</formula>
    </cfRule>
  </conditionalFormatting>
  <conditionalFormatting sqref="X74">
    <cfRule type="expression" dxfId="1303" priority="324">
      <formula>AND(IF(OR($Q74=1,$Q74=2),1,0),IF($X74&lt;=20,1,0))</formula>
    </cfRule>
    <cfRule type="expression" dxfId="1302" priority="325">
      <formula>AND(IF($Q74=2,1,0),IF($X74&lt;30,1,0))</formula>
    </cfRule>
    <cfRule type="expression" dxfId="1301" priority="326">
      <formula>AND(IF($Q74=3,1,0),IF($X74&lt;30,1,0))</formula>
    </cfRule>
    <cfRule type="expression" dxfId="1300" priority="327">
      <formula>AND(IF($Q74=3,1,IF($Q74=4,1,0)),IF($F74&lt;=85,1,0))</formula>
    </cfRule>
  </conditionalFormatting>
  <conditionalFormatting sqref="AI74">
    <cfRule type="expression" dxfId="1299" priority="320">
      <formula>AND(IF(OR($Q74=1,$Q74=2),1,0),IF($X74&lt;=20,1,0))</formula>
    </cfRule>
    <cfRule type="expression" dxfId="1298" priority="321">
      <formula>AND(IF($Q74=2,1,0),IF($X74&lt;30,1,0))</formula>
    </cfRule>
    <cfRule type="expression" dxfId="1297" priority="322">
      <formula>AND(IF($Q74=3,1,0),IF($X74&lt;30,1,0))</formula>
    </cfRule>
    <cfRule type="expression" dxfId="1296" priority="323">
      <formula>AND(IF($Q74=3,1,IF($Q74=4,1,0)),IF($F74&lt;=85,1,0))</formula>
    </cfRule>
  </conditionalFormatting>
  <conditionalFormatting sqref="AV75">
    <cfRule type="expression" dxfId="1295" priority="318">
      <formula>AV75="X"</formula>
    </cfRule>
    <cfRule type="expression" dxfId="1294" priority="319">
      <formula>AV75="후보"</formula>
    </cfRule>
  </conditionalFormatting>
  <conditionalFormatting sqref="AC75">
    <cfRule type="cellIs" dxfId="1293" priority="315" operator="greaterThan">
      <formula>0.9</formula>
    </cfRule>
    <cfRule type="cellIs" dxfId="1292" priority="316" operator="greaterThan">
      <formula>0.85</formula>
    </cfRule>
  </conditionalFormatting>
  <conditionalFormatting sqref="N75">
    <cfRule type="cellIs" dxfId="1291" priority="313" operator="greaterThan">
      <formula>0.9</formula>
    </cfRule>
    <cfRule type="cellIs" dxfId="1290" priority="314" operator="greaterThan">
      <formula>0.85</formula>
    </cfRule>
  </conditionalFormatting>
  <conditionalFormatting sqref="E75">
    <cfRule type="expression" dxfId="1289" priority="309">
      <formula>AND(IF(OR($Q75=1,$Q75=2),1,0),IF($X75&lt;=20,1,0))</formula>
    </cfRule>
    <cfRule type="expression" dxfId="1288" priority="310">
      <formula>AND(IF($Q75=2,1,0),IF($X75&lt;30,1,0))</formula>
    </cfRule>
    <cfRule type="expression" dxfId="1287" priority="311">
      <formula>AND(IF($Q75=3,1,0),IF($X75&lt;30,1,0))</formula>
    </cfRule>
    <cfRule type="expression" dxfId="1286" priority="312">
      <formula>AND(IF($Q75=3,1,IF($Q75=4,1,0)),IF($F75&lt;=85,1,0))</formula>
    </cfRule>
  </conditionalFormatting>
  <conditionalFormatting sqref="X75">
    <cfRule type="expression" dxfId="1285" priority="305">
      <formula>AND(IF(OR($Q75=1,$Q75=2),1,0),IF($X75&lt;=20,1,0))</formula>
    </cfRule>
    <cfRule type="expression" dxfId="1284" priority="306">
      <formula>AND(IF($Q75=2,1,0),IF($X75&lt;30,1,0))</formula>
    </cfRule>
    <cfRule type="expression" dxfId="1283" priority="307">
      <formula>AND(IF($Q75=3,1,0),IF($X75&lt;30,1,0))</formula>
    </cfRule>
    <cfRule type="expression" dxfId="1282" priority="308">
      <formula>AND(IF($Q75=3,1,IF($Q75=4,1,0)),IF($F75&lt;=85,1,0))</formula>
    </cfRule>
  </conditionalFormatting>
  <conditionalFormatting sqref="AI75">
    <cfRule type="expression" dxfId="1281" priority="301">
      <formula>AND(IF(OR($Q75=1,$Q75=2),1,0),IF($X75&lt;=20,1,0))</formula>
    </cfRule>
    <cfRule type="expression" dxfId="1280" priority="302">
      <formula>AND(IF($Q75=2,1,0),IF($X75&lt;30,1,0))</formula>
    </cfRule>
    <cfRule type="expression" dxfId="1279" priority="303">
      <formula>AND(IF($Q75=3,1,0),IF($X75&lt;30,1,0))</formula>
    </cfRule>
    <cfRule type="expression" dxfId="1278" priority="304">
      <formula>AND(IF($Q75=3,1,IF($Q75=4,1,0)),IF($F75&lt;=85,1,0))</formula>
    </cfRule>
  </conditionalFormatting>
  <conditionalFormatting sqref="AV76">
    <cfRule type="expression" dxfId="1277" priority="299">
      <formula>AV76="X"</formula>
    </cfRule>
    <cfRule type="expression" dxfId="1276" priority="300">
      <formula>AV76="후보"</formula>
    </cfRule>
  </conditionalFormatting>
  <conditionalFormatting sqref="AC76">
    <cfRule type="cellIs" dxfId="1275" priority="296" operator="greaterThan">
      <formula>0.9</formula>
    </cfRule>
    <cfRule type="cellIs" dxfId="1274" priority="297" operator="greaterThan">
      <formula>0.85</formula>
    </cfRule>
  </conditionalFormatting>
  <conditionalFormatting sqref="N76">
    <cfRule type="cellIs" dxfId="1273" priority="294" operator="greaterThan">
      <formula>0.9</formula>
    </cfRule>
    <cfRule type="cellIs" dxfId="1272" priority="295" operator="greaterThan">
      <formula>0.85</formula>
    </cfRule>
  </conditionalFormatting>
  <conditionalFormatting sqref="E76">
    <cfRule type="expression" dxfId="1271" priority="290">
      <formula>AND(IF(OR($Q76=1,$Q76=2),1,0),IF($X76&lt;=20,1,0))</formula>
    </cfRule>
    <cfRule type="expression" dxfId="1270" priority="291">
      <formula>AND(IF($Q76=2,1,0),IF($X76&lt;30,1,0))</formula>
    </cfRule>
    <cfRule type="expression" dxfId="1269" priority="292">
      <formula>AND(IF($Q76=3,1,0),IF($X76&lt;30,1,0))</formula>
    </cfRule>
    <cfRule type="expression" dxfId="1268" priority="293">
      <formula>AND(IF($Q76=3,1,IF($Q76=4,1,0)),IF($F76&lt;=85,1,0))</formula>
    </cfRule>
  </conditionalFormatting>
  <conditionalFormatting sqref="X76">
    <cfRule type="expression" dxfId="1267" priority="286">
      <formula>AND(IF(OR($Q76=1,$Q76=2),1,0),IF($X76&lt;=20,1,0))</formula>
    </cfRule>
    <cfRule type="expression" dxfId="1266" priority="287">
      <formula>AND(IF($Q76=2,1,0),IF($X76&lt;30,1,0))</formula>
    </cfRule>
    <cfRule type="expression" dxfId="1265" priority="288">
      <formula>AND(IF($Q76=3,1,0),IF($X76&lt;30,1,0))</formula>
    </cfRule>
    <cfRule type="expression" dxfId="1264" priority="289">
      <formula>AND(IF($Q76=3,1,IF($Q76=4,1,0)),IF($F76&lt;=85,1,0))</formula>
    </cfRule>
  </conditionalFormatting>
  <conditionalFormatting sqref="AI76">
    <cfRule type="expression" dxfId="1263" priority="282">
      <formula>AND(IF(OR($Q76=1,$Q76=2),1,0),IF($X76&lt;=20,1,0))</formula>
    </cfRule>
    <cfRule type="expression" dxfId="1262" priority="283">
      <formula>AND(IF($Q76=2,1,0),IF($X76&lt;30,1,0))</formula>
    </cfRule>
    <cfRule type="expression" dxfId="1261" priority="284">
      <formula>AND(IF($Q76=3,1,0),IF($X76&lt;30,1,0))</formula>
    </cfRule>
    <cfRule type="expression" dxfId="1260" priority="285">
      <formula>AND(IF($Q76=3,1,IF($Q76=4,1,0)),IF($F76&lt;=85,1,0))</formula>
    </cfRule>
  </conditionalFormatting>
  <conditionalFormatting sqref="AV77">
    <cfRule type="expression" dxfId="1259" priority="280">
      <formula>AV77="X"</formula>
    </cfRule>
    <cfRule type="expression" dxfId="1258" priority="281">
      <formula>AV77="후보"</formula>
    </cfRule>
  </conditionalFormatting>
  <conditionalFormatting sqref="AC77 N77">
    <cfRule type="cellIs" dxfId="1257" priority="277" operator="greaterThan">
      <formula>0.9</formula>
    </cfRule>
    <cfRule type="cellIs" dxfId="1256" priority="278" operator="greaterThan">
      <formula>0.85</formula>
    </cfRule>
  </conditionalFormatting>
  <conditionalFormatting sqref="AV78">
    <cfRule type="expression" dxfId="1255" priority="275">
      <formula>AV78="X"</formula>
    </cfRule>
    <cfRule type="expression" dxfId="1254" priority="276">
      <formula>AV78="후보"</formula>
    </cfRule>
  </conditionalFormatting>
  <conditionalFormatting sqref="AC78">
    <cfRule type="cellIs" dxfId="1253" priority="272" operator="greaterThan">
      <formula>0.9</formula>
    </cfRule>
    <cfRule type="cellIs" dxfId="1252" priority="273" operator="greaterThan">
      <formula>0.85</formula>
    </cfRule>
  </conditionalFormatting>
  <conditionalFormatting sqref="N78">
    <cfRule type="cellIs" dxfId="1251" priority="270" operator="greaterThan">
      <formula>0.9</formula>
    </cfRule>
    <cfRule type="cellIs" dxfId="1250" priority="271" operator="greaterThan">
      <formula>0.85</formula>
    </cfRule>
  </conditionalFormatting>
  <conditionalFormatting sqref="E78">
    <cfRule type="expression" dxfId="1249" priority="266">
      <formula>AND(IF(OR($Q78=1,$Q78=2),1,0),IF($X78&lt;=20,1,0))</formula>
    </cfRule>
    <cfRule type="expression" dxfId="1248" priority="267">
      <formula>AND(IF($Q78=2,1,0),IF($X78&lt;30,1,0))</formula>
    </cfRule>
    <cfRule type="expression" dxfId="1247" priority="268">
      <formula>AND(IF($Q78=3,1,0),IF($X78&lt;30,1,0))</formula>
    </cfRule>
    <cfRule type="expression" dxfId="1246" priority="269">
      <formula>AND(IF($Q78=3,1,IF($Q78=4,1,0)),IF($F78&lt;=85,1,0))</formula>
    </cfRule>
  </conditionalFormatting>
  <conditionalFormatting sqref="X78">
    <cfRule type="expression" dxfId="1245" priority="262">
      <formula>AND(IF(OR($Q78=1,$Q78=2),1,0),IF($X78&lt;=20,1,0))</formula>
    </cfRule>
    <cfRule type="expression" dxfId="1244" priority="263">
      <formula>AND(IF($Q78=2,1,0),IF($X78&lt;30,1,0))</formula>
    </cfRule>
    <cfRule type="expression" dxfId="1243" priority="264">
      <formula>AND(IF($Q78=3,1,0),IF($X78&lt;30,1,0))</formula>
    </cfRule>
    <cfRule type="expression" dxfId="1242" priority="265">
      <formula>AND(IF($Q78=3,1,IF($Q78=4,1,0)),IF($F78&lt;=85,1,0))</formula>
    </cfRule>
  </conditionalFormatting>
  <conditionalFormatting sqref="AI78">
    <cfRule type="expression" dxfId="1241" priority="258">
      <formula>AND(IF(OR($Q78=1,$Q78=2),1,0),IF($X78&lt;=20,1,0))</formula>
    </cfRule>
    <cfRule type="expression" dxfId="1240" priority="259">
      <formula>AND(IF($Q78=2,1,0),IF($X78&lt;30,1,0))</formula>
    </cfRule>
    <cfRule type="expression" dxfId="1239" priority="260">
      <formula>AND(IF($Q78=3,1,0),IF($X78&lt;30,1,0))</formula>
    </cfRule>
    <cfRule type="expression" dxfId="1238" priority="261">
      <formula>AND(IF($Q78=3,1,IF($Q78=4,1,0)),IF($F78&lt;=85,1,0))</formula>
    </cfRule>
  </conditionalFormatting>
  <conditionalFormatting sqref="AV79">
    <cfRule type="expression" dxfId="1237" priority="256">
      <formula>AV79="X"</formula>
    </cfRule>
    <cfRule type="expression" dxfId="1236" priority="257">
      <formula>AV79="후보"</formula>
    </cfRule>
  </conditionalFormatting>
  <conditionalFormatting sqref="AC79">
    <cfRule type="cellIs" dxfId="1235" priority="253" operator="greaterThan">
      <formula>0.9</formula>
    </cfRule>
    <cfRule type="cellIs" dxfId="1234" priority="254" operator="greaterThan">
      <formula>0.85</formula>
    </cfRule>
  </conditionalFormatting>
  <conditionalFormatting sqref="N79">
    <cfRule type="cellIs" dxfId="1233" priority="251" operator="greaterThan">
      <formula>0.9</formula>
    </cfRule>
    <cfRule type="cellIs" dxfId="1232" priority="252" operator="greaterThan">
      <formula>0.85</formula>
    </cfRule>
  </conditionalFormatting>
  <conditionalFormatting sqref="E79">
    <cfRule type="expression" dxfId="1231" priority="247">
      <formula>AND(IF(OR($Q79=1,$Q79=2),1,0),IF($X79&lt;=20,1,0))</formula>
    </cfRule>
    <cfRule type="expression" dxfId="1230" priority="248">
      <formula>AND(IF($Q79=2,1,0),IF($X79&lt;30,1,0))</formula>
    </cfRule>
    <cfRule type="expression" dxfId="1229" priority="249">
      <formula>AND(IF($Q79=3,1,0),IF($X79&lt;30,1,0))</formula>
    </cfRule>
    <cfRule type="expression" dxfId="1228" priority="250">
      <formula>AND(IF($Q79=3,1,IF($Q79=4,1,0)),IF($F79&lt;=85,1,0))</formula>
    </cfRule>
  </conditionalFormatting>
  <conditionalFormatting sqref="X79">
    <cfRule type="expression" dxfId="1227" priority="243">
      <formula>AND(IF(OR($Q79=1,$Q79=2),1,0),IF($X79&lt;=20,1,0))</formula>
    </cfRule>
    <cfRule type="expression" dxfId="1226" priority="244">
      <formula>AND(IF($Q79=2,1,0),IF($X79&lt;30,1,0))</formula>
    </cfRule>
    <cfRule type="expression" dxfId="1225" priority="245">
      <formula>AND(IF($Q79=3,1,0),IF($X79&lt;30,1,0))</formula>
    </cfRule>
    <cfRule type="expression" dxfId="1224" priority="246">
      <formula>AND(IF($Q79=3,1,IF($Q79=4,1,0)),IF($F79&lt;=85,1,0))</formula>
    </cfRule>
  </conditionalFormatting>
  <conditionalFormatting sqref="AI79">
    <cfRule type="expression" dxfId="1223" priority="239">
      <formula>AND(IF(OR($Q79=1,$Q79=2),1,0),IF($X79&lt;=20,1,0))</formula>
    </cfRule>
    <cfRule type="expression" dxfId="1222" priority="240">
      <formula>AND(IF($Q79=2,1,0),IF($X79&lt;30,1,0))</formula>
    </cfRule>
    <cfRule type="expression" dxfId="1221" priority="241">
      <formula>AND(IF($Q79=3,1,0),IF($X79&lt;30,1,0))</formula>
    </cfRule>
    <cfRule type="expression" dxfId="1220" priority="242">
      <formula>AND(IF($Q79=3,1,IF($Q79=4,1,0)),IF($F79&lt;=85,1,0))</formula>
    </cfRule>
  </conditionalFormatting>
  <conditionalFormatting sqref="AV80">
    <cfRule type="expression" dxfId="1219" priority="237">
      <formula>AV80="X"</formula>
    </cfRule>
    <cfRule type="expression" dxfId="1218" priority="238">
      <formula>AV80="후보"</formula>
    </cfRule>
  </conditionalFormatting>
  <conditionalFormatting sqref="AC80">
    <cfRule type="cellIs" dxfId="1217" priority="234" operator="greaterThan">
      <formula>0.9</formula>
    </cfRule>
    <cfRule type="cellIs" dxfId="1216" priority="235" operator="greaterThan">
      <formula>0.85</formula>
    </cfRule>
  </conditionalFormatting>
  <conditionalFormatting sqref="N80">
    <cfRule type="cellIs" dxfId="1215" priority="232" operator="greaterThan">
      <formula>0.9</formula>
    </cfRule>
    <cfRule type="cellIs" dxfId="1214" priority="233" operator="greaterThan">
      <formula>0.85</formula>
    </cfRule>
  </conditionalFormatting>
  <conditionalFormatting sqref="E80">
    <cfRule type="expression" dxfId="1213" priority="228">
      <formula>AND(IF(OR($Q80=1,$Q80=2),1,0),IF($X80&lt;=20,1,0))</formula>
    </cfRule>
    <cfRule type="expression" dxfId="1212" priority="229">
      <formula>AND(IF($Q80=2,1,0),IF($X80&lt;30,1,0))</formula>
    </cfRule>
    <cfRule type="expression" dxfId="1211" priority="230">
      <formula>AND(IF($Q80=3,1,0),IF($X80&lt;30,1,0))</formula>
    </cfRule>
    <cfRule type="expression" dxfId="1210" priority="231">
      <formula>AND(IF($Q80=3,1,IF($Q80=4,1,0)),IF($F80&lt;=85,1,0))</formula>
    </cfRule>
  </conditionalFormatting>
  <conditionalFormatting sqref="X80">
    <cfRule type="expression" dxfId="1209" priority="224">
      <formula>AND(IF(OR($Q80=1,$Q80=2),1,0),IF($X80&lt;=20,1,0))</formula>
    </cfRule>
    <cfRule type="expression" dxfId="1208" priority="225">
      <formula>AND(IF($Q80=2,1,0),IF($X80&lt;30,1,0))</formula>
    </cfRule>
    <cfRule type="expression" dxfId="1207" priority="226">
      <formula>AND(IF($Q80=3,1,0),IF($X80&lt;30,1,0))</formula>
    </cfRule>
    <cfRule type="expression" dxfId="1206" priority="227">
      <formula>AND(IF($Q80=3,1,IF($Q80=4,1,0)),IF($F80&lt;=85,1,0))</formula>
    </cfRule>
  </conditionalFormatting>
  <conditionalFormatting sqref="AI80">
    <cfRule type="expression" dxfId="1205" priority="220">
      <formula>AND(IF(OR($Q80=1,$Q80=2),1,0),IF($X80&lt;=20,1,0))</formula>
    </cfRule>
    <cfRule type="expression" dxfId="1204" priority="221">
      <formula>AND(IF($Q80=2,1,0),IF($X80&lt;30,1,0))</formula>
    </cfRule>
    <cfRule type="expression" dxfId="1203" priority="222">
      <formula>AND(IF($Q80=3,1,0),IF($X80&lt;30,1,0))</formula>
    </cfRule>
    <cfRule type="expression" dxfId="1202" priority="223">
      <formula>AND(IF($Q80=3,1,IF($Q80=4,1,0)),IF($F80&lt;=85,1,0))</formula>
    </cfRule>
  </conditionalFormatting>
  <conditionalFormatting sqref="AV81">
    <cfRule type="expression" dxfId="1201" priority="218">
      <formula>AV81="X"</formula>
    </cfRule>
    <cfRule type="expression" dxfId="1200" priority="219">
      <formula>AV81="후보"</formula>
    </cfRule>
  </conditionalFormatting>
  <conditionalFormatting sqref="AC81">
    <cfRule type="cellIs" dxfId="1199" priority="215" operator="greaterThan">
      <formula>0.9</formula>
    </cfRule>
    <cfRule type="cellIs" dxfId="1198" priority="216" operator="greaterThan">
      <formula>0.85</formula>
    </cfRule>
  </conditionalFormatting>
  <conditionalFormatting sqref="N81">
    <cfRule type="cellIs" dxfId="1197" priority="213" operator="greaterThan">
      <formula>0.9</formula>
    </cfRule>
    <cfRule type="cellIs" dxfId="1196" priority="214" operator="greaterThan">
      <formula>0.85</formula>
    </cfRule>
  </conditionalFormatting>
  <conditionalFormatting sqref="E81">
    <cfRule type="expression" dxfId="1195" priority="209">
      <formula>AND(IF(OR($Q81=1,$Q81=2),1,0),IF($X81&lt;=20,1,0))</formula>
    </cfRule>
    <cfRule type="expression" dxfId="1194" priority="210">
      <formula>AND(IF($Q81=2,1,0),IF($X81&lt;30,1,0))</formula>
    </cfRule>
    <cfRule type="expression" dxfId="1193" priority="211">
      <formula>AND(IF($Q81=3,1,0),IF($X81&lt;30,1,0))</formula>
    </cfRule>
    <cfRule type="expression" dxfId="1192" priority="212">
      <formula>AND(IF($Q81=3,1,IF($Q81=4,1,0)),IF($F81&lt;=85,1,0))</formula>
    </cfRule>
  </conditionalFormatting>
  <conditionalFormatting sqref="X81">
    <cfRule type="expression" dxfId="1191" priority="205">
      <formula>AND(IF(OR($Q81=1,$Q81=2),1,0),IF($X81&lt;=20,1,0))</formula>
    </cfRule>
    <cfRule type="expression" dxfId="1190" priority="206">
      <formula>AND(IF($Q81=2,1,0),IF($X81&lt;30,1,0))</formula>
    </cfRule>
    <cfRule type="expression" dxfId="1189" priority="207">
      <formula>AND(IF($Q81=3,1,0),IF($X81&lt;30,1,0))</formula>
    </cfRule>
    <cfRule type="expression" dxfId="1188" priority="208">
      <formula>AND(IF($Q81=3,1,IF($Q81=4,1,0)),IF($F81&lt;=85,1,0))</formula>
    </cfRule>
  </conditionalFormatting>
  <conditionalFormatting sqref="AI81">
    <cfRule type="expression" dxfId="1187" priority="201">
      <formula>AND(IF(OR($Q81=1,$Q81=2),1,0),IF($X81&lt;=20,1,0))</formula>
    </cfRule>
    <cfRule type="expression" dxfId="1186" priority="202">
      <formula>AND(IF($Q81=2,1,0),IF($X81&lt;30,1,0))</formula>
    </cfRule>
    <cfRule type="expression" dxfId="1185" priority="203">
      <formula>AND(IF($Q81=3,1,0),IF($X81&lt;30,1,0))</formula>
    </cfRule>
    <cfRule type="expression" dxfId="1184" priority="204">
      <formula>AND(IF($Q81=3,1,IF($Q81=4,1,0)),IF($F81&lt;=85,1,0))</formula>
    </cfRule>
  </conditionalFormatting>
  <conditionalFormatting sqref="AV82">
    <cfRule type="expression" dxfId="1183" priority="199">
      <formula>AV82="X"</formula>
    </cfRule>
    <cfRule type="expression" dxfId="1182" priority="200">
      <formula>AV82="후보"</formula>
    </cfRule>
  </conditionalFormatting>
  <conditionalFormatting sqref="AC82 N82">
    <cfRule type="cellIs" dxfId="1181" priority="196" operator="greaterThan">
      <formula>0.9</formula>
    </cfRule>
    <cfRule type="cellIs" dxfId="1180" priority="197" operator="greaterThan">
      <formula>0.85</formula>
    </cfRule>
  </conditionalFormatting>
  <conditionalFormatting sqref="AV83">
    <cfRule type="expression" dxfId="1179" priority="194">
      <formula>AV83="X"</formula>
    </cfRule>
    <cfRule type="expression" dxfId="1178" priority="195">
      <formula>AV83="후보"</formula>
    </cfRule>
  </conditionalFormatting>
  <conditionalFormatting sqref="AC83">
    <cfRule type="cellIs" dxfId="1177" priority="191" operator="greaterThan">
      <formula>0.9</formula>
    </cfRule>
    <cfRule type="cellIs" dxfId="1176" priority="192" operator="greaterThan">
      <formula>0.85</formula>
    </cfRule>
  </conditionalFormatting>
  <conditionalFormatting sqref="N83">
    <cfRule type="cellIs" dxfId="1175" priority="189" operator="greaterThan">
      <formula>0.9</formula>
    </cfRule>
    <cfRule type="cellIs" dxfId="1174" priority="190" operator="greaterThan">
      <formula>0.85</formula>
    </cfRule>
  </conditionalFormatting>
  <conditionalFormatting sqref="E83">
    <cfRule type="expression" dxfId="1173" priority="185">
      <formula>AND(IF(OR($Q83=1,$Q83=2),1,0),IF($X83&lt;=20,1,0))</formula>
    </cfRule>
    <cfRule type="expression" dxfId="1172" priority="186">
      <formula>AND(IF($Q83=2,1,0),IF($X83&lt;30,1,0))</formula>
    </cfRule>
    <cfRule type="expression" dxfId="1171" priority="187">
      <formula>AND(IF($Q83=3,1,0),IF($X83&lt;30,1,0))</formula>
    </cfRule>
    <cfRule type="expression" dxfId="1170" priority="188">
      <formula>AND(IF($Q83=3,1,IF($Q83=4,1,0)),IF($F83&lt;=85,1,0))</formula>
    </cfRule>
  </conditionalFormatting>
  <conditionalFormatting sqref="X83">
    <cfRule type="expression" dxfId="1169" priority="181">
      <formula>AND(IF(OR($Q83=1,$Q83=2),1,0),IF($X83&lt;=20,1,0))</formula>
    </cfRule>
    <cfRule type="expression" dxfId="1168" priority="182">
      <formula>AND(IF($Q83=2,1,0),IF($X83&lt;30,1,0))</formula>
    </cfRule>
    <cfRule type="expression" dxfId="1167" priority="183">
      <formula>AND(IF($Q83=3,1,0),IF($X83&lt;30,1,0))</formula>
    </cfRule>
    <cfRule type="expression" dxfId="1166" priority="184">
      <formula>AND(IF($Q83=3,1,IF($Q83=4,1,0)),IF($F83&lt;=85,1,0))</formula>
    </cfRule>
  </conditionalFormatting>
  <conditionalFormatting sqref="AI83">
    <cfRule type="expression" dxfId="1165" priority="177">
      <formula>AND(IF(OR($Q83=1,$Q83=2),1,0),IF($X83&lt;=20,1,0))</formula>
    </cfRule>
    <cfRule type="expression" dxfId="1164" priority="178">
      <formula>AND(IF($Q83=2,1,0),IF($X83&lt;30,1,0))</formula>
    </cfRule>
    <cfRule type="expression" dxfId="1163" priority="179">
      <formula>AND(IF($Q83=3,1,0),IF($X83&lt;30,1,0))</formula>
    </cfRule>
    <cfRule type="expression" dxfId="1162" priority="180">
      <formula>AND(IF($Q83=3,1,IF($Q83=4,1,0)),IF($F83&lt;=85,1,0))</formula>
    </cfRule>
  </conditionalFormatting>
  <conditionalFormatting sqref="AV84">
    <cfRule type="expression" dxfId="1161" priority="175">
      <formula>AV84="X"</formula>
    </cfRule>
    <cfRule type="expression" dxfId="1160" priority="176">
      <formula>AV84="후보"</formula>
    </cfRule>
  </conditionalFormatting>
  <conditionalFormatting sqref="AC84">
    <cfRule type="cellIs" dxfId="1159" priority="172" operator="greaterThan">
      <formula>0.9</formula>
    </cfRule>
    <cfRule type="cellIs" dxfId="1158" priority="173" operator="greaterThan">
      <formula>0.85</formula>
    </cfRule>
  </conditionalFormatting>
  <conditionalFormatting sqref="N84">
    <cfRule type="cellIs" dxfId="1157" priority="170" operator="greaterThan">
      <formula>0.9</formula>
    </cfRule>
    <cfRule type="cellIs" dxfId="1156" priority="171" operator="greaterThan">
      <formula>0.85</formula>
    </cfRule>
  </conditionalFormatting>
  <conditionalFormatting sqref="E84">
    <cfRule type="expression" dxfId="1155" priority="166">
      <formula>AND(IF(OR($Q84=1,$Q84=2),1,0),IF($X84&lt;=20,1,0))</formula>
    </cfRule>
    <cfRule type="expression" dxfId="1154" priority="167">
      <formula>AND(IF($Q84=2,1,0),IF($X84&lt;30,1,0))</formula>
    </cfRule>
    <cfRule type="expression" dxfId="1153" priority="168">
      <formula>AND(IF($Q84=3,1,0),IF($X84&lt;30,1,0))</formula>
    </cfRule>
    <cfRule type="expression" dxfId="1152" priority="169">
      <formula>AND(IF($Q84=3,1,IF($Q84=4,1,0)),IF($F84&lt;=85,1,0))</formula>
    </cfRule>
  </conditionalFormatting>
  <conditionalFormatting sqref="X84">
    <cfRule type="expression" dxfId="1151" priority="162">
      <formula>AND(IF(OR($Q84=1,$Q84=2),1,0),IF($X84&lt;=20,1,0))</formula>
    </cfRule>
    <cfRule type="expression" dxfId="1150" priority="163">
      <formula>AND(IF($Q84=2,1,0),IF($X84&lt;30,1,0))</formula>
    </cfRule>
    <cfRule type="expression" dxfId="1149" priority="164">
      <formula>AND(IF($Q84=3,1,0),IF($X84&lt;30,1,0))</formula>
    </cfRule>
    <cfRule type="expression" dxfId="1148" priority="165">
      <formula>AND(IF($Q84=3,1,IF($Q84=4,1,0)),IF($F84&lt;=85,1,0))</formula>
    </cfRule>
  </conditionalFormatting>
  <conditionalFormatting sqref="AI84">
    <cfRule type="expression" dxfId="1147" priority="158">
      <formula>AND(IF(OR($Q84=1,$Q84=2),1,0),IF($X84&lt;=20,1,0))</formula>
    </cfRule>
    <cfRule type="expression" dxfId="1146" priority="159">
      <formula>AND(IF($Q84=2,1,0),IF($X84&lt;30,1,0))</formula>
    </cfRule>
    <cfRule type="expression" dxfId="1145" priority="160">
      <formula>AND(IF($Q84=3,1,0),IF($X84&lt;30,1,0))</formula>
    </cfRule>
    <cfRule type="expression" dxfId="1144" priority="161">
      <formula>AND(IF($Q84=3,1,IF($Q84=4,1,0)),IF($F84&lt;=85,1,0))</formula>
    </cfRule>
  </conditionalFormatting>
  <conditionalFormatting sqref="AV85">
    <cfRule type="expression" dxfId="1143" priority="156">
      <formula>AV85="X"</formula>
    </cfRule>
    <cfRule type="expression" dxfId="1142" priority="157">
      <formula>AV85="후보"</formula>
    </cfRule>
  </conditionalFormatting>
  <conditionalFormatting sqref="AC85">
    <cfRule type="cellIs" dxfId="1141" priority="153" operator="greaterThan">
      <formula>0.9</formula>
    </cfRule>
    <cfRule type="cellIs" dxfId="1140" priority="154" operator="greaterThan">
      <formula>0.85</formula>
    </cfRule>
  </conditionalFormatting>
  <conditionalFormatting sqref="N85">
    <cfRule type="cellIs" dxfId="1139" priority="151" operator="greaterThan">
      <formula>0.9</formula>
    </cfRule>
    <cfRule type="cellIs" dxfId="1138" priority="152" operator="greaterThan">
      <formula>0.85</formula>
    </cfRule>
  </conditionalFormatting>
  <conditionalFormatting sqref="E85">
    <cfRule type="expression" dxfId="1137" priority="147">
      <formula>AND(IF(OR($Q85=1,$Q85=2),1,0),IF($X85&lt;=20,1,0))</formula>
    </cfRule>
    <cfRule type="expression" dxfId="1136" priority="148">
      <formula>AND(IF($Q85=2,1,0),IF($X85&lt;30,1,0))</formula>
    </cfRule>
    <cfRule type="expression" dxfId="1135" priority="149">
      <formula>AND(IF($Q85=3,1,0),IF($X85&lt;30,1,0))</formula>
    </cfRule>
    <cfRule type="expression" dxfId="1134" priority="150">
      <formula>AND(IF($Q85=3,1,IF($Q85=4,1,0)),IF($F85&lt;=85,1,0))</formula>
    </cfRule>
  </conditionalFormatting>
  <conditionalFormatting sqref="X85">
    <cfRule type="expression" dxfId="1133" priority="143">
      <formula>AND(IF(OR($Q85=1,$Q85=2),1,0),IF($X85&lt;=20,1,0))</formula>
    </cfRule>
    <cfRule type="expression" dxfId="1132" priority="144">
      <formula>AND(IF($Q85=2,1,0),IF($X85&lt;30,1,0))</formula>
    </cfRule>
    <cfRule type="expression" dxfId="1131" priority="145">
      <formula>AND(IF($Q85=3,1,0),IF($X85&lt;30,1,0))</formula>
    </cfRule>
    <cfRule type="expression" dxfId="1130" priority="146">
      <formula>AND(IF($Q85=3,1,IF($Q85=4,1,0)),IF($F85&lt;=85,1,0))</formula>
    </cfRule>
  </conditionalFormatting>
  <conditionalFormatting sqref="AI85">
    <cfRule type="expression" dxfId="1129" priority="139">
      <formula>AND(IF(OR($Q85=1,$Q85=2),1,0),IF($X85&lt;=20,1,0))</formula>
    </cfRule>
    <cfRule type="expression" dxfId="1128" priority="140">
      <formula>AND(IF($Q85=2,1,0),IF($X85&lt;30,1,0))</formula>
    </cfRule>
    <cfRule type="expression" dxfId="1127" priority="141">
      <formula>AND(IF($Q85=3,1,0),IF($X85&lt;30,1,0))</formula>
    </cfRule>
    <cfRule type="expression" dxfId="1126" priority="142">
      <formula>AND(IF($Q85=3,1,IF($Q85=4,1,0)),IF($F85&lt;=85,1,0))</formula>
    </cfRule>
  </conditionalFormatting>
  <conditionalFormatting sqref="AV86">
    <cfRule type="expression" dxfId="1125" priority="137">
      <formula>AV86="X"</formula>
    </cfRule>
    <cfRule type="expression" dxfId="1124" priority="138">
      <formula>AV86="후보"</formula>
    </cfRule>
  </conditionalFormatting>
  <conditionalFormatting sqref="AC86">
    <cfRule type="cellIs" dxfId="1123" priority="134" operator="greaterThan">
      <formula>0.9</formula>
    </cfRule>
    <cfRule type="cellIs" dxfId="1122" priority="135" operator="greaterThan">
      <formula>0.85</formula>
    </cfRule>
  </conditionalFormatting>
  <conditionalFormatting sqref="N86">
    <cfRule type="cellIs" dxfId="1121" priority="132" operator="greaterThan">
      <formula>0.9</formula>
    </cfRule>
    <cfRule type="cellIs" dxfId="1120" priority="133" operator="greaterThan">
      <formula>0.85</formula>
    </cfRule>
  </conditionalFormatting>
  <conditionalFormatting sqref="E86">
    <cfRule type="expression" dxfId="1119" priority="128">
      <formula>AND(IF(OR($Q86=1,$Q86=2),1,0),IF($X86&lt;=20,1,0))</formula>
    </cfRule>
    <cfRule type="expression" dxfId="1118" priority="129">
      <formula>AND(IF($Q86=2,1,0),IF($X86&lt;30,1,0))</formula>
    </cfRule>
    <cfRule type="expression" dxfId="1117" priority="130">
      <formula>AND(IF($Q86=3,1,0),IF($X86&lt;30,1,0))</formula>
    </cfRule>
    <cfRule type="expression" dxfId="1116" priority="131">
      <formula>AND(IF($Q86=3,1,IF($Q86=4,1,0)),IF($F86&lt;=85,1,0))</formula>
    </cfRule>
  </conditionalFormatting>
  <conditionalFormatting sqref="X86">
    <cfRule type="expression" dxfId="1115" priority="124">
      <formula>AND(IF(OR($Q86=1,$Q86=2),1,0),IF($X86&lt;=20,1,0))</formula>
    </cfRule>
    <cfRule type="expression" dxfId="1114" priority="125">
      <formula>AND(IF($Q86=2,1,0),IF($X86&lt;30,1,0))</formula>
    </cfRule>
    <cfRule type="expression" dxfId="1113" priority="126">
      <formula>AND(IF($Q86=3,1,0),IF($X86&lt;30,1,0))</formula>
    </cfRule>
    <cfRule type="expression" dxfId="1112" priority="127">
      <formula>AND(IF($Q86=3,1,IF($Q86=4,1,0)),IF($F86&lt;=85,1,0))</formula>
    </cfRule>
  </conditionalFormatting>
  <conditionalFormatting sqref="AI86">
    <cfRule type="expression" dxfId="1111" priority="120">
      <formula>AND(IF(OR($Q86=1,$Q86=2),1,0),IF($X86&lt;=20,1,0))</formula>
    </cfRule>
    <cfRule type="expression" dxfId="1110" priority="121">
      <formula>AND(IF($Q86=2,1,0),IF($X86&lt;30,1,0))</formula>
    </cfRule>
    <cfRule type="expression" dxfId="1109" priority="122">
      <formula>AND(IF($Q86=3,1,0),IF($X86&lt;30,1,0))</formula>
    </cfRule>
    <cfRule type="expression" dxfId="1108" priority="123">
      <formula>AND(IF($Q86=3,1,IF($Q86=4,1,0)),IF($F86&lt;=85,1,0))</formula>
    </cfRule>
  </conditionalFormatting>
  <conditionalFormatting sqref="AV87">
    <cfRule type="expression" dxfId="1107" priority="118">
      <formula>AV87="X"</formula>
    </cfRule>
    <cfRule type="expression" dxfId="1106" priority="119">
      <formula>AV87="후보"</formula>
    </cfRule>
  </conditionalFormatting>
  <conditionalFormatting sqref="AC87">
    <cfRule type="cellIs" dxfId="1105" priority="115" operator="greaterThan">
      <formula>0.9</formula>
    </cfRule>
    <cfRule type="cellIs" dxfId="1104" priority="116" operator="greaterThan">
      <formula>0.85</formula>
    </cfRule>
  </conditionalFormatting>
  <conditionalFormatting sqref="N87">
    <cfRule type="cellIs" dxfId="1103" priority="113" operator="greaterThan">
      <formula>0.9</formula>
    </cfRule>
    <cfRule type="cellIs" dxfId="1102" priority="114" operator="greaterThan">
      <formula>0.85</formula>
    </cfRule>
  </conditionalFormatting>
  <conditionalFormatting sqref="E87">
    <cfRule type="expression" dxfId="1101" priority="109">
      <formula>AND(IF(OR($Q87=1,$Q87=2),1,0),IF($X87&lt;=20,1,0))</formula>
    </cfRule>
    <cfRule type="expression" dxfId="1100" priority="110">
      <formula>AND(IF($Q87=2,1,0),IF($X87&lt;30,1,0))</formula>
    </cfRule>
    <cfRule type="expression" dxfId="1099" priority="111">
      <formula>AND(IF($Q87=3,1,0),IF($X87&lt;30,1,0))</formula>
    </cfRule>
    <cfRule type="expression" dxfId="1098" priority="112">
      <formula>AND(IF($Q87=3,1,IF($Q87=4,1,0)),IF($F87&lt;=85,1,0))</formula>
    </cfRule>
  </conditionalFormatting>
  <conditionalFormatting sqref="X87">
    <cfRule type="expression" dxfId="1097" priority="105">
      <formula>AND(IF(OR($Q87=1,$Q87=2),1,0),IF($X87&lt;=20,1,0))</formula>
    </cfRule>
    <cfRule type="expression" dxfId="1096" priority="106">
      <formula>AND(IF($Q87=2,1,0),IF($X87&lt;30,1,0))</formula>
    </cfRule>
    <cfRule type="expression" dxfId="1095" priority="107">
      <formula>AND(IF($Q87=3,1,0),IF($X87&lt;30,1,0))</formula>
    </cfRule>
    <cfRule type="expression" dxfId="1094" priority="108">
      <formula>AND(IF($Q87=3,1,IF($Q87=4,1,0)),IF($F87&lt;=85,1,0))</formula>
    </cfRule>
  </conditionalFormatting>
  <conditionalFormatting sqref="AI87">
    <cfRule type="expression" dxfId="1093" priority="101">
      <formula>AND(IF(OR($Q87=1,$Q87=2),1,0),IF($X87&lt;=20,1,0))</formula>
    </cfRule>
    <cfRule type="expression" dxfId="1092" priority="102">
      <formula>AND(IF($Q87=2,1,0),IF($X87&lt;30,1,0))</formula>
    </cfRule>
    <cfRule type="expression" dxfId="1091" priority="103">
      <formula>AND(IF($Q87=3,1,0),IF($X87&lt;30,1,0))</formula>
    </cfRule>
    <cfRule type="expression" dxfId="1090" priority="104">
      <formula>AND(IF($Q87=3,1,IF($Q87=4,1,0)),IF($F87&lt;=85,1,0))</formula>
    </cfRule>
  </conditionalFormatting>
  <conditionalFormatting sqref="AV88">
    <cfRule type="expression" dxfId="1089" priority="99">
      <formula>AV88="X"</formula>
    </cfRule>
    <cfRule type="expression" dxfId="1088" priority="100">
      <formula>AV88="후보"</formula>
    </cfRule>
  </conditionalFormatting>
  <conditionalFormatting sqref="AC88 N88">
    <cfRule type="cellIs" dxfId="1087" priority="96" operator="greaterThan">
      <formula>0.9</formula>
    </cfRule>
    <cfRule type="cellIs" dxfId="1086" priority="97" operator="greaterThan">
      <formula>0.85</formula>
    </cfRule>
  </conditionalFormatting>
  <conditionalFormatting sqref="AV89">
    <cfRule type="expression" dxfId="1085" priority="94">
      <formula>AV89="X"</formula>
    </cfRule>
    <cfRule type="expression" dxfId="1084" priority="95">
      <formula>AV89="후보"</formula>
    </cfRule>
  </conditionalFormatting>
  <conditionalFormatting sqref="AC89">
    <cfRule type="cellIs" dxfId="1083" priority="91" operator="greaterThan">
      <formula>0.9</formula>
    </cfRule>
    <cfRule type="cellIs" dxfId="1082" priority="92" operator="greaterThan">
      <formula>0.85</formula>
    </cfRule>
  </conditionalFormatting>
  <conditionalFormatting sqref="N89">
    <cfRule type="cellIs" dxfId="1081" priority="89" operator="greaterThan">
      <formula>0.9</formula>
    </cfRule>
    <cfRule type="cellIs" dxfId="1080" priority="90" operator="greaterThan">
      <formula>0.85</formula>
    </cfRule>
  </conditionalFormatting>
  <conditionalFormatting sqref="E89">
    <cfRule type="expression" dxfId="1079" priority="85">
      <formula>AND(IF(OR($Q89=1,$Q89=2),1,0),IF($X89&lt;=20,1,0))</formula>
    </cfRule>
    <cfRule type="expression" dxfId="1078" priority="86">
      <formula>AND(IF($Q89=2,1,0),IF($X89&lt;30,1,0))</formula>
    </cfRule>
    <cfRule type="expression" dxfId="1077" priority="87">
      <formula>AND(IF($Q89=3,1,0),IF($X89&lt;30,1,0))</formula>
    </cfRule>
    <cfRule type="expression" dxfId="1076" priority="88">
      <formula>AND(IF($Q89=3,1,IF($Q89=4,1,0)),IF($F89&lt;=85,1,0))</formula>
    </cfRule>
  </conditionalFormatting>
  <conditionalFormatting sqref="X89">
    <cfRule type="expression" dxfId="1075" priority="81">
      <formula>AND(IF(OR($Q89=1,$Q89=2),1,0),IF($X89&lt;=20,1,0))</formula>
    </cfRule>
    <cfRule type="expression" dxfId="1074" priority="82">
      <formula>AND(IF($Q89=2,1,0),IF($X89&lt;30,1,0))</formula>
    </cfRule>
    <cfRule type="expression" dxfId="1073" priority="83">
      <formula>AND(IF($Q89=3,1,0),IF($X89&lt;30,1,0))</formula>
    </cfRule>
    <cfRule type="expression" dxfId="1072" priority="84">
      <formula>AND(IF($Q89=3,1,IF($Q89=4,1,0)),IF($F89&lt;=85,1,0))</formula>
    </cfRule>
  </conditionalFormatting>
  <conditionalFormatting sqref="AI89">
    <cfRule type="expression" dxfId="1071" priority="77">
      <formula>AND(IF(OR($Q89=1,$Q89=2),1,0),IF($X89&lt;=20,1,0))</formula>
    </cfRule>
    <cfRule type="expression" dxfId="1070" priority="78">
      <formula>AND(IF($Q89=2,1,0),IF($X89&lt;30,1,0))</formula>
    </cfRule>
    <cfRule type="expression" dxfId="1069" priority="79">
      <formula>AND(IF($Q89=3,1,0),IF($X89&lt;30,1,0))</formula>
    </cfRule>
    <cfRule type="expression" dxfId="1068" priority="80">
      <formula>AND(IF($Q89=3,1,IF($Q89=4,1,0)),IF($F89&lt;=85,1,0))</formula>
    </cfRule>
  </conditionalFormatting>
  <conditionalFormatting sqref="AV90">
    <cfRule type="expression" dxfId="1067" priority="75">
      <formula>AV90="X"</formula>
    </cfRule>
    <cfRule type="expression" dxfId="1066" priority="76">
      <formula>AV90="후보"</formula>
    </cfRule>
  </conditionalFormatting>
  <conditionalFormatting sqref="AC90">
    <cfRule type="cellIs" dxfId="1065" priority="72" operator="greaterThan">
      <formula>0.9</formula>
    </cfRule>
    <cfRule type="cellIs" dxfId="1064" priority="73" operator="greaterThan">
      <formula>0.85</formula>
    </cfRule>
  </conditionalFormatting>
  <conditionalFormatting sqref="N90">
    <cfRule type="cellIs" dxfId="1063" priority="70" operator="greaterThan">
      <formula>0.9</formula>
    </cfRule>
    <cfRule type="cellIs" dxfId="1062" priority="71" operator="greaterThan">
      <formula>0.85</formula>
    </cfRule>
  </conditionalFormatting>
  <conditionalFormatting sqref="E90">
    <cfRule type="expression" dxfId="1061" priority="66">
      <formula>AND(IF(OR($Q90=1,$Q90=2),1,0),IF($X90&lt;=20,1,0))</formula>
    </cfRule>
    <cfRule type="expression" dxfId="1060" priority="67">
      <formula>AND(IF($Q90=2,1,0),IF($X90&lt;30,1,0))</formula>
    </cfRule>
    <cfRule type="expression" dxfId="1059" priority="68">
      <formula>AND(IF($Q90=3,1,0),IF($X90&lt;30,1,0))</formula>
    </cfRule>
    <cfRule type="expression" dxfId="1058" priority="69">
      <formula>AND(IF($Q90=3,1,IF($Q90=4,1,0)),IF($F90&lt;=85,1,0))</formula>
    </cfRule>
  </conditionalFormatting>
  <conditionalFormatting sqref="X90">
    <cfRule type="expression" dxfId="1057" priority="62">
      <formula>AND(IF(OR($Q90=1,$Q90=2),1,0),IF($X90&lt;=20,1,0))</formula>
    </cfRule>
    <cfRule type="expression" dxfId="1056" priority="63">
      <formula>AND(IF($Q90=2,1,0),IF($X90&lt;30,1,0))</formula>
    </cfRule>
    <cfRule type="expression" dxfId="1055" priority="64">
      <formula>AND(IF($Q90=3,1,0),IF($X90&lt;30,1,0))</formula>
    </cfRule>
    <cfRule type="expression" dxfId="1054" priority="65">
      <formula>AND(IF($Q90=3,1,IF($Q90=4,1,0)),IF($F90&lt;=85,1,0))</formula>
    </cfRule>
  </conditionalFormatting>
  <conditionalFormatting sqref="AI90">
    <cfRule type="expression" dxfId="1053" priority="58">
      <formula>AND(IF(OR($Q90=1,$Q90=2),1,0),IF($X90&lt;=20,1,0))</formula>
    </cfRule>
    <cfRule type="expression" dxfId="1052" priority="59">
      <formula>AND(IF($Q90=2,1,0),IF($X90&lt;30,1,0))</formula>
    </cfRule>
    <cfRule type="expression" dxfId="1051" priority="60">
      <formula>AND(IF($Q90=3,1,0),IF($X90&lt;30,1,0))</formula>
    </cfRule>
    <cfRule type="expression" dxfId="1050" priority="61">
      <formula>AND(IF($Q90=3,1,IF($Q90=4,1,0)),IF($F90&lt;=85,1,0))</formula>
    </cfRule>
  </conditionalFormatting>
  <conditionalFormatting sqref="AV91">
    <cfRule type="expression" dxfId="1049" priority="56">
      <formula>AV91="X"</formula>
    </cfRule>
    <cfRule type="expression" dxfId="1048" priority="57">
      <formula>AV91="후보"</formula>
    </cfRule>
  </conditionalFormatting>
  <conditionalFormatting sqref="AC91">
    <cfRule type="cellIs" dxfId="1047" priority="53" operator="greaterThan">
      <formula>0.9</formula>
    </cfRule>
    <cfRule type="cellIs" dxfId="1046" priority="54" operator="greaterThan">
      <formula>0.85</formula>
    </cfRule>
  </conditionalFormatting>
  <conditionalFormatting sqref="N91">
    <cfRule type="cellIs" dxfId="1045" priority="51" operator="greaterThan">
      <formula>0.9</formula>
    </cfRule>
    <cfRule type="cellIs" dxfId="1044" priority="52" operator="greaterThan">
      <formula>0.85</formula>
    </cfRule>
  </conditionalFormatting>
  <conditionalFormatting sqref="E91">
    <cfRule type="expression" dxfId="1043" priority="47">
      <formula>AND(IF(OR($Q91=1,$Q91=2),1,0),IF($X91&lt;=20,1,0))</formula>
    </cfRule>
    <cfRule type="expression" dxfId="1042" priority="48">
      <formula>AND(IF($Q91=2,1,0),IF($X91&lt;30,1,0))</formula>
    </cfRule>
    <cfRule type="expression" dxfId="1041" priority="49">
      <formula>AND(IF($Q91=3,1,0),IF($X91&lt;30,1,0))</formula>
    </cfRule>
    <cfRule type="expression" dxfId="1040" priority="50">
      <formula>AND(IF($Q91=3,1,IF($Q91=4,1,0)),IF($F91&lt;=85,1,0))</formula>
    </cfRule>
  </conditionalFormatting>
  <conditionalFormatting sqref="X91">
    <cfRule type="expression" dxfId="1039" priority="43">
      <formula>AND(IF(OR($Q91=1,$Q91=2),1,0),IF($X91&lt;=20,1,0))</formula>
    </cfRule>
    <cfRule type="expression" dxfId="1038" priority="44">
      <formula>AND(IF($Q91=2,1,0),IF($X91&lt;30,1,0))</formula>
    </cfRule>
    <cfRule type="expression" dxfId="1037" priority="45">
      <formula>AND(IF($Q91=3,1,0),IF($X91&lt;30,1,0))</formula>
    </cfRule>
    <cfRule type="expression" dxfId="1036" priority="46">
      <formula>AND(IF($Q91=3,1,IF($Q91=4,1,0)),IF($F91&lt;=85,1,0))</formula>
    </cfRule>
  </conditionalFormatting>
  <conditionalFormatting sqref="AI91">
    <cfRule type="expression" dxfId="1035" priority="39">
      <formula>AND(IF(OR($Q91=1,$Q91=2),1,0),IF($X91&lt;=20,1,0))</formula>
    </cfRule>
    <cfRule type="expression" dxfId="1034" priority="40">
      <formula>AND(IF($Q91=2,1,0),IF($X91&lt;30,1,0))</formula>
    </cfRule>
    <cfRule type="expression" dxfId="1033" priority="41">
      <formula>AND(IF($Q91=3,1,0),IF($X91&lt;30,1,0))</formula>
    </cfRule>
    <cfRule type="expression" dxfId="1032" priority="42">
      <formula>AND(IF($Q91=3,1,IF($Q91=4,1,0)),IF($F91&lt;=85,1,0))</formula>
    </cfRule>
  </conditionalFormatting>
  <conditionalFormatting sqref="AV92">
    <cfRule type="expression" dxfId="1031" priority="37">
      <formula>AV92="X"</formula>
    </cfRule>
    <cfRule type="expression" dxfId="1030" priority="38">
      <formula>AV92="후보"</formula>
    </cfRule>
  </conditionalFormatting>
  <conditionalFormatting sqref="AC92">
    <cfRule type="cellIs" dxfId="1029" priority="34" operator="greaterThan">
      <formula>0.9</formula>
    </cfRule>
    <cfRule type="cellIs" dxfId="1028" priority="35" operator="greaterThan">
      <formula>0.85</formula>
    </cfRule>
  </conditionalFormatting>
  <conditionalFormatting sqref="N92">
    <cfRule type="cellIs" dxfId="1027" priority="32" operator="greaterThan">
      <formula>0.9</formula>
    </cfRule>
    <cfRule type="cellIs" dxfId="1026" priority="33" operator="greaterThan">
      <formula>0.85</formula>
    </cfRule>
  </conditionalFormatting>
  <conditionalFormatting sqref="E92">
    <cfRule type="expression" dxfId="1025" priority="28">
      <formula>AND(IF(OR($Q92=1,$Q92=2),1,0),IF($X92&lt;=20,1,0))</formula>
    </cfRule>
    <cfRule type="expression" dxfId="1024" priority="29">
      <formula>AND(IF($Q92=2,1,0),IF($X92&lt;30,1,0))</formula>
    </cfRule>
    <cfRule type="expression" dxfId="1023" priority="30">
      <formula>AND(IF($Q92=3,1,0),IF($X92&lt;30,1,0))</formula>
    </cfRule>
    <cfRule type="expression" dxfId="1022" priority="31">
      <formula>AND(IF($Q92=3,1,IF($Q92=4,1,0)),IF($F92&lt;=85,1,0))</formula>
    </cfRule>
  </conditionalFormatting>
  <conditionalFormatting sqref="X92">
    <cfRule type="expression" dxfId="1021" priority="24">
      <formula>AND(IF(OR($Q92=1,$Q92=2),1,0),IF($X92&lt;=20,1,0))</formula>
    </cfRule>
    <cfRule type="expression" dxfId="1020" priority="25">
      <formula>AND(IF($Q92=2,1,0),IF($X92&lt;30,1,0))</formula>
    </cfRule>
    <cfRule type="expression" dxfId="1019" priority="26">
      <formula>AND(IF($Q92=3,1,0),IF($X92&lt;30,1,0))</formula>
    </cfRule>
    <cfRule type="expression" dxfId="1018" priority="27">
      <formula>AND(IF($Q92=3,1,IF($Q92=4,1,0)),IF($F92&lt;=85,1,0))</formula>
    </cfRule>
  </conditionalFormatting>
  <conditionalFormatting sqref="AI92">
    <cfRule type="expression" dxfId="1017" priority="20">
      <formula>AND(IF(OR($Q92=1,$Q92=2),1,0),IF($X92&lt;=20,1,0))</formula>
    </cfRule>
    <cfRule type="expression" dxfId="1016" priority="21">
      <formula>AND(IF($Q92=2,1,0),IF($X92&lt;30,1,0))</formula>
    </cfRule>
    <cfRule type="expression" dxfId="1015" priority="22">
      <formula>AND(IF($Q92=3,1,0),IF($X92&lt;30,1,0))</formula>
    </cfRule>
    <cfRule type="expression" dxfId="1014" priority="23">
      <formula>AND(IF($Q92=3,1,IF($Q92=4,1,0)),IF($F92&lt;=85,1,0))</formula>
    </cfRule>
  </conditionalFormatting>
  <conditionalFormatting sqref="AV93">
    <cfRule type="expression" dxfId="1013" priority="18">
      <formula>AV93="X"</formula>
    </cfRule>
    <cfRule type="expression" dxfId="1012" priority="19">
      <formula>AV93="후보"</formula>
    </cfRule>
  </conditionalFormatting>
  <conditionalFormatting sqref="AC93">
    <cfRule type="cellIs" dxfId="1011" priority="15" operator="greaterThan">
      <formula>0.9</formula>
    </cfRule>
    <cfRule type="cellIs" dxfId="1010" priority="16" operator="greaterThan">
      <formula>0.85</formula>
    </cfRule>
  </conditionalFormatting>
  <conditionalFormatting sqref="N93">
    <cfRule type="cellIs" dxfId="1009" priority="13" operator="greaterThan">
      <formula>0.9</formula>
    </cfRule>
    <cfRule type="cellIs" dxfId="1008" priority="14" operator="greaterThan">
      <formula>0.85</formula>
    </cfRule>
  </conditionalFormatting>
  <conditionalFormatting sqref="E93">
    <cfRule type="expression" dxfId="1007" priority="9">
      <formula>AND(IF(OR($Q93=1,$Q93=2),1,0),IF($X93&lt;=20,1,0))</formula>
    </cfRule>
    <cfRule type="expression" dxfId="1006" priority="10">
      <formula>AND(IF($Q93=2,1,0),IF($X93&lt;30,1,0))</formula>
    </cfRule>
    <cfRule type="expression" dxfId="1005" priority="11">
      <formula>AND(IF($Q93=3,1,0),IF($X93&lt;30,1,0))</formula>
    </cfRule>
    <cfRule type="expression" dxfId="1004" priority="12">
      <formula>AND(IF($Q93=3,1,IF($Q93=4,1,0)),IF($F93&lt;=85,1,0))</formula>
    </cfRule>
  </conditionalFormatting>
  <conditionalFormatting sqref="X93">
    <cfRule type="expression" dxfId="1003" priority="5">
      <formula>AND(IF(OR($Q93=1,$Q93=2),1,0),IF($X93&lt;=20,1,0))</formula>
    </cfRule>
    <cfRule type="expression" dxfId="1002" priority="6">
      <formula>AND(IF($Q93=2,1,0),IF($X93&lt;30,1,0))</formula>
    </cfRule>
    <cfRule type="expression" dxfId="1001" priority="7">
      <formula>AND(IF($Q93=3,1,0),IF($X93&lt;30,1,0))</formula>
    </cfRule>
    <cfRule type="expression" dxfId="1000" priority="8">
      <formula>AND(IF($Q93=3,1,IF($Q93=4,1,0)),IF($F93&lt;=85,1,0))</formula>
    </cfRule>
  </conditionalFormatting>
  <conditionalFormatting sqref="AI93">
    <cfRule type="expression" dxfId="999" priority="1">
      <formula>AND(IF(OR($Q93=1,$Q93=2),1,0),IF($X93&lt;=20,1,0))</formula>
    </cfRule>
    <cfRule type="expression" dxfId="998" priority="2">
      <formula>AND(IF($Q93=2,1,0),IF($X93&lt;30,1,0))</formula>
    </cfRule>
    <cfRule type="expression" dxfId="997" priority="3">
      <formula>AND(IF($Q93=3,1,0),IF($X93&lt;30,1,0))</formula>
    </cfRule>
    <cfRule type="expression" dxfId="996" priority="4">
      <formula>AND(IF($Q93=3,1,IF($Q93=4,1,0)),IF($F93&lt;=85,1,0))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서상동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720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서상동 중동대동다숲('05.12.,630^)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0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731</v>
      </c>
      <c r="B6" s="10" t="s">
        <v>985</v>
      </c>
      <c r="C6" s="107">
        <v>630</v>
      </c>
      <c r="D6" s="104">
        <v>106.9</v>
      </c>
      <c r="E6" s="106">
        <v>32</v>
      </c>
      <c r="F6" s="104">
        <v>84.9</v>
      </c>
      <c r="G6" s="17">
        <v>26</v>
      </c>
      <c r="H6" s="107">
        <v>230</v>
      </c>
      <c r="I6" s="108">
        <v>38000</v>
      </c>
      <c r="J6" s="108" t="s">
        <v>957</v>
      </c>
      <c r="K6" s="108"/>
      <c r="L6" s="108"/>
      <c r="M6" s="109">
        <f>I6-K6</f>
        <v>38000</v>
      </c>
      <c r="N6" s="4">
        <f>IF(ISERROR(K6/I6),"",K6/I6)</f>
        <v>0</v>
      </c>
      <c r="O6" s="105">
        <f>I6/E6</f>
        <v>1187.5</v>
      </c>
      <c r="P6" s="105">
        <f>K6/E6</f>
        <v>0</v>
      </c>
      <c r="Q6" s="75">
        <v>3</v>
      </c>
      <c r="R6" s="75">
        <v>2</v>
      </c>
      <c r="S6" s="75" t="s">
        <v>947</v>
      </c>
      <c r="T6" s="5">
        <v>106</v>
      </c>
      <c r="U6" s="9"/>
      <c r="W6" s="104">
        <f t="shared" ref="W6:X10" si="2">D6</f>
        <v>106.9</v>
      </c>
      <c r="X6" s="106">
        <f t="shared" si="2"/>
        <v>32</v>
      </c>
      <c r="Y6" s="102">
        <f t="shared" ref="Y6:Z10" si="3">H6</f>
        <v>230</v>
      </c>
      <c r="Z6" s="109">
        <f t="shared" si="3"/>
        <v>38000</v>
      </c>
      <c r="AA6" s="109">
        <f>K6</f>
        <v>0</v>
      </c>
      <c r="AB6" s="109">
        <f t="shared" ref="AB6:AD10" si="4">M6</f>
        <v>38000</v>
      </c>
      <c r="AC6" s="4">
        <f t="shared" si="4"/>
        <v>0</v>
      </c>
      <c r="AD6" s="105">
        <f t="shared" si="4"/>
        <v>1187.5</v>
      </c>
      <c r="AE6" s="75" t="str">
        <f>S6</f>
        <v>계</v>
      </c>
      <c r="AF6" s="75" t="str">
        <f>Q6&amp;"/"&amp;R6</f>
        <v>3/2</v>
      </c>
      <c r="AH6" s="20" t="str">
        <f t="shared" si="1"/>
        <v>중동대동다숲</v>
      </c>
      <c r="AI6" s="106">
        <f t="shared" si="0"/>
        <v>32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X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731</v>
      </c>
      <c r="B7" s="10" t="s">
        <v>985</v>
      </c>
      <c r="C7" s="107">
        <v>630</v>
      </c>
      <c r="D7" s="104">
        <v>112.8</v>
      </c>
      <c r="E7" s="106">
        <v>34</v>
      </c>
      <c r="F7" s="104">
        <v>84.9</v>
      </c>
      <c r="G7" s="17">
        <v>26</v>
      </c>
      <c r="H7" s="107">
        <v>192</v>
      </c>
      <c r="I7" s="108">
        <v>39000</v>
      </c>
      <c r="J7" s="108" t="s">
        <v>949</v>
      </c>
      <c r="K7" s="108"/>
      <c r="L7" s="108"/>
      <c r="M7" s="109">
        <f>I7-K7</f>
        <v>39000</v>
      </c>
      <c r="N7" s="4">
        <f>IF(ISERROR(K7/I7),"",K7/I7)</f>
        <v>0</v>
      </c>
      <c r="O7" s="105">
        <f>I7/E7</f>
        <v>1147.0588235294117</v>
      </c>
      <c r="P7" s="105">
        <f>K7/E7</f>
        <v>0</v>
      </c>
      <c r="Q7" s="75">
        <v>3</v>
      </c>
      <c r="R7" s="75">
        <v>2</v>
      </c>
      <c r="S7" s="75" t="s">
        <v>947</v>
      </c>
      <c r="T7" s="5" t="s">
        <v>245</v>
      </c>
      <c r="U7" s="9"/>
      <c r="W7" s="104">
        <f t="shared" si="2"/>
        <v>112.8</v>
      </c>
      <c r="X7" s="106">
        <f t="shared" si="2"/>
        <v>34</v>
      </c>
      <c r="Y7" s="102">
        <f t="shared" si="3"/>
        <v>192</v>
      </c>
      <c r="Z7" s="109">
        <f t="shared" si="3"/>
        <v>39000</v>
      </c>
      <c r="AA7" s="109">
        <f>K7</f>
        <v>0</v>
      </c>
      <c r="AB7" s="109">
        <f t="shared" si="4"/>
        <v>39000</v>
      </c>
      <c r="AC7" s="4">
        <f t="shared" si="4"/>
        <v>0</v>
      </c>
      <c r="AD7" s="105">
        <f t="shared" si="4"/>
        <v>1147.0588235294117</v>
      </c>
      <c r="AE7" s="75" t="str">
        <f>S7</f>
        <v>계</v>
      </c>
      <c r="AF7" s="75" t="str">
        <f>Q7&amp;"/"&amp;R7</f>
        <v>3/2</v>
      </c>
      <c r="AH7" s="20" t="str">
        <f t="shared" si="1"/>
        <v>중동대동다숲</v>
      </c>
      <c r="AI7" s="106">
        <f t="shared" si="0"/>
        <v>34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X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 t="s">
        <v>731</v>
      </c>
      <c r="B8" s="10" t="s">
        <v>985</v>
      </c>
      <c r="C8" s="107">
        <v>630</v>
      </c>
      <c r="D8" s="104">
        <v>113.7</v>
      </c>
      <c r="E8" s="106">
        <v>34</v>
      </c>
      <c r="F8" s="104">
        <v>85</v>
      </c>
      <c r="G8" s="17">
        <v>26</v>
      </c>
      <c r="H8" s="107">
        <v>150</v>
      </c>
      <c r="I8" s="108">
        <v>44000</v>
      </c>
      <c r="J8" s="108" t="s">
        <v>954</v>
      </c>
      <c r="K8" s="108"/>
      <c r="L8" s="108"/>
      <c r="M8" s="109">
        <f>I8-K8</f>
        <v>44000</v>
      </c>
      <c r="N8" s="4">
        <f>IF(ISERROR(K8/I8),"",K8/I8)</f>
        <v>0</v>
      </c>
      <c r="O8" s="105">
        <f>I8/E8</f>
        <v>1294.1176470588234</v>
      </c>
      <c r="P8" s="105">
        <f>K8/E8</f>
        <v>0</v>
      </c>
      <c r="Q8" s="75">
        <v>3</v>
      </c>
      <c r="R8" s="75">
        <v>2</v>
      </c>
      <c r="S8" s="75" t="s">
        <v>947</v>
      </c>
      <c r="T8" s="5" t="s">
        <v>599</v>
      </c>
      <c r="U8" s="9"/>
      <c r="W8" s="104">
        <f t="shared" si="2"/>
        <v>113.7</v>
      </c>
      <c r="X8" s="106">
        <f t="shared" si="2"/>
        <v>34</v>
      </c>
      <c r="Y8" s="102">
        <f t="shared" si="3"/>
        <v>150</v>
      </c>
      <c r="Z8" s="109">
        <f t="shared" si="3"/>
        <v>44000</v>
      </c>
      <c r="AA8" s="109">
        <f>K8</f>
        <v>0</v>
      </c>
      <c r="AB8" s="109">
        <f t="shared" si="4"/>
        <v>44000</v>
      </c>
      <c r="AC8" s="4">
        <f t="shared" si="4"/>
        <v>0</v>
      </c>
      <c r="AD8" s="105">
        <f t="shared" si="4"/>
        <v>1294.1176470588234</v>
      </c>
      <c r="AE8" s="75" t="str">
        <f>S8</f>
        <v>계</v>
      </c>
      <c r="AF8" s="75" t="str">
        <f>Q8&amp;"/"&amp;R8</f>
        <v>3/2</v>
      </c>
      <c r="AH8" s="20" t="str">
        <f t="shared" si="1"/>
        <v>중동대동다숲</v>
      </c>
      <c r="AI8" s="106">
        <f t="shared" si="0"/>
        <v>34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X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 t="s">
        <v>731</v>
      </c>
      <c r="B9" s="10" t="s">
        <v>985</v>
      </c>
      <c r="C9" s="107">
        <v>630</v>
      </c>
      <c r="D9" s="104">
        <v>158</v>
      </c>
      <c r="E9" s="106">
        <v>48</v>
      </c>
      <c r="F9" s="104">
        <v>131.1</v>
      </c>
      <c r="G9" s="17">
        <v>40</v>
      </c>
      <c r="H9" s="107">
        <v>30</v>
      </c>
      <c r="I9" s="108">
        <v>55000</v>
      </c>
      <c r="J9" s="108" t="s">
        <v>958</v>
      </c>
      <c r="K9" s="108"/>
      <c r="L9" s="108"/>
      <c r="M9" s="109">
        <f>I9-K9</f>
        <v>55000</v>
      </c>
      <c r="N9" s="4">
        <f>IF(ISERROR(K9/I9),"",K9/I9)</f>
        <v>0</v>
      </c>
      <c r="O9" s="105">
        <f>I9/E9</f>
        <v>1145.8333333333333</v>
      </c>
      <c r="P9" s="105">
        <f>K9/E9</f>
        <v>0</v>
      </c>
      <c r="Q9" s="75">
        <v>4</v>
      </c>
      <c r="R9" s="75">
        <v>2</v>
      </c>
      <c r="S9" s="75" t="s">
        <v>947</v>
      </c>
      <c r="T9" s="5">
        <v>158</v>
      </c>
      <c r="U9" s="9"/>
      <c r="W9" s="104">
        <f t="shared" si="2"/>
        <v>158</v>
      </c>
      <c r="X9" s="106">
        <f t="shared" si="2"/>
        <v>48</v>
      </c>
      <c r="Y9" s="102">
        <f t="shared" si="3"/>
        <v>30</v>
      </c>
      <c r="Z9" s="109">
        <f t="shared" si="3"/>
        <v>55000</v>
      </c>
      <c r="AA9" s="109">
        <f>K9</f>
        <v>0</v>
      </c>
      <c r="AB9" s="109">
        <f t="shared" si="4"/>
        <v>55000</v>
      </c>
      <c r="AC9" s="4">
        <f t="shared" si="4"/>
        <v>0</v>
      </c>
      <c r="AD9" s="105">
        <f t="shared" si="4"/>
        <v>1145.8333333333333</v>
      </c>
      <c r="AE9" s="75" t="str">
        <f>S9</f>
        <v>계</v>
      </c>
      <c r="AF9" s="75" t="str">
        <f>Q9&amp;"/"&amp;R9</f>
        <v>4/2</v>
      </c>
      <c r="AH9" s="20" t="str">
        <f t="shared" si="1"/>
        <v>중동대동다숲</v>
      </c>
      <c r="AI9" s="106">
        <f t="shared" si="0"/>
        <v>48</v>
      </c>
      <c r="AJ9" s="75" t="str">
        <f>IF(AI9="","",$AJ$2)</f>
        <v>A-</v>
      </c>
      <c r="AK9" s="75" t="s">
        <v>14</v>
      </c>
      <c r="AL9" s="75" t="s">
        <v>944</v>
      </c>
      <c r="AM9" s="75" t="s">
        <v>945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X</v>
      </c>
      <c r="AQ9" s="75" t="str">
        <f>IF(O9="","",IF(O9&lt;=$AQ$1,"O","X"))</f>
        <v>X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X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731</v>
      </c>
      <c r="B10" s="10" t="s">
        <v>985</v>
      </c>
      <c r="C10" s="107">
        <v>630</v>
      </c>
      <c r="D10" s="104">
        <v>182</v>
      </c>
      <c r="E10" s="106">
        <v>55</v>
      </c>
      <c r="F10" s="104">
        <v>151.9</v>
      </c>
      <c r="G10" s="17">
        <v>46</v>
      </c>
      <c r="H10" s="107">
        <v>28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4</v>
      </c>
      <c r="R10" s="75">
        <v>2</v>
      </c>
      <c r="S10" s="75" t="s">
        <v>947</v>
      </c>
      <c r="T10" s="5">
        <v>181</v>
      </c>
      <c r="U10" s="9"/>
      <c r="W10" s="104">
        <f t="shared" si="2"/>
        <v>182</v>
      </c>
      <c r="X10" s="106">
        <f t="shared" si="2"/>
        <v>55</v>
      </c>
      <c r="Y10" s="102">
        <f t="shared" si="3"/>
        <v>28</v>
      </c>
      <c r="Z10" s="109">
        <f t="shared" si="3"/>
        <v>0</v>
      </c>
      <c r="AA10" s="109">
        <f>K10</f>
        <v>0</v>
      </c>
      <c r="AB10" s="109">
        <f t="shared" si="4"/>
        <v>0</v>
      </c>
      <c r="AC10" s="4" t="str">
        <f t="shared" si="4"/>
        <v/>
      </c>
      <c r="AD10" s="105">
        <f t="shared" si="4"/>
        <v>0</v>
      </c>
      <c r="AE10" s="75" t="str">
        <f>S10</f>
        <v>계</v>
      </c>
      <c r="AF10" s="75" t="str">
        <f>Q10&amp;"/"&amp;R10</f>
        <v>4/2</v>
      </c>
      <c r="AH10" s="20" t="str">
        <f t="shared" si="1"/>
        <v>중동대동다숲</v>
      </c>
      <c r="AI10" s="106">
        <f t="shared" si="0"/>
        <v>55</v>
      </c>
      <c r="AJ10" s="75" t="str">
        <f>IF(AI10="","",$AJ$2)</f>
        <v>A-</v>
      </c>
      <c r="AK10" s="75" t="s">
        <v>14</v>
      </c>
      <c r="AL10" s="75" t="s">
        <v>944</v>
      </c>
      <c r="AM10" s="75" t="s">
        <v>945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X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995" priority="96">
      <formula>AV4="X"</formula>
    </cfRule>
    <cfRule type="expression" dxfId="994" priority="97">
      <formula>AV4="후보"</formula>
    </cfRule>
  </conditionalFormatting>
  <conditionalFormatting sqref="AC1:AC2 AC4:AC6 N4:N5">
    <cfRule type="cellIs" dxfId="993" priority="93" operator="greaterThan">
      <formula>0.9</formula>
    </cfRule>
    <cfRule type="cellIs" dxfId="992" priority="94" operator="greaterThan">
      <formula>0.85</formula>
    </cfRule>
  </conditionalFormatting>
  <conditionalFormatting sqref="N1:N2">
    <cfRule type="cellIs" dxfId="991" priority="91" operator="greaterThan">
      <formula>0.9</formula>
    </cfRule>
    <cfRule type="cellIs" dxfId="990" priority="92" operator="greaterThan">
      <formula>0.85</formula>
    </cfRule>
  </conditionalFormatting>
  <conditionalFormatting sqref="N6">
    <cfRule type="cellIs" dxfId="989" priority="89" operator="greaterThan">
      <formula>0.9</formula>
    </cfRule>
    <cfRule type="cellIs" dxfId="988" priority="90" operator="greaterThan">
      <formula>0.85</formula>
    </cfRule>
  </conditionalFormatting>
  <conditionalFormatting sqref="E6">
    <cfRule type="expression" dxfId="987" priority="85">
      <formula>AND(IF(OR($Q6=1,$Q6=2),1,0),IF($X6&lt;=20,1,0))</formula>
    </cfRule>
    <cfRule type="expression" dxfId="986" priority="86">
      <formula>AND(IF($Q6=2,1,0),IF($X6&lt;30,1,0))</formula>
    </cfRule>
    <cfRule type="expression" dxfId="985" priority="87">
      <formula>AND(IF($Q6=3,1,0),IF($X6&lt;30,1,0))</formula>
    </cfRule>
    <cfRule type="expression" dxfId="984" priority="88">
      <formula>AND(IF($Q6=3,1,IF($Q6=4,1,0)),IF($F6&lt;=85,1,0))</formula>
    </cfRule>
  </conditionalFormatting>
  <conditionalFormatting sqref="X6">
    <cfRule type="expression" dxfId="983" priority="81">
      <formula>AND(IF(OR($Q6=1,$Q6=2),1,0),IF($X6&lt;=20,1,0))</formula>
    </cfRule>
    <cfRule type="expression" dxfId="982" priority="82">
      <formula>AND(IF($Q6=2,1,0),IF($X6&lt;30,1,0))</formula>
    </cfRule>
    <cfRule type="expression" dxfId="981" priority="83">
      <formula>AND(IF($Q6=3,1,0),IF($X6&lt;30,1,0))</formula>
    </cfRule>
    <cfRule type="expression" dxfId="980" priority="84">
      <formula>AND(IF($Q6=3,1,IF($Q6=4,1,0)),IF($F6&lt;=85,1,0))</formula>
    </cfRule>
  </conditionalFormatting>
  <conditionalFormatting sqref="AI6">
    <cfRule type="expression" dxfId="979" priority="77">
      <formula>AND(IF(OR($Q6=1,$Q6=2),1,0),IF($X6&lt;=20,1,0))</formula>
    </cfRule>
    <cfRule type="expression" dxfId="978" priority="78">
      <formula>AND(IF($Q6=2,1,0),IF($X6&lt;30,1,0))</formula>
    </cfRule>
    <cfRule type="expression" dxfId="977" priority="79">
      <formula>AND(IF($Q6=3,1,0),IF($X6&lt;30,1,0))</formula>
    </cfRule>
    <cfRule type="expression" dxfId="976" priority="80">
      <formula>AND(IF($Q6=3,1,IF($Q6=4,1,0)),IF($F6&lt;=85,1,0))</formula>
    </cfRule>
  </conditionalFormatting>
  <conditionalFormatting sqref="AV7">
    <cfRule type="expression" dxfId="975" priority="75">
      <formula>AV7="X"</formula>
    </cfRule>
    <cfRule type="expression" dxfId="974" priority="76">
      <formula>AV7="후보"</formula>
    </cfRule>
  </conditionalFormatting>
  <conditionalFormatting sqref="AC7">
    <cfRule type="cellIs" dxfId="973" priority="72" operator="greaterThan">
      <formula>0.9</formula>
    </cfRule>
    <cfRule type="cellIs" dxfId="972" priority="73" operator="greaterThan">
      <formula>0.85</formula>
    </cfRule>
  </conditionalFormatting>
  <conditionalFormatting sqref="N7">
    <cfRule type="cellIs" dxfId="971" priority="70" operator="greaterThan">
      <formula>0.9</formula>
    </cfRule>
    <cfRule type="cellIs" dxfId="970" priority="71" operator="greaterThan">
      <formula>0.85</formula>
    </cfRule>
  </conditionalFormatting>
  <conditionalFormatting sqref="E7">
    <cfRule type="expression" dxfId="969" priority="66">
      <formula>AND(IF(OR($Q7=1,$Q7=2),1,0),IF($X7&lt;=20,1,0))</formula>
    </cfRule>
    <cfRule type="expression" dxfId="968" priority="67">
      <formula>AND(IF($Q7=2,1,0),IF($X7&lt;30,1,0))</formula>
    </cfRule>
    <cfRule type="expression" dxfId="967" priority="68">
      <formula>AND(IF($Q7=3,1,0),IF($X7&lt;30,1,0))</formula>
    </cfRule>
    <cfRule type="expression" dxfId="966" priority="69">
      <formula>AND(IF($Q7=3,1,IF($Q7=4,1,0)),IF($F7&lt;=85,1,0))</formula>
    </cfRule>
  </conditionalFormatting>
  <conditionalFormatting sqref="X7">
    <cfRule type="expression" dxfId="965" priority="62">
      <formula>AND(IF(OR($Q7=1,$Q7=2),1,0),IF($X7&lt;=20,1,0))</formula>
    </cfRule>
    <cfRule type="expression" dxfId="964" priority="63">
      <formula>AND(IF($Q7=2,1,0),IF($X7&lt;30,1,0))</formula>
    </cfRule>
    <cfRule type="expression" dxfId="963" priority="64">
      <formula>AND(IF($Q7=3,1,0),IF($X7&lt;30,1,0))</formula>
    </cfRule>
    <cfRule type="expression" dxfId="962" priority="65">
      <formula>AND(IF($Q7=3,1,IF($Q7=4,1,0)),IF($F7&lt;=85,1,0))</formula>
    </cfRule>
  </conditionalFormatting>
  <conditionalFormatting sqref="AI7">
    <cfRule type="expression" dxfId="961" priority="58">
      <formula>AND(IF(OR($Q7=1,$Q7=2),1,0),IF($X7&lt;=20,1,0))</formula>
    </cfRule>
    <cfRule type="expression" dxfId="960" priority="59">
      <formula>AND(IF($Q7=2,1,0),IF($X7&lt;30,1,0))</formula>
    </cfRule>
    <cfRule type="expression" dxfId="959" priority="60">
      <formula>AND(IF($Q7=3,1,0),IF($X7&lt;30,1,0))</formula>
    </cfRule>
    <cfRule type="expression" dxfId="958" priority="61">
      <formula>AND(IF($Q7=3,1,IF($Q7=4,1,0)),IF($F7&lt;=85,1,0))</formula>
    </cfRule>
  </conditionalFormatting>
  <conditionalFormatting sqref="AV8">
    <cfRule type="expression" dxfId="957" priority="56">
      <formula>AV8="X"</formula>
    </cfRule>
    <cfRule type="expression" dxfId="956" priority="57">
      <formula>AV8="후보"</formula>
    </cfRule>
  </conditionalFormatting>
  <conditionalFormatting sqref="AC8">
    <cfRule type="cellIs" dxfId="955" priority="53" operator="greaterThan">
      <formula>0.9</formula>
    </cfRule>
    <cfRule type="cellIs" dxfId="954" priority="54" operator="greaterThan">
      <formula>0.85</formula>
    </cfRule>
  </conditionalFormatting>
  <conditionalFormatting sqref="N8">
    <cfRule type="cellIs" dxfId="953" priority="51" operator="greaterThan">
      <formula>0.9</formula>
    </cfRule>
    <cfRule type="cellIs" dxfId="952" priority="52" operator="greaterThan">
      <formula>0.85</formula>
    </cfRule>
  </conditionalFormatting>
  <conditionalFormatting sqref="E8">
    <cfRule type="expression" dxfId="951" priority="47">
      <formula>AND(IF(OR($Q8=1,$Q8=2),1,0),IF($X8&lt;=20,1,0))</formula>
    </cfRule>
    <cfRule type="expression" dxfId="950" priority="48">
      <formula>AND(IF($Q8=2,1,0),IF($X8&lt;30,1,0))</formula>
    </cfRule>
    <cfRule type="expression" dxfId="949" priority="49">
      <formula>AND(IF($Q8=3,1,0),IF($X8&lt;30,1,0))</formula>
    </cfRule>
    <cfRule type="expression" dxfId="948" priority="50">
      <formula>AND(IF($Q8=3,1,IF($Q8=4,1,0)),IF($F8&lt;=85,1,0))</formula>
    </cfRule>
  </conditionalFormatting>
  <conditionalFormatting sqref="X8">
    <cfRule type="expression" dxfId="947" priority="43">
      <formula>AND(IF(OR($Q8=1,$Q8=2),1,0),IF($X8&lt;=20,1,0))</formula>
    </cfRule>
    <cfRule type="expression" dxfId="946" priority="44">
      <formula>AND(IF($Q8=2,1,0),IF($X8&lt;30,1,0))</formula>
    </cfRule>
    <cfRule type="expression" dxfId="945" priority="45">
      <formula>AND(IF($Q8=3,1,0),IF($X8&lt;30,1,0))</formula>
    </cfRule>
    <cfRule type="expression" dxfId="944" priority="46">
      <formula>AND(IF($Q8=3,1,IF($Q8=4,1,0)),IF($F8&lt;=85,1,0))</formula>
    </cfRule>
  </conditionalFormatting>
  <conditionalFormatting sqref="AI8">
    <cfRule type="expression" dxfId="943" priority="39">
      <formula>AND(IF(OR($Q8=1,$Q8=2),1,0),IF($X8&lt;=20,1,0))</formula>
    </cfRule>
    <cfRule type="expression" dxfId="942" priority="40">
      <formula>AND(IF($Q8=2,1,0),IF($X8&lt;30,1,0))</formula>
    </cfRule>
    <cfRule type="expression" dxfId="941" priority="41">
      <formula>AND(IF($Q8=3,1,0),IF($X8&lt;30,1,0))</formula>
    </cfRule>
    <cfRule type="expression" dxfId="940" priority="42">
      <formula>AND(IF($Q8=3,1,IF($Q8=4,1,0)),IF($F8&lt;=85,1,0))</formula>
    </cfRule>
  </conditionalFormatting>
  <conditionalFormatting sqref="AV9">
    <cfRule type="expression" dxfId="939" priority="37">
      <formula>AV9="X"</formula>
    </cfRule>
    <cfRule type="expression" dxfId="938" priority="38">
      <formula>AV9="후보"</formula>
    </cfRule>
  </conditionalFormatting>
  <conditionalFormatting sqref="AC9">
    <cfRule type="cellIs" dxfId="937" priority="34" operator="greaterThan">
      <formula>0.9</formula>
    </cfRule>
    <cfRule type="cellIs" dxfId="936" priority="35" operator="greaterThan">
      <formula>0.85</formula>
    </cfRule>
  </conditionalFormatting>
  <conditionalFormatting sqref="N9">
    <cfRule type="cellIs" dxfId="935" priority="32" operator="greaterThan">
      <formula>0.9</formula>
    </cfRule>
    <cfRule type="cellIs" dxfId="934" priority="33" operator="greaterThan">
      <formula>0.85</formula>
    </cfRule>
  </conditionalFormatting>
  <conditionalFormatting sqref="E9">
    <cfRule type="expression" dxfId="933" priority="28">
      <formula>AND(IF(OR($Q9=1,$Q9=2),1,0),IF($X9&lt;=20,1,0))</formula>
    </cfRule>
    <cfRule type="expression" dxfId="932" priority="29">
      <formula>AND(IF($Q9=2,1,0),IF($X9&lt;30,1,0))</formula>
    </cfRule>
    <cfRule type="expression" dxfId="931" priority="30">
      <formula>AND(IF($Q9=3,1,0),IF($X9&lt;30,1,0))</formula>
    </cfRule>
    <cfRule type="expression" dxfId="930" priority="31">
      <formula>AND(IF($Q9=3,1,IF($Q9=4,1,0)),IF($F9&lt;=85,1,0))</formula>
    </cfRule>
  </conditionalFormatting>
  <conditionalFormatting sqref="X9">
    <cfRule type="expression" dxfId="929" priority="24">
      <formula>AND(IF(OR($Q9=1,$Q9=2),1,0),IF($X9&lt;=20,1,0))</formula>
    </cfRule>
    <cfRule type="expression" dxfId="928" priority="25">
      <formula>AND(IF($Q9=2,1,0),IF($X9&lt;30,1,0))</formula>
    </cfRule>
    <cfRule type="expression" dxfId="927" priority="26">
      <formula>AND(IF($Q9=3,1,0),IF($X9&lt;30,1,0))</formula>
    </cfRule>
    <cfRule type="expression" dxfId="926" priority="27">
      <formula>AND(IF($Q9=3,1,IF($Q9=4,1,0)),IF($F9&lt;=85,1,0))</formula>
    </cfRule>
  </conditionalFormatting>
  <conditionalFormatting sqref="AI9">
    <cfRule type="expression" dxfId="925" priority="20">
      <formula>AND(IF(OR($Q9=1,$Q9=2),1,0),IF($X9&lt;=20,1,0))</formula>
    </cfRule>
    <cfRule type="expression" dxfId="924" priority="21">
      <formula>AND(IF($Q9=2,1,0),IF($X9&lt;30,1,0))</formula>
    </cfRule>
    <cfRule type="expression" dxfId="923" priority="22">
      <formula>AND(IF($Q9=3,1,0),IF($X9&lt;30,1,0))</formula>
    </cfRule>
    <cfRule type="expression" dxfId="922" priority="23">
      <formula>AND(IF($Q9=3,1,IF($Q9=4,1,0)),IF($F9&lt;=85,1,0))</formula>
    </cfRule>
  </conditionalFormatting>
  <conditionalFormatting sqref="AV10">
    <cfRule type="expression" dxfId="921" priority="18">
      <formula>AV10="X"</formula>
    </cfRule>
    <cfRule type="expression" dxfId="920" priority="19">
      <formula>AV10="후보"</formula>
    </cfRule>
  </conditionalFormatting>
  <conditionalFormatting sqref="AC10">
    <cfRule type="cellIs" dxfId="919" priority="15" operator="greaterThan">
      <formula>0.9</formula>
    </cfRule>
    <cfRule type="cellIs" dxfId="918" priority="16" operator="greaterThan">
      <formula>0.85</formula>
    </cfRule>
  </conditionalFormatting>
  <conditionalFormatting sqref="N10">
    <cfRule type="cellIs" dxfId="917" priority="13" operator="greaterThan">
      <formula>0.9</formula>
    </cfRule>
    <cfRule type="cellIs" dxfId="916" priority="14" operator="greaterThan">
      <formula>0.85</formula>
    </cfRule>
  </conditionalFormatting>
  <conditionalFormatting sqref="E10">
    <cfRule type="expression" dxfId="915" priority="9">
      <formula>AND(IF(OR($Q10=1,$Q10=2),1,0),IF($X10&lt;=20,1,0))</formula>
    </cfRule>
    <cfRule type="expression" dxfId="914" priority="10">
      <formula>AND(IF($Q10=2,1,0),IF($X10&lt;30,1,0))</formula>
    </cfRule>
    <cfRule type="expression" dxfId="913" priority="11">
      <formula>AND(IF($Q10=3,1,0),IF($X10&lt;30,1,0))</formula>
    </cfRule>
    <cfRule type="expression" dxfId="912" priority="12">
      <formula>AND(IF($Q10=3,1,IF($Q10=4,1,0)),IF($F10&lt;=85,1,0))</formula>
    </cfRule>
  </conditionalFormatting>
  <conditionalFormatting sqref="X10">
    <cfRule type="expression" dxfId="911" priority="5">
      <formula>AND(IF(OR($Q10=1,$Q10=2),1,0),IF($X10&lt;=20,1,0))</formula>
    </cfRule>
    <cfRule type="expression" dxfId="910" priority="6">
      <formula>AND(IF($Q10=2,1,0),IF($X10&lt;30,1,0))</formula>
    </cfRule>
    <cfRule type="expression" dxfId="909" priority="7">
      <formula>AND(IF($Q10=3,1,0),IF($X10&lt;30,1,0))</formula>
    </cfRule>
    <cfRule type="expression" dxfId="908" priority="8">
      <formula>AND(IF($Q10=3,1,IF($Q10=4,1,0)),IF($F10&lt;=85,1,0))</formula>
    </cfRule>
  </conditionalFormatting>
  <conditionalFormatting sqref="AI10">
    <cfRule type="expression" dxfId="907" priority="1">
      <formula>AND(IF(OR($Q10=1,$Q10=2),1,0),IF($X10&lt;=20,1,0))</formula>
    </cfRule>
    <cfRule type="expression" dxfId="906" priority="2">
      <formula>AND(IF($Q10=2,1,0),IF($X10&lt;30,1,0))</formula>
    </cfRule>
    <cfRule type="expression" dxfId="905" priority="3">
      <formula>AND(IF($Q10=3,1,0),IF($X10&lt;30,1,0))</formula>
    </cfRule>
    <cfRule type="expression" dxfId="90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소계동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746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소계동 소계럭키('91.03.,243^)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742</v>
      </c>
      <c r="B6" s="10" t="s">
        <v>986</v>
      </c>
      <c r="C6" s="107">
        <v>243</v>
      </c>
      <c r="D6" s="104">
        <v>65.8</v>
      </c>
      <c r="E6" s="106">
        <v>20</v>
      </c>
      <c r="F6" s="104">
        <v>49.8</v>
      </c>
      <c r="G6" s="17">
        <v>15</v>
      </c>
      <c r="H6" s="107">
        <v>21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2</v>
      </c>
      <c r="R6" s="75">
        <v>1</v>
      </c>
      <c r="S6" s="75" t="s">
        <v>943</v>
      </c>
      <c r="T6" s="5">
        <v>65</v>
      </c>
      <c r="U6" s="9"/>
      <c r="W6" s="104">
        <f t="shared" ref="W6:X8" si="1">D6</f>
        <v>65.8</v>
      </c>
      <c r="X6" s="106">
        <f t="shared" si="1"/>
        <v>20</v>
      </c>
      <c r="Y6" s="102">
        <f t="shared" ref="Y6:Z8" si="2">H6</f>
        <v>21</v>
      </c>
      <c r="Z6" s="109">
        <f t="shared" si="2"/>
        <v>0</v>
      </c>
      <c r="AA6" s="109">
        <f>K6</f>
        <v>0</v>
      </c>
      <c r="AB6" s="109">
        <f t="shared" ref="AB6:AD8" si="3">M6</f>
        <v>0</v>
      </c>
      <c r="AC6" s="4" t="str">
        <f t="shared" si="3"/>
        <v/>
      </c>
      <c r="AD6" s="105">
        <f t="shared" si="3"/>
        <v>0</v>
      </c>
      <c r="AE6" s="75" t="str">
        <f>S6</f>
        <v>복</v>
      </c>
      <c r="AF6" s="75" t="str">
        <f>Q6&amp;"/"&amp;R6</f>
        <v>2/1</v>
      </c>
      <c r="AH6" s="20" t="str">
        <f>IF(A6="","",A6)</f>
        <v>소계럭키</v>
      </c>
      <c r="AI6" s="106">
        <f t="shared" si="0"/>
        <v>20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742</v>
      </c>
      <c r="B7" s="10" t="s">
        <v>986</v>
      </c>
      <c r="C7" s="107">
        <v>243</v>
      </c>
      <c r="D7" s="104">
        <v>71.400000000000006</v>
      </c>
      <c r="E7" s="106">
        <v>22</v>
      </c>
      <c r="F7" s="104">
        <v>54.1</v>
      </c>
      <c r="G7" s="17">
        <v>16</v>
      </c>
      <c r="H7" s="107">
        <v>90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1</v>
      </c>
      <c r="S7" s="75" t="s">
        <v>943</v>
      </c>
      <c r="T7" s="5">
        <v>71</v>
      </c>
      <c r="U7" s="9"/>
      <c r="W7" s="104">
        <f t="shared" si="1"/>
        <v>71.400000000000006</v>
      </c>
      <c r="X7" s="106">
        <f t="shared" si="1"/>
        <v>22</v>
      </c>
      <c r="Y7" s="102">
        <f t="shared" si="2"/>
        <v>90</v>
      </c>
      <c r="Z7" s="109">
        <f t="shared" si="2"/>
        <v>0</v>
      </c>
      <c r="AA7" s="109">
        <f>K7</f>
        <v>0</v>
      </c>
      <c r="AB7" s="109">
        <f t="shared" si="3"/>
        <v>0</v>
      </c>
      <c r="AC7" s="4" t="str">
        <f t="shared" si="3"/>
        <v/>
      </c>
      <c r="AD7" s="105">
        <f t="shared" si="3"/>
        <v>0</v>
      </c>
      <c r="AE7" s="75" t="str">
        <f>S7</f>
        <v>복</v>
      </c>
      <c r="AF7" s="75" t="str">
        <f>Q7&amp;"/"&amp;R7</f>
        <v>3/1</v>
      </c>
      <c r="AH7" s="20" t="str">
        <f>IF(A7="","",A7)</f>
        <v>소계럭키</v>
      </c>
      <c r="AI7" s="106">
        <f t="shared" si="0"/>
        <v>22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 t="s">
        <v>742</v>
      </c>
      <c r="B8" s="10" t="s">
        <v>986</v>
      </c>
      <c r="C8" s="107">
        <v>243</v>
      </c>
      <c r="D8" s="104">
        <v>79.3</v>
      </c>
      <c r="E8" s="106">
        <v>24</v>
      </c>
      <c r="F8" s="104">
        <v>60</v>
      </c>
      <c r="G8" s="17">
        <v>18</v>
      </c>
      <c r="H8" s="107">
        <v>132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3</v>
      </c>
      <c r="R8" s="75">
        <v>1</v>
      </c>
      <c r="S8" s="75" t="s">
        <v>943</v>
      </c>
      <c r="T8" s="5">
        <v>79</v>
      </c>
      <c r="U8" s="9"/>
      <c r="W8" s="104">
        <f t="shared" si="1"/>
        <v>79.3</v>
      </c>
      <c r="X8" s="106">
        <f t="shared" si="1"/>
        <v>24</v>
      </c>
      <c r="Y8" s="102">
        <f t="shared" si="2"/>
        <v>132</v>
      </c>
      <c r="Z8" s="109">
        <f t="shared" si="2"/>
        <v>0</v>
      </c>
      <c r="AA8" s="109">
        <f>K8</f>
        <v>0</v>
      </c>
      <c r="AB8" s="109">
        <f t="shared" si="3"/>
        <v>0</v>
      </c>
      <c r="AC8" s="4" t="str">
        <f t="shared" si="3"/>
        <v/>
      </c>
      <c r="AD8" s="105">
        <f t="shared" si="3"/>
        <v>0</v>
      </c>
      <c r="AE8" s="75" t="str">
        <f>S8</f>
        <v>복</v>
      </c>
      <c r="AF8" s="75" t="str">
        <f>Q8&amp;"/"&amp;R8</f>
        <v>3/1</v>
      </c>
      <c r="AH8" s="20" t="str">
        <f>IF(A8="","",A8)</f>
        <v>소계럭키</v>
      </c>
      <c r="AI8" s="106">
        <f t="shared" si="0"/>
        <v>24</v>
      </c>
      <c r="AJ8" s="75" t="str">
        <f>IF(AI8="","",$AJ$2)</f>
        <v>A-</v>
      </c>
      <c r="AK8" s="75" t="s">
        <v>14</v>
      </c>
      <c r="AL8" s="75" t="s">
        <v>944</v>
      </c>
      <c r="AM8" s="75" t="s">
        <v>945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X</v>
      </c>
      <c r="AV8" s="75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903" priority="58">
      <formula>AV4="X"</formula>
    </cfRule>
    <cfRule type="expression" dxfId="902" priority="59">
      <formula>AV4="후보"</formula>
    </cfRule>
  </conditionalFormatting>
  <conditionalFormatting sqref="AC1:AC2 AC4:AC6 N4:N5">
    <cfRule type="cellIs" dxfId="901" priority="55" operator="greaterThan">
      <formula>0.9</formula>
    </cfRule>
    <cfRule type="cellIs" dxfId="900" priority="56" operator="greaterThan">
      <formula>0.85</formula>
    </cfRule>
  </conditionalFormatting>
  <conditionalFormatting sqref="N1:N2">
    <cfRule type="cellIs" dxfId="899" priority="53" operator="greaterThan">
      <formula>0.9</formula>
    </cfRule>
    <cfRule type="cellIs" dxfId="898" priority="54" operator="greaterThan">
      <formula>0.85</formula>
    </cfRule>
  </conditionalFormatting>
  <conditionalFormatting sqref="N6">
    <cfRule type="cellIs" dxfId="897" priority="51" operator="greaterThan">
      <formula>0.9</formula>
    </cfRule>
    <cfRule type="cellIs" dxfId="896" priority="52" operator="greaterThan">
      <formula>0.85</formula>
    </cfRule>
  </conditionalFormatting>
  <conditionalFormatting sqref="E6">
    <cfRule type="expression" dxfId="895" priority="47">
      <formula>AND(IF(OR($Q6=1,$Q6=2),1,0),IF($X6&lt;=20,1,0))</formula>
    </cfRule>
    <cfRule type="expression" dxfId="894" priority="48">
      <formula>AND(IF($Q6=2,1,0),IF($X6&lt;30,1,0))</formula>
    </cfRule>
    <cfRule type="expression" dxfId="893" priority="49">
      <formula>AND(IF($Q6=3,1,0),IF($X6&lt;30,1,0))</formula>
    </cfRule>
    <cfRule type="expression" dxfId="892" priority="50">
      <formula>AND(IF($Q6=3,1,IF($Q6=4,1,0)),IF($F6&lt;=85,1,0))</formula>
    </cfRule>
  </conditionalFormatting>
  <conditionalFormatting sqref="X6">
    <cfRule type="expression" dxfId="891" priority="43">
      <formula>AND(IF(OR($Q6=1,$Q6=2),1,0),IF($X6&lt;=20,1,0))</formula>
    </cfRule>
    <cfRule type="expression" dxfId="890" priority="44">
      <formula>AND(IF($Q6=2,1,0),IF($X6&lt;30,1,0))</formula>
    </cfRule>
    <cfRule type="expression" dxfId="889" priority="45">
      <formula>AND(IF($Q6=3,1,0),IF($X6&lt;30,1,0))</formula>
    </cfRule>
    <cfRule type="expression" dxfId="888" priority="46">
      <formula>AND(IF($Q6=3,1,IF($Q6=4,1,0)),IF($F6&lt;=85,1,0))</formula>
    </cfRule>
  </conditionalFormatting>
  <conditionalFormatting sqref="AI6">
    <cfRule type="expression" dxfId="887" priority="39">
      <formula>AND(IF(OR($Q6=1,$Q6=2),1,0),IF($X6&lt;=20,1,0))</formula>
    </cfRule>
    <cfRule type="expression" dxfId="886" priority="40">
      <formula>AND(IF($Q6=2,1,0),IF($X6&lt;30,1,0))</formula>
    </cfRule>
    <cfRule type="expression" dxfId="885" priority="41">
      <formula>AND(IF($Q6=3,1,0),IF($X6&lt;30,1,0))</formula>
    </cfRule>
    <cfRule type="expression" dxfId="884" priority="42">
      <formula>AND(IF($Q6=3,1,IF($Q6=4,1,0)),IF($F6&lt;=85,1,0))</formula>
    </cfRule>
  </conditionalFormatting>
  <conditionalFormatting sqref="AV7">
    <cfRule type="expression" dxfId="883" priority="37">
      <formula>AV7="X"</formula>
    </cfRule>
    <cfRule type="expression" dxfId="882" priority="38">
      <formula>AV7="후보"</formula>
    </cfRule>
  </conditionalFormatting>
  <conditionalFormatting sqref="AC7">
    <cfRule type="cellIs" dxfId="881" priority="34" operator="greaterThan">
      <formula>0.9</formula>
    </cfRule>
    <cfRule type="cellIs" dxfId="880" priority="35" operator="greaterThan">
      <formula>0.85</formula>
    </cfRule>
  </conditionalFormatting>
  <conditionalFormatting sqref="N7">
    <cfRule type="cellIs" dxfId="879" priority="32" operator="greaterThan">
      <formula>0.9</formula>
    </cfRule>
    <cfRule type="cellIs" dxfId="878" priority="33" operator="greaterThan">
      <formula>0.85</formula>
    </cfRule>
  </conditionalFormatting>
  <conditionalFormatting sqref="E7">
    <cfRule type="expression" dxfId="877" priority="28">
      <formula>AND(IF(OR($Q7=1,$Q7=2),1,0),IF($X7&lt;=20,1,0))</formula>
    </cfRule>
    <cfRule type="expression" dxfId="876" priority="29">
      <formula>AND(IF($Q7=2,1,0),IF($X7&lt;30,1,0))</formula>
    </cfRule>
    <cfRule type="expression" dxfId="875" priority="30">
      <formula>AND(IF($Q7=3,1,0),IF($X7&lt;30,1,0))</formula>
    </cfRule>
    <cfRule type="expression" dxfId="874" priority="31">
      <formula>AND(IF($Q7=3,1,IF($Q7=4,1,0)),IF($F7&lt;=85,1,0))</formula>
    </cfRule>
  </conditionalFormatting>
  <conditionalFormatting sqref="X7">
    <cfRule type="expression" dxfId="873" priority="24">
      <formula>AND(IF(OR($Q7=1,$Q7=2),1,0),IF($X7&lt;=20,1,0))</formula>
    </cfRule>
    <cfRule type="expression" dxfId="872" priority="25">
      <formula>AND(IF($Q7=2,1,0),IF($X7&lt;30,1,0))</formula>
    </cfRule>
    <cfRule type="expression" dxfId="871" priority="26">
      <formula>AND(IF($Q7=3,1,0),IF($X7&lt;30,1,0))</formula>
    </cfRule>
    <cfRule type="expression" dxfId="870" priority="27">
      <formula>AND(IF($Q7=3,1,IF($Q7=4,1,0)),IF($F7&lt;=85,1,0))</formula>
    </cfRule>
  </conditionalFormatting>
  <conditionalFormatting sqref="AI7">
    <cfRule type="expression" dxfId="869" priority="20">
      <formula>AND(IF(OR($Q7=1,$Q7=2),1,0),IF($X7&lt;=20,1,0))</formula>
    </cfRule>
    <cfRule type="expression" dxfId="868" priority="21">
      <formula>AND(IF($Q7=2,1,0),IF($X7&lt;30,1,0))</formula>
    </cfRule>
    <cfRule type="expression" dxfId="867" priority="22">
      <formula>AND(IF($Q7=3,1,0),IF($X7&lt;30,1,0))</formula>
    </cfRule>
    <cfRule type="expression" dxfId="866" priority="23">
      <formula>AND(IF($Q7=3,1,IF($Q7=4,1,0)),IF($F7&lt;=85,1,0))</formula>
    </cfRule>
  </conditionalFormatting>
  <conditionalFormatting sqref="AV8">
    <cfRule type="expression" dxfId="865" priority="18">
      <formula>AV8="X"</formula>
    </cfRule>
    <cfRule type="expression" dxfId="864" priority="19">
      <formula>AV8="후보"</formula>
    </cfRule>
  </conditionalFormatting>
  <conditionalFormatting sqref="AC8">
    <cfRule type="cellIs" dxfId="863" priority="15" operator="greaterThan">
      <formula>0.9</formula>
    </cfRule>
    <cfRule type="cellIs" dxfId="862" priority="16" operator="greaterThan">
      <formula>0.85</formula>
    </cfRule>
  </conditionalFormatting>
  <conditionalFormatting sqref="N8">
    <cfRule type="cellIs" dxfId="861" priority="13" operator="greaterThan">
      <formula>0.9</formula>
    </cfRule>
    <cfRule type="cellIs" dxfId="860" priority="14" operator="greaterThan">
      <formula>0.85</formula>
    </cfRule>
  </conditionalFormatting>
  <conditionalFormatting sqref="E8">
    <cfRule type="expression" dxfId="859" priority="9">
      <formula>AND(IF(OR($Q8=1,$Q8=2),1,0),IF($X8&lt;=20,1,0))</formula>
    </cfRule>
    <cfRule type="expression" dxfId="858" priority="10">
      <formula>AND(IF($Q8=2,1,0),IF($X8&lt;30,1,0))</formula>
    </cfRule>
    <cfRule type="expression" dxfId="857" priority="11">
      <formula>AND(IF($Q8=3,1,0),IF($X8&lt;30,1,0))</formula>
    </cfRule>
    <cfRule type="expression" dxfId="856" priority="12">
      <formula>AND(IF($Q8=3,1,IF($Q8=4,1,0)),IF($F8&lt;=85,1,0))</formula>
    </cfRule>
  </conditionalFormatting>
  <conditionalFormatting sqref="X8">
    <cfRule type="expression" dxfId="855" priority="5">
      <formula>AND(IF(OR($Q8=1,$Q8=2),1,0),IF($X8&lt;=20,1,0))</formula>
    </cfRule>
    <cfRule type="expression" dxfId="854" priority="6">
      <formula>AND(IF($Q8=2,1,0),IF($X8&lt;30,1,0))</formula>
    </cfRule>
    <cfRule type="expression" dxfId="853" priority="7">
      <formula>AND(IF($Q8=3,1,0),IF($X8&lt;30,1,0))</formula>
    </cfRule>
    <cfRule type="expression" dxfId="852" priority="8">
      <formula>AND(IF($Q8=3,1,IF($Q8=4,1,0)),IF($F8&lt;=85,1,0))</formula>
    </cfRule>
  </conditionalFormatting>
  <conditionalFormatting sqref="AI8">
    <cfRule type="expression" dxfId="851" priority="1">
      <formula>AND(IF(OR($Q8=1,$Q8=2),1,0),IF($X8&lt;=20,1,0))</formula>
    </cfRule>
    <cfRule type="expression" dxfId="850" priority="2">
      <formula>AND(IF($Q8=2,1,0),IF($X8&lt;30,1,0))</formula>
    </cfRule>
    <cfRule type="expression" dxfId="849" priority="3">
      <formula>AND(IF($Q8=3,1,0),IF($X8&lt;30,1,0))</formula>
    </cfRule>
    <cfRule type="expression" dxfId="848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863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중동 창원중동유니시티1단지('19.06.,1803^)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4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859</v>
      </c>
      <c r="B6" s="10" t="s">
        <v>987</v>
      </c>
      <c r="C6" s="107">
        <v>1803</v>
      </c>
      <c r="D6" s="104">
        <v>83.8</v>
      </c>
      <c r="E6" s="106">
        <v>25</v>
      </c>
      <c r="F6" s="104">
        <v>60</v>
      </c>
      <c r="G6" s="17">
        <v>18</v>
      </c>
      <c r="H6" s="107">
        <v>162</v>
      </c>
      <c r="I6" s="108">
        <v>63000</v>
      </c>
      <c r="J6" s="108" t="s">
        <v>964</v>
      </c>
      <c r="K6" s="108"/>
      <c r="L6" s="108"/>
      <c r="M6" s="109">
        <f t="shared" ref="M6:M13" si="2">I6-K6</f>
        <v>63000</v>
      </c>
      <c r="N6" s="4">
        <f t="shared" ref="N6:N13" si="3">IF(ISERROR(K6/I6),"",K6/I6)</f>
        <v>0</v>
      </c>
      <c r="O6" s="105">
        <f t="shared" ref="O6:O13" si="4">I6/E6</f>
        <v>2520</v>
      </c>
      <c r="P6" s="105">
        <f t="shared" ref="P6:P13" si="5">K6/E6</f>
        <v>0</v>
      </c>
      <c r="Q6" s="75">
        <v>3</v>
      </c>
      <c r="R6" s="75">
        <v>2</v>
      </c>
      <c r="S6" s="75" t="s">
        <v>947</v>
      </c>
      <c r="T6" s="5">
        <v>83</v>
      </c>
      <c r="U6" s="9"/>
      <c r="W6" s="104">
        <f t="shared" ref="W6:X13" si="6">D6</f>
        <v>83.8</v>
      </c>
      <c r="X6" s="106">
        <f t="shared" si="6"/>
        <v>25</v>
      </c>
      <c r="Y6" s="102">
        <f t="shared" ref="Y6:Z13" si="7">H6</f>
        <v>162</v>
      </c>
      <c r="Z6" s="109">
        <f t="shared" si="7"/>
        <v>63000</v>
      </c>
      <c r="AA6" s="109">
        <f t="shared" ref="AA6:AA13" si="8">K6</f>
        <v>0</v>
      </c>
      <c r="AB6" s="109">
        <f t="shared" ref="AB6:AD13" si="9">M6</f>
        <v>63000</v>
      </c>
      <c r="AC6" s="4">
        <f t="shared" si="9"/>
        <v>0</v>
      </c>
      <c r="AD6" s="105">
        <f t="shared" si="9"/>
        <v>2520</v>
      </c>
      <c r="AE6" s="75" t="str">
        <f t="shared" ref="AE6:AE13" si="10">S6</f>
        <v>계</v>
      </c>
      <c r="AF6" s="75" t="str">
        <f t="shared" ref="AF6:AF13" si="11">Q6&amp;"/"&amp;R6</f>
        <v>3/2</v>
      </c>
      <c r="AH6" s="20" t="str">
        <f t="shared" si="1"/>
        <v>창원중동유니시티1단지</v>
      </c>
      <c r="AI6" s="106">
        <f t="shared" si="0"/>
        <v>25</v>
      </c>
      <c r="AJ6" s="75" t="str">
        <f t="shared" ref="AJ6:AJ13" si="12">IF(AI6="","",$AJ$2)</f>
        <v>A-</v>
      </c>
      <c r="AK6" s="75" t="s">
        <v>14</v>
      </c>
      <c r="AL6" s="75" t="s">
        <v>944</v>
      </c>
      <c r="AM6" s="75" t="s">
        <v>945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>X</v>
      </c>
      <c r="AP6" s="75" t="str">
        <f t="shared" ref="AP6:AP13" si="15">IF(I6="","",IF(I6&lt;=$AP$1,"O","X"))</f>
        <v>X</v>
      </c>
      <c r="AQ6" s="75" t="str">
        <f t="shared" ref="AQ6:AQ13" si="16">IF(O6="","",IF(O6&lt;=$AQ$1,"O","X"))</f>
        <v>X</v>
      </c>
      <c r="AR6" s="75" t="str">
        <f t="shared" ref="AR6:AR13" si="17">IF(M6="","",IF(M6&lt;=$AR$1,"O","X"))</f>
        <v>X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>X</v>
      </c>
    </row>
    <row r="7" spans="1:48" x14ac:dyDescent="0.3">
      <c r="A7" s="9" t="s">
        <v>859</v>
      </c>
      <c r="B7" s="10" t="s">
        <v>987</v>
      </c>
      <c r="C7" s="107">
        <v>1803</v>
      </c>
      <c r="D7" s="104">
        <v>100.8</v>
      </c>
      <c r="E7" s="106">
        <v>30</v>
      </c>
      <c r="F7" s="104">
        <v>72.900000000000006</v>
      </c>
      <c r="G7" s="17">
        <v>22</v>
      </c>
      <c r="H7" s="107">
        <v>182</v>
      </c>
      <c r="I7" s="108">
        <v>79000</v>
      </c>
      <c r="J7" s="108" t="s">
        <v>988</v>
      </c>
      <c r="K7" s="108">
        <v>45000</v>
      </c>
      <c r="L7" s="108" t="s">
        <v>963</v>
      </c>
      <c r="M7" s="109">
        <f t="shared" si="2"/>
        <v>34000</v>
      </c>
      <c r="N7" s="4">
        <f t="shared" si="3"/>
        <v>0.569620253164557</v>
      </c>
      <c r="O7" s="105">
        <f t="shared" si="4"/>
        <v>2633.3333333333335</v>
      </c>
      <c r="P7" s="105">
        <f t="shared" si="5"/>
        <v>1500</v>
      </c>
      <c r="Q7" s="75">
        <v>3</v>
      </c>
      <c r="R7" s="75">
        <v>2</v>
      </c>
      <c r="S7" s="75" t="s">
        <v>947</v>
      </c>
      <c r="T7" s="5">
        <v>100</v>
      </c>
      <c r="U7" s="9"/>
      <c r="W7" s="104">
        <f t="shared" si="6"/>
        <v>100.8</v>
      </c>
      <c r="X7" s="106">
        <f t="shared" si="6"/>
        <v>30</v>
      </c>
      <c r="Y7" s="102">
        <f t="shared" si="7"/>
        <v>182</v>
      </c>
      <c r="Z7" s="109">
        <f t="shared" si="7"/>
        <v>79000</v>
      </c>
      <c r="AA7" s="109">
        <f t="shared" si="8"/>
        <v>45000</v>
      </c>
      <c r="AB7" s="109">
        <f t="shared" si="9"/>
        <v>34000</v>
      </c>
      <c r="AC7" s="4">
        <f t="shared" si="9"/>
        <v>0.569620253164557</v>
      </c>
      <c r="AD7" s="105">
        <f t="shared" si="9"/>
        <v>2633.3333333333335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창원중동유니시티1단지</v>
      </c>
      <c r="AI7" s="106">
        <f t="shared" si="0"/>
        <v>30</v>
      </c>
      <c r="AJ7" s="75" t="str">
        <f t="shared" si="12"/>
        <v>A-</v>
      </c>
      <c r="AK7" s="75" t="s">
        <v>14</v>
      </c>
      <c r="AL7" s="75" t="s">
        <v>944</v>
      </c>
      <c r="AM7" s="75" t="s">
        <v>945</v>
      </c>
      <c r="AN7" s="75" t="str">
        <f t="shared" si="13"/>
        <v>C</v>
      </c>
      <c r="AO7" s="75" t="str">
        <f t="shared" si="14"/>
        <v>X</v>
      </c>
      <c r="AP7" s="75" t="str">
        <f t="shared" si="15"/>
        <v>X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48" x14ac:dyDescent="0.3">
      <c r="A8" s="9" t="s">
        <v>859</v>
      </c>
      <c r="B8" s="10" t="s">
        <v>987</v>
      </c>
      <c r="C8" s="107">
        <v>1803</v>
      </c>
      <c r="D8" s="104">
        <v>116.8</v>
      </c>
      <c r="E8" s="106">
        <v>35</v>
      </c>
      <c r="F8" s="104">
        <v>84.1</v>
      </c>
      <c r="G8" s="17">
        <v>25</v>
      </c>
      <c r="H8" s="107">
        <v>269</v>
      </c>
      <c r="I8" s="108">
        <v>95000</v>
      </c>
      <c r="J8" s="108" t="s">
        <v>984</v>
      </c>
      <c r="K8" s="108">
        <v>48000</v>
      </c>
      <c r="L8" s="108" t="s">
        <v>988</v>
      </c>
      <c r="M8" s="109">
        <f t="shared" si="2"/>
        <v>47000</v>
      </c>
      <c r="N8" s="4">
        <f t="shared" si="3"/>
        <v>0.50526315789473686</v>
      </c>
      <c r="O8" s="105">
        <f t="shared" si="4"/>
        <v>2714.2857142857142</v>
      </c>
      <c r="P8" s="105">
        <f t="shared" si="5"/>
        <v>1371.4285714285713</v>
      </c>
      <c r="Q8" s="75">
        <v>3</v>
      </c>
      <c r="R8" s="75">
        <v>2</v>
      </c>
      <c r="S8" s="75" t="s">
        <v>947</v>
      </c>
      <c r="T8" s="5" t="s">
        <v>865</v>
      </c>
      <c r="U8" s="9"/>
      <c r="W8" s="104">
        <f t="shared" si="6"/>
        <v>116.8</v>
      </c>
      <c r="X8" s="106">
        <f t="shared" si="6"/>
        <v>35</v>
      </c>
      <c r="Y8" s="102">
        <f t="shared" si="7"/>
        <v>269</v>
      </c>
      <c r="Z8" s="109">
        <f t="shared" si="7"/>
        <v>95000</v>
      </c>
      <c r="AA8" s="109">
        <f t="shared" si="8"/>
        <v>48000</v>
      </c>
      <c r="AB8" s="109">
        <f t="shared" si="9"/>
        <v>47000</v>
      </c>
      <c r="AC8" s="4">
        <f t="shared" si="9"/>
        <v>0.50526315789473686</v>
      </c>
      <c r="AD8" s="105">
        <f t="shared" si="9"/>
        <v>2714.2857142857142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창원중동유니시티1단지</v>
      </c>
      <c r="AI8" s="106">
        <f t="shared" si="0"/>
        <v>35</v>
      </c>
      <c r="AJ8" s="75" t="str">
        <f t="shared" si="12"/>
        <v>A-</v>
      </c>
      <c r="AK8" s="75" t="s">
        <v>14</v>
      </c>
      <c r="AL8" s="75" t="s">
        <v>944</v>
      </c>
      <c r="AM8" s="75" t="s">
        <v>945</v>
      </c>
      <c r="AN8" s="75" t="str">
        <f t="shared" si="13"/>
        <v>C</v>
      </c>
      <c r="AO8" s="75" t="str">
        <f t="shared" si="14"/>
        <v>X</v>
      </c>
      <c r="AP8" s="75" t="str">
        <f t="shared" si="15"/>
        <v>X</v>
      </c>
      <c r="AQ8" s="75" t="str">
        <f t="shared" si="16"/>
        <v>X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48" x14ac:dyDescent="0.3">
      <c r="A9" s="9" t="s">
        <v>859</v>
      </c>
      <c r="B9" s="10" t="s">
        <v>987</v>
      </c>
      <c r="C9" s="107">
        <v>1803</v>
      </c>
      <c r="D9" s="104">
        <v>117.1</v>
      </c>
      <c r="E9" s="106">
        <v>35</v>
      </c>
      <c r="F9" s="104">
        <v>84.4</v>
      </c>
      <c r="G9" s="17">
        <v>26</v>
      </c>
      <c r="H9" s="107">
        <v>506</v>
      </c>
      <c r="I9" s="108">
        <v>85000</v>
      </c>
      <c r="J9" s="108" t="s">
        <v>989</v>
      </c>
      <c r="K9" s="108">
        <v>45000</v>
      </c>
      <c r="L9" s="108" t="s">
        <v>960</v>
      </c>
      <c r="M9" s="109">
        <f t="shared" si="2"/>
        <v>40000</v>
      </c>
      <c r="N9" s="4">
        <f t="shared" si="3"/>
        <v>0.52941176470588236</v>
      </c>
      <c r="O9" s="105">
        <f t="shared" si="4"/>
        <v>2428.5714285714284</v>
      </c>
      <c r="P9" s="105">
        <f t="shared" si="5"/>
        <v>1285.7142857142858</v>
      </c>
      <c r="Q9" s="75">
        <v>3</v>
      </c>
      <c r="R9" s="75">
        <v>2</v>
      </c>
      <c r="S9" s="75" t="s">
        <v>947</v>
      </c>
      <c r="T9" s="5" t="s">
        <v>866</v>
      </c>
      <c r="U9" s="9"/>
      <c r="W9" s="104">
        <f t="shared" si="6"/>
        <v>117.1</v>
      </c>
      <c r="X9" s="106">
        <f t="shared" si="6"/>
        <v>35</v>
      </c>
      <c r="Y9" s="102">
        <f t="shared" si="7"/>
        <v>506</v>
      </c>
      <c r="Z9" s="109">
        <f t="shared" si="7"/>
        <v>85000</v>
      </c>
      <c r="AA9" s="109">
        <f t="shared" si="8"/>
        <v>45000</v>
      </c>
      <c r="AB9" s="109">
        <f t="shared" si="9"/>
        <v>40000</v>
      </c>
      <c r="AC9" s="4">
        <f t="shared" si="9"/>
        <v>0.52941176470588236</v>
      </c>
      <c r="AD9" s="105">
        <f t="shared" si="9"/>
        <v>2428.5714285714284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창원중동유니시티1단지</v>
      </c>
      <c r="AI9" s="106">
        <f t="shared" si="0"/>
        <v>35</v>
      </c>
      <c r="AJ9" s="75" t="str">
        <f t="shared" si="12"/>
        <v>A-</v>
      </c>
      <c r="AK9" s="75" t="s">
        <v>14</v>
      </c>
      <c r="AL9" s="75" t="s">
        <v>944</v>
      </c>
      <c r="AM9" s="75" t="s">
        <v>945</v>
      </c>
      <c r="AN9" s="75" t="str">
        <f t="shared" si="13"/>
        <v>C</v>
      </c>
      <c r="AO9" s="75" t="str">
        <f t="shared" si="14"/>
        <v>X</v>
      </c>
      <c r="AP9" s="75" t="str">
        <f t="shared" si="15"/>
        <v>X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48" x14ac:dyDescent="0.3">
      <c r="A10" s="9" t="s">
        <v>859</v>
      </c>
      <c r="B10" s="10" t="s">
        <v>987</v>
      </c>
      <c r="C10" s="107">
        <v>1803</v>
      </c>
      <c r="D10" s="104">
        <v>136.5</v>
      </c>
      <c r="E10" s="106">
        <v>41</v>
      </c>
      <c r="F10" s="104">
        <v>99.2</v>
      </c>
      <c r="G10" s="17">
        <v>30</v>
      </c>
      <c r="H10" s="107">
        <v>474</v>
      </c>
      <c r="I10" s="108">
        <v>100000</v>
      </c>
      <c r="J10" s="108" t="s">
        <v>960</v>
      </c>
      <c r="K10" s="108">
        <v>54000</v>
      </c>
      <c r="L10" s="108" t="s">
        <v>957</v>
      </c>
      <c r="M10" s="109">
        <f t="shared" si="2"/>
        <v>46000</v>
      </c>
      <c r="N10" s="4">
        <f t="shared" si="3"/>
        <v>0.54</v>
      </c>
      <c r="O10" s="105">
        <f t="shared" si="4"/>
        <v>2439.0243902439024</v>
      </c>
      <c r="P10" s="105">
        <f t="shared" si="5"/>
        <v>1317.0731707317073</v>
      </c>
      <c r="Q10" s="75">
        <v>3</v>
      </c>
      <c r="R10" s="75">
        <v>2</v>
      </c>
      <c r="S10" s="75" t="s">
        <v>947</v>
      </c>
      <c r="T10" s="5">
        <v>136</v>
      </c>
      <c r="U10" s="9"/>
      <c r="W10" s="104">
        <f t="shared" si="6"/>
        <v>136.5</v>
      </c>
      <c r="X10" s="106">
        <f t="shared" si="6"/>
        <v>41</v>
      </c>
      <c r="Y10" s="102">
        <f t="shared" si="7"/>
        <v>474</v>
      </c>
      <c r="Z10" s="109">
        <f t="shared" si="7"/>
        <v>100000</v>
      </c>
      <c r="AA10" s="109">
        <f t="shared" si="8"/>
        <v>54000</v>
      </c>
      <c r="AB10" s="109">
        <f t="shared" si="9"/>
        <v>46000</v>
      </c>
      <c r="AC10" s="4">
        <f t="shared" si="9"/>
        <v>0.54</v>
      </c>
      <c r="AD10" s="105">
        <f t="shared" si="9"/>
        <v>2439.0243902439024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창원중동유니시티1단지</v>
      </c>
      <c r="AI10" s="106">
        <f t="shared" si="0"/>
        <v>41</v>
      </c>
      <c r="AJ10" s="75" t="str">
        <f t="shared" si="12"/>
        <v>A-</v>
      </c>
      <c r="AK10" s="75" t="s">
        <v>14</v>
      </c>
      <c r="AL10" s="75" t="s">
        <v>944</v>
      </c>
      <c r="AM10" s="75" t="s">
        <v>945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X</v>
      </c>
      <c r="AQ10" s="75" t="str">
        <f t="shared" si="16"/>
        <v>X</v>
      </c>
      <c r="AR10" s="75" t="str">
        <f t="shared" si="17"/>
        <v>X</v>
      </c>
      <c r="AS10" s="75" t="s">
        <v>2</v>
      </c>
      <c r="AT10" s="75" t="str">
        <f t="shared" si="18"/>
        <v>X</v>
      </c>
      <c r="AU10" s="75" t="str">
        <f t="shared" si="19"/>
        <v>O</v>
      </c>
      <c r="AV10" s="75" t="str">
        <f t="shared" si="20"/>
        <v>X</v>
      </c>
    </row>
    <row r="11" spans="1:48" x14ac:dyDescent="0.3">
      <c r="A11" s="9" t="s">
        <v>859</v>
      </c>
      <c r="B11" s="10" t="s">
        <v>987</v>
      </c>
      <c r="C11" s="107">
        <v>1803</v>
      </c>
      <c r="D11" s="104">
        <v>158.6</v>
      </c>
      <c r="E11" s="106">
        <v>48</v>
      </c>
      <c r="F11" s="104">
        <v>115.7</v>
      </c>
      <c r="G11" s="17">
        <v>35</v>
      </c>
      <c r="H11" s="107">
        <v>128</v>
      </c>
      <c r="I11" s="108">
        <v>152000</v>
      </c>
      <c r="J11" s="108" t="s">
        <v>954</v>
      </c>
      <c r="K11" s="108"/>
      <c r="L11" s="108"/>
      <c r="M11" s="109">
        <f t="shared" si="2"/>
        <v>152000</v>
      </c>
      <c r="N11" s="4">
        <f t="shared" si="3"/>
        <v>0</v>
      </c>
      <c r="O11" s="105">
        <f t="shared" si="4"/>
        <v>3166.6666666666665</v>
      </c>
      <c r="P11" s="105">
        <f t="shared" si="5"/>
        <v>0</v>
      </c>
      <c r="Q11" s="75">
        <v>4</v>
      </c>
      <c r="R11" s="75">
        <v>2</v>
      </c>
      <c r="S11" s="75" t="s">
        <v>947</v>
      </c>
      <c r="T11" s="5">
        <v>158</v>
      </c>
      <c r="U11" s="9"/>
      <c r="W11" s="104">
        <f t="shared" si="6"/>
        <v>158.6</v>
      </c>
      <c r="X11" s="106">
        <f t="shared" si="6"/>
        <v>48</v>
      </c>
      <c r="Y11" s="102">
        <f t="shared" si="7"/>
        <v>128</v>
      </c>
      <c r="Z11" s="109">
        <f t="shared" si="7"/>
        <v>152000</v>
      </c>
      <c r="AA11" s="109">
        <f t="shared" si="8"/>
        <v>0</v>
      </c>
      <c r="AB11" s="109">
        <f t="shared" si="9"/>
        <v>152000</v>
      </c>
      <c r="AC11" s="4">
        <f t="shared" si="9"/>
        <v>0</v>
      </c>
      <c r="AD11" s="105">
        <f t="shared" si="9"/>
        <v>3166.6666666666665</v>
      </c>
      <c r="AE11" s="75" t="str">
        <f t="shared" si="10"/>
        <v>계</v>
      </c>
      <c r="AF11" s="75" t="str">
        <f t="shared" si="11"/>
        <v>4/2</v>
      </c>
      <c r="AH11" s="20" t="str">
        <f t="shared" si="1"/>
        <v>창원중동유니시티1단지</v>
      </c>
      <c r="AI11" s="106">
        <f t="shared" si="0"/>
        <v>48</v>
      </c>
      <c r="AJ11" s="75" t="str">
        <f t="shared" si="12"/>
        <v>A-</v>
      </c>
      <c r="AK11" s="75" t="s">
        <v>14</v>
      </c>
      <c r="AL11" s="75" t="s">
        <v>944</v>
      </c>
      <c r="AM11" s="75" t="s">
        <v>945</v>
      </c>
      <c r="AN11" s="75" t="str">
        <f t="shared" si="13"/>
        <v>C</v>
      </c>
      <c r="AO11" s="75" t="str">
        <f t="shared" si="14"/>
        <v>X</v>
      </c>
      <c r="AP11" s="75" t="str">
        <f t="shared" si="15"/>
        <v>X</v>
      </c>
      <c r="AQ11" s="75" t="str">
        <f t="shared" si="16"/>
        <v>X</v>
      </c>
      <c r="AR11" s="75" t="str">
        <f t="shared" si="17"/>
        <v>X</v>
      </c>
      <c r="AS11" s="75" t="s">
        <v>2</v>
      </c>
      <c r="AT11" s="75" t="str">
        <f t="shared" si="18"/>
        <v>X</v>
      </c>
      <c r="AU11" s="75" t="str">
        <f t="shared" si="19"/>
        <v>O</v>
      </c>
      <c r="AV11" s="75" t="str">
        <f t="shared" si="20"/>
        <v>X</v>
      </c>
    </row>
    <row r="12" spans="1:48" x14ac:dyDescent="0.3">
      <c r="A12" s="9" t="s">
        <v>859</v>
      </c>
      <c r="B12" s="10" t="s">
        <v>987</v>
      </c>
      <c r="C12" s="107">
        <v>1803</v>
      </c>
      <c r="D12" s="104">
        <v>185.8</v>
      </c>
      <c r="E12" s="106">
        <v>56</v>
      </c>
      <c r="F12" s="104">
        <v>135.9</v>
      </c>
      <c r="G12" s="17">
        <v>41</v>
      </c>
      <c r="H12" s="107">
        <v>41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4</v>
      </c>
      <c r="R12" s="75">
        <v>2</v>
      </c>
      <c r="S12" s="75" t="s">
        <v>947</v>
      </c>
      <c r="T12" s="5" t="s">
        <v>867</v>
      </c>
      <c r="U12" s="9"/>
      <c r="W12" s="104">
        <f t="shared" si="6"/>
        <v>185.8</v>
      </c>
      <c r="X12" s="106">
        <f t="shared" si="6"/>
        <v>56</v>
      </c>
      <c r="Y12" s="102">
        <f t="shared" si="7"/>
        <v>41</v>
      </c>
      <c r="Z12" s="109">
        <f t="shared" si="7"/>
        <v>0</v>
      </c>
      <c r="AA12" s="109">
        <f t="shared" si="8"/>
        <v>0</v>
      </c>
      <c r="AB12" s="109">
        <f t="shared" si="9"/>
        <v>0</v>
      </c>
      <c r="AC12" s="4" t="str">
        <f t="shared" si="9"/>
        <v/>
      </c>
      <c r="AD12" s="105">
        <f t="shared" si="9"/>
        <v>0</v>
      </c>
      <c r="AE12" s="75" t="str">
        <f t="shared" si="10"/>
        <v>계</v>
      </c>
      <c r="AF12" s="75" t="str">
        <f t="shared" si="11"/>
        <v>4/2</v>
      </c>
      <c r="AH12" s="20" t="str">
        <f t="shared" si="1"/>
        <v>창원중동유니시티1단지</v>
      </c>
      <c r="AI12" s="106">
        <f t="shared" si="0"/>
        <v>56</v>
      </c>
      <c r="AJ12" s="75" t="str">
        <f t="shared" si="12"/>
        <v>A-</v>
      </c>
      <c r="AK12" s="75" t="s">
        <v>14</v>
      </c>
      <c r="AL12" s="75" t="s">
        <v>944</v>
      </c>
      <c r="AM12" s="75" t="s">
        <v>945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X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859</v>
      </c>
      <c r="B13" s="10" t="s">
        <v>987</v>
      </c>
      <c r="C13" s="107">
        <v>1803</v>
      </c>
      <c r="D13" s="104">
        <v>186.9</v>
      </c>
      <c r="E13" s="106">
        <v>57</v>
      </c>
      <c r="F13" s="104">
        <v>135.80000000000001</v>
      </c>
      <c r="G13" s="17">
        <v>41</v>
      </c>
      <c r="H13" s="107">
        <v>41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5">
        <v>3</v>
      </c>
      <c r="R13" s="75">
        <v>2</v>
      </c>
      <c r="S13" s="75" t="s">
        <v>947</v>
      </c>
      <c r="T13" s="5" t="s">
        <v>868</v>
      </c>
      <c r="U13" s="9"/>
      <c r="W13" s="104">
        <f t="shared" si="6"/>
        <v>186.9</v>
      </c>
      <c r="X13" s="106">
        <f t="shared" si="6"/>
        <v>57</v>
      </c>
      <c r="Y13" s="102">
        <f t="shared" si="7"/>
        <v>41</v>
      </c>
      <c r="Z13" s="109">
        <f t="shared" si="7"/>
        <v>0</v>
      </c>
      <c r="AA13" s="109">
        <f t="shared" si="8"/>
        <v>0</v>
      </c>
      <c r="AB13" s="109">
        <f t="shared" si="9"/>
        <v>0</v>
      </c>
      <c r="AC13" s="4" t="str">
        <f t="shared" si="9"/>
        <v/>
      </c>
      <c r="AD13" s="105">
        <f t="shared" si="9"/>
        <v>0</v>
      </c>
      <c r="AE13" s="75" t="str">
        <f t="shared" si="10"/>
        <v>계</v>
      </c>
      <c r="AF13" s="75" t="str">
        <f t="shared" si="11"/>
        <v>3/2</v>
      </c>
      <c r="AH13" s="20" t="str">
        <f t="shared" si="1"/>
        <v>창원중동유니시티1단지</v>
      </c>
      <c r="AI13" s="106">
        <f t="shared" si="0"/>
        <v>57</v>
      </c>
      <c r="AJ13" s="75" t="str">
        <f t="shared" si="12"/>
        <v>A-</v>
      </c>
      <c r="AK13" s="75" t="s">
        <v>14</v>
      </c>
      <c r="AL13" s="75" t="s">
        <v>944</v>
      </c>
      <c r="AM13" s="75" t="s">
        <v>945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X</v>
      </c>
      <c r="AU13" s="75" t="str">
        <f t="shared" si="19"/>
        <v>O</v>
      </c>
      <c r="AV13" s="75" t="str">
        <f t="shared" si="20"/>
        <v/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중동 창원중동유니시티4단지('19.12.,1768^)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869</v>
      </c>
      <c r="B15" s="10" t="s">
        <v>990</v>
      </c>
      <c r="C15" s="107">
        <v>1768</v>
      </c>
      <c r="D15" s="104">
        <v>82.7</v>
      </c>
      <c r="E15" s="106">
        <v>25</v>
      </c>
      <c r="F15" s="104">
        <v>60</v>
      </c>
      <c r="G15" s="17">
        <v>18</v>
      </c>
      <c r="H15" s="107">
        <v>104</v>
      </c>
      <c r="I15" s="108">
        <v>70000</v>
      </c>
      <c r="J15" s="108" t="s">
        <v>954</v>
      </c>
      <c r="K15" s="108">
        <v>42000</v>
      </c>
      <c r="L15" s="108" t="s">
        <v>989</v>
      </c>
      <c r="M15" s="109">
        <f t="shared" ref="M15:M22" si="21">I15-K15</f>
        <v>28000</v>
      </c>
      <c r="N15" s="4">
        <f t="shared" ref="N15:N22" si="22">IF(ISERROR(K15/I15),"",K15/I15)</f>
        <v>0.6</v>
      </c>
      <c r="O15" s="105">
        <f t="shared" ref="O15:O22" si="23">I15/E15</f>
        <v>2800</v>
      </c>
      <c r="P15" s="105">
        <f t="shared" ref="P15:P22" si="24">K15/E15</f>
        <v>1680</v>
      </c>
      <c r="Q15" s="75">
        <v>3</v>
      </c>
      <c r="R15" s="75">
        <v>2</v>
      </c>
      <c r="S15" s="75" t="s">
        <v>947</v>
      </c>
      <c r="T15" s="5">
        <v>82</v>
      </c>
      <c r="U15" s="9"/>
      <c r="W15" s="104">
        <f t="shared" ref="W15:X22" si="25">D15</f>
        <v>82.7</v>
      </c>
      <c r="X15" s="106">
        <f t="shared" si="25"/>
        <v>25</v>
      </c>
      <c r="Y15" s="102">
        <f t="shared" ref="Y15:Z22" si="26">H15</f>
        <v>104</v>
      </c>
      <c r="Z15" s="109">
        <f t="shared" si="26"/>
        <v>70000</v>
      </c>
      <c r="AA15" s="109">
        <f t="shared" ref="AA15:AA22" si="27">K15</f>
        <v>42000</v>
      </c>
      <c r="AB15" s="109">
        <f t="shared" ref="AB15:AD22" si="28">M15</f>
        <v>28000</v>
      </c>
      <c r="AC15" s="4">
        <f t="shared" si="28"/>
        <v>0.6</v>
      </c>
      <c r="AD15" s="105">
        <f t="shared" si="28"/>
        <v>2800</v>
      </c>
      <c r="AE15" s="75" t="str">
        <f t="shared" ref="AE15:AE22" si="29">S15</f>
        <v>계</v>
      </c>
      <c r="AF15" s="75" t="str">
        <f t="shared" ref="AF15:AF22" si="30">Q15&amp;"/"&amp;R15</f>
        <v>3/2</v>
      </c>
      <c r="AH15" s="20" t="str">
        <f t="shared" si="1"/>
        <v>창원중동유니시티4단지</v>
      </c>
      <c r="AI15" s="106">
        <f t="shared" si="0"/>
        <v>25</v>
      </c>
      <c r="AJ15" s="75" t="str">
        <f t="shared" ref="AJ15:AJ22" si="31">IF(AI15="","",$AJ$2)</f>
        <v>A-</v>
      </c>
      <c r="AK15" s="75" t="s">
        <v>14</v>
      </c>
      <c r="AL15" s="75" t="s">
        <v>944</v>
      </c>
      <c r="AM15" s="75" t="s">
        <v>945</v>
      </c>
      <c r="AN15" s="75" t="str">
        <f t="shared" ref="AN15:AN22" si="32">IF(AI15="","",$AN$2)</f>
        <v>C</v>
      </c>
      <c r="AO15" s="75" t="str">
        <f t="shared" ref="AO15:AO22" si="33">IF(N15="","",IF(N15&gt;=$AO$1/100,"O","X"))</f>
        <v>X</v>
      </c>
      <c r="AP15" s="75" t="str">
        <f t="shared" ref="AP15:AP22" si="34">IF(I15="","",IF(I15&lt;=$AP$1,"O","X"))</f>
        <v>X</v>
      </c>
      <c r="AQ15" s="75" t="str">
        <f t="shared" ref="AQ15:AQ22" si="35">IF(O15="","",IF(O15&lt;=$AQ$1,"O","X"))</f>
        <v>X</v>
      </c>
      <c r="AR15" s="75" t="str">
        <f t="shared" ref="AR15:AR22" si="36">IF(M15="","",IF(M15&lt;=$AR$1,"O","X"))</f>
        <v>X</v>
      </c>
      <c r="AS15" s="75" t="s">
        <v>2</v>
      </c>
      <c r="AT15" s="75" t="str">
        <f t="shared" ref="AT15:AT22" si="37">IF(OR(F15="",AI15=""),"",IF(AND((F15&lt;=85),(AI15&gt;=15)),"O","X"))</f>
        <v>O</v>
      </c>
      <c r="AU15" s="75" t="str">
        <f t="shared" ref="AU15:AU22" si="38">IF(C15="","",IF(C15&gt;=$AU$1,"O","X"))</f>
        <v>O</v>
      </c>
      <c r="AV15" s="75" t="str">
        <f t="shared" ref="AV15:AV22" si="39">IF(AO15="","",IF(AND(AO15="O",AP15="O",AR15="O",AT15="O",AU15="O"),"후보","X"))</f>
        <v>X</v>
      </c>
    </row>
    <row r="16" spans="1:48" x14ac:dyDescent="0.3">
      <c r="A16" s="9" t="s">
        <v>869</v>
      </c>
      <c r="B16" s="10" t="s">
        <v>990</v>
      </c>
      <c r="C16" s="107">
        <v>1768</v>
      </c>
      <c r="D16" s="104">
        <v>99.2</v>
      </c>
      <c r="E16" s="106">
        <v>30</v>
      </c>
      <c r="F16" s="104">
        <v>72.900000000000006</v>
      </c>
      <c r="G16" s="17">
        <v>22</v>
      </c>
      <c r="H16" s="107">
        <v>104</v>
      </c>
      <c r="I16" s="108">
        <v>72000</v>
      </c>
      <c r="J16" s="108" t="s">
        <v>960</v>
      </c>
      <c r="K16" s="108"/>
      <c r="L16" s="108"/>
      <c r="M16" s="109">
        <f t="shared" si="21"/>
        <v>72000</v>
      </c>
      <c r="N16" s="4">
        <f t="shared" si="22"/>
        <v>0</v>
      </c>
      <c r="O16" s="105">
        <f t="shared" si="23"/>
        <v>2400</v>
      </c>
      <c r="P16" s="105">
        <f t="shared" si="24"/>
        <v>0</v>
      </c>
      <c r="Q16" s="75">
        <v>3</v>
      </c>
      <c r="R16" s="75">
        <v>2</v>
      </c>
      <c r="S16" s="75" t="s">
        <v>947</v>
      </c>
      <c r="T16" s="5">
        <v>99</v>
      </c>
      <c r="U16" s="9"/>
      <c r="W16" s="104">
        <f t="shared" si="25"/>
        <v>99.2</v>
      </c>
      <c r="X16" s="106">
        <f t="shared" si="25"/>
        <v>30</v>
      </c>
      <c r="Y16" s="102">
        <f t="shared" si="26"/>
        <v>104</v>
      </c>
      <c r="Z16" s="109">
        <f t="shared" si="26"/>
        <v>72000</v>
      </c>
      <c r="AA16" s="109">
        <f t="shared" si="27"/>
        <v>0</v>
      </c>
      <c r="AB16" s="109">
        <f t="shared" si="28"/>
        <v>72000</v>
      </c>
      <c r="AC16" s="4">
        <f t="shared" si="28"/>
        <v>0</v>
      </c>
      <c r="AD16" s="105">
        <f t="shared" si="28"/>
        <v>2400</v>
      </c>
      <c r="AE16" s="75" t="str">
        <f t="shared" si="29"/>
        <v>계</v>
      </c>
      <c r="AF16" s="75" t="str">
        <f t="shared" si="30"/>
        <v>3/2</v>
      </c>
      <c r="AH16" s="20" t="str">
        <f t="shared" si="1"/>
        <v>창원중동유니시티4단지</v>
      </c>
      <c r="AI16" s="106">
        <f t="shared" si="0"/>
        <v>30</v>
      </c>
      <c r="AJ16" s="75" t="str">
        <f t="shared" si="31"/>
        <v>A-</v>
      </c>
      <c r="AK16" s="75" t="s">
        <v>14</v>
      </c>
      <c r="AL16" s="75" t="s">
        <v>944</v>
      </c>
      <c r="AM16" s="75" t="s">
        <v>945</v>
      </c>
      <c r="AN16" s="75" t="str">
        <f t="shared" si="32"/>
        <v>C</v>
      </c>
      <c r="AO16" s="75" t="str">
        <f t="shared" si="33"/>
        <v>X</v>
      </c>
      <c r="AP16" s="75" t="str">
        <f t="shared" si="34"/>
        <v>X</v>
      </c>
      <c r="AQ16" s="75" t="str">
        <f t="shared" si="35"/>
        <v>X</v>
      </c>
      <c r="AR16" s="75" t="str">
        <f t="shared" si="36"/>
        <v>X</v>
      </c>
      <c r="AS16" s="75" t="s">
        <v>2</v>
      </c>
      <c r="AT16" s="75" t="str">
        <f t="shared" si="37"/>
        <v>O</v>
      </c>
      <c r="AU16" s="75" t="str">
        <f t="shared" si="38"/>
        <v>O</v>
      </c>
      <c r="AV16" s="75" t="str">
        <f t="shared" si="39"/>
        <v>X</v>
      </c>
    </row>
    <row r="17" spans="1:48" x14ac:dyDescent="0.3">
      <c r="A17" s="9" t="s">
        <v>869</v>
      </c>
      <c r="B17" s="10" t="s">
        <v>990</v>
      </c>
      <c r="C17" s="107">
        <v>1768</v>
      </c>
      <c r="D17" s="104">
        <v>115.7</v>
      </c>
      <c r="E17" s="106">
        <v>35</v>
      </c>
      <c r="F17" s="104">
        <v>84.7</v>
      </c>
      <c r="G17" s="17">
        <v>26</v>
      </c>
      <c r="H17" s="107">
        <v>686</v>
      </c>
      <c r="I17" s="108">
        <v>86000</v>
      </c>
      <c r="J17" s="108" t="s">
        <v>954</v>
      </c>
      <c r="K17" s="108">
        <v>48000</v>
      </c>
      <c r="L17" s="108" t="s">
        <v>960</v>
      </c>
      <c r="M17" s="109">
        <f t="shared" si="21"/>
        <v>38000</v>
      </c>
      <c r="N17" s="4">
        <f t="shared" si="22"/>
        <v>0.55813953488372092</v>
      </c>
      <c r="O17" s="105">
        <f t="shared" si="23"/>
        <v>2457.1428571428573</v>
      </c>
      <c r="P17" s="105">
        <f t="shared" si="24"/>
        <v>1371.4285714285713</v>
      </c>
      <c r="Q17" s="75">
        <v>3</v>
      </c>
      <c r="R17" s="75">
        <v>2</v>
      </c>
      <c r="S17" s="75" t="s">
        <v>947</v>
      </c>
      <c r="T17" s="5" t="s">
        <v>697</v>
      </c>
      <c r="U17" s="9"/>
      <c r="W17" s="104">
        <f t="shared" si="25"/>
        <v>115.7</v>
      </c>
      <c r="X17" s="106">
        <f t="shared" si="25"/>
        <v>35</v>
      </c>
      <c r="Y17" s="102">
        <f t="shared" si="26"/>
        <v>686</v>
      </c>
      <c r="Z17" s="109">
        <f t="shared" si="26"/>
        <v>86000</v>
      </c>
      <c r="AA17" s="109">
        <f t="shared" si="27"/>
        <v>48000</v>
      </c>
      <c r="AB17" s="109">
        <f t="shared" si="28"/>
        <v>38000</v>
      </c>
      <c r="AC17" s="4">
        <f t="shared" si="28"/>
        <v>0.55813953488372092</v>
      </c>
      <c r="AD17" s="105">
        <f t="shared" si="28"/>
        <v>2457.1428571428573</v>
      </c>
      <c r="AE17" s="75" t="str">
        <f t="shared" si="29"/>
        <v>계</v>
      </c>
      <c r="AF17" s="75" t="str">
        <f t="shared" si="30"/>
        <v>3/2</v>
      </c>
      <c r="AH17" s="20" t="str">
        <f t="shared" si="1"/>
        <v>창원중동유니시티4단지</v>
      </c>
      <c r="AI17" s="106">
        <f t="shared" si="0"/>
        <v>35</v>
      </c>
      <c r="AJ17" s="75" t="str">
        <f t="shared" si="31"/>
        <v>A-</v>
      </c>
      <c r="AK17" s="75" t="s">
        <v>14</v>
      </c>
      <c r="AL17" s="75" t="s">
        <v>944</v>
      </c>
      <c r="AM17" s="75" t="s">
        <v>945</v>
      </c>
      <c r="AN17" s="75" t="str">
        <f t="shared" si="32"/>
        <v>C</v>
      </c>
      <c r="AO17" s="75" t="str">
        <f t="shared" si="33"/>
        <v>X</v>
      </c>
      <c r="AP17" s="75" t="str">
        <f t="shared" si="34"/>
        <v>X</v>
      </c>
      <c r="AQ17" s="75" t="str">
        <f t="shared" si="35"/>
        <v>X</v>
      </c>
      <c r="AR17" s="75" t="str">
        <f t="shared" si="36"/>
        <v>X</v>
      </c>
      <c r="AS17" s="75" t="s">
        <v>2</v>
      </c>
      <c r="AT17" s="75" t="str">
        <f t="shared" si="37"/>
        <v>O</v>
      </c>
      <c r="AU17" s="75" t="str">
        <f t="shared" si="38"/>
        <v>O</v>
      </c>
      <c r="AV17" s="75" t="str">
        <f t="shared" si="39"/>
        <v>X</v>
      </c>
    </row>
    <row r="18" spans="1:48" x14ac:dyDescent="0.3">
      <c r="A18" s="9" t="s">
        <v>869</v>
      </c>
      <c r="B18" s="10" t="s">
        <v>990</v>
      </c>
      <c r="C18" s="107">
        <v>1768</v>
      </c>
      <c r="D18" s="104">
        <v>115.9</v>
      </c>
      <c r="E18" s="106">
        <v>35</v>
      </c>
      <c r="F18" s="104">
        <v>84.8</v>
      </c>
      <c r="G18" s="17">
        <v>26</v>
      </c>
      <c r="H18" s="107">
        <v>308</v>
      </c>
      <c r="I18" s="108">
        <v>82000</v>
      </c>
      <c r="J18" s="108" t="s">
        <v>991</v>
      </c>
      <c r="K18" s="108">
        <v>48000</v>
      </c>
      <c r="L18" s="108" t="s">
        <v>954</v>
      </c>
      <c r="M18" s="109">
        <f t="shared" si="21"/>
        <v>34000</v>
      </c>
      <c r="N18" s="4">
        <f t="shared" si="22"/>
        <v>0.58536585365853655</v>
      </c>
      <c r="O18" s="105">
        <f t="shared" si="23"/>
        <v>2342.8571428571427</v>
      </c>
      <c r="P18" s="105">
        <f t="shared" si="24"/>
        <v>1371.4285714285713</v>
      </c>
      <c r="Q18" s="75">
        <v>3</v>
      </c>
      <c r="R18" s="75">
        <v>2</v>
      </c>
      <c r="S18" s="75" t="s">
        <v>947</v>
      </c>
      <c r="T18" s="5" t="s">
        <v>627</v>
      </c>
      <c r="U18" s="9"/>
      <c r="W18" s="104">
        <f t="shared" si="25"/>
        <v>115.9</v>
      </c>
      <c r="X18" s="106">
        <f t="shared" si="25"/>
        <v>35</v>
      </c>
      <c r="Y18" s="102">
        <f t="shared" si="26"/>
        <v>308</v>
      </c>
      <c r="Z18" s="109">
        <f t="shared" si="26"/>
        <v>82000</v>
      </c>
      <c r="AA18" s="109">
        <f t="shared" si="27"/>
        <v>48000</v>
      </c>
      <c r="AB18" s="109">
        <f t="shared" si="28"/>
        <v>34000</v>
      </c>
      <c r="AC18" s="4">
        <f t="shared" si="28"/>
        <v>0.58536585365853655</v>
      </c>
      <c r="AD18" s="105">
        <f t="shared" si="28"/>
        <v>2342.8571428571427</v>
      </c>
      <c r="AE18" s="75" t="str">
        <f t="shared" si="29"/>
        <v>계</v>
      </c>
      <c r="AF18" s="75" t="str">
        <f t="shared" si="30"/>
        <v>3/2</v>
      </c>
      <c r="AH18" s="20" t="str">
        <f t="shared" si="1"/>
        <v>창원중동유니시티4단지</v>
      </c>
      <c r="AI18" s="106">
        <f t="shared" si="0"/>
        <v>35</v>
      </c>
      <c r="AJ18" s="75" t="str">
        <f t="shared" si="31"/>
        <v>A-</v>
      </c>
      <c r="AK18" s="75" t="s">
        <v>14</v>
      </c>
      <c r="AL18" s="75" t="s">
        <v>944</v>
      </c>
      <c r="AM18" s="75" t="s">
        <v>945</v>
      </c>
      <c r="AN18" s="75" t="str">
        <f t="shared" si="32"/>
        <v>C</v>
      </c>
      <c r="AO18" s="75" t="str">
        <f t="shared" si="33"/>
        <v>X</v>
      </c>
      <c r="AP18" s="75" t="str">
        <f t="shared" si="34"/>
        <v>X</v>
      </c>
      <c r="AQ18" s="75" t="str">
        <f t="shared" si="35"/>
        <v>X</v>
      </c>
      <c r="AR18" s="75" t="str">
        <f t="shared" si="36"/>
        <v>X</v>
      </c>
      <c r="AS18" s="75" t="s">
        <v>2</v>
      </c>
      <c r="AT18" s="75" t="str">
        <f t="shared" si="37"/>
        <v>O</v>
      </c>
      <c r="AU18" s="75" t="str">
        <f t="shared" si="38"/>
        <v>O</v>
      </c>
      <c r="AV18" s="75" t="str">
        <f t="shared" si="39"/>
        <v>X</v>
      </c>
    </row>
    <row r="19" spans="1:48" x14ac:dyDescent="0.3">
      <c r="A19" s="9" t="s">
        <v>869</v>
      </c>
      <c r="B19" s="10" t="s">
        <v>990</v>
      </c>
      <c r="C19" s="107">
        <v>1768</v>
      </c>
      <c r="D19" s="104">
        <v>135.6</v>
      </c>
      <c r="E19" s="106">
        <v>41</v>
      </c>
      <c r="F19" s="104">
        <v>100.3</v>
      </c>
      <c r="G19" s="17">
        <v>30</v>
      </c>
      <c r="H19" s="107">
        <v>372</v>
      </c>
      <c r="I19" s="108">
        <v>105000</v>
      </c>
      <c r="J19" s="108" t="s">
        <v>954</v>
      </c>
      <c r="K19" s="108">
        <v>55000</v>
      </c>
      <c r="L19" s="108" t="s">
        <v>992</v>
      </c>
      <c r="M19" s="109">
        <f t="shared" si="21"/>
        <v>50000</v>
      </c>
      <c r="N19" s="4">
        <f t="shared" si="22"/>
        <v>0.52380952380952384</v>
      </c>
      <c r="O19" s="105">
        <f t="shared" si="23"/>
        <v>2560.9756097560976</v>
      </c>
      <c r="P19" s="105">
        <f t="shared" si="24"/>
        <v>1341.4634146341464</v>
      </c>
      <c r="Q19" s="75">
        <v>3</v>
      </c>
      <c r="R19" s="75">
        <v>2</v>
      </c>
      <c r="S19" s="75" t="s">
        <v>947</v>
      </c>
      <c r="T19" s="5">
        <v>135</v>
      </c>
      <c r="U19" s="9"/>
      <c r="W19" s="104">
        <f t="shared" si="25"/>
        <v>135.6</v>
      </c>
      <c r="X19" s="106">
        <f t="shared" si="25"/>
        <v>41</v>
      </c>
      <c r="Y19" s="102">
        <f t="shared" si="26"/>
        <v>372</v>
      </c>
      <c r="Z19" s="109">
        <f t="shared" si="26"/>
        <v>105000</v>
      </c>
      <c r="AA19" s="109">
        <f t="shared" si="27"/>
        <v>55000</v>
      </c>
      <c r="AB19" s="109">
        <f t="shared" si="28"/>
        <v>50000</v>
      </c>
      <c r="AC19" s="4">
        <f t="shared" si="28"/>
        <v>0.52380952380952384</v>
      </c>
      <c r="AD19" s="105">
        <f t="shared" si="28"/>
        <v>2560.9756097560976</v>
      </c>
      <c r="AE19" s="75" t="str">
        <f t="shared" si="29"/>
        <v>계</v>
      </c>
      <c r="AF19" s="75" t="str">
        <f t="shared" si="30"/>
        <v>3/2</v>
      </c>
      <c r="AH19" s="20" t="str">
        <f t="shared" si="1"/>
        <v>창원중동유니시티4단지</v>
      </c>
      <c r="AI19" s="106">
        <f t="shared" si="0"/>
        <v>41</v>
      </c>
      <c r="AJ19" s="75" t="str">
        <f t="shared" si="31"/>
        <v>A-</v>
      </c>
      <c r="AK19" s="75" t="s">
        <v>14</v>
      </c>
      <c r="AL19" s="75" t="s">
        <v>944</v>
      </c>
      <c r="AM19" s="75" t="s">
        <v>945</v>
      </c>
      <c r="AN19" s="75" t="str">
        <f t="shared" si="32"/>
        <v>C</v>
      </c>
      <c r="AO19" s="75" t="str">
        <f t="shared" si="33"/>
        <v>X</v>
      </c>
      <c r="AP19" s="75" t="str">
        <f t="shared" si="34"/>
        <v>X</v>
      </c>
      <c r="AQ19" s="75" t="str">
        <f t="shared" si="35"/>
        <v>X</v>
      </c>
      <c r="AR19" s="75" t="str">
        <f t="shared" si="36"/>
        <v>X</v>
      </c>
      <c r="AS19" s="75" t="s">
        <v>2</v>
      </c>
      <c r="AT19" s="75" t="str">
        <f t="shared" si="37"/>
        <v>X</v>
      </c>
      <c r="AU19" s="75" t="str">
        <f t="shared" si="38"/>
        <v>O</v>
      </c>
      <c r="AV19" s="75" t="str">
        <f t="shared" si="39"/>
        <v>X</v>
      </c>
    </row>
    <row r="20" spans="1:48" x14ac:dyDescent="0.3">
      <c r="A20" s="9" t="s">
        <v>869</v>
      </c>
      <c r="B20" s="10" t="s">
        <v>990</v>
      </c>
      <c r="C20" s="107">
        <v>1768</v>
      </c>
      <c r="D20" s="104">
        <v>158.80000000000001</v>
      </c>
      <c r="E20" s="106">
        <v>48</v>
      </c>
      <c r="F20" s="104">
        <v>117.9</v>
      </c>
      <c r="G20" s="17">
        <v>36</v>
      </c>
      <c r="H20" s="107">
        <v>112</v>
      </c>
      <c r="I20" s="108">
        <v>142000</v>
      </c>
      <c r="J20" s="108" t="s">
        <v>981</v>
      </c>
      <c r="K20" s="108">
        <v>80000</v>
      </c>
      <c r="L20" s="108" t="s">
        <v>993</v>
      </c>
      <c r="M20" s="109">
        <f t="shared" si="21"/>
        <v>62000</v>
      </c>
      <c r="N20" s="4">
        <f t="shared" si="22"/>
        <v>0.56338028169014087</v>
      </c>
      <c r="O20" s="105">
        <f t="shared" si="23"/>
        <v>2958.3333333333335</v>
      </c>
      <c r="P20" s="105">
        <f t="shared" si="24"/>
        <v>1666.6666666666667</v>
      </c>
      <c r="Q20" s="75">
        <v>4</v>
      </c>
      <c r="R20" s="75">
        <v>2</v>
      </c>
      <c r="S20" s="75" t="s">
        <v>947</v>
      </c>
      <c r="T20" s="5">
        <v>158</v>
      </c>
      <c r="U20" s="9"/>
      <c r="W20" s="104">
        <f t="shared" si="25"/>
        <v>158.80000000000001</v>
      </c>
      <c r="X20" s="106">
        <f t="shared" si="25"/>
        <v>48</v>
      </c>
      <c r="Y20" s="102">
        <f t="shared" si="26"/>
        <v>112</v>
      </c>
      <c r="Z20" s="109">
        <f t="shared" si="26"/>
        <v>142000</v>
      </c>
      <c r="AA20" s="109">
        <f t="shared" si="27"/>
        <v>80000</v>
      </c>
      <c r="AB20" s="109">
        <f t="shared" si="28"/>
        <v>62000</v>
      </c>
      <c r="AC20" s="4">
        <f t="shared" si="28"/>
        <v>0.56338028169014087</v>
      </c>
      <c r="AD20" s="105">
        <f t="shared" si="28"/>
        <v>2958.3333333333335</v>
      </c>
      <c r="AE20" s="75" t="str">
        <f t="shared" si="29"/>
        <v>계</v>
      </c>
      <c r="AF20" s="75" t="str">
        <f t="shared" si="30"/>
        <v>4/2</v>
      </c>
      <c r="AH20" s="20" t="str">
        <f t="shared" si="1"/>
        <v>창원중동유니시티4단지</v>
      </c>
      <c r="AI20" s="106">
        <f t="shared" si="0"/>
        <v>48</v>
      </c>
      <c r="AJ20" s="75" t="str">
        <f t="shared" si="31"/>
        <v>A-</v>
      </c>
      <c r="AK20" s="75" t="s">
        <v>14</v>
      </c>
      <c r="AL20" s="75" t="s">
        <v>944</v>
      </c>
      <c r="AM20" s="75" t="s">
        <v>945</v>
      </c>
      <c r="AN20" s="75" t="str">
        <f t="shared" si="32"/>
        <v>C</v>
      </c>
      <c r="AO20" s="75" t="str">
        <f t="shared" si="33"/>
        <v>X</v>
      </c>
      <c r="AP20" s="75" t="str">
        <f t="shared" si="34"/>
        <v>X</v>
      </c>
      <c r="AQ20" s="75" t="str">
        <f t="shared" si="35"/>
        <v>X</v>
      </c>
      <c r="AR20" s="75" t="str">
        <f t="shared" si="36"/>
        <v>X</v>
      </c>
      <c r="AS20" s="75" t="s">
        <v>2</v>
      </c>
      <c r="AT20" s="75" t="str">
        <f t="shared" si="37"/>
        <v>X</v>
      </c>
      <c r="AU20" s="75" t="str">
        <f t="shared" si="38"/>
        <v>O</v>
      </c>
      <c r="AV20" s="75" t="str">
        <f t="shared" si="39"/>
        <v>X</v>
      </c>
    </row>
    <row r="21" spans="1:48" x14ac:dyDescent="0.3">
      <c r="A21" s="9" t="s">
        <v>869</v>
      </c>
      <c r="B21" s="10" t="s">
        <v>990</v>
      </c>
      <c r="C21" s="107">
        <v>1768</v>
      </c>
      <c r="D21" s="104">
        <v>185.3</v>
      </c>
      <c r="E21" s="106">
        <v>56</v>
      </c>
      <c r="F21" s="104">
        <v>137.9</v>
      </c>
      <c r="G21" s="17">
        <v>42</v>
      </c>
      <c r="H21" s="107">
        <v>41</v>
      </c>
      <c r="I21" s="108">
        <v>230000</v>
      </c>
      <c r="J21" s="108" t="s">
        <v>954</v>
      </c>
      <c r="K21" s="108"/>
      <c r="L21" s="108"/>
      <c r="M21" s="109">
        <f t="shared" si="21"/>
        <v>230000</v>
      </c>
      <c r="N21" s="4">
        <f t="shared" si="22"/>
        <v>0</v>
      </c>
      <c r="O21" s="105">
        <f t="shared" si="23"/>
        <v>4107.1428571428569</v>
      </c>
      <c r="P21" s="105">
        <f t="shared" si="24"/>
        <v>0</v>
      </c>
      <c r="Q21" s="75">
        <v>4</v>
      </c>
      <c r="R21" s="75">
        <v>2</v>
      </c>
      <c r="S21" s="75" t="s">
        <v>947</v>
      </c>
      <c r="T21" s="5" t="s">
        <v>867</v>
      </c>
      <c r="U21" s="9"/>
      <c r="W21" s="104">
        <f t="shared" si="25"/>
        <v>185.3</v>
      </c>
      <c r="X21" s="106">
        <f t="shared" si="25"/>
        <v>56</v>
      </c>
      <c r="Y21" s="102">
        <f t="shared" si="26"/>
        <v>41</v>
      </c>
      <c r="Z21" s="109">
        <f t="shared" si="26"/>
        <v>230000</v>
      </c>
      <c r="AA21" s="109">
        <f t="shared" si="27"/>
        <v>0</v>
      </c>
      <c r="AB21" s="109">
        <f t="shared" si="28"/>
        <v>230000</v>
      </c>
      <c r="AC21" s="4">
        <f t="shared" si="28"/>
        <v>0</v>
      </c>
      <c r="AD21" s="105">
        <f t="shared" si="28"/>
        <v>4107.1428571428569</v>
      </c>
      <c r="AE21" s="75" t="str">
        <f t="shared" si="29"/>
        <v>계</v>
      </c>
      <c r="AF21" s="75" t="str">
        <f t="shared" si="30"/>
        <v>4/2</v>
      </c>
      <c r="AH21" s="20" t="str">
        <f t="shared" si="1"/>
        <v>창원중동유니시티4단지</v>
      </c>
      <c r="AI21" s="106">
        <f t="shared" si="0"/>
        <v>56</v>
      </c>
      <c r="AJ21" s="75" t="str">
        <f t="shared" si="31"/>
        <v>A-</v>
      </c>
      <c r="AK21" s="75" t="s">
        <v>14</v>
      </c>
      <c r="AL21" s="75" t="s">
        <v>944</v>
      </c>
      <c r="AM21" s="75" t="s">
        <v>945</v>
      </c>
      <c r="AN21" s="75" t="str">
        <f t="shared" si="32"/>
        <v>C</v>
      </c>
      <c r="AO21" s="75" t="str">
        <f t="shared" si="33"/>
        <v>X</v>
      </c>
      <c r="AP21" s="75" t="str">
        <f t="shared" si="34"/>
        <v>X</v>
      </c>
      <c r="AQ21" s="75" t="str">
        <f t="shared" si="35"/>
        <v>X</v>
      </c>
      <c r="AR21" s="75" t="str">
        <f t="shared" si="36"/>
        <v>X</v>
      </c>
      <c r="AS21" s="75" t="s">
        <v>2</v>
      </c>
      <c r="AT21" s="75" t="str">
        <f t="shared" si="37"/>
        <v>X</v>
      </c>
      <c r="AU21" s="75" t="str">
        <f t="shared" si="38"/>
        <v>O</v>
      </c>
      <c r="AV21" s="75" t="str">
        <f t="shared" si="39"/>
        <v>X</v>
      </c>
    </row>
    <row r="22" spans="1:48" x14ac:dyDescent="0.3">
      <c r="A22" s="9" t="s">
        <v>869</v>
      </c>
      <c r="B22" s="10" t="s">
        <v>990</v>
      </c>
      <c r="C22" s="107">
        <v>1768</v>
      </c>
      <c r="D22" s="104">
        <v>185.6</v>
      </c>
      <c r="E22" s="106">
        <v>56</v>
      </c>
      <c r="F22" s="104">
        <v>137.19999999999999</v>
      </c>
      <c r="G22" s="17">
        <v>41</v>
      </c>
      <c r="H22" s="107">
        <v>41</v>
      </c>
      <c r="I22" s="108">
        <v>200000</v>
      </c>
      <c r="J22" s="108" t="s">
        <v>954</v>
      </c>
      <c r="K22" s="108">
        <v>100000</v>
      </c>
      <c r="L22" s="108" t="s">
        <v>954</v>
      </c>
      <c r="M22" s="109">
        <f t="shared" si="21"/>
        <v>100000</v>
      </c>
      <c r="N22" s="4">
        <f t="shared" si="22"/>
        <v>0.5</v>
      </c>
      <c r="O22" s="105">
        <f t="shared" si="23"/>
        <v>3571.4285714285716</v>
      </c>
      <c r="P22" s="105">
        <f t="shared" si="24"/>
        <v>1785.7142857142858</v>
      </c>
      <c r="Q22" s="75">
        <v>4</v>
      </c>
      <c r="R22" s="75">
        <v>2</v>
      </c>
      <c r="S22" s="75" t="s">
        <v>947</v>
      </c>
      <c r="T22" s="5" t="s">
        <v>874</v>
      </c>
      <c r="U22" s="9"/>
      <c r="W22" s="104">
        <f t="shared" si="25"/>
        <v>185.6</v>
      </c>
      <c r="X22" s="106">
        <f t="shared" si="25"/>
        <v>56</v>
      </c>
      <c r="Y22" s="102">
        <f t="shared" si="26"/>
        <v>41</v>
      </c>
      <c r="Z22" s="109">
        <f t="shared" si="26"/>
        <v>200000</v>
      </c>
      <c r="AA22" s="109">
        <f t="shared" si="27"/>
        <v>100000</v>
      </c>
      <c r="AB22" s="109">
        <f t="shared" si="28"/>
        <v>100000</v>
      </c>
      <c r="AC22" s="4">
        <f t="shared" si="28"/>
        <v>0.5</v>
      </c>
      <c r="AD22" s="105">
        <f t="shared" si="28"/>
        <v>3571.4285714285716</v>
      </c>
      <c r="AE22" s="75" t="str">
        <f t="shared" si="29"/>
        <v>계</v>
      </c>
      <c r="AF22" s="75" t="str">
        <f t="shared" si="30"/>
        <v>4/2</v>
      </c>
      <c r="AH22" s="20" t="str">
        <f t="shared" si="1"/>
        <v>창원중동유니시티4단지</v>
      </c>
      <c r="AI22" s="106">
        <f t="shared" si="0"/>
        <v>56</v>
      </c>
      <c r="AJ22" s="75" t="str">
        <f t="shared" si="31"/>
        <v>A-</v>
      </c>
      <c r="AK22" s="75" t="s">
        <v>14</v>
      </c>
      <c r="AL22" s="75" t="s">
        <v>944</v>
      </c>
      <c r="AM22" s="75" t="s">
        <v>945</v>
      </c>
      <c r="AN22" s="75" t="str">
        <f t="shared" si="32"/>
        <v>C</v>
      </c>
      <c r="AO22" s="75" t="str">
        <f t="shared" si="33"/>
        <v>X</v>
      </c>
      <c r="AP22" s="75" t="str">
        <f t="shared" si="34"/>
        <v>X</v>
      </c>
      <c r="AQ22" s="75" t="str">
        <f t="shared" si="35"/>
        <v>X</v>
      </c>
      <c r="AR22" s="75" t="str">
        <f t="shared" si="36"/>
        <v>X</v>
      </c>
      <c r="AS22" s="75" t="s">
        <v>2</v>
      </c>
      <c r="AT22" s="75" t="str">
        <f t="shared" si="37"/>
        <v>X</v>
      </c>
      <c r="AU22" s="75" t="str">
        <f t="shared" si="38"/>
        <v>O</v>
      </c>
      <c r="AV22" s="75" t="str">
        <f t="shared" si="39"/>
        <v>X</v>
      </c>
    </row>
    <row r="23" spans="1:48" x14ac:dyDescent="0.3">
      <c r="A23" s="9"/>
      <c r="B23" s="75"/>
      <c r="C23" s="6"/>
      <c r="D23" s="9"/>
      <c r="E23" s="14"/>
      <c r="F23" s="104"/>
      <c r="G23" s="9"/>
      <c r="H23" s="9"/>
      <c r="I23" s="9"/>
      <c r="J23" s="9"/>
      <c r="K23" s="9"/>
      <c r="L23" s="9"/>
      <c r="M23" s="9"/>
      <c r="N23" s="9"/>
      <c r="O23" s="105"/>
      <c r="P23" s="105"/>
      <c r="Q23" s="106"/>
      <c r="R23" s="106"/>
      <c r="S23" s="9"/>
      <c r="T23" s="48"/>
      <c r="U23" s="9"/>
      <c r="W23" s="70" t="str">
        <f>$A$4&amp;" "&amp;A24&amp;"("&amp;B24&amp;","&amp;C24&amp;"^)"</f>
        <v>중동 창원중동유니시티3단지('19.12.,1465^)</v>
      </c>
      <c r="X23" s="71"/>
      <c r="Y23" s="71"/>
      <c r="Z23" s="71"/>
      <c r="AA23" s="71"/>
      <c r="AB23" s="71"/>
      <c r="AC23" s="71"/>
      <c r="AD23" s="71"/>
      <c r="AE23" s="71"/>
      <c r="AF23" s="72"/>
      <c r="AH23" s="20" t="str">
        <f t="shared" si="1"/>
        <v/>
      </c>
      <c r="AI23" s="103" t="str">
        <f t="shared" si="0"/>
        <v/>
      </c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x14ac:dyDescent="0.3">
      <c r="A24" s="9" t="s">
        <v>875</v>
      </c>
      <c r="B24" s="10" t="s">
        <v>990</v>
      </c>
      <c r="C24" s="107">
        <v>1465</v>
      </c>
      <c r="D24" s="104">
        <v>84</v>
      </c>
      <c r="E24" s="106">
        <v>25</v>
      </c>
      <c r="F24" s="104">
        <v>60</v>
      </c>
      <c r="G24" s="17">
        <v>18</v>
      </c>
      <c r="H24" s="107">
        <v>160</v>
      </c>
      <c r="I24" s="108">
        <v>62000</v>
      </c>
      <c r="J24" s="108" t="s">
        <v>954</v>
      </c>
      <c r="K24" s="108">
        <v>40000</v>
      </c>
      <c r="L24" s="108" t="s">
        <v>989</v>
      </c>
      <c r="M24" s="109">
        <f>I24-K24</f>
        <v>22000</v>
      </c>
      <c r="N24" s="4">
        <f>IF(ISERROR(K24/I24),"",K24/I24)</f>
        <v>0.64516129032258063</v>
      </c>
      <c r="O24" s="105">
        <f>I24/E24</f>
        <v>2480</v>
      </c>
      <c r="P24" s="105">
        <f>K24/E24</f>
        <v>1600</v>
      </c>
      <c r="Q24" s="75">
        <v>3</v>
      </c>
      <c r="R24" s="75">
        <v>2</v>
      </c>
      <c r="S24" s="75" t="s">
        <v>947</v>
      </c>
      <c r="T24" s="5">
        <v>84</v>
      </c>
      <c r="U24" s="9"/>
      <c r="W24" s="104">
        <f t="shared" ref="W24:X28" si="40">D24</f>
        <v>84</v>
      </c>
      <c r="X24" s="106">
        <f t="shared" si="40"/>
        <v>25</v>
      </c>
      <c r="Y24" s="102">
        <f t="shared" ref="Y24:Z28" si="41">H24</f>
        <v>160</v>
      </c>
      <c r="Z24" s="109">
        <f t="shared" si="41"/>
        <v>62000</v>
      </c>
      <c r="AA24" s="109">
        <f>K24</f>
        <v>40000</v>
      </c>
      <c r="AB24" s="109">
        <f t="shared" ref="AB24:AD28" si="42">M24</f>
        <v>22000</v>
      </c>
      <c r="AC24" s="4">
        <f t="shared" si="42"/>
        <v>0.64516129032258063</v>
      </c>
      <c r="AD24" s="105">
        <f t="shared" si="42"/>
        <v>2480</v>
      </c>
      <c r="AE24" s="75" t="str">
        <f>S24</f>
        <v>계</v>
      </c>
      <c r="AF24" s="75" t="str">
        <f>Q24&amp;"/"&amp;R24</f>
        <v>3/2</v>
      </c>
      <c r="AH24" s="20" t="str">
        <f t="shared" si="1"/>
        <v>창원중동유니시티3단지</v>
      </c>
      <c r="AI24" s="106">
        <f t="shared" si="0"/>
        <v>25</v>
      </c>
      <c r="AJ24" s="75" t="str">
        <f>IF(AI24="","",$AJ$2)</f>
        <v>A-</v>
      </c>
      <c r="AK24" s="75" t="s">
        <v>14</v>
      </c>
      <c r="AL24" s="75" t="s">
        <v>944</v>
      </c>
      <c r="AM24" s="75" t="s">
        <v>945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X</v>
      </c>
      <c r="AQ24" s="75" t="str">
        <f>IF(O24="","",IF(O24&lt;=$AQ$1,"O","X"))</f>
        <v>X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 t="s">
        <v>875</v>
      </c>
      <c r="B25" s="10" t="s">
        <v>990</v>
      </c>
      <c r="C25" s="107">
        <v>1465</v>
      </c>
      <c r="D25" s="104">
        <v>100.9</v>
      </c>
      <c r="E25" s="106">
        <v>31</v>
      </c>
      <c r="F25" s="104">
        <v>72.900000000000006</v>
      </c>
      <c r="G25" s="17">
        <v>22</v>
      </c>
      <c r="H25" s="107">
        <v>50</v>
      </c>
      <c r="I25" s="108">
        <v>75000</v>
      </c>
      <c r="J25" s="108" t="s">
        <v>954</v>
      </c>
      <c r="K25" s="108">
        <v>45000</v>
      </c>
      <c r="L25" s="108" t="s">
        <v>994</v>
      </c>
      <c r="M25" s="109">
        <f>I25-K25</f>
        <v>30000</v>
      </c>
      <c r="N25" s="4">
        <f>IF(ISERROR(K25/I25),"",K25/I25)</f>
        <v>0.6</v>
      </c>
      <c r="O25" s="105">
        <f>I25/E25</f>
        <v>2419.3548387096776</v>
      </c>
      <c r="P25" s="105">
        <f>K25/E25</f>
        <v>1451.6129032258063</v>
      </c>
      <c r="Q25" s="75">
        <v>3</v>
      </c>
      <c r="R25" s="75">
        <v>2</v>
      </c>
      <c r="S25" s="75" t="s">
        <v>947</v>
      </c>
      <c r="T25" s="5">
        <v>100</v>
      </c>
      <c r="U25" s="9"/>
      <c r="W25" s="104">
        <f t="shared" si="40"/>
        <v>100.9</v>
      </c>
      <c r="X25" s="106">
        <f t="shared" si="40"/>
        <v>31</v>
      </c>
      <c r="Y25" s="102">
        <f t="shared" si="41"/>
        <v>50</v>
      </c>
      <c r="Z25" s="109">
        <f t="shared" si="41"/>
        <v>75000</v>
      </c>
      <c r="AA25" s="109">
        <f>K25</f>
        <v>45000</v>
      </c>
      <c r="AB25" s="109">
        <f t="shared" si="42"/>
        <v>30000</v>
      </c>
      <c r="AC25" s="4">
        <f t="shared" si="42"/>
        <v>0.6</v>
      </c>
      <c r="AD25" s="105">
        <f t="shared" si="42"/>
        <v>2419.3548387096776</v>
      </c>
      <c r="AE25" s="75" t="str">
        <f>S25</f>
        <v>계</v>
      </c>
      <c r="AF25" s="75" t="str">
        <f>Q25&amp;"/"&amp;R25</f>
        <v>3/2</v>
      </c>
      <c r="AH25" s="20" t="str">
        <f t="shared" si="1"/>
        <v>창원중동유니시티3단지</v>
      </c>
      <c r="AI25" s="106">
        <f t="shared" si="0"/>
        <v>31</v>
      </c>
      <c r="AJ25" s="75" t="str">
        <f>IF(AI25="","",$AJ$2)</f>
        <v>A-</v>
      </c>
      <c r="AK25" s="75" t="s">
        <v>14</v>
      </c>
      <c r="AL25" s="75" t="s">
        <v>944</v>
      </c>
      <c r="AM25" s="75" t="s">
        <v>945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X</v>
      </c>
      <c r="AQ25" s="75" t="str">
        <f>IF(O25="","",IF(O25&lt;=$AQ$1,"O","X"))</f>
        <v>X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 t="s">
        <v>875</v>
      </c>
      <c r="B26" s="10" t="s">
        <v>990</v>
      </c>
      <c r="C26" s="107">
        <v>1465</v>
      </c>
      <c r="D26" s="104">
        <v>117.6</v>
      </c>
      <c r="E26" s="106">
        <v>36</v>
      </c>
      <c r="F26" s="104">
        <v>84.7</v>
      </c>
      <c r="G26" s="17">
        <v>26</v>
      </c>
      <c r="H26" s="107">
        <v>658</v>
      </c>
      <c r="I26" s="108">
        <v>85000</v>
      </c>
      <c r="J26" s="108" t="s">
        <v>957</v>
      </c>
      <c r="K26" s="108">
        <v>48000</v>
      </c>
      <c r="L26" s="108" t="s">
        <v>957</v>
      </c>
      <c r="M26" s="109">
        <f>I26-K26</f>
        <v>37000</v>
      </c>
      <c r="N26" s="4">
        <f>IF(ISERROR(K26/I26),"",K26/I26)</f>
        <v>0.56470588235294117</v>
      </c>
      <c r="O26" s="105">
        <f>I26/E26</f>
        <v>2361.1111111111113</v>
      </c>
      <c r="P26" s="105">
        <f>K26/E26</f>
        <v>1333.3333333333333</v>
      </c>
      <c r="Q26" s="75">
        <v>3</v>
      </c>
      <c r="R26" s="75">
        <v>2</v>
      </c>
      <c r="S26" s="75" t="s">
        <v>947</v>
      </c>
      <c r="T26" s="5" t="s">
        <v>866</v>
      </c>
      <c r="U26" s="9"/>
      <c r="W26" s="104">
        <f t="shared" si="40"/>
        <v>117.6</v>
      </c>
      <c r="X26" s="106">
        <f t="shared" si="40"/>
        <v>36</v>
      </c>
      <c r="Y26" s="102">
        <f t="shared" si="41"/>
        <v>658</v>
      </c>
      <c r="Z26" s="109">
        <f t="shared" si="41"/>
        <v>85000</v>
      </c>
      <c r="AA26" s="109">
        <f>K26</f>
        <v>48000</v>
      </c>
      <c r="AB26" s="109">
        <f t="shared" si="42"/>
        <v>37000</v>
      </c>
      <c r="AC26" s="4">
        <f t="shared" si="42"/>
        <v>0.56470588235294117</v>
      </c>
      <c r="AD26" s="105">
        <f t="shared" si="42"/>
        <v>2361.1111111111113</v>
      </c>
      <c r="AE26" s="75" t="str">
        <f>S26</f>
        <v>계</v>
      </c>
      <c r="AF26" s="75" t="str">
        <f>Q26&amp;"/"&amp;R26</f>
        <v>3/2</v>
      </c>
      <c r="AH26" s="20" t="str">
        <f t="shared" si="1"/>
        <v>창원중동유니시티3단지</v>
      </c>
      <c r="AI26" s="106">
        <f t="shared" si="0"/>
        <v>36</v>
      </c>
      <c r="AJ26" s="75" t="str">
        <f>IF(AI26="","",$AJ$2)</f>
        <v>A-</v>
      </c>
      <c r="AK26" s="75" t="s">
        <v>14</v>
      </c>
      <c r="AL26" s="75" t="s">
        <v>944</v>
      </c>
      <c r="AM26" s="75" t="s">
        <v>945</v>
      </c>
      <c r="AN26" s="75" t="str">
        <f>IF(AI26="","",$AN$2)</f>
        <v>C</v>
      </c>
      <c r="AO26" s="75" t="str">
        <f>IF(N26="","",IF(N26&gt;=$AO$1/100,"O","X"))</f>
        <v>X</v>
      </c>
      <c r="AP26" s="75" t="str">
        <f>IF(I26="","",IF(I26&lt;=$AP$1,"O","X"))</f>
        <v>X</v>
      </c>
      <c r="AQ26" s="75" t="str">
        <f>IF(O26="","",IF(O26&lt;=$AQ$1,"O","X"))</f>
        <v>X</v>
      </c>
      <c r="AR26" s="75" t="str">
        <f>IF(M26="","",IF(M26&lt;=$AR$1,"O","X"))</f>
        <v>X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>X</v>
      </c>
    </row>
    <row r="27" spans="1:48" x14ac:dyDescent="0.3">
      <c r="A27" s="9" t="s">
        <v>875</v>
      </c>
      <c r="B27" s="10" t="s">
        <v>990</v>
      </c>
      <c r="C27" s="107">
        <v>1465</v>
      </c>
      <c r="D27" s="104">
        <v>117.9</v>
      </c>
      <c r="E27" s="106">
        <v>36</v>
      </c>
      <c r="F27" s="104">
        <v>84.8</v>
      </c>
      <c r="G27" s="17">
        <v>26</v>
      </c>
      <c r="H27" s="107">
        <v>273</v>
      </c>
      <c r="I27" s="108">
        <v>85000</v>
      </c>
      <c r="J27" s="108" t="s">
        <v>957</v>
      </c>
      <c r="K27" s="108">
        <v>50000</v>
      </c>
      <c r="L27" s="108" t="s">
        <v>995</v>
      </c>
      <c r="M27" s="109">
        <f>I27-K27</f>
        <v>35000</v>
      </c>
      <c r="N27" s="4">
        <f>IF(ISERROR(K27/I27),"",K27/I27)</f>
        <v>0.58823529411764708</v>
      </c>
      <c r="O27" s="105">
        <f>I27/E27</f>
        <v>2361.1111111111113</v>
      </c>
      <c r="P27" s="105">
        <f>K27/E27</f>
        <v>1388.8888888888889</v>
      </c>
      <c r="Q27" s="75">
        <v>3</v>
      </c>
      <c r="R27" s="75">
        <v>2</v>
      </c>
      <c r="S27" s="75" t="s">
        <v>947</v>
      </c>
      <c r="T27" s="5" t="s">
        <v>879</v>
      </c>
      <c r="U27" s="9"/>
      <c r="W27" s="104">
        <f t="shared" si="40"/>
        <v>117.9</v>
      </c>
      <c r="X27" s="106">
        <f t="shared" si="40"/>
        <v>36</v>
      </c>
      <c r="Y27" s="102">
        <f t="shared" si="41"/>
        <v>273</v>
      </c>
      <c r="Z27" s="109">
        <f t="shared" si="41"/>
        <v>85000</v>
      </c>
      <c r="AA27" s="109">
        <f>K27</f>
        <v>50000</v>
      </c>
      <c r="AB27" s="109">
        <f t="shared" si="42"/>
        <v>35000</v>
      </c>
      <c r="AC27" s="4">
        <f t="shared" si="42"/>
        <v>0.58823529411764708</v>
      </c>
      <c r="AD27" s="105">
        <f t="shared" si="42"/>
        <v>2361.1111111111113</v>
      </c>
      <c r="AE27" s="75" t="str">
        <f>S27</f>
        <v>계</v>
      </c>
      <c r="AF27" s="75" t="str">
        <f>Q27&amp;"/"&amp;R27</f>
        <v>3/2</v>
      </c>
      <c r="AH27" s="20" t="str">
        <f t="shared" si="1"/>
        <v>창원중동유니시티3단지</v>
      </c>
      <c r="AI27" s="106">
        <f t="shared" si="0"/>
        <v>36</v>
      </c>
      <c r="AJ27" s="75" t="str">
        <f>IF(AI27="","",$AJ$2)</f>
        <v>A-</v>
      </c>
      <c r="AK27" s="75" t="s">
        <v>14</v>
      </c>
      <c r="AL27" s="75" t="s">
        <v>944</v>
      </c>
      <c r="AM27" s="75" t="s">
        <v>945</v>
      </c>
      <c r="AN27" s="75" t="str">
        <f>IF(AI27="","",$AN$2)</f>
        <v>C</v>
      </c>
      <c r="AO27" s="75" t="str">
        <f>IF(N27="","",IF(N27&gt;=$AO$1/100,"O","X"))</f>
        <v>X</v>
      </c>
      <c r="AP27" s="75" t="str">
        <f>IF(I27="","",IF(I27&lt;=$AP$1,"O","X"))</f>
        <v>X</v>
      </c>
      <c r="AQ27" s="75" t="str">
        <f>IF(O27="","",IF(O27&lt;=$AQ$1,"O","X"))</f>
        <v>X</v>
      </c>
      <c r="AR27" s="75" t="str">
        <f>IF(M27="","",IF(M27&lt;=$AR$1,"O","X"))</f>
        <v>X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X</v>
      </c>
    </row>
    <row r="28" spans="1:48" x14ac:dyDescent="0.3">
      <c r="A28" s="9" t="s">
        <v>875</v>
      </c>
      <c r="B28" s="10" t="s">
        <v>990</v>
      </c>
      <c r="C28" s="107">
        <v>1465</v>
      </c>
      <c r="D28" s="104">
        <v>137.9</v>
      </c>
      <c r="E28" s="106">
        <v>42</v>
      </c>
      <c r="F28" s="104">
        <v>100.3</v>
      </c>
      <c r="G28" s="17">
        <v>30</v>
      </c>
      <c r="H28" s="107">
        <v>324</v>
      </c>
      <c r="I28" s="108">
        <v>110000</v>
      </c>
      <c r="J28" s="108" t="s">
        <v>954</v>
      </c>
      <c r="K28" s="108"/>
      <c r="L28" s="108"/>
      <c r="M28" s="109">
        <f>I28-K28</f>
        <v>110000</v>
      </c>
      <c r="N28" s="4">
        <f>IF(ISERROR(K28/I28),"",K28/I28)</f>
        <v>0</v>
      </c>
      <c r="O28" s="105">
        <f>I28/E28</f>
        <v>2619.0476190476193</v>
      </c>
      <c r="P28" s="105">
        <f>K28/E28</f>
        <v>0</v>
      </c>
      <c r="Q28" s="75">
        <v>3</v>
      </c>
      <c r="R28" s="75">
        <v>2</v>
      </c>
      <c r="S28" s="75" t="s">
        <v>947</v>
      </c>
      <c r="T28" s="5">
        <v>137</v>
      </c>
      <c r="U28" s="9"/>
      <c r="W28" s="104">
        <f t="shared" si="40"/>
        <v>137.9</v>
      </c>
      <c r="X28" s="106">
        <f t="shared" si="40"/>
        <v>42</v>
      </c>
      <c r="Y28" s="102">
        <f t="shared" si="41"/>
        <v>324</v>
      </c>
      <c r="Z28" s="109">
        <f t="shared" si="41"/>
        <v>110000</v>
      </c>
      <c r="AA28" s="109">
        <f>K28</f>
        <v>0</v>
      </c>
      <c r="AB28" s="109">
        <f t="shared" si="42"/>
        <v>110000</v>
      </c>
      <c r="AC28" s="4">
        <f t="shared" si="42"/>
        <v>0</v>
      </c>
      <c r="AD28" s="105">
        <f t="shared" si="42"/>
        <v>2619.0476190476193</v>
      </c>
      <c r="AE28" s="75" t="str">
        <f>S28</f>
        <v>계</v>
      </c>
      <c r="AF28" s="75" t="str">
        <f>Q28&amp;"/"&amp;R28</f>
        <v>3/2</v>
      </c>
      <c r="AH28" s="20" t="str">
        <f t="shared" si="1"/>
        <v>창원중동유니시티3단지</v>
      </c>
      <c r="AI28" s="106">
        <f t="shared" si="0"/>
        <v>42</v>
      </c>
      <c r="AJ28" s="75" t="str">
        <f>IF(AI28="","",$AJ$2)</f>
        <v>A-</v>
      </c>
      <c r="AK28" s="75" t="s">
        <v>14</v>
      </c>
      <c r="AL28" s="75" t="s">
        <v>944</v>
      </c>
      <c r="AM28" s="75" t="s">
        <v>945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X</v>
      </c>
      <c r="AQ28" s="75" t="str">
        <f>IF(O28="","",IF(O28&lt;=$AQ$1,"O","X"))</f>
        <v>X</v>
      </c>
      <c r="AR28" s="75" t="str">
        <f>IF(M28="","",IF(M28&lt;=$AR$1,"O","X"))</f>
        <v>X</v>
      </c>
      <c r="AS28" s="75" t="s">
        <v>2</v>
      </c>
      <c r="AT28" s="75" t="str">
        <f>IF(OR(F28="",AI28=""),"",IF(AND((F28&lt;=85),(AI28&gt;=15)),"O","X"))</f>
        <v>X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  <row r="29" spans="1:48" x14ac:dyDescent="0.3">
      <c r="A29" s="9"/>
      <c r="B29" s="75"/>
      <c r="C29" s="6"/>
      <c r="D29" s="9"/>
      <c r="E29" s="14"/>
      <c r="F29" s="104"/>
      <c r="G29" s="9"/>
      <c r="H29" s="9"/>
      <c r="I29" s="9"/>
      <c r="J29" s="9"/>
      <c r="K29" s="9"/>
      <c r="L29" s="9"/>
      <c r="M29" s="9"/>
      <c r="N29" s="9"/>
      <c r="O29" s="105"/>
      <c r="P29" s="105"/>
      <c r="Q29" s="106"/>
      <c r="R29" s="106"/>
      <c r="S29" s="9"/>
      <c r="T29" s="48"/>
      <c r="U29" s="9"/>
      <c r="W29" s="70" t="str">
        <f>$A$4&amp;" "&amp;A30&amp;"("&amp;B30&amp;","&amp;C30&amp;"^)"</f>
        <v>중동 창원중동유니시티2단지('19.06.,1064^)</v>
      </c>
      <c r="X29" s="71"/>
      <c r="Y29" s="71"/>
      <c r="Z29" s="71"/>
      <c r="AA29" s="71"/>
      <c r="AB29" s="71"/>
      <c r="AC29" s="71"/>
      <c r="AD29" s="71"/>
      <c r="AE29" s="71"/>
      <c r="AF29" s="72"/>
      <c r="AH29" s="20" t="str">
        <f t="shared" si="1"/>
        <v/>
      </c>
      <c r="AI29" s="103" t="str">
        <f t="shared" si="0"/>
        <v/>
      </c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</row>
    <row r="30" spans="1:48" x14ac:dyDescent="0.3">
      <c r="A30" s="9" t="s">
        <v>885</v>
      </c>
      <c r="B30" s="10" t="s">
        <v>987</v>
      </c>
      <c r="C30" s="107">
        <v>1064</v>
      </c>
      <c r="D30" s="104">
        <v>85.1</v>
      </c>
      <c r="E30" s="106">
        <v>26</v>
      </c>
      <c r="F30" s="104">
        <v>60</v>
      </c>
      <c r="G30" s="17">
        <v>18</v>
      </c>
      <c r="H30" s="107">
        <v>60</v>
      </c>
      <c r="I30" s="108">
        <v>61500</v>
      </c>
      <c r="J30" s="108" t="s">
        <v>968</v>
      </c>
      <c r="K30" s="108">
        <v>43000</v>
      </c>
      <c r="L30" s="108" t="s">
        <v>988</v>
      </c>
      <c r="M30" s="109">
        <f>I30-K30</f>
        <v>18500</v>
      </c>
      <c r="N30" s="4">
        <f>IF(ISERROR(K30/I30),"",K30/I30)</f>
        <v>0.69918699186991873</v>
      </c>
      <c r="O30" s="105">
        <f>I30/E30</f>
        <v>2365.3846153846152</v>
      </c>
      <c r="P30" s="105">
        <f>K30/E30</f>
        <v>1653.8461538461538</v>
      </c>
      <c r="Q30" s="75">
        <v>3</v>
      </c>
      <c r="R30" s="75">
        <v>2</v>
      </c>
      <c r="S30" s="75" t="s">
        <v>947</v>
      </c>
      <c r="T30" s="5">
        <v>85</v>
      </c>
      <c r="U30" s="9"/>
      <c r="W30" s="104">
        <f t="shared" ref="W30:X34" si="43">D30</f>
        <v>85.1</v>
      </c>
      <c r="X30" s="106">
        <f t="shared" si="43"/>
        <v>26</v>
      </c>
      <c r="Y30" s="102">
        <f t="shared" ref="Y30:Z34" si="44">H30</f>
        <v>60</v>
      </c>
      <c r="Z30" s="109">
        <f t="shared" si="44"/>
        <v>61500</v>
      </c>
      <c r="AA30" s="109">
        <f>K30</f>
        <v>43000</v>
      </c>
      <c r="AB30" s="109">
        <f t="shared" ref="AB30:AD34" si="45">M30</f>
        <v>18500</v>
      </c>
      <c r="AC30" s="4">
        <f t="shared" si="45"/>
        <v>0.69918699186991873</v>
      </c>
      <c r="AD30" s="105">
        <f t="shared" si="45"/>
        <v>2365.3846153846152</v>
      </c>
      <c r="AE30" s="75" t="str">
        <f>S30</f>
        <v>계</v>
      </c>
      <c r="AF30" s="75" t="str">
        <f>Q30&amp;"/"&amp;R30</f>
        <v>3/2</v>
      </c>
      <c r="AH30" s="20" t="str">
        <f t="shared" si="1"/>
        <v>창원중동유니시티2단지</v>
      </c>
      <c r="AI30" s="106">
        <f t="shared" si="0"/>
        <v>26</v>
      </c>
      <c r="AJ30" s="75" t="str">
        <f>IF(AI30="","",$AJ$2)</f>
        <v>A-</v>
      </c>
      <c r="AK30" s="75" t="s">
        <v>14</v>
      </c>
      <c r="AL30" s="75" t="s">
        <v>944</v>
      </c>
      <c r="AM30" s="75" t="s">
        <v>945</v>
      </c>
      <c r="AN30" s="75" t="str">
        <f>IF(AI30="","",$AN$2)</f>
        <v>C</v>
      </c>
      <c r="AO30" s="75" t="str">
        <f>IF(N30="","",IF(N30&gt;=$AO$1/100,"O","X"))</f>
        <v>X</v>
      </c>
      <c r="AP30" s="75" t="str">
        <f>IF(I30="","",IF(I30&lt;=$AP$1,"O","X"))</f>
        <v>X</v>
      </c>
      <c r="AQ30" s="75" t="str">
        <f>IF(O30="","",IF(O30&lt;=$AQ$1,"O","X"))</f>
        <v>X</v>
      </c>
      <c r="AR30" s="75" t="str">
        <f>IF(M30="","",IF(M30&lt;=$AR$1,"O","X"))</f>
        <v>X</v>
      </c>
      <c r="AS30" s="75" t="s">
        <v>2</v>
      </c>
      <c r="AT30" s="75" t="str">
        <f>IF(OR(F30="",AI30=""),"",IF(AND((F30&lt;=85),(AI30&gt;=15)),"O","X"))</f>
        <v>O</v>
      </c>
      <c r="AU30" s="75" t="str">
        <f>IF(C30="","",IF(C30&gt;=$AU$1,"O","X"))</f>
        <v>O</v>
      </c>
      <c r="AV30" s="75" t="str">
        <f>IF(AO30="","",IF(AND(AO30="O",AP30="O",AR30="O",AT30="O",AU30="O"),"후보","X"))</f>
        <v>X</v>
      </c>
    </row>
    <row r="31" spans="1:48" x14ac:dyDescent="0.3">
      <c r="A31" s="9" t="s">
        <v>885</v>
      </c>
      <c r="B31" s="10" t="s">
        <v>987</v>
      </c>
      <c r="C31" s="107">
        <v>1064</v>
      </c>
      <c r="D31" s="104">
        <v>102.3</v>
      </c>
      <c r="E31" s="106">
        <v>31</v>
      </c>
      <c r="F31" s="104">
        <v>72.900000000000006</v>
      </c>
      <c r="G31" s="17">
        <v>22</v>
      </c>
      <c r="H31" s="107">
        <v>124</v>
      </c>
      <c r="I31" s="108">
        <v>75000</v>
      </c>
      <c r="J31" s="108" t="s">
        <v>980</v>
      </c>
      <c r="K31" s="108">
        <v>47000</v>
      </c>
      <c r="L31" s="108" t="s">
        <v>957</v>
      </c>
      <c r="M31" s="109">
        <f>I31-K31</f>
        <v>28000</v>
      </c>
      <c r="N31" s="4">
        <f>IF(ISERROR(K31/I31),"",K31/I31)</f>
        <v>0.62666666666666671</v>
      </c>
      <c r="O31" s="105">
        <f>I31/E31</f>
        <v>2419.3548387096776</v>
      </c>
      <c r="P31" s="105">
        <f>K31/E31</f>
        <v>1516.1290322580646</v>
      </c>
      <c r="Q31" s="75">
        <v>3</v>
      </c>
      <c r="R31" s="75">
        <v>2</v>
      </c>
      <c r="S31" s="75" t="s">
        <v>947</v>
      </c>
      <c r="T31" s="5">
        <v>102</v>
      </c>
      <c r="U31" s="9"/>
      <c r="W31" s="104">
        <f t="shared" si="43"/>
        <v>102.3</v>
      </c>
      <c r="X31" s="106">
        <f t="shared" si="43"/>
        <v>31</v>
      </c>
      <c r="Y31" s="102">
        <f t="shared" si="44"/>
        <v>124</v>
      </c>
      <c r="Z31" s="109">
        <f t="shared" si="44"/>
        <v>75000</v>
      </c>
      <c r="AA31" s="109">
        <f>K31</f>
        <v>47000</v>
      </c>
      <c r="AB31" s="109">
        <f t="shared" si="45"/>
        <v>28000</v>
      </c>
      <c r="AC31" s="4">
        <f t="shared" si="45"/>
        <v>0.62666666666666671</v>
      </c>
      <c r="AD31" s="105">
        <f t="shared" si="45"/>
        <v>2419.3548387096776</v>
      </c>
      <c r="AE31" s="75" t="str">
        <f>S31</f>
        <v>계</v>
      </c>
      <c r="AF31" s="75" t="str">
        <f>Q31&amp;"/"&amp;R31</f>
        <v>3/2</v>
      </c>
      <c r="AH31" s="20" t="str">
        <f t="shared" si="1"/>
        <v>창원중동유니시티2단지</v>
      </c>
      <c r="AI31" s="106">
        <f t="shared" si="0"/>
        <v>31</v>
      </c>
      <c r="AJ31" s="75" t="str">
        <f>IF(AI31="","",$AJ$2)</f>
        <v>A-</v>
      </c>
      <c r="AK31" s="75" t="s">
        <v>14</v>
      </c>
      <c r="AL31" s="75" t="s">
        <v>944</v>
      </c>
      <c r="AM31" s="75" t="s">
        <v>945</v>
      </c>
      <c r="AN31" s="75" t="str">
        <f>IF(AI31="","",$AN$2)</f>
        <v>C</v>
      </c>
      <c r="AO31" s="75" t="str">
        <f>IF(N31="","",IF(N31&gt;=$AO$1/100,"O","X"))</f>
        <v>X</v>
      </c>
      <c r="AP31" s="75" t="str">
        <f>IF(I31="","",IF(I31&lt;=$AP$1,"O","X"))</f>
        <v>X</v>
      </c>
      <c r="AQ31" s="75" t="str">
        <f>IF(O31="","",IF(O31&lt;=$AQ$1,"O","X"))</f>
        <v>X</v>
      </c>
      <c r="AR31" s="75" t="str">
        <f>IF(M31="","",IF(M31&lt;=$AR$1,"O","X"))</f>
        <v>X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>X</v>
      </c>
    </row>
    <row r="32" spans="1:48" x14ac:dyDescent="0.3">
      <c r="A32" s="9" t="s">
        <v>885</v>
      </c>
      <c r="B32" s="10" t="s">
        <v>987</v>
      </c>
      <c r="C32" s="107">
        <v>1064</v>
      </c>
      <c r="D32" s="104">
        <v>118.9</v>
      </c>
      <c r="E32" s="106">
        <v>36</v>
      </c>
      <c r="F32" s="104">
        <v>84.4</v>
      </c>
      <c r="G32" s="17">
        <v>26</v>
      </c>
      <c r="H32" s="107">
        <v>411</v>
      </c>
      <c r="I32" s="108">
        <v>83000</v>
      </c>
      <c r="J32" s="108" t="s">
        <v>957</v>
      </c>
      <c r="K32" s="108">
        <v>48000</v>
      </c>
      <c r="L32" s="108" t="s">
        <v>954</v>
      </c>
      <c r="M32" s="109">
        <f>I32-K32</f>
        <v>35000</v>
      </c>
      <c r="N32" s="4">
        <f>IF(ISERROR(K32/I32),"",K32/I32)</f>
        <v>0.57831325301204817</v>
      </c>
      <c r="O32" s="105">
        <f>I32/E32</f>
        <v>2305.5555555555557</v>
      </c>
      <c r="P32" s="105">
        <f>K32/E32</f>
        <v>1333.3333333333333</v>
      </c>
      <c r="Q32" s="75">
        <v>3</v>
      </c>
      <c r="R32" s="75">
        <v>2</v>
      </c>
      <c r="S32" s="75" t="s">
        <v>947</v>
      </c>
      <c r="T32" s="5" t="s">
        <v>889</v>
      </c>
      <c r="U32" s="9"/>
      <c r="W32" s="104">
        <f t="shared" si="43"/>
        <v>118.9</v>
      </c>
      <c r="X32" s="106">
        <f t="shared" si="43"/>
        <v>36</v>
      </c>
      <c r="Y32" s="102">
        <f t="shared" si="44"/>
        <v>411</v>
      </c>
      <c r="Z32" s="109">
        <f t="shared" si="44"/>
        <v>83000</v>
      </c>
      <c r="AA32" s="109">
        <f>K32</f>
        <v>48000</v>
      </c>
      <c r="AB32" s="109">
        <f t="shared" si="45"/>
        <v>35000</v>
      </c>
      <c r="AC32" s="4">
        <f t="shared" si="45"/>
        <v>0.57831325301204817</v>
      </c>
      <c r="AD32" s="105">
        <f t="shared" si="45"/>
        <v>2305.5555555555557</v>
      </c>
      <c r="AE32" s="75" t="str">
        <f>S32</f>
        <v>계</v>
      </c>
      <c r="AF32" s="75" t="str">
        <f>Q32&amp;"/"&amp;R32</f>
        <v>3/2</v>
      </c>
      <c r="AH32" s="20" t="str">
        <f t="shared" si="1"/>
        <v>창원중동유니시티2단지</v>
      </c>
      <c r="AI32" s="106">
        <f t="shared" si="0"/>
        <v>36</v>
      </c>
      <c r="AJ32" s="75" t="str">
        <f>IF(AI32="","",$AJ$2)</f>
        <v>A-</v>
      </c>
      <c r="AK32" s="75" t="s">
        <v>14</v>
      </c>
      <c r="AL32" s="75" t="s">
        <v>944</v>
      </c>
      <c r="AM32" s="75" t="s">
        <v>945</v>
      </c>
      <c r="AN32" s="75" t="str">
        <f>IF(AI32="","",$AN$2)</f>
        <v>C</v>
      </c>
      <c r="AO32" s="75" t="str">
        <f>IF(N32="","",IF(N32&gt;=$AO$1/100,"O","X"))</f>
        <v>X</v>
      </c>
      <c r="AP32" s="75" t="str">
        <f>IF(I32="","",IF(I32&lt;=$AP$1,"O","X"))</f>
        <v>X</v>
      </c>
      <c r="AQ32" s="75" t="str">
        <f>IF(O32="","",IF(O32&lt;=$AQ$1,"O","X"))</f>
        <v>X</v>
      </c>
      <c r="AR32" s="75" t="str">
        <f>IF(M32="","",IF(M32&lt;=$AR$1,"O","X"))</f>
        <v>X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O</v>
      </c>
      <c r="AV32" s="75" t="str">
        <f>IF(AO32="","",IF(AND(AO32="O",AP32="O",AR32="O",AT32="O",AU32="O"),"후보","X"))</f>
        <v>X</v>
      </c>
    </row>
    <row r="33" spans="1:48" x14ac:dyDescent="0.3">
      <c r="A33" s="9" t="s">
        <v>885</v>
      </c>
      <c r="B33" s="10" t="s">
        <v>987</v>
      </c>
      <c r="C33" s="107">
        <v>1064</v>
      </c>
      <c r="D33" s="104">
        <v>118.6</v>
      </c>
      <c r="E33" s="106">
        <v>36</v>
      </c>
      <c r="F33" s="104">
        <v>84.1</v>
      </c>
      <c r="G33" s="17">
        <v>25</v>
      </c>
      <c r="H33" s="107">
        <v>223</v>
      </c>
      <c r="I33" s="108">
        <v>83000</v>
      </c>
      <c r="J33" s="108" t="s">
        <v>968</v>
      </c>
      <c r="K33" s="108">
        <v>46000</v>
      </c>
      <c r="L33" s="108" t="s">
        <v>954</v>
      </c>
      <c r="M33" s="109">
        <f>I33-K33</f>
        <v>37000</v>
      </c>
      <c r="N33" s="4">
        <f>IF(ISERROR(K33/I33),"",K33/I33)</f>
        <v>0.55421686746987953</v>
      </c>
      <c r="O33" s="105">
        <f>I33/E33</f>
        <v>2305.5555555555557</v>
      </c>
      <c r="P33" s="105">
        <f>K33/E33</f>
        <v>1277.7777777777778</v>
      </c>
      <c r="Q33" s="75">
        <v>3</v>
      </c>
      <c r="R33" s="75">
        <v>2</v>
      </c>
      <c r="S33" s="75" t="s">
        <v>947</v>
      </c>
      <c r="T33" s="5" t="s">
        <v>890</v>
      </c>
      <c r="U33" s="9"/>
      <c r="W33" s="104">
        <f t="shared" si="43"/>
        <v>118.6</v>
      </c>
      <c r="X33" s="106">
        <f t="shared" si="43"/>
        <v>36</v>
      </c>
      <c r="Y33" s="102">
        <f t="shared" si="44"/>
        <v>223</v>
      </c>
      <c r="Z33" s="109">
        <f t="shared" si="44"/>
        <v>83000</v>
      </c>
      <c r="AA33" s="109">
        <f>K33</f>
        <v>46000</v>
      </c>
      <c r="AB33" s="109">
        <f t="shared" si="45"/>
        <v>37000</v>
      </c>
      <c r="AC33" s="4">
        <f t="shared" si="45"/>
        <v>0.55421686746987953</v>
      </c>
      <c r="AD33" s="105">
        <f t="shared" si="45"/>
        <v>2305.5555555555557</v>
      </c>
      <c r="AE33" s="75" t="str">
        <f>S33</f>
        <v>계</v>
      </c>
      <c r="AF33" s="75" t="str">
        <f>Q33&amp;"/"&amp;R33</f>
        <v>3/2</v>
      </c>
      <c r="AH33" s="20" t="str">
        <f t="shared" si="1"/>
        <v>창원중동유니시티2단지</v>
      </c>
      <c r="AI33" s="106">
        <f t="shared" si="0"/>
        <v>36</v>
      </c>
      <c r="AJ33" s="75" t="str">
        <f>IF(AI33="","",$AJ$2)</f>
        <v>A-</v>
      </c>
      <c r="AK33" s="75" t="s">
        <v>14</v>
      </c>
      <c r="AL33" s="75" t="s">
        <v>944</v>
      </c>
      <c r="AM33" s="75" t="s">
        <v>945</v>
      </c>
      <c r="AN33" s="75" t="str">
        <f>IF(AI33="","",$AN$2)</f>
        <v>C</v>
      </c>
      <c r="AO33" s="75" t="str">
        <f>IF(N33="","",IF(N33&gt;=$AO$1/100,"O","X"))</f>
        <v>X</v>
      </c>
      <c r="AP33" s="75" t="str">
        <f>IF(I33="","",IF(I33&lt;=$AP$1,"O","X"))</f>
        <v>X</v>
      </c>
      <c r="AQ33" s="75" t="str">
        <f>IF(O33="","",IF(O33&lt;=$AQ$1,"O","X"))</f>
        <v>X</v>
      </c>
      <c r="AR33" s="75" t="str">
        <f>IF(M33="","",IF(M33&lt;=$AR$1,"O","X"))</f>
        <v>X</v>
      </c>
      <c r="AS33" s="75" t="s">
        <v>2</v>
      </c>
      <c r="AT33" s="75" t="str">
        <f>IF(OR(F33="",AI33=""),"",IF(AND((F33&lt;=85),(AI33&gt;=15)),"O","X"))</f>
        <v>O</v>
      </c>
      <c r="AU33" s="75" t="str">
        <f>IF(C33="","",IF(C33&gt;=$AU$1,"O","X"))</f>
        <v>O</v>
      </c>
      <c r="AV33" s="75" t="str">
        <f>IF(AO33="","",IF(AND(AO33="O",AP33="O",AR33="O",AT33="O",AU33="O"),"후보","X"))</f>
        <v>X</v>
      </c>
    </row>
    <row r="34" spans="1:48" x14ac:dyDescent="0.3">
      <c r="A34" s="9" t="s">
        <v>885</v>
      </c>
      <c r="B34" s="10" t="s">
        <v>987</v>
      </c>
      <c r="C34" s="107">
        <v>1064</v>
      </c>
      <c r="D34" s="104">
        <v>138.6</v>
      </c>
      <c r="E34" s="106">
        <v>42</v>
      </c>
      <c r="F34" s="104">
        <v>99.2</v>
      </c>
      <c r="G34" s="17">
        <v>30</v>
      </c>
      <c r="H34" s="107">
        <v>246</v>
      </c>
      <c r="I34" s="108">
        <v>112000</v>
      </c>
      <c r="J34" s="108" t="s">
        <v>957</v>
      </c>
      <c r="K34" s="108"/>
      <c r="L34" s="108"/>
      <c r="M34" s="109">
        <f>I34-K34</f>
        <v>112000</v>
      </c>
      <c r="N34" s="4">
        <f>IF(ISERROR(K34/I34),"",K34/I34)</f>
        <v>0</v>
      </c>
      <c r="O34" s="105">
        <f>I34/E34</f>
        <v>2666.6666666666665</v>
      </c>
      <c r="P34" s="105">
        <f>K34/E34</f>
        <v>0</v>
      </c>
      <c r="Q34" s="75">
        <v>3</v>
      </c>
      <c r="R34" s="75">
        <v>2</v>
      </c>
      <c r="S34" s="75" t="s">
        <v>947</v>
      </c>
      <c r="T34" s="5">
        <v>138</v>
      </c>
      <c r="U34" s="9"/>
      <c r="W34" s="104">
        <f t="shared" si="43"/>
        <v>138.6</v>
      </c>
      <c r="X34" s="106">
        <f t="shared" si="43"/>
        <v>42</v>
      </c>
      <c r="Y34" s="102">
        <f t="shared" si="44"/>
        <v>246</v>
      </c>
      <c r="Z34" s="109">
        <f t="shared" si="44"/>
        <v>112000</v>
      </c>
      <c r="AA34" s="109">
        <f>K34</f>
        <v>0</v>
      </c>
      <c r="AB34" s="109">
        <f t="shared" si="45"/>
        <v>112000</v>
      </c>
      <c r="AC34" s="4">
        <f t="shared" si="45"/>
        <v>0</v>
      </c>
      <c r="AD34" s="105">
        <f t="shared" si="45"/>
        <v>2666.6666666666665</v>
      </c>
      <c r="AE34" s="75" t="str">
        <f>S34</f>
        <v>계</v>
      </c>
      <c r="AF34" s="75" t="str">
        <f>Q34&amp;"/"&amp;R34</f>
        <v>3/2</v>
      </c>
      <c r="AH34" s="20" t="str">
        <f t="shared" si="1"/>
        <v>창원중동유니시티2단지</v>
      </c>
      <c r="AI34" s="106">
        <f t="shared" si="0"/>
        <v>42</v>
      </c>
      <c r="AJ34" s="75" t="str">
        <f>IF(AI34="","",$AJ$2)</f>
        <v>A-</v>
      </c>
      <c r="AK34" s="75" t="s">
        <v>14</v>
      </c>
      <c r="AL34" s="75" t="s">
        <v>944</v>
      </c>
      <c r="AM34" s="75" t="s">
        <v>945</v>
      </c>
      <c r="AN34" s="75" t="str">
        <f>IF(AI34="","",$AN$2)</f>
        <v>C</v>
      </c>
      <c r="AO34" s="75" t="str">
        <f>IF(N34="","",IF(N34&gt;=$AO$1/100,"O","X"))</f>
        <v>X</v>
      </c>
      <c r="AP34" s="75" t="str">
        <f>IF(I34="","",IF(I34&lt;=$AP$1,"O","X"))</f>
        <v>X</v>
      </c>
      <c r="AQ34" s="75" t="str">
        <f>IF(O34="","",IF(O34&lt;=$AQ$1,"O","X"))</f>
        <v>X</v>
      </c>
      <c r="AR34" s="75" t="str">
        <f>IF(M34="","",IF(M34&lt;=$AR$1,"O","X"))</f>
        <v>X</v>
      </c>
      <c r="AS34" s="75" t="s">
        <v>2</v>
      </c>
      <c r="AT34" s="75" t="str">
        <f>IF(OR(F34="",AI34=""),"",IF(AND((F34&lt;=85),(AI34&gt;=15)),"O","X"))</f>
        <v>X</v>
      </c>
      <c r="AU34" s="75" t="str">
        <f>IF(C34="","",IF(C34&gt;=$AU$1,"O","X"))</f>
        <v>O</v>
      </c>
      <c r="AV34" s="75" t="str">
        <f>IF(AO34="","",IF(AND(AO34="O",AP34="O",AR34="O",AT34="O",AU34="O"),"후보","X"))</f>
        <v>X</v>
      </c>
    </row>
  </sheetData>
  <mergeCells count="1">
    <mergeCell ref="AJ1:AN1"/>
  </mergeCells>
  <phoneticPr fontId="2" type="noConversion"/>
  <conditionalFormatting sqref="AV4:AV6">
    <cfRule type="expression" dxfId="847" priority="510">
      <formula>AV4="X"</formula>
    </cfRule>
    <cfRule type="expression" dxfId="846" priority="511">
      <formula>AV4="후보"</formula>
    </cfRule>
  </conditionalFormatting>
  <conditionalFormatting sqref="AC1:AC2 AC4:AC6 N4:N5">
    <cfRule type="cellIs" dxfId="845" priority="507" operator="greaterThan">
      <formula>0.9</formula>
    </cfRule>
    <cfRule type="cellIs" dxfId="844" priority="508" operator="greaterThan">
      <formula>0.85</formula>
    </cfRule>
  </conditionalFormatting>
  <conditionalFormatting sqref="N1:N2">
    <cfRule type="cellIs" dxfId="843" priority="505" operator="greaterThan">
      <formula>0.9</formula>
    </cfRule>
    <cfRule type="cellIs" dxfId="842" priority="506" operator="greaterThan">
      <formula>0.85</formula>
    </cfRule>
  </conditionalFormatting>
  <conditionalFormatting sqref="N6">
    <cfRule type="cellIs" dxfId="841" priority="503" operator="greaterThan">
      <formula>0.9</formula>
    </cfRule>
    <cfRule type="cellIs" dxfId="840" priority="504" operator="greaterThan">
      <formula>0.85</formula>
    </cfRule>
  </conditionalFormatting>
  <conditionalFormatting sqref="E6">
    <cfRule type="expression" dxfId="839" priority="499">
      <formula>AND(IF(OR($Q6=1,$Q6=2),1,0),IF($X6&lt;=20,1,0))</formula>
    </cfRule>
    <cfRule type="expression" dxfId="838" priority="500">
      <formula>AND(IF($Q6=2,1,0),IF($X6&lt;30,1,0))</formula>
    </cfRule>
    <cfRule type="expression" dxfId="837" priority="501">
      <formula>AND(IF($Q6=3,1,0),IF($X6&lt;30,1,0))</formula>
    </cfRule>
    <cfRule type="expression" dxfId="836" priority="502">
      <formula>AND(IF($Q6=3,1,IF($Q6=4,1,0)),IF($F6&lt;=85,1,0))</formula>
    </cfRule>
  </conditionalFormatting>
  <conditionalFormatting sqref="X6">
    <cfRule type="expression" dxfId="835" priority="495">
      <formula>AND(IF(OR($Q6=1,$Q6=2),1,0),IF($X6&lt;=20,1,0))</formula>
    </cfRule>
    <cfRule type="expression" dxfId="834" priority="496">
      <formula>AND(IF($Q6=2,1,0),IF($X6&lt;30,1,0))</formula>
    </cfRule>
    <cfRule type="expression" dxfId="833" priority="497">
      <formula>AND(IF($Q6=3,1,0),IF($X6&lt;30,1,0))</formula>
    </cfRule>
    <cfRule type="expression" dxfId="832" priority="498">
      <formula>AND(IF($Q6=3,1,IF($Q6=4,1,0)),IF($F6&lt;=85,1,0))</formula>
    </cfRule>
  </conditionalFormatting>
  <conditionalFormatting sqref="AI6">
    <cfRule type="expression" dxfId="831" priority="491">
      <formula>AND(IF(OR($Q6=1,$Q6=2),1,0),IF($X6&lt;=20,1,0))</formula>
    </cfRule>
    <cfRule type="expression" dxfId="830" priority="492">
      <formula>AND(IF($Q6=2,1,0),IF($X6&lt;30,1,0))</formula>
    </cfRule>
    <cfRule type="expression" dxfId="829" priority="493">
      <formula>AND(IF($Q6=3,1,0),IF($X6&lt;30,1,0))</formula>
    </cfRule>
    <cfRule type="expression" dxfId="828" priority="494">
      <formula>AND(IF($Q6=3,1,IF($Q6=4,1,0)),IF($F6&lt;=85,1,0))</formula>
    </cfRule>
  </conditionalFormatting>
  <conditionalFormatting sqref="AV7">
    <cfRule type="expression" dxfId="827" priority="489">
      <formula>AV7="X"</formula>
    </cfRule>
    <cfRule type="expression" dxfId="826" priority="490">
      <formula>AV7="후보"</formula>
    </cfRule>
  </conditionalFormatting>
  <conditionalFormatting sqref="AC7">
    <cfRule type="cellIs" dxfId="825" priority="486" operator="greaterThan">
      <formula>0.9</formula>
    </cfRule>
    <cfRule type="cellIs" dxfId="824" priority="487" operator="greaterThan">
      <formula>0.85</formula>
    </cfRule>
  </conditionalFormatting>
  <conditionalFormatting sqref="N7">
    <cfRule type="cellIs" dxfId="823" priority="484" operator="greaterThan">
      <formula>0.9</formula>
    </cfRule>
    <cfRule type="cellIs" dxfId="822" priority="485" operator="greaterThan">
      <formula>0.85</formula>
    </cfRule>
  </conditionalFormatting>
  <conditionalFormatting sqref="E7">
    <cfRule type="expression" dxfId="821" priority="480">
      <formula>AND(IF(OR($Q7=1,$Q7=2),1,0),IF($X7&lt;=20,1,0))</formula>
    </cfRule>
    <cfRule type="expression" dxfId="820" priority="481">
      <formula>AND(IF($Q7=2,1,0),IF($X7&lt;30,1,0))</formula>
    </cfRule>
    <cfRule type="expression" dxfId="819" priority="482">
      <formula>AND(IF($Q7=3,1,0),IF($X7&lt;30,1,0))</formula>
    </cfRule>
    <cfRule type="expression" dxfId="818" priority="483">
      <formula>AND(IF($Q7=3,1,IF($Q7=4,1,0)),IF($F7&lt;=85,1,0))</formula>
    </cfRule>
  </conditionalFormatting>
  <conditionalFormatting sqref="X7">
    <cfRule type="expression" dxfId="817" priority="476">
      <formula>AND(IF(OR($Q7=1,$Q7=2),1,0),IF($X7&lt;=20,1,0))</formula>
    </cfRule>
    <cfRule type="expression" dxfId="816" priority="477">
      <formula>AND(IF($Q7=2,1,0),IF($X7&lt;30,1,0))</formula>
    </cfRule>
    <cfRule type="expression" dxfId="815" priority="478">
      <formula>AND(IF($Q7=3,1,0),IF($X7&lt;30,1,0))</formula>
    </cfRule>
    <cfRule type="expression" dxfId="814" priority="479">
      <formula>AND(IF($Q7=3,1,IF($Q7=4,1,0)),IF($F7&lt;=85,1,0))</formula>
    </cfRule>
  </conditionalFormatting>
  <conditionalFormatting sqref="AI7">
    <cfRule type="expression" dxfId="813" priority="472">
      <formula>AND(IF(OR($Q7=1,$Q7=2),1,0),IF($X7&lt;=20,1,0))</formula>
    </cfRule>
    <cfRule type="expression" dxfId="812" priority="473">
      <formula>AND(IF($Q7=2,1,0),IF($X7&lt;30,1,0))</formula>
    </cfRule>
    <cfRule type="expression" dxfId="811" priority="474">
      <formula>AND(IF($Q7=3,1,0),IF($X7&lt;30,1,0))</formula>
    </cfRule>
    <cfRule type="expression" dxfId="810" priority="475">
      <formula>AND(IF($Q7=3,1,IF($Q7=4,1,0)),IF($F7&lt;=85,1,0))</formula>
    </cfRule>
  </conditionalFormatting>
  <conditionalFormatting sqref="AV8">
    <cfRule type="expression" dxfId="809" priority="470">
      <formula>AV8="X"</formula>
    </cfRule>
    <cfRule type="expression" dxfId="808" priority="471">
      <formula>AV8="후보"</formula>
    </cfRule>
  </conditionalFormatting>
  <conditionalFormatting sqref="AC8">
    <cfRule type="cellIs" dxfId="807" priority="467" operator="greaterThan">
      <formula>0.9</formula>
    </cfRule>
    <cfRule type="cellIs" dxfId="806" priority="468" operator="greaterThan">
      <formula>0.85</formula>
    </cfRule>
  </conditionalFormatting>
  <conditionalFormatting sqref="N8">
    <cfRule type="cellIs" dxfId="805" priority="465" operator="greaterThan">
      <formula>0.9</formula>
    </cfRule>
    <cfRule type="cellIs" dxfId="804" priority="466" operator="greaterThan">
      <formula>0.85</formula>
    </cfRule>
  </conditionalFormatting>
  <conditionalFormatting sqref="E8">
    <cfRule type="expression" dxfId="803" priority="461">
      <formula>AND(IF(OR($Q8=1,$Q8=2),1,0),IF($X8&lt;=20,1,0))</formula>
    </cfRule>
    <cfRule type="expression" dxfId="802" priority="462">
      <formula>AND(IF($Q8=2,1,0),IF($X8&lt;30,1,0))</formula>
    </cfRule>
    <cfRule type="expression" dxfId="801" priority="463">
      <formula>AND(IF($Q8=3,1,0),IF($X8&lt;30,1,0))</formula>
    </cfRule>
    <cfRule type="expression" dxfId="800" priority="464">
      <formula>AND(IF($Q8=3,1,IF($Q8=4,1,0)),IF($F8&lt;=85,1,0))</formula>
    </cfRule>
  </conditionalFormatting>
  <conditionalFormatting sqref="X8">
    <cfRule type="expression" dxfId="799" priority="457">
      <formula>AND(IF(OR($Q8=1,$Q8=2),1,0),IF($X8&lt;=20,1,0))</formula>
    </cfRule>
    <cfRule type="expression" dxfId="798" priority="458">
      <formula>AND(IF($Q8=2,1,0),IF($X8&lt;30,1,0))</formula>
    </cfRule>
    <cfRule type="expression" dxfId="797" priority="459">
      <formula>AND(IF($Q8=3,1,0),IF($X8&lt;30,1,0))</formula>
    </cfRule>
    <cfRule type="expression" dxfId="796" priority="460">
      <formula>AND(IF($Q8=3,1,IF($Q8=4,1,0)),IF($F8&lt;=85,1,0))</formula>
    </cfRule>
  </conditionalFormatting>
  <conditionalFormatting sqref="AI8">
    <cfRule type="expression" dxfId="795" priority="453">
      <formula>AND(IF(OR($Q8=1,$Q8=2),1,0),IF($X8&lt;=20,1,0))</formula>
    </cfRule>
    <cfRule type="expression" dxfId="794" priority="454">
      <formula>AND(IF($Q8=2,1,0),IF($X8&lt;30,1,0))</formula>
    </cfRule>
    <cfRule type="expression" dxfId="793" priority="455">
      <formula>AND(IF($Q8=3,1,0),IF($X8&lt;30,1,0))</formula>
    </cfRule>
    <cfRule type="expression" dxfId="792" priority="456">
      <formula>AND(IF($Q8=3,1,IF($Q8=4,1,0)),IF($F8&lt;=85,1,0))</formula>
    </cfRule>
  </conditionalFormatting>
  <conditionalFormatting sqref="AV9">
    <cfRule type="expression" dxfId="791" priority="451">
      <formula>AV9="X"</formula>
    </cfRule>
    <cfRule type="expression" dxfId="790" priority="452">
      <formula>AV9="후보"</formula>
    </cfRule>
  </conditionalFormatting>
  <conditionalFormatting sqref="AC9">
    <cfRule type="cellIs" dxfId="789" priority="448" operator="greaterThan">
      <formula>0.9</formula>
    </cfRule>
    <cfRule type="cellIs" dxfId="788" priority="449" operator="greaterThan">
      <formula>0.85</formula>
    </cfRule>
  </conditionalFormatting>
  <conditionalFormatting sqref="N9">
    <cfRule type="cellIs" dxfId="787" priority="446" operator="greaterThan">
      <formula>0.9</formula>
    </cfRule>
    <cfRule type="cellIs" dxfId="786" priority="447" operator="greaterThan">
      <formula>0.85</formula>
    </cfRule>
  </conditionalFormatting>
  <conditionalFormatting sqref="E9">
    <cfRule type="expression" dxfId="785" priority="442">
      <formula>AND(IF(OR($Q9=1,$Q9=2),1,0),IF($X9&lt;=20,1,0))</formula>
    </cfRule>
    <cfRule type="expression" dxfId="784" priority="443">
      <formula>AND(IF($Q9=2,1,0),IF($X9&lt;30,1,0))</formula>
    </cfRule>
    <cfRule type="expression" dxfId="783" priority="444">
      <formula>AND(IF($Q9=3,1,0),IF($X9&lt;30,1,0))</formula>
    </cfRule>
    <cfRule type="expression" dxfId="782" priority="445">
      <formula>AND(IF($Q9=3,1,IF($Q9=4,1,0)),IF($F9&lt;=85,1,0))</formula>
    </cfRule>
  </conditionalFormatting>
  <conditionalFormatting sqref="X9">
    <cfRule type="expression" dxfId="781" priority="438">
      <formula>AND(IF(OR($Q9=1,$Q9=2),1,0),IF($X9&lt;=20,1,0))</formula>
    </cfRule>
    <cfRule type="expression" dxfId="780" priority="439">
      <formula>AND(IF($Q9=2,1,0),IF($X9&lt;30,1,0))</formula>
    </cfRule>
    <cfRule type="expression" dxfId="779" priority="440">
      <formula>AND(IF($Q9=3,1,0),IF($X9&lt;30,1,0))</formula>
    </cfRule>
    <cfRule type="expression" dxfId="778" priority="441">
      <formula>AND(IF($Q9=3,1,IF($Q9=4,1,0)),IF($F9&lt;=85,1,0))</formula>
    </cfRule>
  </conditionalFormatting>
  <conditionalFormatting sqref="AI9">
    <cfRule type="expression" dxfId="777" priority="434">
      <formula>AND(IF(OR($Q9=1,$Q9=2),1,0),IF($X9&lt;=20,1,0))</formula>
    </cfRule>
    <cfRule type="expression" dxfId="776" priority="435">
      <formula>AND(IF($Q9=2,1,0),IF($X9&lt;30,1,0))</formula>
    </cfRule>
    <cfRule type="expression" dxfId="775" priority="436">
      <formula>AND(IF($Q9=3,1,0),IF($X9&lt;30,1,0))</formula>
    </cfRule>
    <cfRule type="expression" dxfId="774" priority="437">
      <formula>AND(IF($Q9=3,1,IF($Q9=4,1,0)),IF($F9&lt;=85,1,0))</formula>
    </cfRule>
  </conditionalFormatting>
  <conditionalFormatting sqref="AV10">
    <cfRule type="expression" dxfId="773" priority="432">
      <formula>AV10="X"</formula>
    </cfRule>
    <cfRule type="expression" dxfId="772" priority="433">
      <formula>AV10="후보"</formula>
    </cfRule>
  </conditionalFormatting>
  <conditionalFormatting sqref="AC10">
    <cfRule type="cellIs" dxfId="771" priority="429" operator="greaterThan">
      <formula>0.9</formula>
    </cfRule>
    <cfRule type="cellIs" dxfId="770" priority="430" operator="greaterThan">
      <formula>0.85</formula>
    </cfRule>
  </conditionalFormatting>
  <conditionalFormatting sqref="N10">
    <cfRule type="cellIs" dxfId="769" priority="427" operator="greaterThan">
      <formula>0.9</formula>
    </cfRule>
    <cfRule type="cellIs" dxfId="768" priority="428" operator="greaterThan">
      <formula>0.85</formula>
    </cfRule>
  </conditionalFormatting>
  <conditionalFormatting sqref="E10">
    <cfRule type="expression" dxfId="767" priority="423">
      <formula>AND(IF(OR($Q10=1,$Q10=2),1,0),IF($X10&lt;=20,1,0))</formula>
    </cfRule>
    <cfRule type="expression" dxfId="766" priority="424">
      <formula>AND(IF($Q10=2,1,0),IF($X10&lt;30,1,0))</formula>
    </cfRule>
    <cfRule type="expression" dxfId="765" priority="425">
      <formula>AND(IF($Q10=3,1,0),IF($X10&lt;30,1,0))</formula>
    </cfRule>
    <cfRule type="expression" dxfId="764" priority="426">
      <formula>AND(IF($Q10=3,1,IF($Q10=4,1,0)),IF($F10&lt;=85,1,0))</formula>
    </cfRule>
  </conditionalFormatting>
  <conditionalFormatting sqref="X10">
    <cfRule type="expression" dxfId="763" priority="419">
      <formula>AND(IF(OR($Q10=1,$Q10=2),1,0),IF($X10&lt;=20,1,0))</formula>
    </cfRule>
    <cfRule type="expression" dxfId="762" priority="420">
      <formula>AND(IF($Q10=2,1,0),IF($X10&lt;30,1,0))</formula>
    </cfRule>
    <cfRule type="expression" dxfId="761" priority="421">
      <formula>AND(IF($Q10=3,1,0),IF($X10&lt;30,1,0))</formula>
    </cfRule>
    <cfRule type="expression" dxfId="760" priority="422">
      <formula>AND(IF($Q10=3,1,IF($Q10=4,1,0)),IF($F10&lt;=85,1,0))</formula>
    </cfRule>
  </conditionalFormatting>
  <conditionalFormatting sqref="AI10">
    <cfRule type="expression" dxfId="759" priority="415">
      <formula>AND(IF(OR($Q10=1,$Q10=2),1,0),IF($X10&lt;=20,1,0))</formula>
    </cfRule>
    <cfRule type="expression" dxfId="758" priority="416">
      <formula>AND(IF($Q10=2,1,0),IF($X10&lt;30,1,0))</formula>
    </cfRule>
    <cfRule type="expression" dxfId="757" priority="417">
      <formula>AND(IF($Q10=3,1,0),IF($X10&lt;30,1,0))</formula>
    </cfRule>
    <cfRule type="expression" dxfId="756" priority="418">
      <formula>AND(IF($Q10=3,1,IF($Q10=4,1,0)),IF($F10&lt;=85,1,0))</formula>
    </cfRule>
  </conditionalFormatting>
  <conditionalFormatting sqref="AV11">
    <cfRule type="expression" dxfId="755" priority="413">
      <formula>AV11="X"</formula>
    </cfRule>
    <cfRule type="expression" dxfId="754" priority="414">
      <formula>AV11="후보"</formula>
    </cfRule>
  </conditionalFormatting>
  <conditionalFormatting sqref="AC11">
    <cfRule type="cellIs" dxfId="753" priority="410" operator="greaterThan">
      <formula>0.9</formula>
    </cfRule>
    <cfRule type="cellIs" dxfId="752" priority="411" operator="greaterThan">
      <formula>0.85</formula>
    </cfRule>
  </conditionalFormatting>
  <conditionalFormatting sqref="N11">
    <cfRule type="cellIs" dxfId="751" priority="408" operator="greaterThan">
      <formula>0.9</formula>
    </cfRule>
    <cfRule type="cellIs" dxfId="750" priority="409" operator="greaterThan">
      <formula>0.85</formula>
    </cfRule>
  </conditionalFormatting>
  <conditionalFormatting sqref="E11">
    <cfRule type="expression" dxfId="749" priority="404">
      <formula>AND(IF(OR($Q11=1,$Q11=2),1,0),IF($X11&lt;=20,1,0))</formula>
    </cfRule>
    <cfRule type="expression" dxfId="748" priority="405">
      <formula>AND(IF($Q11=2,1,0),IF($X11&lt;30,1,0))</formula>
    </cfRule>
    <cfRule type="expression" dxfId="747" priority="406">
      <formula>AND(IF($Q11=3,1,0),IF($X11&lt;30,1,0))</formula>
    </cfRule>
    <cfRule type="expression" dxfId="746" priority="407">
      <formula>AND(IF($Q11=3,1,IF($Q11=4,1,0)),IF($F11&lt;=85,1,0))</formula>
    </cfRule>
  </conditionalFormatting>
  <conditionalFormatting sqref="X11">
    <cfRule type="expression" dxfId="745" priority="400">
      <formula>AND(IF(OR($Q11=1,$Q11=2),1,0),IF($X11&lt;=20,1,0))</formula>
    </cfRule>
    <cfRule type="expression" dxfId="744" priority="401">
      <formula>AND(IF($Q11=2,1,0),IF($X11&lt;30,1,0))</formula>
    </cfRule>
    <cfRule type="expression" dxfId="743" priority="402">
      <formula>AND(IF($Q11=3,1,0),IF($X11&lt;30,1,0))</formula>
    </cfRule>
    <cfRule type="expression" dxfId="742" priority="403">
      <formula>AND(IF($Q11=3,1,IF($Q11=4,1,0)),IF($F11&lt;=85,1,0))</formula>
    </cfRule>
  </conditionalFormatting>
  <conditionalFormatting sqref="AI11">
    <cfRule type="expression" dxfId="741" priority="396">
      <formula>AND(IF(OR($Q11=1,$Q11=2),1,0),IF($X11&lt;=20,1,0))</formula>
    </cfRule>
    <cfRule type="expression" dxfId="740" priority="397">
      <formula>AND(IF($Q11=2,1,0),IF($X11&lt;30,1,0))</formula>
    </cfRule>
    <cfRule type="expression" dxfId="739" priority="398">
      <formula>AND(IF($Q11=3,1,0),IF($X11&lt;30,1,0))</formula>
    </cfRule>
    <cfRule type="expression" dxfId="738" priority="399">
      <formula>AND(IF($Q11=3,1,IF($Q11=4,1,0)),IF($F11&lt;=85,1,0))</formula>
    </cfRule>
  </conditionalFormatting>
  <conditionalFormatting sqref="AV12">
    <cfRule type="expression" dxfId="737" priority="394">
      <formula>AV12="X"</formula>
    </cfRule>
    <cfRule type="expression" dxfId="736" priority="395">
      <formula>AV12="후보"</formula>
    </cfRule>
  </conditionalFormatting>
  <conditionalFormatting sqref="AC12">
    <cfRule type="cellIs" dxfId="735" priority="391" operator="greaterThan">
      <formula>0.9</formula>
    </cfRule>
    <cfRule type="cellIs" dxfId="734" priority="392" operator="greaterThan">
      <formula>0.85</formula>
    </cfRule>
  </conditionalFormatting>
  <conditionalFormatting sqref="N12">
    <cfRule type="cellIs" dxfId="733" priority="389" operator="greaterThan">
      <formula>0.9</formula>
    </cfRule>
    <cfRule type="cellIs" dxfId="732" priority="390" operator="greaterThan">
      <formula>0.85</formula>
    </cfRule>
  </conditionalFormatting>
  <conditionalFormatting sqref="E12">
    <cfRule type="expression" dxfId="731" priority="385">
      <formula>AND(IF(OR($Q12=1,$Q12=2),1,0),IF($X12&lt;=20,1,0))</formula>
    </cfRule>
    <cfRule type="expression" dxfId="730" priority="386">
      <formula>AND(IF($Q12=2,1,0),IF($X12&lt;30,1,0))</formula>
    </cfRule>
    <cfRule type="expression" dxfId="729" priority="387">
      <formula>AND(IF($Q12=3,1,0),IF($X12&lt;30,1,0))</formula>
    </cfRule>
    <cfRule type="expression" dxfId="728" priority="388">
      <formula>AND(IF($Q12=3,1,IF($Q12=4,1,0)),IF($F12&lt;=85,1,0))</formula>
    </cfRule>
  </conditionalFormatting>
  <conditionalFormatting sqref="X12">
    <cfRule type="expression" dxfId="727" priority="381">
      <formula>AND(IF(OR($Q12=1,$Q12=2),1,0),IF($X12&lt;=20,1,0))</formula>
    </cfRule>
    <cfRule type="expression" dxfId="726" priority="382">
      <formula>AND(IF($Q12=2,1,0),IF($X12&lt;30,1,0))</formula>
    </cfRule>
    <cfRule type="expression" dxfId="725" priority="383">
      <formula>AND(IF($Q12=3,1,0),IF($X12&lt;30,1,0))</formula>
    </cfRule>
    <cfRule type="expression" dxfId="724" priority="384">
      <formula>AND(IF($Q12=3,1,IF($Q12=4,1,0)),IF($F12&lt;=85,1,0))</formula>
    </cfRule>
  </conditionalFormatting>
  <conditionalFormatting sqref="AI12">
    <cfRule type="expression" dxfId="723" priority="377">
      <formula>AND(IF(OR($Q12=1,$Q12=2),1,0),IF($X12&lt;=20,1,0))</formula>
    </cfRule>
    <cfRule type="expression" dxfId="722" priority="378">
      <formula>AND(IF($Q12=2,1,0),IF($X12&lt;30,1,0))</formula>
    </cfRule>
    <cfRule type="expression" dxfId="721" priority="379">
      <formula>AND(IF($Q12=3,1,0),IF($X12&lt;30,1,0))</formula>
    </cfRule>
    <cfRule type="expression" dxfId="720" priority="380">
      <formula>AND(IF($Q12=3,1,IF($Q12=4,1,0)),IF($F12&lt;=85,1,0))</formula>
    </cfRule>
  </conditionalFormatting>
  <conditionalFormatting sqref="AV13">
    <cfRule type="expression" dxfId="719" priority="375">
      <formula>AV13="X"</formula>
    </cfRule>
    <cfRule type="expression" dxfId="718" priority="376">
      <formula>AV13="후보"</formula>
    </cfRule>
  </conditionalFormatting>
  <conditionalFormatting sqref="AC13">
    <cfRule type="cellIs" dxfId="717" priority="372" operator="greaterThan">
      <formula>0.9</formula>
    </cfRule>
    <cfRule type="cellIs" dxfId="716" priority="373" operator="greaterThan">
      <formula>0.85</formula>
    </cfRule>
  </conditionalFormatting>
  <conditionalFormatting sqref="N13">
    <cfRule type="cellIs" dxfId="715" priority="370" operator="greaterThan">
      <formula>0.9</formula>
    </cfRule>
    <cfRule type="cellIs" dxfId="714" priority="371" operator="greaterThan">
      <formula>0.85</formula>
    </cfRule>
  </conditionalFormatting>
  <conditionalFormatting sqref="E13">
    <cfRule type="expression" dxfId="713" priority="366">
      <formula>AND(IF(OR($Q13=1,$Q13=2),1,0),IF($X13&lt;=20,1,0))</formula>
    </cfRule>
    <cfRule type="expression" dxfId="712" priority="367">
      <formula>AND(IF($Q13=2,1,0),IF($X13&lt;30,1,0))</formula>
    </cfRule>
    <cfRule type="expression" dxfId="711" priority="368">
      <formula>AND(IF($Q13=3,1,0),IF($X13&lt;30,1,0))</formula>
    </cfRule>
    <cfRule type="expression" dxfId="710" priority="369">
      <formula>AND(IF($Q13=3,1,IF($Q13=4,1,0)),IF($F13&lt;=85,1,0))</formula>
    </cfRule>
  </conditionalFormatting>
  <conditionalFormatting sqref="X13">
    <cfRule type="expression" dxfId="709" priority="362">
      <formula>AND(IF(OR($Q13=1,$Q13=2),1,0),IF($X13&lt;=20,1,0))</formula>
    </cfRule>
    <cfRule type="expression" dxfId="708" priority="363">
      <formula>AND(IF($Q13=2,1,0),IF($X13&lt;30,1,0))</formula>
    </cfRule>
    <cfRule type="expression" dxfId="707" priority="364">
      <formula>AND(IF($Q13=3,1,0),IF($X13&lt;30,1,0))</formula>
    </cfRule>
    <cfRule type="expression" dxfId="706" priority="365">
      <formula>AND(IF($Q13=3,1,IF($Q13=4,1,0)),IF($F13&lt;=85,1,0))</formula>
    </cfRule>
  </conditionalFormatting>
  <conditionalFormatting sqref="AI13">
    <cfRule type="expression" dxfId="705" priority="358">
      <formula>AND(IF(OR($Q13=1,$Q13=2),1,0),IF($X13&lt;=20,1,0))</formula>
    </cfRule>
    <cfRule type="expression" dxfId="704" priority="359">
      <formula>AND(IF($Q13=2,1,0),IF($X13&lt;30,1,0))</formula>
    </cfRule>
    <cfRule type="expression" dxfId="703" priority="360">
      <formula>AND(IF($Q13=3,1,0),IF($X13&lt;30,1,0))</formula>
    </cfRule>
    <cfRule type="expression" dxfId="702" priority="361">
      <formula>AND(IF($Q13=3,1,IF($Q13=4,1,0)),IF($F13&lt;=85,1,0))</formula>
    </cfRule>
  </conditionalFormatting>
  <conditionalFormatting sqref="AV14">
    <cfRule type="expression" dxfId="701" priority="356">
      <formula>AV14="X"</formula>
    </cfRule>
    <cfRule type="expression" dxfId="700" priority="357">
      <formula>AV14="후보"</formula>
    </cfRule>
  </conditionalFormatting>
  <conditionalFormatting sqref="AC14 N14">
    <cfRule type="cellIs" dxfId="699" priority="353" operator="greaterThan">
      <formula>0.9</formula>
    </cfRule>
    <cfRule type="cellIs" dxfId="698" priority="354" operator="greaterThan">
      <formula>0.85</formula>
    </cfRule>
  </conditionalFormatting>
  <conditionalFormatting sqref="AV15">
    <cfRule type="expression" dxfId="697" priority="351">
      <formula>AV15="X"</formula>
    </cfRule>
    <cfRule type="expression" dxfId="696" priority="352">
      <formula>AV15="후보"</formula>
    </cfRule>
  </conditionalFormatting>
  <conditionalFormatting sqref="AC15">
    <cfRule type="cellIs" dxfId="695" priority="348" operator="greaterThan">
      <formula>0.9</formula>
    </cfRule>
    <cfRule type="cellIs" dxfId="694" priority="349" operator="greaterThan">
      <formula>0.85</formula>
    </cfRule>
  </conditionalFormatting>
  <conditionalFormatting sqref="N15">
    <cfRule type="cellIs" dxfId="693" priority="346" operator="greaterThan">
      <formula>0.9</formula>
    </cfRule>
    <cfRule type="cellIs" dxfId="692" priority="347" operator="greaterThan">
      <formula>0.85</formula>
    </cfRule>
  </conditionalFormatting>
  <conditionalFormatting sqref="E15">
    <cfRule type="expression" dxfId="691" priority="342">
      <formula>AND(IF(OR($Q15=1,$Q15=2),1,0),IF($X15&lt;=20,1,0))</formula>
    </cfRule>
    <cfRule type="expression" dxfId="690" priority="343">
      <formula>AND(IF($Q15=2,1,0),IF($X15&lt;30,1,0))</formula>
    </cfRule>
    <cfRule type="expression" dxfId="689" priority="344">
      <formula>AND(IF($Q15=3,1,0),IF($X15&lt;30,1,0))</formula>
    </cfRule>
    <cfRule type="expression" dxfId="688" priority="345">
      <formula>AND(IF($Q15=3,1,IF($Q15=4,1,0)),IF($F15&lt;=85,1,0))</formula>
    </cfRule>
  </conditionalFormatting>
  <conditionalFormatting sqref="X15">
    <cfRule type="expression" dxfId="687" priority="338">
      <formula>AND(IF(OR($Q15=1,$Q15=2),1,0),IF($X15&lt;=20,1,0))</formula>
    </cfRule>
    <cfRule type="expression" dxfId="686" priority="339">
      <formula>AND(IF($Q15=2,1,0),IF($X15&lt;30,1,0))</formula>
    </cfRule>
    <cfRule type="expression" dxfId="685" priority="340">
      <formula>AND(IF($Q15=3,1,0),IF($X15&lt;30,1,0))</formula>
    </cfRule>
    <cfRule type="expression" dxfId="684" priority="341">
      <formula>AND(IF($Q15=3,1,IF($Q15=4,1,0)),IF($F15&lt;=85,1,0))</formula>
    </cfRule>
  </conditionalFormatting>
  <conditionalFormatting sqref="AI15">
    <cfRule type="expression" dxfId="683" priority="334">
      <formula>AND(IF(OR($Q15=1,$Q15=2),1,0),IF($X15&lt;=20,1,0))</formula>
    </cfRule>
    <cfRule type="expression" dxfId="682" priority="335">
      <formula>AND(IF($Q15=2,1,0),IF($X15&lt;30,1,0))</formula>
    </cfRule>
    <cfRule type="expression" dxfId="681" priority="336">
      <formula>AND(IF($Q15=3,1,0),IF($X15&lt;30,1,0))</formula>
    </cfRule>
    <cfRule type="expression" dxfId="680" priority="337">
      <formula>AND(IF($Q15=3,1,IF($Q15=4,1,0)),IF($F15&lt;=85,1,0))</formula>
    </cfRule>
  </conditionalFormatting>
  <conditionalFormatting sqref="AV16">
    <cfRule type="expression" dxfId="679" priority="332">
      <formula>AV16="X"</formula>
    </cfRule>
    <cfRule type="expression" dxfId="678" priority="333">
      <formula>AV16="후보"</formula>
    </cfRule>
  </conditionalFormatting>
  <conditionalFormatting sqref="AC16">
    <cfRule type="cellIs" dxfId="677" priority="329" operator="greaterThan">
      <formula>0.9</formula>
    </cfRule>
    <cfRule type="cellIs" dxfId="676" priority="330" operator="greaterThan">
      <formula>0.85</formula>
    </cfRule>
  </conditionalFormatting>
  <conditionalFormatting sqref="N16">
    <cfRule type="cellIs" dxfId="675" priority="327" operator="greaterThan">
      <formula>0.9</formula>
    </cfRule>
    <cfRule type="cellIs" dxfId="674" priority="328" operator="greaterThan">
      <formula>0.85</formula>
    </cfRule>
  </conditionalFormatting>
  <conditionalFormatting sqref="E16">
    <cfRule type="expression" dxfId="673" priority="323">
      <formula>AND(IF(OR($Q16=1,$Q16=2),1,0),IF($X16&lt;=20,1,0))</formula>
    </cfRule>
    <cfRule type="expression" dxfId="672" priority="324">
      <formula>AND(IF($Q16=2,1,0),IF($X16&lt;30,1,0))</formula>
    </cfRule>
    <cfRule type="expression" dxfId="671" priority="325">
      <formula>AND(IF($Q16=3,1,0),IF($X16&lt;30,1,0))</formula>
    </cfRule>
    <cfRule type="expression" dxfId="670" priority="326">
      <formula>AND(IF($Q16=3,1,IF($Q16=4,1,0)),IF($F16&lt;=85,1,0))</formula>
    </cfRule>
  </conditionalFormatting>
  <conditionalFormatting sqref="X16">
    <cfRule type="expression" dxfId="669" priority="319">
      <formula>AND(IF(OR($Q16=1,$Q16=2),1,0),IF($X16&lt;=20,1,0))</formula>
    </cfRule>
    <cfRule type="expression" dxfId="668" priority="320">
      <formula>AND(IF($Q16=2,1,0),IF($X16&lt;30,1,0))</formula>
    </cfRule>
    <cfRule type="expression" dxfId="667" priority="321">
      <formula>AND(IF($Q16=3,1,0),IF($X16&lt;30,1,0))</formula>
    </cfRule>
    <cfRule type="expression" dxfId="666" priority="322">
      <formula>AND(IF($Q16=3,1,IF($Q16=4,1,0)),IF($F16&lt;=85,1,0))</formula>
    </cfRule>
  </conditionalFormatting>
  <conditionalFormatting sqref="AI16">
    <cfRule type="expression" dxfId="665" priority="315">
      <formula>AND(IF(OR($Q16=1,$Q16=2),1,0),IF($X16&lt;=20,1,0))</formula>
    </cfRule>
    <cfRule type="expression" dxfId="664" priority="316">
      <formula>AND(IF($Q16=2,1,0),IF($X16&lt;30,1,0))</formula>
    </cfRule>
    <cfRule type="expression" dxfId="663" priority="317">
      <formula>AND(IF($Q16=3,1,0),IF($X16&lt;30,1,0))</formula>
    </cfRule>
    <cfRule type="expression" dxfId="662" priority="318">
      <formula>AND(IF($Q16=3,1,IF($Q16=4,1,0)),IF($F16&lt;=85,1,0))</formula>
    </cfRule>
  </conditionalFormatting>
  <conditionalFormatting sqref="AV17">
    <cfRule type="expression" dxfId="661" priority="313">
      <formula>AV17="X"</formula>
    </cfRule>
    <cfRule type="expression" dxfId="660" priority="314">
      <formula>AV17="후보"</formula>
    </cfRule>
  </conditionalFormatting>
  <conditionalFormatting sqref="AC17">
    <cfRule type="cellIs" dxfId="659" priority="310" operator="greaterThan">
      <formula>0.9</formula>
    </cfRule>
    <cfRule type="cellIs" dxfId="658" priority="311" operator="greaterThan">
      <formula>0.85</formula>
    </cfRule>
  </conditionalFormatting>
  <conditionalFormatting sqref="N17">
    <cfRule type="cellIs" dxfId="657" priority="308" operator="greaterThan">
      <formula>0.9</formula>
    </cfRule>
    <cfRule type="cellIs" dxfId="656" priority="309" operator="greaterThan">
      <formula>0.85</formula>
    </cfRule>
  </conditionalFormatting>
  <conditionalFormatting sqref="E17">
    <cfRule type="expression" dxfId="655" priority="304">
      <formula>AND(IF(OR($Q17=1,$Q17=2),1,0),IF($X17&lt;=20,1,0))</formula>
    </cfRule>
    <cfRule type="expression" dxfId="654" priority="305">
      <formula>AND(IF($Q17=2,1,0),IF($X17&lt;30,1,0))</formula>
    </cfRule>
    <cfRule type="expression" dxfId="653" priority="306">
      <formula>AND(IF($Q17=3,1,0),IF($X17&lt;30,1,0))</formula>
    </cfRule>
    <cfRule type="expression" dxfId="652" priority="307">
      <formula>AND(IF($Q17=3,1,IF($Q17=4,1,0)),IF($F17&lt;=85,1,0))</formula>
    </cfRule>
  </conditionalFormatting>
  <conditionalFormatting sqref="X17">
    <cfRule type="expression" dxfId="651" priority="300">
      <formula>AND(IF(OR($Q17=1,$Q17=2),1,0),IF($X17&lt;=20,1,0))</formula>
    </cfRule>
    <cfRule type="expression" dxfId="650" priority="301">
      <formula>AND(IF($Q17=2,1,0),IF($X17&lt;30,1,0))</formula>
    </cfRule>
    <cfRule type="expression" dxfId="649" priority="302">
      <formula>AND(IF($Q17=3,1,0),IF($X17&lt;30,1,0))</formula>
    </cfRule>
    <cfRule type="expression" dxfId="648" priority="303">
      <formula>AND(IF($Q17=3,1,IF($Q17=4,1,0)),IF($F17&lt;=85,1,0))</formula>
    </cfRule>
  </conditionalFormatting>
  <conditionalFormatting sqref="AI17">
    <cfRule type="expression" dxfId="647" priority="296">
      <formula>AND(IF(OR($Q17=1,$Q17=2),1,0),IF($X17&lt;=20,1,0))</formula>
    </cfRule>
    <cfRule type="expression" dxfId="646" priority="297">
      <formula>AND(IF($Q17=2,1,0),IF($X17&lt;30,1,0))</formula>
    </cfRule>
    <cfRule type="expression" dxfId="645" priority="298">
      <formula>AND(IF($Q17=3,1,0),IF($X17&lt;30,1,0))</formula>
    </cfRule>
    <cfRule type="expression" dxfId="644" priority="299">
      <formula>AND(IF($Q17=3,1,IF($Q17=4,1,0)),IF($F17&lt;=85,1,0))</formula>
    </cfRule>
  </conditionalFormatting>
  <conditionalFormatting sqref="AV18">
    <cfRule type="expression" dxfId="643" priority="294">
      <formula>AV18="X"</formula>
    </cfRule>
    <cfRule type="expression" dxfId="642" priority="295">
      <formula>AV18="후보"</formula>
    </cfRule>
  </conditionalFormatting>
  <conditionalFormatting sqref="AC18">
    <cfRule type="cellIs" dxfId="641" priority="291" operator="greaterThan">
      <formula>0.9</formula>
    </cfRule>
    <cfRule type="cellIs" dxfId="640" priority="292" operator="greaterThan">
      <formula>0.85</formula>
    </cfRule>
  </conditionalFormatting>
  <conditionalFormatting sqref="N18">
    <cfRule type="cellIs" dxfId="639" priority="289" operator="greaterThan">
      <formula>0.9</formula>
    </cfRule>
    <cfRule type="cellIs" dxfId="638" priority="290" operator="greaterThan">
      <formula>0.85</formula>
    </cfRule>
  </conditionalFormatting>
  <conditionalFormatting sqref="E18">
    <cfRule type="expression" dxfId="637" priority="285">
      <formula>AND(IF(OR($Q18=1,$Q18=2),1,0),IF($X18&lt;=20,1,0))</formula>
    </cfRule>
    <cfRule type="expression" dxfId="636" priority="286">
      <formula>AND(IF($Q18=2,1,0),IF($X18&lt;30,1,0))</formula>
    </cfRule>
    <cfRule type="expression" dxfId="635" priority="287">
      <formula>AND(IF($Q18=3,1,0),IF($X18&lt;30,1,0))</formula>
    </cfRule>
    <cfRule type="expression" dxfId="634" priority="288">
      <formula>AND(IF($Q18=3,1,IF($Q18=4,1,0)),IF($F18&lt;=85,1,0))</formula>
    </cfRule>
  </conditionalFormatting>
  <conditionalFormatting sqref="X18">
    <cfRule type="expression" dxfId="633" priority="281">
      <formula>AND(IF(OR($Q18=1,$Q18=2),1,0),IF($X18&lt;=20,1,0))</formula>
    </cfRule>
    <cfRule type="expression" dxfId="632" priority="282">
      <formula>AND(IF($Q18=2,1,0),IF($X18&lt;30,1,0))</formula>
    </cfRule>
    <cfRule type="expression" dxfId="631" priority="283">
      <formula>AND(IF($Q18=3,1,0),IF($X18&lt;30,1,0))</formula>
    </cfRule>
    <cfRule type="expression" dxfId="630" priority="284">
      <formula>AND(IF($Q18=3,1,IF($Q18=4,1,0)),IF($F18&lt;=85,1,0))</formula>
    </cfRule>
  </conditionalFormatting>
  <conditionalFormatting sqref="AI18">
    <cfRule type="expression" dxfId="629" priority="277">
      <formula>AND(IF(OR($Q18=1,$Q18=2),1,0),IF($X18&lt;=20,1,0))</formula>
    </cfRule>
    <cfRule type="expression" dxfId="628" priority="278">
      <formula>AND(IF($Q18=2,1,0),IF($X18&lt;30,1,0))</formula>
    </cfRule>
    <cfRule type="expression" dxfId="627" priority="279">
      <formula>AND(IF($Q18=3,1,0),IF($X18&lt;30,1,0))</formula>
    </cfRule>
    <cfRule type="expression" dxfId="626" priority="280">
      <formula>AND(IF($Q18=3,1,IF($Q18=4,1,0)),IF($F18&lt;=85,1,0))</formula>
    </cfRule>
  </conditionalFormatting>
  <conditionalFormatting sqref="AV19">
    <cfRule type="expression" dxfId="625" priority="275">
      <formula>AV19="X"</formula>
    </cfRule>
    <cfRule type="expression" dxfId="624" priority="276">
      <formula>AV19="후보"</formula>
    </cfRule>
  </conditionalFormatting>
  <conditionalFormatting sqref="AC19">
    <cfRule type="cellIs" dxfId="623" priority="272" operator="greaterThan">
      <formula>0.9</formula>
    </cfRule>
    <cfRule type="cellIs" dxfId="622" priority="273" operator="greaterThan">
      <formula>0.85</formula>
    </cfRule>
  </conditionalFormatting>
  <conditionalFormatting sqref="N19">
    <cfRule type="cellIs" dxfId="621" priority="270" operator="greaterThan">
      <formula>0.9</formula>
    </cfRule>
    <cfRule type="cellIs" dxfId="620" priority="271" operator="greaterThan">
      <formula>0.85</formula>
    </cfRule>
  </conditionalFormatting>
  <conditionalFormatting sqref="E19">
    <cfRule type="expression" dxfId="619" priority="266">
      <formula>AND(IF(OR($Q19=1,$Q19=2),1,0),IF($X19&lt;=20,1,0))</formula>
    </cfRule>
    <cfRule type="expression" dxfId="618" priority="267">
      <formula>AND(IF($Q19=2,1,0),IF($X19&lt;30,1,0))</formula>
    </cfRule>
    <cfRule type="expression" dxfId="617" priority="268">
      <formula>AND(IF($Q19=3,1,0),IF($X19&lt;30,1,0))</formula>
    </cfRule>
    <cfRule type="expression" dxfId="616" priority="269">
      <formula>AND(IF($Q19=3,1,IF($Q19=4,1,0)),IF($F19&lt;=85,1,0))</formula>
    </cfRule>
  </conditionalFormatting>
  <conditionalFormatting sqref="X19">
    <cfRule type="expression" dxfId="615" priority="262">
      <formula>AND(IF(OR($Q19=1,$Q19=2),1,0),IF($X19&lt;=20,1,0))</formula>
    </cfRule>
    <cfRule type="expression" dxfId="614" priority="263">
      <formula>AND(IF($Q19=2,1,0),IF($X19&lt;30,1,0))</formula>
    </cfRule>
    <cfRule type="expression" dxfId="613" priority="264">
      <formula>AND(IF($Q19=3,1,0),IF($X19&lt;30,1,0))</formula>
    </cfRule>
    <cfRule type="expression" dxfId="612" priority="265">
      <formula>AND(IF($Q19=3,1,IF($Q19=4,1,0)),IF($F19&lt;=85,1,0))</formula>
    </cfRule>
  </conditionalFormatting>
  <conditionalFormatting sqref="AI19">
    <cfRule type="expression" dxfId="611" priority="258">
      <formula>AND(IF(OR($Q19=1,$Q19=2),1,0),IF($X19&lt;=20,1,0))</formula>
    </cfRule>
    <cfRule type="expression" dxfId="610" priority="259">
      <formula>AND(IF($Q19=2,1,0),IF($X19&lt;30,1,0))</formula>
    </cfRule>
    <cfRule type="expression" dxfId="609" priority="260">
      <formula>AND(IF($Q19=3,1,0),IF($X19&lt;30,1,0))</formula>
    </cfRule>
    <cfRule type="expression" dxfId="608" priority="261">
      <formula>AND(IF($Q19=3,1,IF($Q19=4,1,0)),IF($F19&lt;=85,1,0))</formula>
    </cfRule>
  </conditionalFormatting>
  <conditionalFormatting sqref="AV20">
    <cfRule type="expression" dxfId="607" priority="256">
      <formula>AV20="X"</formula>
    </cfRule>
    <cfRule type="expression" dxfId="606" priority="257">
      <formula>AV20="후보"</formula>
    </cfRule>
  </conditionalFormatting>
  <conditionalFormatting sqref="AC20">
    <cfRule type="cellIs" dxfId="605" priority="253" operator="greaterThan">
      <formula>0.9</formula>
    </cfRule>
    <cfRule type="cellIs" dxfId="604" priority="254" operator="greaterThan">
      <formula>0.85</formula>
    </cfRule>
  </conditionalFormatting>
  <conditionalFormatting sqref="N20">
    <cfRule type="cellIs" dxfId="603" priority="251" operator="greaterThan">
      <formula>0.9</formula>
    </cfRule>
    <cfRule type="cellIs" dxfId="602" priority="252" operator="greaterThan">
      <formula>0.85</formula>
    </cfRule>
  </conditionalFormatting>
  <conditionalFormatting sqref="E20">
    <cfRule type="expression" dxfId="601" priority="247">
      <formula>AND(IF(OR($Q20=1,$Q20=2),1,0),IF($X20&lt;=20,1,0))</formula>
    </cfRule>
    <cfRule type="expression" dxfId="600" priority="248">
      <formula>AND(IF($Q20=2,1,0),IF($X20&lt;30,1,0))</formula>
    </cfRule>
    <cfRule type="expression" dxfId="599" priority="249">
      <formula>AND(IF($Q20=3,1,0),IF($X20&lt;30,1,0))</formula>
    </cfRule>
    <cfRule type="expression" dxfId="598" priority="250">
      <formula>AND(IF($Q20=3,1,IF($Q20=4,1,0)),IF($F20&lt;=85,1,0))</formula>
    </cfRule>
  </conditionalFormatting>
  <conditionalFormatting sqref="X20">
    <cfRule type="expression" dxfId="597" priority="243">
      <formula>AND(IF(OR($Q20=1,$Q20=2),1,0),IF($X20&lt;=20,1,0))</formula>
    </cfRule>
    <cfRule type="expression" dxfId="596" priority="244">
      <formula>AND(IF($Q20=2,1,0),IF($X20&lt;30,1,0))</formula>
    </cfRule>
    <cfRule type="expression" dxfId="595" priority="245">
      <formula>AND(IF($Q20=3,1,0),IF($X20&lt;30,1,0))</formula>
    </cfRule>
    <cfRule type="expression" dxfId="594" priority="246">
      <formula>AND(IF($Q20=3,1,IF($Q20=4,1,0)),IF($F20&lt;=85,1,0))</formula>
    </cfRule>
  </conditionalFormatting>
  <conditionalFormatting sqref="AI20">
    <cfRule type="expression" dxfId="593" priority="239">
      <formula>AND(IF(OR($Q20=1,$Q20=2),1,0),IF($X20&lt;=20,1,0))</formula>
    </cfRule>
    <cfRule type="expression" dxfId="592" priority="240">
      <formula>AND(IF($Q20=2,1,0),IF($X20&lt;30,1,0))</formula>
    </cfRule>
    <cfRule type="expression" dxfId="591" priority="241">
      <formula>AND(IF($Q20=3,1,0),IF($X20&lt;30,1,0))</formula>
    </cfRule>
    <cfRule type="expression" dxfId="590" priority="242">
      <formula>AND(IF($Q20=3,1,IF($Q20=4,1,0)),IF($F20&lt;=85,1,0))</formula>
    </cfRule>
  </conditionalFormatting>
  <conditionalFormatting sqref="AV21">
    <cfRule type="expression" dxfId="589" priority="237">
      <formula>AV21="X"</formula>
    </cfRule>
    <cfRule type="expression" dxfId="588" priority="238">
      <formula>AV21="후보"</formula>
    </cfRule>
  </conditionalFormatting>
  <conditionalFormatting sqref="AC21">
    <cfRule type="cellIs" dxfId="587" priority="234" operator="greaterThan">
      <formula>0.9</formula>
    </cfRule>
    <cfRule type="cellIs" dxfId="586" priority="235" operator="greaterThan">
      <formula>0.85</formula>
    </cfRule>
  </conditionalFormatting>
  <conditionalFormatting sqref="N21">
    <cfRule type="cellIs" dxfId="585" priority="232" operator="greaterThan">
      <formula>0.9</formula>
    </cfRule>
    <cfRule type="cellIs" dxfId="584" priority="233" operator="greaterThan">
      <formula>0.85</formula>
    </cfRule>
  </conditionalFormatting>
  <conditionalFormatting sqref="E21">
    <cfRule type="expression" dxfId="583" priority="228">
      <formula>AND(IF(OR($Q21=1,$Q21=2),1,0),IF($X21&lt;=20,1,0))</formula>
    </cfRule>
    <cfRule type="expression" dxfId="582" priority="229">
      <formula>AND(IF($Q21=2,1,0),IF($X21&lt;30,1,0))</formula>
    </cfRule>
    <cfRule type="expression" dxfId="581" priority="230">
      <formula>AND(IF($Q21=3,1,0),IF($X21&lt;30,1,0))</formula>
    </cfRule>
    <cfRule type="expression" dxfId="580" priority="231">
      <formula>AND(IF($Q21=3,1,IF($Q21=4,1,0)),IF($F21&lt;=85,1,0))</formula>
    </cfRule>
  </conditionalFormatting>
  <conditionalFormatting sqref="X21">
    <cfRule type="expression" dxfId="579" priority="224">
      <formula>AND(IF(OR($Q21=1,$Q21=2),1,0),IF($X21&lt;=20,1,0))</formula>
    </cfRule>
    <cfRule type="expression" dxfId="578" priority="225">
      <formula>AND(IF($Q21=2,1,0),IF($X21&lt;30,1,0))</formula>
    </cfRule>
    <cfRule type="expression" dxfId="577" priority="226">
      <formula>AND(IF($Q21=3,1,0),IF($X21&lt;30,1,0))</formula>
    </cfRule>
    <cfRule type="expression" dxfId="576" priority="227">
      <formula>AND(IF($Q21=3,1,IF($Q21=4,1,0)),IF($F21&lt;=85,1,0))</formula>
    </cfRule>
  </conditionalFormatting>
  <conditionalFormatting sqref="AI21">
    <cfRule type="expression" dxfId="575" priority="220">
      <formula>AND(IF(OR($Q21=1,$Q21=2),1,0),IF($X21&lt;=20,1,0))</formula>
    </cfRule>
    <cfRule type="expression" dxfId="574" priority="221">
      <formula>AND(IF($Q21=2,1,0),IF($X21&lt;30,1,0))</formula>
    </cfRule>
    <cfRule type="expression" dxfId="573" priority="222">
      <formula>AND(IF($Q21=3,1,0),IF($X21&lt;30,1,0))</formula>
    </cfRule>
    <cfRule type="expression" dxfId="572" priority="223">
      <formula>AND(IF($Q21=3,1,IF($Q21=4,1,0)),IF($F21&lt;=85,1,0))</formula>
    </cfRule>
  </conditionalFormatting>
  <conditionalFormatting sqref="AV22">
    <cfRule type="expression" dxfId="571" priority="218">
      <formula>AV22="X"</formula>
    </cfRule>
    <cfRule type="expression" dxfId="570" priority="219">
      <formula>AV22="후보"</formula>
    </cfRule>
  </conditionalFormatting>
  <conditionalFormatting sqref="AC22">
    <cfRule type="cellIs" dxfId="569" priority="215" operator="greaterThan">
      <formula>0.9</formula>
    </cfRule>
    <cfRule type="cellIs" dxfId="568" priority="216" operator="greaterThan">
      <formula>0.85</formula>
    </cfRule>
  </conditionalFormatting>
  <conditionalFormatting sqref="N22">
    <cfRule type="cellIs" dxfId="567" priority="213" operator="greaterThan">
      <formula>0.9</formula>
    </cfRule>
    <cfRule type="cellIs" dxfId="566" priority="214" operator="greaterThan">
      <formula>0.85</formula>
    </cfRule>
  </conditionalFormatting>
  <conditionalFormatting sqref="E22">
    <cfRule type="expression" dxfId="565" priority="209">
      <formula>AND(IF(OR($Q22=1,$Q22=2),1,0),IF($X22&lt;=20,1,0))</formula>
    </cfRule>
    <cfRule type="expression" dxfId="564" priority="210">
      <formula>AND(IF($Q22=2,1,0),IF($X22&lt;30,1,0))</formula>
    </cfRule>
    <cfRule type="expression" dxfId="563" priority="211">
      <formula>AND(IF($Q22=3,1,0),IF($X22&lt;30,1,0))</formula>
    </cfRule>
    <cfRule type="expression" dxfId="562" priority="212">
      <formula>AND(IF($Q22=3,1,IF($Q22=4,1,0)),IF($F22&lt;=85,1,0))</formula>
    </cfRule>
  </conditionalFormatting>
  <conditionalFormatting sqref="X22">
    <cfRule type="expression" dxfId="561" priority="205">
      <formula>AND(IF(OR($Q22=1,$Q22=2),1,0),IF($X22&lt;=20,1,0))</formula>
    </cfRule>
    <cfRule type="expression" dxfId="560" priority="206">
      <formula>AND(IF($Q22=2,1,0),IF($X22&lt;30,1,0))</formula>
    </cfRule>
    <cfRule type="expression" dxfId="559" priority="207">
      <formula>AND(IF($Q22=3,1,0),IF($X22&lt;30,1,0))</formula>
    </cfRule>
    <cfRule type="expression" dxfId="558" priority="208">
      <formula>AND(IF($Q22=3,1,IF($Q22=4,1,0)),IF($F22&lt;=85,1,0))</formula>
    </cfRule>
  </conditionalFormatting>
  <conditionalFormatting sqref="AI22">
    <cfRule type="expression" dxfId="557" priority="201">
      <formula>AND(IF(OR($Q22=1,$Q22=2),1,0),IF($X22&lt;=20,1,0))</formula>
    </cfRule>
    <cfRule type="expression" dxfId="556" priority="202">
      <formula>AND(IF($Q22=2,1,0),IF($X22&lt;30,1,0))</formula>
    </cfRule>
    <cfRule type="expression" dxfId="555" priority="203">
      <formula>AND(IF($Q22=3,1,0),IF($X22&lt;30,1,0))</formula>
    </cfRule>
    <cfRule type="expression" dxfId="554" priority="204">
      <formula>AND(IF($Q22=3,1,IF($Q22=4,1,0)),IF($F22&lt;=85,1,0))</formula>
    </cfRule>
  </conditionalFormatting>
  <conditionalFormatting sqref="AV23">
    <cfRule type="expression" dxfId="553" priority="199">
      <formula>AV23="X"</formula>
    </cfRule>
    <cfRule type="expression" dxfId="552" priority="200">
      <formula>AV23="후보"</formula>
    </cfRule>
  </conditionalFormatting>
  <conditionalFormatting sqref="AC23 N23">
    <cfRule type="cellIs" dxfId="551" priority="196" operator="greaterThan">
      <formula>0.9</formula>
    </cfRule>
    <cfRule type="cellIs" dxfId="550" priority="197" operator="greaterThan">
      <formula>0.85</formula>
    </cfRule>
  </conditionalFormatting>
  <conditionalFormatting sqref="AV24">
    <cfRule type="expression" dxfId="549" priority="194">
      <formula>AV24="X"</formula>
    </cfRule>
    <cfRule type="expression" dxfId="548" priority="195">
      <formula>AV24="후보"</formula>
    </cfRule>
  </conditionalFormatting>
  <conditionalFormatting sqref="AC24">
    <cfRule type="cellIs" dxfId="547" priority="191" operator="greaterThan">
      <formula>0.9</formula>
    </cfRule>
    <cfRule type="cellIs" dxfId="546" priority="192" operator="greaterThan">
      <formula>0.85</formula>
    </cfRule>
  </conditionalFormatting>
  <conditionalFormatting sqref="N24">
    <cfRule type="cellIs" dxfId="545" priority="189" operator="greaterThan">
      <formula>0.9</formula>
    </cfRule>
    <cfRule type="cellIs" dxfId="544" priority="190" operator="greaterThan">
      <formula>0.85</formula>
    </cfRule>
  </conditionalFormatting>
  <conditionalFormatting sqref="E24">
    <cfRule type="expression" dxfId="543" priority="185">
      <formula>AND(IF(OR($Q24=1,$Q24=2),1,0),IF($X24&lt;=20,1,0))</formula>
    </cfRule>
    <cfRule type="expression" dxfId="542" priority="186">
      <formula>AND(IF($Q24=2,1,0),IF($X24&lt;30,1,0))</formula>
    </cfRule>
    <cfRule type="expression" dxfId="541" priority="187">
      <formula>AND(IF($Q24=3,1,0),IF($X24&lt;30,1,0))</formula>
    </cfRule>
    <cfRule type="expression" dxfId="540" priority="188">
      <formula>AND(IF($Q24=3,1,IF($Q24=4,1,0)),IF($F24&lt;=85,1,0))</formula>
    </cfRule>
  </conditionalFormatting>
  <conditionalFormatting sqref="X24">
    <cfRule type="expression" dxfId="539" priority="181">
      <formula>AND(IF(OR($Q24=1,$Q24=2),1,0),IF($X24&lt;=20,1,0))</formula>
    </cfRule>
    <cfRule type="expression" dxfId="538" priority="182">
      <formula>AND(IF($Q24=2,1,0),IF($X24&lt;30,1,0))</formula>
    </cfRule>
    <cfRule type="expression" dxfId="537" priority="183">
      <formula>AND(IF($Q24=3,1,0),IF($X24&lt;30,1,0))</formula>
    </cfRule>
    <cfRule type="expression" dxfId="536" priority="184">
      <formula>AND(IF($Q24=3,1,IF($Q24=4,1,0)),IF($F24&lt;=85,1,0))</formula>
    </cfRule>
  </conditionalFormatting>
  <conditionalFormatting sqref="AI24">
    <cfRule type="expression" dxfId="535" priority="177">
      <formula>AND(IF(OR($Q24=1,$Q24=2),1,0),IF($X24&lt;=20,1,0))</formula>
    </cfRule>
    <cfRule type="expression" dxfId="534" priority="178">
      <formula>AND(IF($Q24=2,1,0),IF($X24&lt;30,1,0))</formula>
    </cfRule>
    <cfRule type="expression" dxfId="533" priority="179">
      <formula>AND(IF($Q24=3,1,0),IF($X24&lt;30,1,0))</formula>
    </cfRule>
    <cfRule type="expression" dxfId="532" priority="180">
      <formula>AND(IF($Q24=3,1,IF($Q24=4,1,0)),IF($F24&lt;=85,1,0))</formula>
    </cfRule>
  </conditionalFormatting>
  <conditionalFormatting sqref="AV25">
    <cfRule type="expression" dxfId="531" priority="175">
      <formula>AV25="X"</formula>
    </cfRule>
    <cfRule type="expression" dxfId="530" priority="176">
      <formula>AV25="후보"</formula>
    </cfRule>
  </conditionalFormatting>
  <conditionalFormatting sqref="AC25">
    <cfRule type="cellIs" dxfId="529" priority="172" operator="greaterThan">
      <formula>0.9</formula>
    </cfRule>
    <cfRule type="cellIs" dxfId="528" priority="173" operator="greaterThan">
      <formula>0.85</formula>
    </cfRule>
  </conditionalFormatting>
  <conditionalFormatting sqref="N25">
    <cfRule type="cellIs" dxfId="527" priority="170" operator="greaterThan">
      <formula>0.9</formula>
    </cfRule>
    <cfRule type="cellIs" dxfId="526" priority="171" operator="greaterThan">
      <formula>0.85</formula>
    </cfRule>
  </conditionalFormatting>
  <conditionalFormatting sqref="E25">
    <cfRule type="expression" dxfId="525" priority="166">
      <formula>AND(IF(OR($Q25=1,$Q25=2),1,0),IF($X25&lt;=20,1,0))</formula>
    </cfRule>
    <cfRule type="expression" dxfId="524" priority="167">
      <formula>AND(IF($Q25=2,1,0),IF($X25&lt;30,1,0))</formula>
    </cfRule>
    <cfRule type="expression" dxfId="523" priority="168">
      <formula>AND(IF($Q25=3,1,0),IF($X25&lt;30,1,0))</formula>
    </cfRule>
    <cfRule type="expression" dxfId="522" priority="169">
      <formula>AND(IF($Q25=3,1,IF($Q25=4,1,0)),IF($F25&lt;=85,1,0))</formula>
    </cfRule>
  </conditionalFormatting>
  <conditionalFormatting sqref="X25">
    <cfRule type="expression" dxfId="521" priority="162">
      <formula>AND(IF(OR($Q25=1,$Q25=2),1,0),IF($X25&lt;=20,1,0))</formula>
    </cfRule>
    <cfRule type="expression" dxfId="520" priority="163">
      <formula>AND(IF($Q25=2,1,0),IF($X25&lt;30,1,0))</formula>
    </cfRule>
    <cfRule type="expression" dxfId="519" priority="164">
      <formula>AND(IF($Q25=3,1,0),IF($X25&lt;30,1,0))</formula>
    </cfRule>
    <cfRule type="expression" dxfId="518" priority="165">
      <formula>AND(IF($Q25=3,1,IF($Q25=4,1,0)),IF($F25&lt;=85,1,0))</formula>
    </cfRule>
  </conditionalFormatting>
  <conditionalFormatting sqref="AI25">
    <cfRule type="expression" dxfId="517" priority="158">
      <formula>AND(IF(OR($Q25=1,$Q25=2),1,0),IF($X25&lt;=20,1,0))</formula>
    </cfRule>
    <cfRule type="expression" dxfId="516" priority="159">
      <formula>AND(IF($Q25=2,1,0),IF($X25&lt;30,1,0))</formula>
    </cfRule>
    <cfRule type="expression" dxfId="515" priority="160">
      <formula>AND(IF($Q25=3,1,0),IF($X25&lt;30,1,0))</formula>
    </cfRule>
    <cfRule type="expression" dxfId="514" priority="161">
      <formula>AND(IF($Q25=3,1,IF($Q25=4,1,0)),IF($F25&lt;=85,1,0))</formula>
    </cfRule>
  </conditionalFormatting>
  <conditionalFormatting sqref="AV26">
    <cfRule type="expression" dxfId="513" priority="156">
      <formula>AV26="X"</formula>
    </cfRule>
    <cfRule type="expression" dxfId="512" priority="157">
      <formula>AV26="후보"</formula>
    </cfRule>
  </conditionalFormatting>
  <conditionalFormatting sqref="AC26">
    <cfRule type="cellIs" dxfId="511" priority="153" operator="greaterThan">
      <formula>0.9</formula>
    </cfRule>
    <cfRule type="cellIs" dxfId="510" priority="154" operator="greaterThan">
      <formula>0.85</formula>
    </cfRule>
  </conditionalFormatting>
  <conditionalFormatting sqref="N26">
    <cfRule type="cellIs" dxfId="509" priority="151" operator="greaterThan">
      <formula>0.9</formula>
    </cfRule>
    <cfRule type="cellIs" dxfId="508" priority="152" operator="greaterThan">
      <formula>0.85</formula>
    </cfRule>
  </conditionalFormatting>
  <conditionalFormatting sqref="E26">
    <cfRule type="expression" dxfId="507" priority="147">
      <formula>AND(IF(OR($Q26=1,$Q26=2),1,0),IF($X26&lt;=20,1,0))</formula>
    </cfRule>
    <cfRule type="expression" dxfId="506" priority="148">
      <formula>AND(IF($Q26=2,1,0),IF($X26&lt;30,1,0))</formula>
    </cfRule>
    <cfRule type="expression" dxfId="505" priority="149">
      <formula>AND(IF($Q26=3,1,0),IF($X26&lt;30,1,0))</formula>
    </cfRule>
    <cfRule type="expression" dxfId="504" priority="150">
      <formula>AND(IF($Q26=3,1,IF($Q26=4,1,0)),IF($F26&lt;=85,1,0))</formula>
    </cfRule>
  </conditionalFormatting>
  <conditionalFormatting sqref="X26">
    <cfRule type="expression" dxfId="503" priority="143">
      <formula>AND(IF(OR($Q26=1,$Q26=2),1,0),IF($X26&lt;=20,1,0))</formula>
    </cfRule>
    <cfRule type="expression" dxfId="502" priority="144">
      <formula>AND(IF($Q26=2,1,0),IF($X26&lt;30,1,0))</formula>
    </cfRule>
    <cfRule type="expression" dxfId="501" priority="145">
      <formula>AND(IF($Q26=3,1,0),IF($X26&lt;30,1,0))</formula>
    </cfRule>
    <cfRule type="expression" dxfId="500" priority="146">
      <formula>AND(IF($Q26=3,1,IF($Q26=4,1,0)),IF($F26&lt;=85,1,0))</formula>
    </cfRule>
  </conditionalFormatting>
  <conditionalFormatting sqref="AI26">
    <cfRule type="expression" dxfId="499" priority="139">
      <formula>AND(IF(OR($Q26=1,$Q26=2),1,0),IF($X26&lt;=20,1,0))</formula>
    </cfRule>
    <cfRule type="expression" dxfId="498" priority="140">
      <formula>AND(IF($Q26=2,1,0),IF($X26&lt;30,1,0))</formula>
    </cfRule>
    <cfRule type="expression" dxfId="497" priority="141">
      <formula>AND(IF($Q26=3,1,0),IF($X26&lt;30,1,0))</formula>
    </cfRule>
    <cfRule type="expression" dxfId="496" priority="142">
      <formula>AND(IF($Q26=3,1,IF($Q26=4,1,0)),IF($F26&lt;=85,1,0))</formula>
    </cfRule>
  </conditionalFormatting>
  <conditionalFormatting sqref="AV27">
    <cfRule type="expression" dxfId="495" priority="137">
      <formula>AV27="X"</formula>
    </cfRule>
    <cfRule type="expression" dxfId="494" priority="138">
      <formula>AV27="후보"</formula>
    </cfRule>
  </conditionalFormatting>
  <conditionalFormatting sqref="AC27">
    <cfRule type="cellIs" dxfId="493" priority="134" operator="greaterThan">
      <formula>0.9</formula>
    </cfRule>
    <cfRule type="cellIs" dxfId="492" priority="135" operator="greaterThan">
      <formula>0.85</formula>
    </cfRule>
  </conditionalFormatting>
  <conditionalFormatting sqref="N27">
    <cfRule type="cellIs" dxfId="491" priority="132" operator="greaterThan">
      <formula>0.9</formula>
    </cfRule>
    <cfRule type="cellIs" dxfId="490" priority="133" operator="greaterThan">
      <formula>0.85</formula>
    </cfRule>
  </conditionalFormatting>
  <conditionalFormatting sqref="E27">
    <cfRule type="expression" dxfId="489" priority="128">
      <formula>AND(IF(OR($Q27=1,$Q27=2),1,0),IF($X27&lt;=20,1,0))</formula>
    </cfRule>
    <cfRule type="expression" dxfId="488" priority="129">
      <formula>AND(IF($Q27=2,1,0),IF($X27&lt;30,1,0))</formula>
    </cfRule>
    <cfRule type="expression" dxfId="487" priority="130">
      <formula>AND(IF($Q27=3,1,0),IF($X27&lt;30,1,0))</formula>
    </cfRule>
    <cfRule type="expression" dxfId="486" priority="131">
      <formula>AND(IF($Q27=3,1,IF($Q27=4,1,0)),IF($F27&lt;=85,1,0))</formula>
    </cfRule>
  </conditionalFormatting>
  <conditionalFormatting sqref="X27">
    <cfRule type="expression" dxfId="485" priority="124">
      <formula>AND(IF(OR($Q27=1,$Q27=2),1,0),IF($X27&lt;=20,1,0))</formula>
    </cfRule>
    <cfRule type="expression" dxfId="484" priority="125">
      <formula>AND(IF($Q27=2,1,0),IF($X27&lt;30,1,0))</formula>
    </cfRule>
    <cfRule type="expression" dxfId="483" priority="126">
      <formula>AND(IF($Q27=3,1,0),IF($X27&lt;30,1,0))</formula>
    </cfRule>
    <cfRule type="expression" dxfId="482" priority="127">
      <formula>AND(IF($Q27=3,1,IF($Q27=4,1,0)),IF($F27&lt;=85,1,0))</formula>
    </cfRule>
  </conditionalFormatting>
  <conditionalFormatting sqref="AI27">
    <cfRule type="expression" dxfId="481" priority="120">
      <formula>AND(IF(OR($Q27=1,$Q27=2),1,0),IF($X27&lt;=20,1,0))</formula>
    </cfRule>
    <cfRule type="expression" dxfId="480" priority="121">
      <formula>AND(IF($Q27=2,1,0),IF($X27&lt;30,1,0))</formula>
    </cfRule>
    <cfRule type="expression" dxfId="479" priority="122">
      <formula>AND(IF($Q27=3,1,0),IF($X27&lt;30,1,0))</formula>
    </cfRule>
    <cfRule type="expression" dxfId="478" priority="123">
      <formula>AND(IF($Q27=3,1,IF($Q27=4,1,0)),IF($F27&lt;=85,1,0))</formula>
    </cfRule>
  </conditionalFormatting>
  <conditionalFormatting sqref="AV28">
    <cfRule type="expression" dxfId="477" priority="118">
      <formula>AV28="X"</formula>
    </cfRule>
    <cfRule type="expression" dxfId="476" priority="119">
      <formula>AV28="후보"</formula>
    </cfRule>
  </conditionalFormatting>
  <conditionalFormatting sqref="AC28">
    <cfRule type="cellIs" dxfId="475" priority="115" operator="greaterThan">
      <formula>0.9</formula>
    </cfRule>
    <cfRule type="cellIs" dxfId="474" priority="116" operator="greaterThan">
      <formula>0.85</formula>
    </cfRule>
  </conditionalFormatting>
  <conditionalFormatting sqref="N28">
    <cfRule type="cellIs" dxfId="473" priority="113" operator="greaterThan">
      <formula>0.9</formula>
    </cfRule>
    <cfRule type="cellIs" dxfId="472" priority="114" operator="greaterThan">
      <formula>0.85</formula>
    </cfRule>
  </conditionalFormatting>
  <conditionalFormatting sqref="E28">
    <cfRule type="expression" dxfId="471" priority="109">
      <formula>AND(IF(OR($Q28=1,$Q28=2),1,0),IF($X28&lt;=20,1,0))</formula>
    </cfRule>
    <cfRule type="expression" dxfId="470" priority="110">
      <formula>AND(IF($Q28=2,1,0),IF($X28&lt;30,1,0))</formula>
    </cfRule>
    <cfRule type="expression" dxfId="469" priority="111">
      <formula>AND(IF($Q28=3,1,0),IF($X28&lt;30,1,0))</formula>
    </cfRule>
    <cfRule type="expression" dxfId="468" priority="112">
      <formula>AND(IF($Q28=3,1,IF($Q28=4,1,0)),IF($F28&lt;=85,1,0))</formula>
    </cfRule>
  </conditionalFormatting>
  <conditionalFormatting sqref="X28">
    <cfRule type="expression" dxfId="467" priority="105">
      <formula>AND(IF(OR($Q28=1,$Q28=2),1,0),IF($X28&lt;=20,1,0))</formula>
    </cfRule>
    <cfRule type="expression" dxfId="466" priority="106">
      <formula>AND(IF($Q28=2,1,0),IF($X28&lt;30,1,0))</formula>
    </cfRule>
    <cfRule type="expression" dxfId="465" priority="107">
      <formula>AND(IF($Q28=3,1,0),IF($X28&lt;30,1,0))</formula>
    </cfRule>
    <cfRule type="expression" dxfId="464" priority="108">
      <formula>AND(IF($Q28=3,1,IF($Q28=4,1,0)),IF($F28&lt;=85,1,0))</formula>
    </cfRule>
  </conditionalFormatting>
  <conditionalFormatting sqref="AI28">
    <cfRule type="expression" dxfId="463" priority="101">
      <formula>AND(IF(OR($Q28=1,$Q28=2),1,0),IF($X28&lt;=20,1,0))</formula>
    </cfRule>
    <cfRule type="expression" dxfId="462" priority="102">
      <formula>AND(IF($Q28=2,1,0),IF($X28&lt;30,1,0))</formula>
    </cfRule>
    <cfRule type="expression" dxfId="461" priority="103">
      <formula>AND(IF($Q28=3,1,0),IF($X28&lt;30,1,0))</formula>
    </cfRule>
    <cfRule type="expression" dxfId="460" priority="104">
      <formula>AND(IF($Q28=3,1,IF($Q28=4,1,0)),IF($F28&lt;=85,1,0))</formula>
    </cfRule>
  </conditionalFormatting>
  <conditionalFormatting sqref="AV29">
    <cfRule type="expression" dxfId="459" priority="99">
      <formula>AV29="X"</formula>
    </cfRule>
    <cfRule type="expression" dxfId="458" priority="100">
      <formula>AV29="후보"</formula>
    </cfRule>
  </conditionalFormatting>
  <conditionalFormatting sqref="AC29 N29">
    <cfRule type="cellIs" dxfId="457" priority="96" operator="greaterThan">
      <formula>0.9</formula>
    </cfRule>
    <cfRule type="cellIs" dxfId="456" priority="97" operator="greaterThan">
      <formula>0.85</formula>
    </cfRule>
  </conditionalFormatting>
  <conditionalFormatting sqref="AV30">
    <cfRule type="expression" dxfId="455" priority="94">
      <formula>AV30="X"</formula>
    </cfRule>
    <cfRule type="expression" dxfId="454" priority="95">
      <formula>AV30="후보"</formula>
    </cfRule>
  </conditionalFormatting>
  <conditionalFormatting sqref="AC30">
    <cfRule type="cellIs" dxfId="453" priority="91" operator="greaterThan">
      <formula>0.9</formula>
    </cfRule>
    <cfRule type="cellIs" dxfId="452" priority="92" operator="greaterThan">
      <formula>0.85</formula>
    </cfRule>
  </conditionalFormatting>
  <conditionalFormatting sqref="N30">
    <cfRule type="cellIs" dxfId="451" priority="89" operator="greaterThan">
      <formula>0.9</formula>
    </cfRule>
    <cfRule type="cellIs" dxfId="450" priority="90" operator="greaterThan">
      <formula>0.85</formula>
    </cfRule>
  </conditionalFormatting>
  <conditionalFormatting sqref="E30">
    <cfRule type="expression" dxfId="449" priority="85">
      <formula>AND(IF(OR($Q30=1,$Q30=2),1,0),IF($X30&lt;=20,1,0))</formula>
    </cfRule>
    <cfRule type="expression" dxfId="448" priority="86">
      <formula>AND(IF($Q30=2,1,0),IF($X30&lt;30,1,0))</formula>
    </cfRule>
    <cfRule type="expression" dxfId="447" priority="87">
      <formula>AND(IF($Q30=3,1,0),IF($X30&lt;30,1,0))</formula>
    </cfRule>
    <cfRule type="expression" dxfId="446" priority="88">
      <formula>AND(IF($Q30=3,1,IF($Q30=4,1,0)),IF($F30&lt;=85,1,0))</formula>
    </cfRule>
  </conditionalFormatting>
  <conditionalFormatting sqref="X30">
    <cfRule type="expression" dxfId="445" priority="81">
      <formula>AND(IF(OR($Q30=1,$Q30=2),1,0),IF($X30&lt;=20,1,0))</formula>
    </cfRule>
    <cfRule type="expression" dxfId="444" priority="82">
      <formula>AND(IF($Q30=2,1,0),IF($X30&lt;30,1,0))</formula>
    </cfRule>
    <cfRule type="expression" dxfId="443" priority="83">
      <formula>AND(IF($Q30=3,1,0),IF($X30&lt;30,1,0))</formula>
    </cfRule>
    <cfRule type="expression" dxfId="442" priority="84">
      <formula>AND(IF($Q30=3,1,IF($Q30=4,1,0)),IF($F30&lt;=85,1,0))</formula>
    </cfRule>
  </conditionalFormatting>
  <conditionalFormatting sqref="AI30">
    <cfRule type="expression" dxfId="441" priority="77">
      <formula>AND(IF(OR($Q30=1,$Q30=2),1,0),IF($X30&lt;=20,1,0))</formula>
    </cfRule>
    <cfRule type="expression" dxfId="440" priority="78">
      <formula>AND(IF($Q30=2,1,0),IF($X30&lt;30,1,0))</formula>
    </cfRule>
    <cfRule type="expression" dxfId="439" priority="79">
      <formula>AND(IF($Q30=3,1,0),IF($X30&lt;30,1,0))</formula>
    </cfRule>
    <cfRule type="expression" dxfId="438" priority="80">
      <formula>AND(IF($Q30=3,1,IF($Q30=4,1,0)),IF($F30&lt;=85,1,0))</formula>
    </cfRule>
  </conditionalFormatting>
  <conditionalFormatting sqref="AV31">
    <cfRule type="expression" dxfId="437" priority="75">
      <formula>AV31="X"</formula>
    </cfRule>
    <cfRule type="expression" dxfId="436" priority="76">
      <formula>AV31="후보"</formula>
    </cfRule>
  </conditionalFormatting>
  <conditionalFormatting sqref="AC31">
    <cfRule type="cellIs" dxfId="435" priority="72" operator="greaterThan">
      <formula>0.9</formula>
    </cfRule>
    <cfRule type="cellIs" dxfId="434" priority="73" operator="greaterThan">
      <formula>0.85</formula>
    </cfRule>
  </conditionalFormatting>
  <conditionalFormatting sqref="N31">
    <cfRule type="cellIs" dxfId="433" priority="70" operator="greaterThan">
      <formula>0.9</formula>
    </cfRule>
    <cfRule type="cellIs" dxfId="432" priority="71" operator="greaterThan">
      <formula>0.85</formula>
    </cfRule>
  </conditionalFormatting>
  <conditionalFormatting sqref="E31">
    <cfRule type="expression" dxfId="431" priority="66">
      <formula>AND(IF(OR($Q31=1,$Q31=2),1,0),IF($X31&lt;=20,1,0))</formula>
    </cfRule>
    <cfRule type="expression" dxfId="430" priority="67">
      <formula>AND(IF($Q31=2,1,0),IF($X31&lt;30,1,0))</formula>
    </cfRule>
    <cfRule type="expression" dxfId="429" priority="68">
      <formula>AND(IF($Q31=3,1,0),IF($X31&lt;30,1,0))</formula>
    </cfRule>
    <cfRule type="expression" dxfId="428" priority="69">
      <formula>AND(IF($Q31=3,1,IF($Q31=4,1,0)),IF($F31&lt;=85,1,0))</formula>
    </cfRule>
  </conditionalFormatting>
  <conditionalFormatting sqref="X31">
    <cfRule type="expression" dxfId="427" priority="62">
      <formula>AND(IF(OR($Q31=1,$Q31=2),1,0),IF($X31&lt;=20,1,0))</formula>
    </cfRule>
    <cfRule type="expression" dxfId="426" priority="63">
      <formula>AND(IF($Q31=2,1,0),IF($X31&lt;30,1,0))</formula>
    </cfRule>
    <cfRule type="expression" dxfId="425" priority="64">
      <formula>AND(IF($Q31=3,1,0),IF($X31&lt;30,1,0))</formula>
    </cfRule>
    <cfRule type="expression" dxfId="424" priority="65">
      <formula>AND(IF($Q31=3,1,IF($Q31=4,1,0)),IF($F31&lt;=85,1,0))</formula>
    </cfRule>
  </conditionalFormatting>
  <conditionalFormatting sqref="AI31">
    <cfRule type="expression" dxfId="423" priority="58">
      <formula>AND(IF(OR($Q31=1,$Q31=2),1,0),IF($X31&lt;=20,1,0))</formula>
    </cfRule>
    <cfRule type="expression" dxfId="422" priority="59">
      <formula>AND(IF($Q31=2,1,0),IF($X31&lt;30,1,0))</formula>
    </cfRule>
    <cfRule type="expression" dxfId="421" priority="60">
      <formula>AND(IF($Q31=3,1,0),IF($X31&lt;30,1,0))</formula>
    </cfRule>
    <cfRule type="expression" dxfId="420" priority="61">
      <formula>AND(IF($Q31=3,1,IF($Q31=4,1,0)),IF($F31&lt;=85,1,0))</formula>
    </cfRule>
  </conditionalFormatting>
  <conditionalFormatting sqref="AV32">
    <cfRule type="expression" dxfId="419" priority="56">
      <formula>AV32="X"</formula>
    </cfRule>
    <cfRule type="expression" dxfId="418" priority="57">
      <formula>AV32="후보"</formula>
    </cfRule>
  </conditionalFormatting>
  <conditionalFormatting sqref="AC32">
    <cfRule type="cellIs" dxfId="417" priority="53" operator="greaterThan">
      <formula>0.9</formula>
    </cfRule>
    <cfRule type="cellIs" dxfId="416" priority="54" operator="greaterThan">
      <formula>0.85</formula>
    </cfRule>
  </conditionalFormatting>
  <conditionalFormatting sqref="N32">
    <cfRule type="cellIs" dxfId="415" priority="51" operator="greaterThan">
      <formula>0.9</formula>
    </cfRule>
    <cfRule type="cellIs" dxfId="414" priority="52" operator="greaterThan">
      <formula>0.85</formula>
    </cfRule>
  </conditionalFormatting>
  <conditionalFormatting sqref="E32">
    <cfRule type="expression" dxfId="413" priority="47">
      <formula>AND(IF(OR($Q32=1,$Q32=2),1,0),IF($X32&lt;=20,1,0))</formula>
    </cfRule>
    <cfRule type="expression" dxfId="412" priority="48">
      <formula>AND(IF($Q32=2,1,0),IF($X32&lt;30,1,0))</formula>
    </cfRule>
    <cfRule type="expression" dxfId="411" priority="49">
      <formula>AND(IF($Q32=3,1,0),IF($X32&lt;30,1,0))</formula>
    </cfRule>
    <cfRule type="expression" dxfId="410" priority="50">
      <formula>AND(IF($Q32=3,1,IF($Q32=4,1,0)),IF($F32&lt;=85,1,0))</formula>
    </cfRule>
  </conditionalFormatting>
  <conditionalFormatting sqref="X32">
    <cfRule type="expression" dxfId="409" priority="43">
      <formula>AND(IF(OR($Q32=1,$Q32=2),1,0),IF($X32&lt;=20,1,0))</formula>
    </cfRule>
    <cfRule type="expression" dxfId="408" priority="44">
      <formula>AND(IF($Q32=2,1,0),IF($X32&lt;30,1,0))</formula>
    </cfRule>
    <cfRule type="expression" dxfId="407" priority="45">
      <formula>AND(IF($Q32=3,1,0),IF($X32&lt;30,1,0))</formula>
    </cfRule>
    <cfRule type="expression" dxfId="406" priority="46">
      <formula>AND(IF($Q32=3,1,IF($Q32=4,1,0)),IF($F32&lt;=85,1,0))</formula>
    </cfRule>
  </conditionalFormatting>
  <conditionalFormatting sqref="AI32">
    <cfRule type="expression" dxfId="405" priority="39">
      <formula>AND(IF(OR($Q32=1,$Q32=2),1,0),IF($X32&lt;=20,1,0))</formula>
    </cfRule>
    <cfRule type="expression" dxfId="404" priority="40">
      <formula>AND(IF($Q32=2,1,0),IF($X32&lt;30,1,0))</formula>
    </cfRule>
    <cfRule type="expression" dxfId="403" priority="41">
      <formula>AND(IF($Q32=3,1,0),IF($X32&lt;30,1,0))</formula>
    </cfRule>
    <cfRule type="expression" dxfId="402" priority="42">
      <formula>AND(IF($Q32=3,1,IF($Q32=4,1,0)),IF($F32&lt;=85,1,0))</formula>
    </cfRule>
  </conditionalFormatting>
  <conditionalFormatting sqref="AV33">
    <cfRule type="expression" dxfId="401" priority="37">
      <formula>AV33="X"</formula>
    </cfRule>
    <cfRule type="expression" dxfId="400" priority="38">
      <formula>AV33="후보"</formula>
    </cfRule>
  </conditionalFormatting>
  <conditionalFormatting sqref="AC33">
    <cfRule type="cellIs" dxfId="399" priority="34" operator="greaterThan">
      <formula>0.9</formula>
    </cfRule>
    <cfRule type="cellIs" dxfId="398" priority="35" operator="greaterThan">
      <formula>0.85</formula>
    </cfRule>
  </conditionalFormatting>
  <conditionalFormatting sqref="N33">
    <cfRule type="cellIs" dxfId="397" priority="32" operator="greaterThan">
      <formula>0.9</formula>
    </cfRule>
    <cfRule type="cellIs" dxfId="396" priority="33" operator="greaterThan">
      <formula>0.85</formula>
    </cfRule>
  </conditionalFormatting>
  <conditionalFormatting sqref="E33">
    <cfRule type="expression" dxfId="395" priority="28">
      <formula>AND(IF(OR($Q33=1,$Q33=2),1,0),IF($X33&lt;=20,1,0))</formula>
    </cfRule>
    <cfRule type="expression" dxfId="394" priority="29">
      <formula>AND(IF($Q33=2,1,0),IF($X33&lt;30,1,0))</formula>
    </cfRule>
    <cfRule type="expression" dxfId="393" priority="30">
      <formula>AND(IF($Q33=3,1,0),IF($X33&lt;30,1,0))</formula>
    </cfRule>
    <cfRule type="expression" dxfId="392" priority="31">
      <formula>AND(IF($Q33=3,1,IF($Q33=4,1,0)),IF($F33&lt;=85,1,0))</formula>
    </cfRule>
  </conditionalFormatting>
  <conditionalFormatting sqref="X33">
    <cfRule type="expression" dxfId="391" priority="24">
      <formula>AND(IF(OR($Q33=1,$Q33=2),1,0),IF($X33&lt;=20,1,0))</formula>
    </cfRule>
    <cfRule type="expression" dxfId="390" priority="25">
      <formula>AND(IF($Q33=2,1,0),IF($X33&lt;30,1,0))</formula>
    </cfRule>
    <cfRule type="expression" dxfId="389" priority="26">
      <formula>AND(IF($Q33=3,1,0),IF($X33&lt;30,1,0))</formula>
    </cfRule>
    <cfRule type="expression" dxfId="388" priority="27">
      <formula>AND(IF($Q33=3,1,IF($Q33=4,1,0)),IF($F33&lt;=85,1,0))</formula>
    </cfRule>
  </conditionalFormatting>
  <conditionalFormatting sqref="AI33">
    <cfRule type="expression" dxfId="387" priority="20">
      <formula>AND(IF(OR($Q33=1,$Q33=2),1,0),IF($X33&lt;=20,1,0))</formula>
    </cfRule>
    <cfRule type="expression" dxfId="386" priority="21">
      <formula>AND(IF($Q33=2,1,0),IF($X33&lt;30,1,0))</formula>
    </cfRule>
    <cfRule type="expression" dxfId="385" priority="22">
      <formula>AND(IF($Q33=3,1,0),IF($X33&lt;30,1,0))</formula>
    </cfRule>
    <cfRule type="expression" dxfId="384" priority="23">
      <formula>AND(IF($Q33=3,1,IF($Q33=4,1,0)),IF($F33&lt;=85,1,0))</formula>
    </cfRule>
  </conditionalFormatting>
  <conditionalFormatting sqref="AV34">
    <cfRule type="expression" dxfId="383" priority="18">
      <formula>AV34="X"</formula>
    </cfRule>
    <cfRule type="expression" dxfId="382" priority="19">
      <formula>AV34="후보"</formula>
    </cfRule>
  </conditionalFormatting>
  <conditionalFormatting sqref="AC34">
    <cfRule type="cellIs" dxfId="381" priority="15" operator="greaterThan">
      <formula>0.9</formula>
    </cfRule>
    <cfRule type="cellIs" dxfId="380" priority="16" operator="greaterThan">
      <formula>0.85</formula>
    </cfRule>
  </conditionalFormatting>
  <conditionalFormatting sqref="N34">
    <cfRule type="cellIs" dxfId="379" priority="13" operator="greaterThan">
      <formula>0.9</formula>
    </cfRule>
    <cfRule type="cellIs" dxfId="378" priority="14" operator="greaterThan">
      <formula>0.85</formula>
    </cfRule>
  </conditionalFormatting>
  <conditionalFormatting sqref="E34">
    <cfRule type="expression" dxfId="377" priority="9">
      <formula>AND(IF(OR($Q34=1,$Q34=2),1,0),IF($X34&lt;=20,1,0))</formula>
    </cfRule>
    <cfRule type="expression" dxfId="376" priority="10">
      <formula>AND(IF($Q34=2,1,0),IF($X34&lt;30,1,0))</formula>
    </cfRule>
    <cfRule type="expression" dxfId="375" priority="11">
      <formula>AND(IF($Q34=3,1,0),IF($X34&lt;30,1,0))</formula>
    </cfRule>
    <cfRule type="expression" dxfId="374" priority="12">
      <formula>AND(IF($Q34=3,1,IF($Q34=4,1,0)),IF($F34&lt;=85,1,0))</formula>
    </cfRule>
  </conditionalFormatting>
  <conditionalFormatting sqref="X34">
    <cfRule type="expression" dxfId="373" priority="5">
      <formula>AND(IF(OR($Q34=1,$Q34=2),1,0),IF($X34&lt;=20,1,0))</formula>
    </cfRule>
    <cfRule type="expression" dxfId="372" priority="6">
      <formula>AND(IF($Q34=2,1,0),IF($X34&lt;30,1,0))</formula>
    </cfRule>
    <cfRule type="expression" dxfId="371" priority="7">
      <formula>AND(IF($Q34=3,1,0),IF($X34&lt;30,1,0))</formula>
    </cfRule>
    <cfRule type="expression" dxfId="370" priority="8">
      <formula>AND(IF($Q34=3,1,IF($Q34=4,1,0)),IF($F34&lt;=85,1,0))</formula>
    </cfRule>
  </conditionalFormatting>
  <conditionalFormatting sqref="AI34">
    <cfRule type="expression" dxfId="369" priority="1">
      <formula>AND(IF(OR($Q34=1,$Q34=2),1,0),IF($X34&lt;=20,1,0))</formula>
    </cfRule>
    <cfRule type="expression" dxfId="368" priority="2">
      <formula>AND(IF($Q34=2,1,0),IF($X34&lt;30,1,0))</formula>
    </cfRule>
    <cfRule type="expression" dxfId="367" priority="3">
      <formula>AND(IF($Q34=3,1,0),IF($X34&lt;30,1,0))</formula>
    </cfRule>
    <cfRule type="expression" dxfId="366" priority="4">
      <formula>AND(IF($Q34=3,1,IF($Q34=4,1,0)),IF($F34&lt;=85,1,0))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8"/>
  <sheetViews>
    <sheetView zoomScaleNormal="100" zoomScaleSheetLayoutView="85" workbookViewId="0">
      <pane xSplit="1" ySplit="3" topLeftCell="B3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49" sqref="I4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팔용동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895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팔용동 팔용벽산블루밍A단지('00.01.,672^)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8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897</v>
      </c>
      <c r="B6" s="10" t="s">
        <v>996</v>
      </c>
      <c r="C6" s="107">
        <v>672</v>
      </c>
      <c r="D6" s="104">
        <v>79.900000000000006</v>
      </c>
      <c r="E6" s="106">
        <v>24</v>
      </c>
      <c r="F6" s="104">
        <v>60</v>
      </c>
      <c r="G6" s="17">
        <v>18</v>
      </c>
      <c r="H6" s="107">
        <v>592</v>
      </c>
      <c r="I6" s="108">
        <v>30000</v>
      </c>
      <c r="J6" s="108" t="s">
        <v>949</v>
      </c>
      <c r="K6" s="108">
        <v>25000</v>
      </c>
      <c r="L6" s="108" t="s">
        <v>954</v>
      </c>
      <c r="M6" s="109">
        <f>I6-K6</f>
        <v>5000</v>
      </c>
      <c r="N6" s="4">
        <f>IF(ISERROR(K6/I6),"",K6/I6)</f>
        <v>0.83333333333333337</v>
      </c>
      <c r="O6" s="105">
        <f>I6/E6</f>
        <v>1250</v>
      </c>
      <c r="P6" s="105">
        <f>K6/E6</f>
        <v>1041.6666666666667</v>
      </c>
      <c r="Q6" s="75">
        <v>3</v>
      </c>
      <c r="R6" s="75">
        <v>1</v>
      </c>
      <c r="S6" s="75" t="s">
        <v>947</v>
      </c>
      <c r="T6" s="5">
        <v>79</v>
      </c>
      <c r="U6" s="9"/>
      <c r="W6" s="104">
        <f>D6</f>
        <v>79.900000000000006</v>
      </c>
      <c r="X6" s="106">
        <f>E6</f>
        <v>24</v>
      </c>
      <c r="Y6" s="102">
        <f>H6</f>
        <v>592</v>
      </c>
      <c r="Z6" s="109">
        <f>I6</f>
        <v>30000</v>
      </c>
      <c r="AA6" s="109">
        <f>K6</f>
        <v>25000</v>
      </c>
      <c r="AB6" s="109">
        <f t="shared" ref="AB6:AD7" si="2">M6</f>
        <v>5000</v>
      </c>
      <c r="AC6" s="4">
        <f t="shared" si="2"/>
        <v>0.83333333333333337</v>
      </c>
      <c r="AD6" s="105">
        <f t="shared" si="2"/>
        <v>1250</v>
      </c>
      <c r="AE6" s="75" t="str">
        <f>S6</f>
        <v>계</v>
      </c>
      <c r="AF6" s="75" t="str">
        <f>Q6&amp;"/"&amp;R6</f>
        <v>3/1</v>
      </c>
      <c r="AH6" s="20" t="str">
        <f t="shared" si="1"/>
        <v>팔용벽산블루밍A단지</v>
      </c>
      <c r="AI6" s="106">
        <f t="shared" si="0"/>
        <v>24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>O</v>
      </c>
      <c r="AP6" s="75" t="str">
        <f>IF(I6="","",IF(I6&lt;=$AP$1,"O","X"))</f>
        <v>O</v>
      </c>
      <c r="AQ6" s="75" t="str">
        <f>IF(O6="","",IF(O6&lt;=$AQ$1,"O","X"))</f>
        <v>X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후보</v>
      </c>
    </row>
    <row r="7" spans="1:48" x14ac:dyDescent="0.3">
      <c r="A7" s="9" t="s">
        <v>897</v>
      </c>
      <c r="B7" s="10" t="s">
        <v>996</v>
      </c>
      <c r="C7" s="107">
        <v>672</v>
      </c>
      <c r="D7" s="104">
        <v>106.9</v>
      </c>
      <c r="E7" s="106">
        <v>32</v>
      </c>
      <c r="F7" s="104">
        <v>84.9</v>
      </c>
      <c r="G7" s="17">
        <v>26</v>
      </c>
      <c r="H7" s="107">
        <v>80</v>
      </c>
      <c r="I7" s="108">
        <v>47000</v>
      </c>
      <c r="J7" s="108" t="s">
        <v>957</v>
      </c>
      <c r="K7" s="108"/>
      <c r="L7" s="108"/>
      <c r="M7" s="109">
        <f>I7-K7</f>
        <v>47000</v>
      </c>
      <c r="N7" s="4">
        <f>IF(ISERROR(K7/I7),"",K7/I7)</f>
        <v>0</v>
      </c>
      <c r="O7" s="105">
        <f>I7/E7</f>
        <v>1468.75</v>
      </c>
      <c r="P7" s="105">
        <f>K7/E7</f>
        <v>0</v>
      </c>
      <c r="Q7" s="75">
        <v>3</v>
      </c>
      <c r="R7" s="75">
        <v>2</v>
      </c>
      <c r="S7" s="75" t="s">
        <v>947</v>
      </c>
      <c r="T7" s="5">
        <v>106</v>
      </c>
      <c r="U7" s="9"/>
      <c r="W7" s="104">
        <f>D7</f>
        <v>106.9</v>
      </c>
      <c r="X7" s="106">
        <f>E7</f>
        <v>32</v>
      </c>
      <c r="Y7" s="102">
        <f>H7</f>
        <v>80</v>
      </c>
      <c r="Z7" s="109">
        <f>I7</f>
        <v>47000</v>
      </c>
      <c r="AA7" s="109">
        <f>K7</f>
        <v>0</v>
      </c>
      <c r="AB7" s="109">
        <f t="shared" si="2"/>
        <v>47000</v>
      </c>
      <c r="AC7" s="4">
        <f t="shared" si="2"/>
        <v>0</v>
      </c>
      <c r="AD7" s="105">
        <f t="shared" si="2"/>
        <v>1468.75</v>
      </c>
      <c r="AE7" s="75" t="str">
        <f>S7</f>
        <v>계</v>
      </c>
      <c r="AF7" s="75" t="str">
        <f>Q7&amp;"/"&amp;R7</f>
        <v>3/2</v>
      </c>
      <c r="AH7" s="20" t="str">
        <f t="shared" si="1"/>
        <v>팔용벽산블루밍A단지</v>
      </c>
      <c r="AI7" s="106">
        <f t="shared" si="0"/>
        <v>32</v>
      </c>
      <c r="AJ7" s="75" t="str">
        <f>IF(AI7="","",$AJ$2)</f>
        <v>A-</v>
      </c>
      <c r="AK7" s="75" t="s">
        <v>14</v>
      </c>
      <c r="AL7" s="75" t="s">
        <v>944</v>
      </c>
      <c r="AM7" s="75" t="s">
        <v>945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X</v>
      </c>
      <c r="AQ7" s="75" t="str">
        <f>IF(O7="","",IF(O7&lt;=$AQ$1,"O","X"))</f>
        <v>X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팔용동 벽산블루밍B단지('99.06.,1650^)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902</v>
      </c>
      <c r="B9" s="10" t="s">
        <v>997</v>
      </c>
      <c r="C9" s="107">
        <v>1650</v>
      </c>
      <c r="D9" s="104">
        <v>79.8</v>
      </c>
      <c r="E9" s="106">
        <v>24</v>
      </c>
      <c r="F9" s="104">
        <v>60</v>
      </c>
      <c r="G9" s="17">
        <v>18</v>
      </c>
      <c r="H9" s="107">
        <v>360</v>
      </c>
      <c r="I9" s="108">
        <v>31000</v>
      </c>
      <c r="J9" s="108" t="s">
        <v>954</v>
      </c>
      <c r="K9" s="108">
        <v>24000</v>
      </c>
      <c r="L9" s="108" t="s">
        <v>954</v>
      </c>
      <c r="M9" s="109">
        <f>I9-K9</f>
        <v>7000</v>
      </c>
      <c r="N9" s="4">
        <f>IF(ISERROR(K9/I9),"",K9/I9)</f>
        <v>0.77419354838709675</v>
      </c>
      <c r="O9" s="105">
        <f>I9/E9</f>
        <v>1291.6666666666667</v>
      </c>
      <c r="P9" s="105">
        <f>K9/E9</f>
        <v>1000</v>
      </c>
      <c r="Q9" s="75">
        <v>3</v>
      </c>
      <c r="R9" s="75">
        <v>1</v>
      </c>
      <c r="S9" s="75" t="s">
        <v>947</v>
      </c>
      <c r="T9" s="5">
        <v>79</v>
      </c>
      <c r="U9" s="9"/>
      <c r="W9" s="104">
        <f t="shared" ref="W9:X11" si="3">D9</f>
        <v>79.8</v>
      </c>
      <c r="X9" s="106">
        <f t="shared" si="3"/>
        <v>24</v>
      </c>
      <c r="Y9" s="102">
        <f t="shared" ref="Y9:Z11" si="4">H9</f>
        <v>360</v>
      </c>
      <c r="Z9" s="109">
        <f t="shared" si="4"/>
        <v>31000</v>
      </c>
      <c r="AA9" s="109">
        <f>K9</f>
        <v>24000</v>
      </c>
      <c r="AB9" s="109">
        <f t="shared" ref="AB9:AD11" si="5">M9</f>
        <v>7000</v>
      </c>
      <c r="AC9" s="4">
        <f t="shared" si="5"/>
        <v>0.77419354838709675</v>
      </c>
      <c r="AD9" s="105">
        <f t="shared" si="5"/>
        <v>1291.6666666666667</v>
      </c>
      <c r="AE9" s="75" t="str">
        <f>S9</f>
        <v>계</v>
      </c>
      <c r="AF9" s="75" t="str">
        <f>Q9&amp;"/"&amp;R9</f>
        <v>3/1</v>
      </c>
      <c r="AH9" s="20" t="str">
        <f t="shared" si="1"/>
        <v>벽산블루밍B단지</v>
      </c>
      <c r="AI9" s="106">
        <f t="shared" si="0"/>
        <v>24</v>
      </c>
      <c r="AJ9" s="75" t="str">
        <f>IF(AI9="","",$AJ$2)</f>
        <v>A-</v>
      </c>
      <c r="AK9" s="75" t="s">
        <v>14</v>
      </c>
      <c r="AL9" s="75" t="s">
        <v>944</v>
      </c>
      <c r="AM9" s="75" t="s">
        <v>945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X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902</v>
      </c>
      <c r="B10" s="10" t="s">
        <v>997</v>
      </c>
      <c r="C10" s="107">
        <v>1650</v>
      </c>
      <c r="D10" s="104">
        <v>95.1</v>
      </c>
      <c r="E10" s="106">
        <v>29</v>
      </c>
      <c r="F10" s="104">
        <v>74</v>
      </c>
      <c r="G10" s="17">
        <v>22</v>
      </c>
      <c r="H10" s="107">
        <v>570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3</v>
      </c>
      <c r="R10" s="75">
        <v>1</v>
      </c>
      <c r="S10" s="75" t="s">
        <v>947</v>
      </c>
      <c r="T10" s="5">
        <v>95</v>
      </c>
      <c r="U10" s="9"/>
      <c r="W10" s="104">
        <f t="shared" si="3"/>
        <v>95.1</v>
      </c>
      <c r="X10" s="106">
        <f t="shared" si="3"/>
        <v>29</v>
      </c>
      <c r="Y10" s="102">
        <f t="shared" si="4"/>
        <v>570</v>
      </c>
      <c r="Z10" s="109">
        <f t="shared" si="4"/>
        <v>0</v>
      </c>
      <c r="AA10" s="109">
        <f>K10</f>
        <v>0</v>
      </c>
      <c r="AB10" s="109">
        <f t="shared" si="5"/>
        <v>0</v>
      </c>
      <c r="AC10" s="4" t="str">
        <f t="shared" si="5"/>
        <v/>
      </c>
      <c r="AD10" s="105">
        <f t="shared" si="5"/>
        <v>0</v>
      </c>
      <c r="AE10" s="75" t="str">
        <f>S10</f>
        <v>계</v>
      </c>
      <c r="AF10" s="75" t="str">
        <f>Q10&amp;"/"&amp;R10</f>
        <v>3/1</v>
      </c>
      <c r="AH10" s="20" t="str">
        <f t="shared" si="1"/>
        <v>벽산블루밍B단지</v>
      </c>
      <c r="AI10" s="106">
        <f t="shared" si="0"/>
        <v>29</v>
      </c>
      <c r="AJ10" s="75" t="str">
        <f>IF(AI10="","",$AJ$2)</f>
        <v>A-</v>
      </c>
      <c r="AK10" s="75" t="s">
        <v>14</v>
      </c>
      <c r="AL10" s="75" t="s">
        <v>944</v>
      </c>
      <c r="AM10" s="75" t="s">
        <v>945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  <row r="11" spans="1:48" x14ac:dyDescent="0.3">
      <c r="A11" s="9" t="s">
        <v>902</v>
      </c>
      <c r="B11" s="10" t="s">
        <v>997</v>
      </c>
      <c r="C11" s="107">
        <v>1650</v>
      </c>
      <c r="D11" s="104">
        <v>108.1</v>
      </c>
      <c r="E11" s="106">
        <v>33</v>
      </c>
      <c r="F11" s="104">
        <v>84.9</v>
      </c>
      <c r="G11" s="17">
        <v>26</v>
      </c>
      <c r="H11" s="107">
        <v>720</v>
      </c>
      <c r="I11" s="108">
        <v>42800</v>
      </c>
      <c r="J11" s="108" t="s">
        <v>974</v>
      </c>
      <c r="K11" s="108"/>
      <c r="L11" s="108"/>
      <c r="M11" s="109">
        <f>I11-K11</f>
        <v>42800</v>
      </c>
      <c r="N11" s="4">
        <f>IF(ISERROR(K11/I11),"",K11/I11)</f>
        <v>0</v>
      </c>
      <c r="O11" s="105">
        <f>I11/E11</f>
        <v>1296.969696969697</v>
      </c>
      <c r="P11" s="105">
        <f>K11/E11</f>
        <v>0</v>
      </c>
      <c r="Q11" s="75">
        <v>3</v>
      </c>
      <c r="R11" s="75">
        <v>2</v>
      </c>
      <c r="S11" s="75" t="s">
        <v>947</v>
      </c>
      <c r="T11" s="5">
        <v>108</v>
      </c>
      <c r="U11" s="9"/>
      <c r="W11" s="104">
        <f t="shared" si="3"/>
        <v>108.1</v>
      </c>
      <c r="X11" s="106">
        <f t="shared" si="3"/>
        <v>33</v>
      </c>
      <c r="Y11" s="102">
        <f t="shared" si="4"/>
        <v>720</v>
      </c>
      <c r="Z11" s="109">
        <f t="shared" si="4"/>
        <v>42800</v>
      </c>
      <c r="AA11" s="109">
        <f>K11</f>
        <v>0</v>
      </c>
      <c r="AB11" s="109">
        <f t="shared" si="5"/>
        <v>42800</v>
      </c>
      <c r="AC11" s="4">
        <f t="shared" si="5"/>
        <v>0</v>
      </c>
      <c r="AD11" s="105">
        <f t="shared" si="5"/>
        <v>1296.969696969697</v>
      </c>
      <c r="AE11" s="75" t="str">
        <f>S11</f>
        <v>계</v>
      </c>
      <c r="AF11" s="75" t="str">
        <f>Q11&amp;"/"&amp;R11</f>
        <v>3/2</v>
      </c>
      <c r="AH11" s="20" t="str">
        <f t="shared" si="1"/>
        <v>벽산블루밍B단지</v>
      </c>
      <c r="AI11" s="106">
        <f t="shared" si="0"/>
        <v>33</v>
      </c>
      <c r="AJ11" s="75" t="str">
        <f>IF(AI11="","",$AJ$2)</f>
        <v>A-</v>
      </c>
      <c r="AK11" s="75" t="s">
        <v>14</v>
      </c>
      <c r="AL11" s="75" t="s">
        <v>944</v>
      </c>
      <c r="AM11" s="75" t="s">
        <v>945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X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  <row r="12" spans="1:48" x14ac:dyDescent="0.3">
      <c r="A12" s="9"/>
      <c r="B12" s="75"/>
      <c r="C12" s="6"/>
      <c r="D12" s="9"/>
      <c r="E12" s="14"/>
      <c r="F12" s="104"/>
      <c r="G12" s="9"/>
      <c r="H12" s="9"/>
      <c r="I12" s="9"/>
      <c r="J12" s="9"/>
      <c r="K12" s="9"/>
      <c r="L12" s="9"/>
      <c r="M12" s="9"/>
      <c r="N12" s="9"/>
      <c r="O12" s="105"/>
      <c r="P12" s="105"/>
      <c r="Q12" s="106"/>
      <c r="R12" s="106"/>
      <c r="S12" s="9"/>
      <c r="T12" s="48"/>
      <c r="U12" s="9"/>
      <c r="W12" s="70" t="str">
        <f>$A$4&amp;" "&amp;A13&amp;"("&amp;B13&amp;","&amp;C13&amp;"^)"</f>
        <v>팔용동 벽산블루밍C단지('99.08.,594^)</v>
      </c>
      <c r="X12" s="71"/>
      <c r="Y12" s="71"/>
      <c r="Z12" s="71"/>
      <c r="AA12" s="71"/>
      <c r="AB12" s="71"/>
      <c r="AC12" s="71"/>
      <c r="AD12" s="71"/>
      <c r="AE12" s="71"/>
      <c r="AF12" s="72"/>
      <c r="AH12" s="20" t="str">
        <f t="shared" si="1"/>
        <v/>
      </c>
      <c r="AI12" s="103" t="str">
        <f t="shared" si="0"/>
        <v/>
      </c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</row>
    <row r="13" spans="1:48" x14ac:dyDescent="0.3">
      <c r="A13" s="9" t="s">
        <v>906</v>
      </c>
      <c r="B13" s="10" t="s">
        <v>998</v>
      </c>
      <c r="C13" s="107">
        <v>594</v>
      </c>
      <c r="D13" s="104">
        <v>79.599999999999994</v>
      </c>
      <c r="E13" s="106">
        <v>24</v>
      </c>
      <c r="F13" s="104">
        <v>60</v>
      </c>
      <c r="G13" s="17">
        <v>18</v>
      </c>
      <c r="H13" s="107">
        <v>231</v>
      </c>
      <c r="I13" s="108">
        <v>30000</v>
      </c>
      <c r="J13" s="108" t="s">
        <v>954</v>
      </c>
      <c r="K13" s="108"/>
      <c r="L13" s="108"/>
      <c r="M13" s="109">
        <f>I13-K13</f>
        <v>30000</v>
      </c>
      <c r="N13" s="4">
        <f>IF(ISERROR(K13/I13),"",K13/I13)</f>
        <v>0</v>
      </c>
      <c r="O13" s="105">
        <f>I13/E13</f>
        <v>1250</v>
      </c>
      <c r="P13" s="105">
        <f>K13/E13</f>
        <v>0</v>
      </c>
      <c r="Q13" s="75">
        <v>3</v>
      </c>
      <c r="R13" s="75">
        <v>1</v>
      </c>
      <c r="S13" s="75" t="s">
        <v>947</v>
      </c>
      <c r="T13" s="5">
        <v>79</v>
      </c>
      <c r="U13" s="9"/>
      <c r="W13" s="104">
        <f t="shared" ref="W13:X15" si="6">D13</f>
        <v>79.599999999999994</v>
      </c>
      <c r="X13" s="106">
        <f t="shared" si="6"/>
        <v>24</v>
      </c>
      <c r="Y13" s="102">
        <f t="shared" ref="Y13:Z15" si="7">H13</f>
        <v>231</v>
      </c>
      <c r="Z13" s="109">
        <f t="shared" si="7"/>
        <v>30000</v>
      </c>
      <c r="AA13" s="109">
        <f>K13</f>
        <v>0</v>
      </c>
      <c r="AB13" s="109">
        <f t="shared" ref="AB13:AD15" si="8">M13</f>
        <v>30000</v>
      </c>
      <c r="AC13" s="4">
        <f t="shared" si="8"/>
        <v>0</v>
      </c>
      <c r="AD13" s="105">
        <f t="shared" si="8"/>
        <v>1250</v>
      </c>
      <c r="AE13" s="75" t="str">
        <f>S13</f>
        <v>계</v>
      </c>
      <c r="AF13" s="75" t="str">
        <f>Q13&amp;"/"&amp;R13</f>
        <v>3/1</v>
      </c>
      <c r="AH13" s="20" t="str">
        <f t="shared" si="1"/>
        <v>벽산블루밍C단지</v>
      </c>
      <c r="AI13" s="106">
        <f t="shared" si="0"/>
        <v>24</v>
      </c>
      <c r="AJ13" s="75" t="str">
        <f>IF(AI13="","",$AJ$2)</f>
        <v>A-</v>
      </c>
      <c r="AK13" s="75" t="s">
        <v>14</v>
      </c>
      <c r="AL13" s="75" t="s">
        <v>944</v>
      </c>
      <c r="AM13" s="75" t="s">
        <v>945</v>
      </c>
      <c r="AN13" s="75" t="str">
        <f>IF(AI13="","",$AN$2)</f>
        <v>C</v>
      </c>
      <c r="AO13" s="75" t="str">
        <f>IF(N13="","",IF(N13&gt;=$AO$1/100,"O","X"))</f>
        <v>X</v>
      </c>
      <c r="AP13" s="75" t="str">
        <f>IF(I13="","",IF(I13&lt;=$AP$1,"O","X"))</f>
        <v>O</v>
      </c>
      <c r="AQ13" s="75" t="str">
        <f>IF(O13="","",IF(O13&lt;=$AQ$1,"O","X"))</f>
        <v>X</v>
      </c>
      <c r="AR13" s="75" t="str">
        <f>IF(M13="","",IF(M13&lt;=$AR$1,"O","X"))</f>
        <v>X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>X</v>
      </c>
    </row>
    <row r="14" spans="1:48" x14ac:dyDescent="0.3">
      <c r="A14" s="9" t="s">
        <v>906</v>
      </c>
      <c r="B14" s="10" t="s">
        <v>998</v>
      </c>
      <c r="C14" s="107">
        <v>594</v>
      </c>
      <c r="D14" s="104">
        <v>94.7</v>
      </c>
      <c r="E14" s="106">
        <v>29</v>
      </c>
      <c r="F14" s="104">
        <v>74</v>
      </c>
      <c r="G14" s="17">
        <v>22</v>
      </c>
      <c r="H14" s="107">
        <v>87</v>
      </c>
      <c r="I14" s="108"/>
      <c r="J14" s="108"/>
      <c r="K14" s="108"/>
      <c r="L14" s="108"/>
      <c r="M14" s="109">
        <f>I14-K14</f>
        <v>0</v>
      </c>
      <c r="N14" s="4" t="str">
        <f>IF(ISERROR(K14/I14),"",K14/I14)</f>
        <v/>
      </c>
      <c r="O14" s="105">
        <f>I14/E14</f>
        <v>0</v>
      </c>
      <c r="P14" s="105">
        <f>K14/E14</f>
        <v>0</v>
      </c>
      <c r="Q14" s="75">
        <v>3</v>
      </c>
      <c r="R14" s="75">
        <v>1</v>
      </c>
      <c r="S14" s="75" t="s">
        <v>947</v>
      </c>
      <c r="T14" s="5">
        <v>94</v>
      </c>
      <c r="U14" s="9"/>
      <c r="W14" s="104">
        <f t="shared" si="6"/>
        <v>94.7</v>
      </c>
      <c r="X14" s="106">
        <f t="shared" si="6"/>
        <v>29</v>
      </c>
      <c r="Y14" s="102">
        <f t="shared" si="7"/>
        <v>87</v>
      </c>
      <c r="Z14" s="109">
        <f t="shared" si="7"/>
        <v>0</v>
      </c>
      <c r="AA14" s="109">
        <f>K14</f>
        <v>0</v>
      </c>
      <c r="AB14" s="109">
        <f t="shared" si="8"/>
        <v>0</v>
      </c>
      <c r="AC14" s="4" t="str">
        <f t="shared" si="8"/>
        <v/>
      </c>
      <c r="AD14" s="105">
        <f t="shared" si="8"/>
        <v>0</v>
      </c>
      <c r="AE14" s="75" t="str">
        <f>S14</f>
        <v>계</v>
      </c>
      <c r="AF14" s="75" t="str">
        <f>Q14&amp;"/"&amp;R14</f>
        <v>3/1</v>
      </c>
      <c r="AH14" s="20" t="str">
        <f t="shared" si="1"/>
        <v>벽산블루밍C단지</v>
      </c>
      <c r="AI14" s="106">
        <f t="shared" si="0"/>
        <v>29</v>
      </c>
      <c r="AJ14" s="75" t="str">
        <f>IF(AI14="","",$AJ$2)</f>
        <v>A-</v>
      </c>
      <c r="AK14" s="75" t="s">
        <v>14</v>
      </c>
      <c r="AL14" s="75" t="s">
        <v>944</v>
      </c>
      <c r="AM14" s="75" t="s">
        <v>945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O</v>
      </c>
      <c r="AU14" s="75" t="str">
        <f>IF(C14="","",IF(C14&gt;=$AU$1,"O","X"))</f>
        <v>O</v>
      </c>
      <c r="AV14" s="75" t="str">
        <f>IF(AO14="","",IF(AND(AO14="O",AP14="O",AR14="O",AT14="O",AU14="O"),"후보","X"))</f>
        <v/>
      </c>
    </row>
    <row r="15" spans="1:48" x14ac:dyDescent="0.3">
      <c r="A15" s="9" t="s">
        <v>906</v>
      </c>
      <c r="B15" s="10" t="s">
        <v>998</v>
      </c>
      <c r="C15" s="107">
        <v>594</v>
      </c>
      <c r="D15" s="104">
        <v>106.5</v>
      </c>
      <c r="E15" s="106">
        <v>32</v>
      </c>
      <c r="F15" s="104">
        <v>84.9</v>
      </c>
      <c r="G15" s="17">
        <v>26</v>
      </c>
      <c r="H15" s="107">
        <v>276</v>
      </c>
      <c r="I15" s="108">
        <v>35000</v>
      </c>
      <c r="J15" s="108" t="s">
        <v>957</v>
      </c>
      <c r="K15" s="108">
        <v>31000</v>
      </c>
      <c r="L15" s="108" t="s">
        <v>957</v>
      </c>
      <c r="M15" s="109">
        <f>I15-K15</f>
        <v>4000</v>
      </c>
      <c r="N15" s="4">
        <f>IF(ISERROR(K15/I15),"",K15/I15)</f>
        <v>0.88571428571428568</v>
      </c>
      <c r="O15" s="105">
        <f>I15/E15</f>
        <v>1093.75</v>
      </c>
      <c r="P15" s="105">
        <f>K15/E15</f>
        <v>968.75</v>
      </c>
      <c r="Q15" s="75">
        <v>3</v>
      </c>
      <c r="R15" s="75">
        <v>2</v>
      </c>
      <c r="S15" s="75" t="s">
        <v>947</v>
      </c>
      <c r="T15" s="5">
        <v>106</v>
      </c>
      <c r="U15" s="9"/>
      <c r="W15" s="104">
        <f t="shared" si="6"/>
        <v>106.5</v>
      </c>
      <c r="X15" s="106">
        <f t="shared" si="6"/>
        <v>32</v>
      </c>
      <c r="Y15" s="102">
        <f t="shared" si="7"/>
        <v>276</v>
      </c>
      <c r="Z15" s="109">
        <f t="shared" si="7"/>
        <v>35000</v>
      </c>
      <c r="AA15" s="109">
        <f>K15</f>
        <v>31000</v>
      </c>
      <c r="AB15" s="109">
        <f t="shared" si="8"/>
        <v>4000</v>
      </c>
      <c r="AC15" s="4">
        <f t="shared" si="8"/>
        <v>0.88571428571428568</v>
      </c>
      <c r="AD15" s="105">
        <f t="shared" si="8"/>
        <v>1093.75</v>
      </c>
      <c r="AE15" s="75" t="str">
        <f>S15</f>
        <v>계</v>
      </c>
      <c r="AF15" s="75" t="str">
        <f>Q15&amp;"/"&amp;R15</f>
        <v>3/2</v>
      </c>
      <c r="AH15" s="20" t="str">
        <f t="shared" si="1"/>
        <v>벽산블루밍C단지</v>
      </c>
      <c r="AI15" s="106">
        <f t="shared" si="0"/>
        <v>32</v>
      </c>
      <c r="AJ15" s="75" t="str">
        <f>IF(AI15="","",$AJ$2)</f>
        <v>A-</v>
      </c>
      <c r="AK15" s="75" t="s">
        <v>14</v>
      </c>
      <c r="AL15" s="75" t="s">
        <v>944</v>
      </c>
      <c r="AM15" s="75" t="s">
        <v>945</v>
      </c>
      <c r="AN15" s="75" t="str">
        <f>IF(AI15="","",$AN$2)</f>
        <v>C</v>
      </c>
      <c r="AO15" s="75" t="str">
        <f>IF(N15="","",IF(N15&gt;=$AO$1/100,"O","X"))</f>
        <v>O</v>
      </c>
      <c r="AP15" s="75" t="str">
        <f>IF(I15="","",IF(I15&lt;=$AP$1,"O","X"))</f>
        <v>O</v>
      </c>
      <c r="AQ15" s="75" t="str">
        <f>IF(O15="","",IF(O15&lt;=$AQ$1,"O","X"))</f>
        <v>X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후보</v>
      </c>
    </row>
    <row r="16" spans="1:48" x14ac:dyDescent="0.3">
      <c r="A16" s="9"/>
      <c r="B16" s="75"/>
      <c r="C16" s="6"/>
      <c r="D16" s="9"/>
      <c r="E16" s="14"/>
      <c r="F16" s="104"/>
      <c r="G16" s="9"/>
      <c r="H16" s="9"/>
      <c r="I16" s="9"/>
      <c r="J16" s="9"/>
      <c r="K16" s="9"/>
      <c r="L16" s="9"/>
      <c r="M16" s="9"/>
      <c r="N16" s="9"/>
      <c r="O16" s="105"/>
      <c r="P16" s="105"/>
      <c r="Q16" s="106"/>
      <c r="R16" s="106"/>
      <c r="S16" s="9"/>
      <c r="T16" s="48"/>
      <c r="U16" s="9"/>
      <c r="W16" s="70" t="str">
        <f>$A$4&amp;" "&amp;A17&amp;"("&amp;B17&amp;","&amp;C17&amp;"^)"</f>
        <v>팔용동 힐스테이트아티움시티('20.05.,1132^)</v>
      </c>
      <c r="X16" s="71"/>
      <c r="Y16" s="71"/>
      <c r="Z16" s="71"/>
      <c r="AA16" s="71"/>
      <c r="AB16" s="71"/>
      <c r="AC16" s="71"/>
      <c r="AD16" s="71"/>
      <c r="AE16" s="71"/>
      <c r="AF16" s="72"/>
      <c r="AH16" s="20" t="str">
        <f t="shared" si="1"/>
        <v/>
      </c>
      <c r="AI16" s="103" t="str">
        <f t="shared" si="0"/>
        <v/>
      </c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</row>
    <row r="17" spans="1:48" x14ac:dyDescent="0.3">
      <c r="A17" s="9" t="s">
        <v>916</v>
      </c>
      <c r="B17" s="10" t="s">
        <v>999</v>
      </c>
      <c r="C17" s="107">
        <v>1132</v>
      </c>
      <c r="D17" s="104">
        <v>112.9</v>
      </c>
      <c r="E17" s="106">
        <v>34</v>
      </c>
      <c r="F17" s="104">
        <v>84.9</v>
      </c>
      <c r="G17" s="17">
        <v>26</v>
      </c>
      <c r="H17" s="107">
        <v>378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3</v>
      </c>
      <c r="R17" s="75">
        <v>2</v>
      </c>
      <c r="S17" s="75" t="s">
        <v>947</v>
      </c>
      <c r="T17" s="5" t="s">
        <v>245</v>
      </c>
      <c r="U17" s="9"/>
      <c r="W17" s="104">
        <f t="shared" ref="W17:X19" si="9">D17</f>
        <v>112.9</v>
      </c>
      <c r="X17" s="106">
        <f t="shared" si="9"/>
        <v>34</v>
      </c>
      <c r="Y17" s="102">
        <f t="shared" ref="Y17:Z19" si="10">H17</f>
        <v>378</v>
      </c>
      <c r="Z17" s="109">
        <f t="shared" si="10"/>
        <v>0</v>
      </c>
      <c r="AA17" s="109">
        <f>K17</f>
        <v>0</v>
      </c>
      <c r="AB17" s="109">
        <f t="shared" ref="AB17:AD19" si="11">M17</f>
        <v>0</v>
      </c>
      <c r="AC17" s="4" t="str">
        <f t="shared" si="11"/>
        <v/>
      </c>
      <c r="AD17" s="105">
        <f t="shared" si="11"/>
        <v>0</v>
      </c>
      <c r="AE17" s="75" t="str">
        <f>S17</f>
        <v>계</v>
      </c>
      <c r="AF17" s="75" t="str">
        <f>Q17&amp;"/"&amp;R17</f>
        <v>3/2</v>
      </c>
      <c r="AH17" s="20" t="str">
        <f t="shared" si="1"/>
        <v>힐스테이트아티움시티</v>
      </c>
      <c r="AI17" s="106">
        <f t="shared" si="0"/>
        <v>34</v>
      </c>
      <c r="AJ17" s="75" t="str">
        <f>IF(AI17="","",$AJ$2)</f>
        <v>A-</v>
      </c>
      <c r="AK17" s="75" t="s">
        <v>14</v>
      </c>
      <c r="AL17" s="75" t="s">
        <v>944</v>
      </c>
      <c r="AM17" s="75" t="s">
        <v>945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/>
      </c>
    </row>
    <row r="18" spans="1:48" x14ac:dyDescent="0.3">
      <c r="A18" s="9" t="s">
        <v>916</v>
      </c>
      <c r="B18" s="10" t="s">
        <v>999</v>
      </c>
      <c r="C18" s="107">
        <v>1132</v>
      </c>
      <c r="D18" s="104">
        <v>114.3</v>
      </c>
      <c r="E18" s="106">
        <v>35</v>
      </c>
      <c r="F18" s="104">
        <v>84.6</v>
      </c>
      <c r="G18" s="17">
        <v>26</v>
      </c>
      <c r="H18" s="107">
        <v>378</v>
      </c>
      <c r="I18" s="108"/>
      <c r="J18" s="108"/>
      <c r="K18" s="108"/>
      <c r="L18" s="108"/>
      <c r="M18" s="109">
        <f>I18-K18</f>
        <v>0</v>
      </c>
      <c r="N18" s="4" t="str">
        <f>IF(ISERROR(K18/I18),"",K18/I18)</f>
        <v/>
      </c>
      <c r="O18" s="105">
        <f>I18/E18</f>
        <v>0</v>
      </c>
      <c r="P18" s="105">
        <f>K18/E18</f>
        <v>0</v>
      </c>
      <c r="Q18" s="75">
        <v>3</v>
      </c>
      <c r="R18" s="75">
        <v>2</v>
      </c>
      <c r="S18" s="75" t="s">
        <v>947</v>
      </c>
      <c r="T18" s="5" t="s">
        <v>688</v>
      </c>
      <c r="U18" s="9"/>
      <c r="W18" s="104">
        <f t="shared" si="9"/>
        <v>114.3</v>
      </c>
      <c r="X18" s="106">
        <f t="shared" si="9"/>
        <v>35</v>
      </c>
      <c r="Y18" s="102">
        <f t="shared" si="10"/>
        <v>378</v>
      </c>
      <c r="Z18" s="109">
        <f t="shared" si="10"/>
        <v>0</v>
      </c>
      <c r="AA18" s="109">
        <f>K18</f>
        <v>0</v>
      </c>
      <c r="AB18" s="109">
        <f t="shared" si="11"/>
        <v>0</v>
      </c>
      <c r="AC18" s="4" t="str">
        <f t="shared" si="11"/>
        <v/>
      </c>
      <c r="AD18" s="105">
        <f t="shared" si="11"/>
        <v>0</v>
      </c>
      <c r="AE18" s="75" t="str">
        <f>S18</f>
        <v>계</v>
      </c>
      <c r="AF18" s="75" t="str">
        <f>Q18&amp;"/"&amp;R18</f>
        <v>3/2</v>
      </c>
      <c r="AH18" s="20" t="str">
        <f t="shared" si="1"/>
        <v>힐스테이트아티움시티</v>
      </c>
      <c r="AI18" s="106">
        <f t="shared" si="0"/>
        <v>35</v>
      </c>
      <c r="AJ18" s="75" t="str">
        <f>IF(AI18="","",$AJ$2)</f>
        <v>A-</v>
      </c>
      <c r="AK18" s="75" t="s">
        <v>14</v>
      </c>
      <c r="AL18" s="75" t="s">
        <v>944</v>
      </c>
      <c r="AM18" s="75" t="s">
        <v>945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/>
      </c>
    </row>
    <row r="19" spans="1:48" x14ac:dyDescent="0.3">
      <c r="A19" s="9" t="s">
        <v>916</v>
      </c>
      <c r="B19" s="10" t="s">
        <v>999</v>
      </c>
      <c r="C19" s="107">
        <v>1132</v>
      </c>
      <c r="D19" s="104">
        <v>114.9</v>
      </c>
      <c r="E19" s="106">
        <v>35</v>
      </c>
      <c r="F19" s="104">
        <v>84.9</v>
      </c>
      <c r="G19" s="17">
        <v>26</v>
      </c>
      <c r="H19" s="107">
        <v>376</v>
      </c>
      <c r="I19" s="108"/>
      <c r="J19" s="108"/>
      <c r="K19" s="108"/>
      <c r="L19" s="108"/>
      <c r="M19" s="109">
        <f>I19-K19</f>
        <v>0</v>
      </c>
      <c r="N19" s="4" t="str">
        <f>IF(ISERROR(K19/I19),"",K19/I19)</f>
        <v/>
      </c>
      <c r="O19" s="105">
        <f>I19/E19</f>
        <v>0</v>
      </c>
      <c r="P19" s="105">
        <f>K19/E19</f>
        <v>0</v>
      </c>
      <c r="Q19" s="75">
        <v>3</v>
      </c>
      <c r="R19" s="75">
        <v>2</v>
      </c>
      <c r="S19" s="75" t="s">
        <v>947</v>
      </c>
      <c r="T19" s="5" t="s">
        <v>210</v>
      </c>
      <c r="U19" s="9"/>
      <c r="W19" s="104">
        <f t="shared" si="9"/>
        <v>114.9</v>
      </c>
      <c r="X19" s="106">
        <f t="shared" si="9"/>
        <v>35</v>
      </c>
      <c r="Y19" s="102">
        <f t="shared" si="10"/>
        <v>376</v>
      </c>
      <c r="Z19" s="109">
        <f t="shared" si="10"/>
        <v>0</v>
      </c>
      <c r="AA19" s="109">
        <f>K19</f>
        <v>0</v>
      </c>
      <c r="AB19" s="109">
        <f t="shared" si="11"/>
        <v>0</v>
      </c>
      <c r="AC19" s="4" t="str">
        <f t="shared" si="11"/>
        <v/>
      </c>
      <c r="AD19" s="105">
        <f t="shared" si="11"/>
        <v>0</v>
      </c>
      <c r="AE19" s="75" t="str">
        <f>S19</f>
        <v>계</v>
      </c>
      <c r="AF19" s="75" t="str">
        <f>Q19&amp;"/"&amp;R19</f>
        <v>3/2</v>
      </c>
      <c r="AH19" s="20" t="str">
        <f t="shared" si="1"/>
        <v>힐스테이트아티움시티</v>
      </c>
      <c r="AI19" s="106">
        <f t="shared" si="0"/>
        <v>35</v>
      </c>
      <c r="AJ19" s="75" t="str">
        <f>IF(AI19="","",$AJ$2)</f>
        <v>A-</v>
      </c>
      <c r="AK19" s="75" t="s">
        <v>14</v>
      </c>
      <c r="AL19" s="75" t="s">
        <v>944</v>
      </c>
      <c r="AM19" s="75" t="s">
        <v>945</v>
      </c>
      <c r="AN19" s="75" t="str">
        <f>IF(AI19="","",$AN$2)</f>
        <v>C</v>
      </c>
      <c r="AO19" s="75" t="str">
        <f>IF(N19="","",IF(N19&gt;=$AO$1/100,"O","X"))</f>
        <v/>
      </c>
      <c r="AP19" s="75" t="str">
        <f>IF(I19="","",IF(I19&lt;=$AP$1,"O","X"))</f>
        <v/>
      </c>
      <c r="AQ19" s="75" t="str">
        <f>IF(O19="","",IF(O19&lt;=$AQ$1,"O","X"))</f>
        <v>O</v>
      </c>
      <c r="AR19" s="75" t="str">
        <f>IF(M19="","",IF(M19&lt;=$AR$1,"O","X"))</f>
        <v>O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/>
      </c>
    </row>
    <row r="20" spans="1:48" x14ac:dyDescent="0.3">
      <c r="A20" s="9"/>
      <c r="B20" s="75"/>
      <c r="C20" s="6"/>
      <c r="D20" s="9"/>
      <c r="E20" s="14"/>
      <c r="F20" s="104"/>
      <c r="G20" s="9"/>
      <c r="H20" s="9"/>
      <c r="I20" s="9"/>
      <c r="J20" s="9"/>
      <c r="K20" s="9"/>
      <c r="L20" s="9"/>
      <c r="M20" s="9"/>
      <c r="N20" s="9"/>
      <c r="O20" s="105"/>
      <c r="P20" s="105"/>
      <c r="Q20" s="106"/>
      <c r="R20" s="106"/>
      <c r="S20" s="9"/>
      <c r="T20" s="48"/>
      <c r="U20" s="9"/>
      <c r="W20" s="70" t="str">
        <f>$A$4&amp;" "&amp;A21&amp;"("&amp;B21&amp;","&amp;C21&amp;"^)"</f>
        <v>팔용동 극동('94.12.,1059^)</v>
      </c>
      <c r="X20" s="71"/>
      <c r="Y20" s="71"/>
      <c r="Z20" s="71"/>
      <c r="AA20" s="71"/>
      <c r="AB20" s="71"/>
      <c r="AC20" s="71"/>
      <c r="AD20" s="71"/>
      <c r="AE20" s="71"/>
      <c r="AF20" s="72"/>
      <c r="AH20" s="20" t="str">
        <f t="shared" si="1"/>
        <v/>
      </c>
      <c r="AI20" s="103" t="str">
        <f t="shared" si="0"/>
        <v/>
      </c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</row>
    <row r="21" spans="1:48" x14ac:dyDescent="0.3">
      <c r="A21" s="9" t="s">
        <v>921</v>
      </c>
      <c r="B21" s="10" t="s">
        <v>1000</v>
      </c>
      <c r="C21" s="107">
        <v>1059</v>
      </c>
      <c r="D21" s="104">
        <v>72.900000000000006</v>
      </c>
      <c r="E21" s="106">
        <v>22</v>
      </c>
      <c r="F21" s="104">
        <v>49.9</v>
      </c>
      <c r="G21" s="17">
        <v>15</v>
      </c>
      <c r="H21" s="107">
        <v>108</v>
      </c>
      <c r="I21" s="108">
        <v>17500</v>
      </c>
      <c r="J21" s="108" t="s">
        <v>954</v>
      </c>
      <c r="K21" s="108"/>
      <c r="L21" s="108"/>
      <c r="M21" s="109">
        <f>I21-K21</f>
        <v>17500</v>
      </c>
      <c r="N21" s="4">
        <f>IF(ISERROR(K21/I21),"",K21/I21)</f>
        <v>0</v>
      </c>
      <c r="O21" s="105">
        <f>I21/E21</f>
        <v>795.4545454545455</v>
      </c>
      <c r="P21" s="105">
        <f>K21/E21</f>
        <v>0</v>
      </c>
      <c r="Q21" s="75">
        <v>2</v>
      </c>
      <c r="R21" s="75">
        <v>1</v>
      </c>
      <c r="S21" s="75" t="s">
        <v>943</v>
      </c>
      <c r="T21" s="5">
        <v>72</v>
      </c>
      <c r="U21" s="9"/>
      <c r="W21" s="104">
        <f t="shared" ref="W21:X24" si="12">D21</f>
        <v>72.900000000000006</v>
      </c>
      <c r="X21" s="106">
        <f t="shared" si="12"/>
        <v>22</v>
      </c>
      <c r="Y21" s="102">
        <f t="shared" ref="Y21:Z24" si="13">H21</f>
        <v>108</v>
      </c>
      <c r="Z21" s="109">
        <f t="shared" si="13"/>
        <v>17500</v>
      </c>
      <c r="AA21" s="109">
        <f>K21</f>
        <v>0</v>
      </c>
      <c r="AB21" s="109">
        <f t="shared" ref="AB21:AD24" si="14">M21</f>
        <v>17500</v>
      </c>
      <c r="AC21" s="4">
        <f t="shared" si="14"/>
        <v>0</v>
      </c>
      <c r="AD21" s="105">
        <f t="shared" si="14"/>
        <v>795.4545454545455</v>
      </c>
      <c r="AE21" s="75" t="str">
        <f>S21</f>
        <v>복</v>
      </c>
      <c r="AF21" s="75" t="str">
        <f>Q21&amp;"/"&amp;R21</f>
        <v>2/1</v>
      </c>
      <c r="AH21" s="20" t="str">
        <f t="shared" si="1"/>
        <v>극동</v>
      </c>
      <c r="AI21" s="106">
        <f t="shared" si="0"/>
        <v>22</v>
      </c>
      <c r="AJ21" s="75" t="str">
        <f>IF(AI21="","",$AJ$2)</f>
        <v>A-</v>
      </c>
      <c r="AK21" s="75" t="s">
        <v>14</v>
      </c>
      <c r="AL21" s="75" t="s">
        <v>944</v>
      </c>
      <c r="AM21" s="75" t="s">
        <v>945</v>
      </c>
      <c r="AN21" s="75" t="str">
        <f>IF(AI21="","",$AN$2)</f>
        <v>C</v>
      </c>
      <c r="AO21" s="75" t="str">
        <f>IF(N21="","",IF(N21&gt;=$AO$1/100,"O","X"))</f>
        <v>X</v>
      </c>
      <c r="AP21" s="75" t="str">
        <f>IF(I21="","",IF(I21&lt;=$AP$1,"O","X"))</f>
        <v>O</v>
      </c>
      <c r="AQ21" s="75" t="str">
        <f>IF(O21="","",IF(O21&lt;=$AQ$1,"O","X"))</f>
        <v>O</v>
      </c>
      <c r="AR21" s="75" t="str">
        <f>IF(M21="","",IF(M21&lt;=$AR$1,"O","X"))</f>
        <v>X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>X</v>
      </c>
    </row>
    <row r="22" spans="1:48" x14ac:dyDescent="0.3">
      <c r="A22" s="9" t="s">
        <v>921</v>
      </c>
      <c r="B22" s="10" t="s">
        <v>1000</v>
      </c>
      <c r="C22" s="107">
        <v>1059</v>
      </c>
      <c r="D22" s="104">
        <v>86.7</v>
      </c>
      <c r="E22" s="106">
        <v>26</v>
      </c>
      <c r="F22" s="104">
        <v>59.3</v>
      </c>
      <c r="G22" s="17">
        <v>18</v>
      </c>
      <c r="H22" s="107">
        <v>299</v>
      </c>
      <c r="I22" s="108">
        <v>23000</v>
      </c>
      <c r="J22" s="108" t="s">
        <v>981</v>
      </c>
      <c r="K22" s="108">
        <v>20000</v>
      </c>
      <c r="L22" s="108" t="s">
        <v>957</v>
      </c>
      <c r="M22" s="109">
        <f>I22-K22</f>
        <v>3000</v>
      </c>
      <c r="N22" s="4">
        <f>IF(ISERROR(K22/I22),"",K22/I22)</f>
        <v>0.86956521739130432</v>
      </c>
      <c r="O22" s="105">
        <f>I22/E22</f>
        <v>884.61538461538464</v>
      </c>
      <c r="P22" s="105">
        <f>K22/E22</f>
        <v>769.23076923076928</v>
      </c>
      <c r="Q22" s="75">
        <v>3</v>
      </c>
      <c r="R22" s="75">
        <v>1</v>
      </c>
      <c r="S22" s="75" t="s">
        <v>943</v>
      </c>
      <c r="T22" s="5">
        <v>86</v>
      </c>
      <c r="U22" s="9"/>
      <c r="W22" s="104">
        <f t="shared" si="12"/>
        <v>86.7</v>
      </c>
      <c r="X22" s="106">
        <f t="shared" si="12"/>
        <v>26</v>
      </c>
      <c r="Y22" s="102">
        <f t="shared" si="13"/>
        <v>299</v>
      </c>
      <c r="Z22" s="109">
        <f t="shared" si="13"/>
        <v>23000</v>
      </c>
      <c r="AA22" s="109">
        <f>K22</f>
        <v>20000</v>
      </c>
      <c r="AB22" s="109">
        <f t="shared" si="14"/>
        <v>3000</v>
      </c>
      <c r="AC22" s="4">
        <f t="shared" si="14"/>
        <v>0.86956521739130432</v>
      </c>
      <c r="AD22" s="105">
        <f t="shared" si="14"/>
        <v>884.61538461538464</v>
      </c>
      <c r="AE22" s="75" t="str">
        <f>S22</f>
        <v>복</v>
      </c>
      <c r="AF22" s="75" t="str">
        <f>Q22&amp;"/"&amp;R22</f>
        <v>3/1</v>
      </c>
      <c r="AH22" s="20" t="str">
        <f t="shared" si="1"/>
        <v>극동</v>
      </c>
      <c r="AI22" s="106">
        <f t="shared" si="0"/>
        <v>26</v>
      </c>
      <c r="AJ22" s="75" t="str">
        <f>IF(AI22="","",$AJ$2)</f>
        <v>A-</v>
      </c>
      <c r="AK22" s="75" t="s">
        <v>14</v>
      </c>
      <c r="AL22" s="75" t="s">
        <v>944</v>
      </c>
      <c r="AM22" s="75" t="s">
        <v>945</v>
      </c>
      <c r="AN22" s="75" t="str">
        <f>IF(AI22="","",$AN$2)</f>
        <v>C</v>
      </c>
      <c r="AO22" s="75" t="str">
        <f>IF(N22="","",IF(N22&gt;=$AO$1/100,"O","X"))</f>
        <v>O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후보</v>
      </c>
    </row>
    <row r="23" spans="1:48" x14ac:dyDescent="0.3">
      <c r="A23" s="9" t="s">
        <v>921</v>
      </c>
      <c r="B23" s="10" t="s">
        <v>1000</v>
      </c>
      <c r="C23" s="107">
        <v>1059</v>
      </c>
      <c r="D23" s="104">
        <v>105.5</v>
      </c>
      <c r="E23" s="106">
        <v>32</v>
      </c>
      <c r="F23" s="104">
        <v>84.9</v>
      </c>
      <c r="G23" s="17">
        <v>26</v>
      </c>
      <c r="H23" s="107">
        <v>360</v>
      </c>
      <c r="I23" s="108">
        <v>31300</v>
      </c>
      <c r="J23" s="108" t="s">
        <v>957</v>
      </c>
      <c r="K23" s="108"/>
      <c r="L23" s="108"/>
      <c r="M23" s="109">
        <f>I23-K23</f>
        <v>31300</v>
      </c>
      <c r="N23" s="4">
        <f>IF(ISERROR(K23/I23),"",K23/I23)</f>
        <v>0</v>
      </c>
      <c r="O23" s="105">
        <f>I23/E23</f>
        <v>978.125</v>
      </c>
      <c r="P23" s="105">
        <f>K23/E23</f>
        <v>0</v>
      </c>
      <c r="Q23" s="75">
        <v>3</v>
      </c>
      <c r="R23" s="75">
        <v>2</v>
      </c>
      <c r="S23" s="75" t="s">
        <v>947</v>
      </c>
      <c r="T23" s="5">
        <v>105</v>
      </c>
      <c r="U23" s="9"/>
      <c r="W23" s="104">
        <f t="shared" si="12"/>
        <v>105.5</v>
      </c>
      <c r="X23" s="106">
        <f t="shared" si="12"/>
        <v>32</v>
      </c>
      <c r="Y23" s="102">
        <f t="shared" si="13"/>
        <v>360</v>
      </c>
      <c r="Z23" s="109">
        <f t="shared" si="13"/>
        <v>31300</v>
      </c>
      <c r="AA23" s="109">
        <f>K23</f>
        <v>0</v>
      </c>
      <c r="AB23" s="109">
        <f t="shared" si="14"/>
        <v>31300</v>
      </c>
      <c r="AC23" s="4">
        <f t="shared" si="14"/>
        <v>0</v>
      </c>
      <c r="AD23" s="105">
        <f t="shared" si="14"/>
        <v>978.125</v>
      </c>
      <c r="AE23" s="75" t="str">
        <f>S23</f>
        <v>계</v>
      </c>
      <c r="AF23" s="75" t="str">
        <f>Q23&amp;"/"&amp;R23</f>
        <v>3/2</v>
      </c>
      <c r="AH23" s="20" t="str">
        <f t="shared" si="1"/>
        <v>극동</v>
      </c>
      <c r="AI23" s="106">
        <f t="shared" si="0"/>
        <v>32</v>
      </c>
      <c r="AJ23" s="75" t="str">
        <f>IF(AI23="","",$AJ$2)</f>
        <v>A-</v>
      </c>
      <c r="AK23" s="75" t="s">
        <v>14</v>
      </c>
      <c r="AL23" s="75" t="s">
        <v>944</v>
      </c>
      <c r="AM23" s="75" t="s">
        <v>945</v>
      </c>
      <c r="AN23" s="75" t="str">
        <f>IF(AI23="","",$AN$2)</f>
        <v>C</v>
      </c>
      <c r="AO23" s="75" t="str">
        <f>IF(N23="","",IF(N23&gt;=$AO$1/100,"O","X"))</f>
        <v>X</v>
      </c>
      <c r="AP23" s="75" t="str">
        <f>IF(I23="","",IF(I23&lt;=$AP$1,"O","X"))</f>
        <v>O</v>
      </c>
      <c r="AQ23" s="75" t="str">
        <f>IF(O23="","",IF(O23&lt;=$AQ$1,"O","X"))</f>
        <v>O</v>
      </c>
      <c r="AR23" s="75" t="str">
        <f>IF(M23="","",IF(M23&lt;=$AR$1,"O","X"))</f>
        <v>X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>X</v>
      </c>
    </row>
    <row r="24" spans="1:48" x14ac:dyDescent="0.3">
      <c r="A24" s="9" t="s">
        <v>921</v>
      </c>
      <c r="B24" s="10" t="s">
        <v>1000</v>
      </c>
      <c r="C24" s="107">
        <v>1059</v>
      </c>
      <c r="D24" s="104">
        <v>135.1</v>
      </c>
      <c r="E24" s="106">
        <v>41</v>
      </c>
      <c r="F24" s="104">
        <v>108.7</v>
      </c>
      <c r="G24" s="17">
        <v>33</v>
      </c>
      <c r="H24" s="107">
        <v>292</v>
      </c>
      <c r="I24" s="108">
        <v>36000</v>
      </c>
      <c r="J24" s="108" t="s">
        <v>954</v>
      </c>
      <c r="K24" s="108">
        <v>31000</v>
      </c>
      <c r="L24" s="108" t="s">
        <v>954</v>
      </c>
      <c r="M24" s="109">
        <f>I24-K24</f>
        <v>5000</v>
      </c>
      <c r="N24" s="4">
        <f>IF(ISERROR(K24/I24),"",K24/I24)</f>
        <v>0.86111111111111116</v>
      </c>
      <c r="O24" s="105">
        <f>I24/E24</f>
        <v>878.04878048780483</v>
      </c>
      <c r="P24" s="105">
        <f>K24/E24</f>
        <v>756.09756097560978</v>
      </c>
      <c r="Q24" s="75">
        <v>4</v>
      </c>
      <c r="R24" s="75">
        <v>2</v>
      </c>
      <c r="S24" s="75" t="s">
        <v>947</v>
      </c>
      <c r="T24" s="5">
        <v>135</v>
      </c>
      <c r="U24" s="9"/>
      <c r="W24" s="104">
        <f t="shared" si="12"/>
        <v>135.1</v>
      </c>
      <c r="X24" s="106">
        <f t="shared" si="12"/>
        <v>41</v>
      </c>
      <c r="Y24" s="102">
        <f t="shared" si="13"/>
        <v>292</v>
      </c>
      <c r="Z24" s="109">
        <f t="shared" si="13"/>
        <v>36000</v>
      </c>
      <c r="AA24" s="109">
        <f>K24</f>
        <v>31000</v>
      </c>
      <c r="AB24" s="109">
        <f t="shared" si="14"/>
        <v>5000</v>
      </c>
      <c r="AC24" s="4">
        <f t="shared" si="14"/>
        <v>0.86111111111111116</v>
      </c>
      <c r="AD24" s="105">
        <f t="shared" si="14"/>
        <v>878.04878048780483</v>
      </c>
      <c r="AE24" s="75" t="str">
        <f>S24</f>
        <v>계</v>
      </c>
      <c r="AF24" s="75" t="str">
        <f>Q24&amp;"/"&amp;R24</f>
        <v>4/2</v>
      </c>
      <c r="AH24" s="20" t="str">
        <f t="shared" si="1"/>
        <v>극동</v>
      </c>
      <c r="AI24" s="106">
        <f t="shared" si="0"/>
        <v>41</v>
      </c>
      <c r="AJ24" s="75" t="str">
        <f>IF(AI24="","",$AJ$2)</f>
        <v>A-</v>
      </c>
      <c r="AK24" s="75" t="s">
        <v>14</v>
      </c>
      <c r="AL24" s="75" t="s">
        <v>944</v>
      </c>
      <c r="AM24" s="75" t="s">
        <v>945</v>
      </c>
      <c r="AN24" s="75" t="str">
        <f>IF(AI24="","",$AN$2)</f>
        <v>C</v>
      </c>
      <c r="AO24" s="75" t="str">
        <f>IF(N24="","",IF(N24&gt;=$AO$1/100,"O","X"))</f>
        <v>O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O</v>
      </c>
      <c r="AS24" s="75" t="s">
        <v>2</v>
      </c>
      <c r="AT24" s="75" t="str">
        <f>IF(OR(F24="",AI24=""),"",IF(AND((F24&lt;=85),(AI24&gt;=15)),"O","X"))</f>
        <v>X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/>
      <c r="B25" s="75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8"/>
      <c r="U25" s="9"/>
      <c r="W25" s="70" t="str">
        <f>$A$4&amp;" "&amp;A26&amp;"("&amp;B26&amp;","&amp;C26&amp;"^)"</f>
        <v>팔용동 대동중앙('93.09.,1040^)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3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935</v>
      </c>
      <c r="B26" s="10" t="s">
        <v>1001</v>
      </c>
      <c r="C26" s="107">
        <v>1040</v>
      </c>
      <c r="D26" s="104">
        <v>69.7</v>
      </c>
      <c r="E26" s="106">
        <v>21</v>
      </c>
      <c r="F26" s="104">
        <v>59.9</v>
      </c>
      <c r="G26" s="17">
        <v>18</v>
      </c>
      <c r="H26" s="107">
        <v>830</v>
      </c>
      <c r="I26" s="108">
        <v>24000</v>
      </c>
      <c r="J26" s="108" t="s">
        <v>964</v>
      </c>
      <c r="K26" s="108"/>
      <c r="L26" s="108"/>
      <c r="M26" s="109">
        <f>I26-K26</f>
        <v>24000</v>
      </c>
      <c r="N26" s="4">
        <f>IF(ISERROR(K26/I26),"",K26/I26)</f>
        <v>0</v>
      </c>
      <c r="O26" s="105">
        <f>I26/E26</f>
        <v>1142.8571428571429</v>
      </c>
      <c r="P26" s="105">
        <f>K26/E26</f>
        <v>0</v>
      </c>
      <c r="Q26" s="75">
        <v>3</v>
      </c>
      <c r="R26" s="75">
        <v>1</v>
      </c>
      <c r="S26" s="75" t="s">
        <v>947</v>
      </c>
      <c r="T26" s="5">
        <v>69</v>
      </c>
      <c r="U26" s="9"/>
      <c r="W26" s="104">
        <f t="shared" ref="W26:X28" si="15">D26</f>
        <v>69.7</v>
      </c>
      <c r="X26" s="106">
        <f t="shared" si="15"/>
        <v>21</v>
      </c>
      <c r="Y26" s="102">
        <f t="shared" ref="Y26:Z28" si="16">H26</f>
        <v>830</v>
      </c>
      <c r="Z26" s="109">
        <f t="shared" si="16"/>
        <v>24000</v>
      </c>
      <c r="AA26" s="109">
        <f>K26</f>
        <v>0</v>
      </c>
      <c r="AB26" s="109">
        <f t="shared" ref="AB26:AD28" si="17">M26</f>
        <v>24000</v>
      </c>
      <c r="AC26" s="4">
        <f t="shared" si="17"/>
        <v>0</v>
      </c>
      <c r="AD26" s="105">
        <f t="shared" si="17"/>
        <v>1142.8571428571429</v>
      </c>
      <c r="AE26" s="75" t="str">
        <f>S26</f>
        <v>계</v>
      </c>
      <c r="AF26" s="75" t="str">
        <f>Q26&amp;"/"&amp;R26</f>
        <v>3/1</v>
      </c>
      <c r="AH26" s="20" t="str">
        <f t="shared" si="1"/>
        <v>대동중앙</v>
      </c>
      <c r="AI26" s="106">
        <f t="shared" si="0"/>
        <v>21</v>
      </c>
      <c r="AJ26" s="75" t="str">
        <f>IF(AI26="","",$AJ$2)</f>
        <v>A-</v>
      </c>
      <c r="AK26" s="75" t="s">
        <v>14</v>
      </c>
      <c r="AL26" s="75" t="s">
        <v>944</v>
      </c>
      <c r="AM26" s="75" t="s">
        <v>945</v>
      </c>
      <c r="AN26" s="75" t="str">
        <f>IF(AI26="","",$AN$2)</f>
        <v>C</v>
      </c>
      <c r="AO26" s="75" t="str">
        <f>IF(N26="","",IF(N26&gt;=$AO$1/100,"O","X"))</f>
        <v>X</v>
      </c>
      <c r="AP26" s="75" t="str">
        <f>IF(I26="","",IF(I26&lt;=$AP$1,"O","X"))</f>
        <v>O</v>
      </c>
      <c r="AQ26" s="75" t="str">
        <f>IF(O26="","",IF(O26&lt;=$AQ$1,"O","X"))</f>
        <v>X</v>
      </c>
      <c r="AR26" s="75" t="str">
        <f>IF(M26="","",IF(M26&lt;=$AR$1,"O","X"))</f>
        <v>X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>X</v>
      </c>
    </row>
    <row r="27" spans="1:48" x14ac:dyDescent="0.3">
      <c r="A27" s="9" t="s">
        <v>935</v>
      </c>
      <c r="B27" s="10" t="s">
        <v>1001</v>
      </c>
      <c r="C27" s="107">
        <v>1040</v>
      </c>
      <c r="D27" s="104">
        <v>69.400000000000006</v>
      </c>
      <c r="E27" s="106">
        <v>21</v>
      </c>
      <c r="F27" s="104">
        <v>59.7</v>
      </c>
      <c r="G27" s="17">
        <v>18</v>
      </c>
      <c r="H27" s="107">
        <v>120</v>
      </c>
      <c r="I27" s="108">
        <v>27500</v>
      </c>
      <c r="J27" s="108" t="s">
        <v>957</v>
      </c>
      <c r="K27" s="108"/>
      <c r="L27" s="108"/>
      <c r="M27" s="109">
        <f>I27-K27</f>
        <v>27500</v>
      </c>
      <c r="N27" s="4">
        <f>IF(ISERROR(K27/I27),"",K27/I27)</f>
        <v>0</v>
      </c>
      <c r="O27" s="105">
        <f>I27/E27</f>
        <v>1309.5238095238096</v>
      </c>
      <c r="P27" s="105">
        <f>K27/E27</f>
        <v>0</v>
      </c>
      <c r="Q27" s="75">
        <v>3</v>
      </c>
      <c r="R27" s="75">
        <v>1</v>
      </c>
      <c r="S27" s="75" t="s">
        <v>947</v>
      </c>
      <c r="T27" s="5" t="s">
        <v>345</v>
      </c>
      <c r="U27" s="9"/>
      <c r="W27" s="104">
        <f t="shared" si="15"/>
        <v>69.400000000000006</v>
      </c>
      <c r="X27" s="106">
        <f t="shared" si="15"/>
        <v>21</v>
      </c>
      <c r="Y27" s="102">
        <f t="shared" si="16"/>
        <v>120</v>
      </c>
      <c r="Z27" s="109">
        <f t="shared" si="16"/>
        <v>27500</v>
      </c>
      <c r="AA27" s="109">
        <f>K27</f>
        <v>0</v>
      </c>
      <c r="AB27" s="109">
        <f t="shared" si="17"/>
        <v>27500</v>
      </c>
      <c r="AC27" s="4">
        <f t="shared" si="17"/>
        <v>0</v>
      </c>
      <c r="AD27" s="105">
        <f t="shared" si="17"/>
        <v>1309.5238095238096</v>
      </c>
      <c r="AE27" s="75" t="str">
        <f>S27</f>
        <v>계</v>
      </c>
      <c r="AF27" s="75" t="str">
        <f>Q27&amp;"/"&amp;R27</f>
        <v>3/1</v>
      </c>
      <c r="AH27" s="20" t="str">
        <f t="shared" si="1"/>
        <v>대동중앙</v>
      </c>
      <c r="AI27" s="106">
        <f t="shared" si="0"/>
        <v>21</v>
      </c>
      <c r="AJ27" s="75" t="str">
        <f>IF(AI27="","",$AJ$2)</f>
        <v>A-</v>
      </c>
      <c r="AK27" s="75" t="s">
        <v>14</v>
      </c>
      <c r="AL27" s="75" t="s">
        <v>944</v>
      </c>
      <c r="AM27" s="75" t="s">
        <v>945</v>
      </c>
      <c r="AN27" s="75" t="str">
        <f>IF(AI27="","",$AN$2)</f>
        <v>C</v>
      </c>
      <c r="AO27" s="75" t="str">
        <f>IF(N27="","",IF(N27&gt;=$AO$1/100,"O","X"))</f>
        <v>X</v>
      </c>
      <c r="AP27" s="75" t="str">
        <f>IF(I27="","",IF(I27&lt;=$AP$1,"O","X"))</f>
        <v>O</v>
      </c>
      <c r="AQ27" s="75" t="str">
        <f>IF(O27="","",IF(O27&lt;=$AQ$1,"O","X"))</f>
        <v>X</v>
      </c>
      <c r="AR27" s="75" t="str">
        <f>IF(M27="","",IF(M27&lt;=$AR$1,"O","X"))</f>
        <v>X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X</v>
      </c>
    </row>
    <row r="28" spans="1:48" x14ac:dyDescent="0.3">
      <c r="A28" s="9" t="s">
        <v>935</v>
      </c>
      <c r="B28" s="10" t="s">
        <v>1001</v>
      </c>
      <c r="C28" s="107">
        <v>1040</v>
      </c>
      <c r="D28" s="104">
        <v>69.7</v>
      </c>
      <c r="E28" s="106">
        <v>21</v>
      </c>
      <c r="F28" s="104">
        <v>59.9</v>
      </c>
      <c r="G28" s="17">
        <v>18</v>
      </c>
      <c r="H28" s="107">
        <v>90</v>
      </c>
      <c r="I28" s="108">
        <v>24000</v>
      </c>
      <c r="J28" s="108" t="s">
        <v>964</v>
      </c>
      <c r="K28" s="108"/>
      <c r="L28" s="108"/>
      <c r="M28" s="109">
        <f>I28-K28</f>
        <v>24000</v>
      </c>
      <c r="N28" s="4">
        <f>IF(ISERROR(K28/I28),"",K28/I28)</f>
        <v>0</v>
      </c>
      <c r="O28" s="105">
        <f>I28/E28</f>
        <v>1142.8571428571429</v>
      </c>
      <c r="P28" s="105">
        <f>K28/E28</f>
        <v>0</v>
      </c>
      <c r="Q28" s="75">
        <v>3</v>
      </c>
      <c r="R28" s="75">
        <v>1</v>
      </c>
      <c r="S28" s="75" t="s">
        <v>947</v>
      </c>
      <c r="T28" s="5" t="s">
        <v>349</v>
      </c>
      <c r="U28" s="9"/>
      <c r="W28" s="104">
        <f t="shared" si="15"/>
        <v>69.7</v>
      </c>
      <c r="X28" s="106">
        <f t="shared" si="15"/>
        <v>21</v>
      </c>
      <c r="Y28" s="102">
        <f t="shared" si="16"/>
        <v>90</v>
      </c>
      <c r="Z28" s="109">
        <f t="shared" si="16"/>
        <v>24000</v>
      </c>
      <c r="AA28" s="109">
        <f>K28</f>
        <v>0</v>
      </c>
      <c r="AB28" s="109">
        <f t="shared" si="17"/>
        <v>24000</v>
      </c>
      <c r="AC28" s="4">
        <f t="shared" si="17"/>
        <v>0</v>
      </c>
      <c r="AD28" s="105">
        <f t="shared" si="17"/>
        <v>1142.8571428571429</v>
      </c>
      <c r="AE28" s="75" t="str">
        <f>S28</f>
        <v>계</v>
      </c>
      <c r="AF28" s="75" t="str">
        <f>Q28&amp;"/"&amp;R28</f>
        <v>3/1</v>
      </c>
      <c r="AH28" s="20" t="str">
        <f t="shared" si="1"/>
        <v>대동중앙</v>
      </c>
      <c r="AI28" s="106">
        <f t="shared" si="0"/>
        <v>21</v>
      </c>
      <c r="AJ28" s="75" t="str">
        <f>IF(AI28="","",$AJ$2)</f>
        <v>A-</v>
      </c>
      <c r="AK28" s="75" t="s">
        <v>14</v>
      </c>
      <c r="AL28" s="75" t="s">
        <v>944</v>
      </c>
      <c r="AM28" s="75" t="s">
        <v>945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O</v>
      </c>
      <c r="AQ28" s="75" t="str">
        <f>IF(O28="","",IF(O28&lt;=$AQ$1,"O","X"))</f>
        <v>X</v>
      </c>
      <c r="AR28" s="75" t="str">
        <f>IF(M28="","",IF(M28&lt;=$AR$1,"O","X"))</f>
        <v>X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</sheetData>
  <mergeCells count="1">
    <mergeCell ref="AJ1:AN1"/>
  </mergeCells>
  <phoneticPr fontId="2" type="noConversion"/>
  <conditionalFormatting sqref="AV4:AV6">
    <cfRule type="expression" dxfId="365" priority="368">
      <formula>AV4="X"</formula>
    </cfRule>
    <cfRule type="expression" dxfId="364" priority="369">
      <formula>AV4="후보"</formula>
    </cfRule>
  </conditionalFormatting>
  <conditionalFormatting sqref="AC1:AC2 AC4:AC6 N4:N5">
    <cfRule type="cellIs" dxfId="363" priority="365" operator="greaterThan">
      <formula>0.9</formula>
    </cfRule>
    <cfRule type="cellIs" dxfId="362" priority="366" operator="greaterThan">
      <formula>0.85</formula>
    </cfRule>
  </conditionalFormatting>
  <conditionalFormatting sqref="N1:N2">
    <cfRule type="cellIs" dxfId="361" priority="363" operator="greaterThan">
      <formula>0.9</formula>
    </cfRule>
    <cfRule type="cellIs" dxfId="360" priority="364" operator="greaterThan">
      <formula>0.85</formula>
    </cfRule>
  </conditionalFormatting>
  <conditionalFormatting sqref="N6">
    <cfRule type="cellIs" dxfId="359" priority="361" operator="greaterThan">
      <formula>0.9</formula>
    </cfRule>
    <cfRule type="cellIs" dxfId="358" priority="362" operator="greaterThan">
      <formula>0.85</formula>
    </cfRule>
  </conditionalFormatting>
  <conditionalFormatting sqref="E6">
    <cfRule type="expression" dxfId="357" priority="357">
      <formula>AND(IF(OR($Q6=1,$Q6=2),1,0),IF($X6&lt;=20,1,0))</formula>
    </cfRule>
    <cfRule type="expression" dxfId="356" priority="358">
      <formula>AND(IF($Q6=2,1,0),IF($X6&lt;30,1,0))</formula>
    </cfRule>
    <cfRule type="expression" dxfId="355" priority="359">
      <formula>AND(IF($Q6=3,1,0),IF($X6&lt;30,1,0))</formula>
    </cfRule>
    <cfRule type="expression" dxfId="354" priority="360">
      <formula>AND(IF($Q6=3,1,IF($Q6=4,1,0)),IF($F6&lt;=85,1,0))</formula>
    </cfRule>
  </conditionalFormatting>
  <conditionalFormatting sqref="X6">
    <cfRule type="expression" dxfId="353" priority="353">
      <formula>AND(IF(OR($Q6=1,$Q6=2),1,0),IF($X6&lt;=20,1,0))</formula>
    </cfRule>
    <cfRule type="expression" dxfId="352" priority="354">
      <formula>AND(IF($Q6=2,1,0),IF($X6&lt;30,1,0))</formula>
    </cfRule>
    <cfRule type="expression" dxfId="351" priority="355">
      <formula>AND(IF($Q6=3,1,0),IF($X6&lt;30,1,0))</formula>
    </cfRule>
    <cfRule type="expression" dxfId="350" priority="356">
      <formula>AND(IF($Q6=3,1,IF($Q6=4,1,0)),IF($F6&lt;=85,1,0))</formula>
    </cfRule>
  </conditionalFormatting>
  <conditionalFormatting sqref="AI6">
    <cfRule type="expression" dxfId="349" priority="349">
      <formula>AND(IF(OR($Q6=1,$Q6=2),1,0),IF($X6&lt;=20,1,0))</formula>
    </cfRule>
    <cfRule type="expression" dxfId="348" priority="350">
      <formula>AND(IF($Q6=2,1,0),IF($X6&lt;30,1,0))</formula>
    </cfRule>
    <cfRule type="expression" dxfId="347" priority="351">
      <formula>AND(IF($Q6=3,1,0),IF($X6&lt;30,1,0))</formula>
    </cfRule>
    <cfRule type="expression" dxfId="346" priority="352">
      <formula>AND(IF($Q6=3,1,IF($Q6=4,1,0)),IF($F6&lt;=85,1,0))</formula>
    </cfRule>
  </conditionalFormatting>
  <conditionalFormatting sqref="AV7">
    <cfRule type="expression" dxfId="345" priority="347">
      <formula>AV7="X"</formula>
    </cfRule>
    <cfRule type="expression" dxfId="344" priority="348">
      <formula>AV7="후보"</formula>
    </cfRule>
  </conditionalFormatting>
  <conditionalFormatting sqref="AC7">
    <cfRule type="cellIs" dxfId="343" priority="344" operator="greaterThan">
      <formula>0.9</formula>
    </cfRule>
    <cfRule type="cellIs" dxfId="342" priority="345" operator="greaterThan">
      <formula>0.85</formula>
    </cfRule>
  </conditionalFormatting>
  <conditionalFormatting sqref="N7">
    <cfRule type="cellIs" dxfId="341" priority="342" operator="greaterThan">
      <formula>0.9</formula>
    </cfRule>
    <cfRule type="cellIs" dxfId="340" priority="343" operator="greaterThan">
      <formula>0.85</formula>
    </cfRule>
  </conditionalFormatting>
  <conditionalFormatting sqref="E7">
    <cfRule type="expression" dxfId="339" priority="338">
      <formula>AND(IF(OR($Q7=1,$Q7=2),1,0),IF($X7&lt;=20,1,0))</formula>
    </cfRule>
    <cfRule type="expression" dxfId="338" priority="339">
      <formula>AND(IF($Q7=2,1,0),IF($X7&lt;30,1,0))</formula>
    </cfRule>
    <cfRule type="expression" dxfId="337" priority="340">
      <formula>AND(IF($Q7=3,1,0),IF($X7&lt;30,1,0))</formula>
    </cfRule>
    <cfRule type="expression" dxfId="336" priority="341">
      <formula>AND(IF($Q7=3,1,IF($Q7=4,1,0)),IF($F7&lt;=85,1,0))</formula>
    </cfRule>
  </conditionalFormatting>
  <conditionalFormatting sqref="X7">
    <cfRule type="expression" dxfId="335" priority="334">
      <formula>AND(IF(OR($Q7=1,$Q7=2),1,0),IF($X7&lt;=20,1,0))</formula>
    </cfRule>
    <cfRule type="expression" dxfId="334" priority="335">
      <formula>AND(IF($Q7=2,1,0),IF($X7&lt;30,1,0))</formula>
    </cfRule>
    <cfRule type="expression" dxfId="333" priority="336">
      <formula>AND(IF($Q7=3,1,0),IF($X7&lt;30,1,0))</formula>
    </cfRule>
    <cfRule type="expression" dxfId="332" priority="337">
      <formula>AND(IF($Q7=3,1,IF($Q7=4,1,0)),IF($F7&lt;=85,1,0))</formula>
    </cfRule>
  </conditionalFormatting>
  <conditionalFormatting sqref="AI7">
    <cfRule type="expression" dxfId="331" priority="330">
      <formula>AND(IF(OR($Q7=1,$Q7=2),1,0),IF($X7&lt;=20,1,0))</formula>
    </cfRule>
    <cfRule type="expression" dxfId="330" priority="331">
      <formula>AND(IF($Q7=2,1,0),IF($X7&lt;30,1,0))</formula>
    </cfRule>
    <cfRule type="expression" dxfId="329" priority="332">
      <formula>AND(IF($Q7=3,1,0),IF($X7&lt;30,1,0))</formula>
    </cfRule>
    <cfRule type="expression" dxfId="328" priority="333">
      <formula>AND(IF($Q7=3,1,IF($Q7=4,1,0)),IF($F7&lt;=85,1,0))</formula>
    </cfRule>
  </conditionalFormatting>
  <conditionalFormatting sqref="AV8">
    <cfRule type="expression" dxfId="327" priority="328">
      <formula>AV8="X"</formula>
    </cfRule>
    <cfRule type="expression" dxfId="326" priority="329">
      <formula>AV8="후보"</formula>
    </cfRule>
  </conditionalFormatting>
  <conditionalFormatting sqref="AC8 N8">
    <cfRule type="cellIs" dxfId="325" priority="325" operator="greaterThan">
      <formula>0.9</formula>
    </cfRule>
    <cfRule type="cellIs" dxfId="324" priority="326" operator="greaterThan">
      <formula>0.85</formula>
    </cfRule>
  </conditionalFormatting>
  <conditionalFormatting sqref="AV9">
    <cfRule type="expression" dxfId="323" priority="323">
      <formula>AV9="X"</formula>
    </cfRule>
    <cfRule type="expression" dxfId="322" priority="324">
      <formula>AV9="후보"</formula>
    </cfRule>
  </conditionalFormatting>
  <conditionalFormatting sqref="AC9">
    <cfRule type="cellIs" dxfId="321" priority="320" operator="greaterThan">
      <formula>0.9</formula>
    </cfRule>
    <cfRule type="cellIs" dxfId="320" priority="321" operator="greaterThan">
      <formula>0.85</formula>
    </cfRule>
  </conditionalFormatting>
  <conditionalFormatting sqref="N9">
    <cfRule type="cellIs" dxfId="319" priority="318" operator="greaterThan">
      <formula>0.9</formula>
    </cfRule>
    <cfRule type="cellIs" dxfId="318" priority="319" operator="greaterThan">
      <formula>0.85</formula>
    </cfRule>
  </conditionalFormatting>
  <conditionalFormatting sqref="E9">
    <cfRule type="expression" dxfId="317" priority="314">
      <formula>AND(IF(OR($Q9=1,$Q9=2),1,0),IF($X9&lt;=20,1,0))</formula>
    </cfRule>
    <cfRule type="expression" dxfId="316" priority="315">
      <formula>AND(IF($Q9=2,1,0),IF($X9&lt;30,1,0))</formula>
    </cfRule>
    <cfRule type="expression" dxfId="315" priority="316">
      <formula>AND(IF($Q9=3,1,0),IF($X9&lt;30,1,0))</formula>
    </cfRule>
    <cfRule type="expression" dxfId="314" priority="317">
      <formula>AND(IF($Q9=3,1,IF($Q9=4,1,0)),IF($F9&lt;=85,1,0))</formula>
    </cfRule>
  </conditionalFormatting>
  <conditionalFormatting sqref="X9">
    <cfRule type="expression" dxfId="313" priority="310">
      <formula>AND(IF(OR($Q9=1,$Q9=2),1,0),IF($X9&lt;=20,1,0))</formula>
    </cfRule>
    <cfRule type="expression" dxfId="312" priority="311">
      <formula>AND(IF($Q9=2,1,0),IF($X9&lt;30,1,0))</formula>
    </cfRule>
    <cfRule type="expression" dxfId="311" priority="312">
      <formula>AND(IF($Q9=3,1,0),IF($X9&lt;30,1,0))</formula>
    </cfRule>
    <cfRule type="expression" dxfId="310" priority="313">
      <formula>AND(IF($Q9=3,1,IF($Q9=4,1,0)),IF($F9&lt;=85,1,0))</formula>
    </cfRule>
  </conditionalFormatting>
  <conditionalFormatting sqref="AI9">
    <cfRule type="expression" dxfId="309" priority="306">
      <formula>AND(IF(OR($Q9=1,$Q9=2),1,0),IF($X9&lt;=20,1,0))</formula>
    </cfRule>
    <cfRule type="expression" dxfId="308" priority="307">
      <formula>AND(IF($Q9=2,1,0),IF($X9&lt;30,1,0))</formula>
    </cfRule>
    <cfRule type="expression" dxfId="307" priority="308">
      <formula>AND(IF($Q9=3,1,0),IF($X9&lt;30,1,0))</formula>
    </cfRule>
    <cfRule type="expression" dxfId="306" priority="309">
      <formula>AND(IF($Q9=3,1,IF($Q9=4,1,0)),IF($F9&lt;=85,1,0))</formula>
    </cfRule>
  </conditionalFormatting>
  <conditionalFormatting sqref="AV10">
    <cfRule type="expression" dxfId="305" priority="304">
      <formula>AV10="X"</formula>
    </cfRule>
    <cfRule type="expression" dxfId="304" priority="305">
      <formula>AV10="후보"</formula>
    </cfRule>
  </conditionalFormatting>
  <conditionalFormatting sqref="AC10">
    <cfRule type="cellIs" dxfId="303" priority="301" operator="greaterThan">
      <formula>0.9</formula>
    </cfRule>
    <cfRule type="cellIs" dxfId="302" priority="302" operator="greaterThan">
      <formula>0.85</formula>
    </cfRule>
  </conditionalFormatting>
  <conditionalFormatting sqref="N10">
    <cfRule type="cellIs" dxfId="301" priority="299" operator="greaterThan">
      <formula>0.9</formula>
    </cfRule>
    <cfRule type="cellIs" dxfId="300" priority="300" operator="greaterThan">
      <formula>0.85</formula>
    </cfRule>
  </conditionalFormatting>
  <conditionalFormatting sqref="E10">
    <cfRule type="expression" dxfId="299" priority="295">
      <formula>AND(IF(OR($Q10=1,$Q10=2),1,0),IF($X10&lt;=20,1,0))</formula>
    </cfRule>
    <cfRule type="expression" dxfId="298" priority="296">
      <formula>AND(IF($Q10=2,1,0),IF($X10&lt;30,1,0))</formula>
    </cfRule>
    <cfRule type="expression" dxfId="297" priority="297">
      <formula>AND(IF($Q10=3,1,0),IF($X10&lt;30,1,0))</formula>
    </cfRule>
    <cfRule type="expression" dxfId="296" priority="298">
      <formula>AND(IF($Q10=3,1,IF($Q10=4,1,0)),IF($F10&lt;=85,1,0))</formula>
    </cfRule>
  </conditionalFormatting>
  <conditionalFormatting sqref="X10">
    <cfRule type="expression" dxfId="295" priority="291">
      <formula>AND(IF(OR($Q10=1,$Q10=2),1,0),IF($X10&lt;=20,1,0))</formula>
    </cfRule>
    <cfRule type="expression" dxfId="294" priority="292">
      <formula>AND(IF($Q10=2,1,0),IF($X10&lt;30,1,0))</formula>
    </cfRule>
    <cfRule type="expression" dxfId="293" priority="293">
      <formula>AND(IF($Q10=3,1,0),IF($X10&lt;30,1,0))</formula>
    </cfRule>
    <cfRule type="expression" dxfId="292" priority="294">
      <formula>AND(IF($Q10=3,1,IF($Q10=4,1,0)),IF($F10&lt;=85,1,0))</formula>
    </cfRule>
  </conditionalFormatting>
  <conditionalFormatting sqref="AI10">
    <cfRule type="expression" dxfId="291" priority="287">
      <formula>AND(IF(OR($Q10=1,$Q10=2),1,0),IF($X10&lt;=20,1,0))</formula>
    </cfRule>
    <cfRule type="expression" dxfId="290" priority="288">
      <formula>AND(IF($Q10=2,1,0),IF($X10&lt;30,1,0))</formula>
    </cfRule>
    <cfRule type="expression" dxfId="289" priority="289">
      <formula>AND(IF($Q10=3,1,0),IF($X10&lt;30,1,0))</formula>
    </cfRule>
    <cfRule type="expression" dxfId="288" priority="290">
      <formula>AND(IF($Q10=3,1,IF($Q10=4,1,0)),IF($F10&lt;=85,1,0))</formula>
    </cfRule>
  </conditionalFormatting>
  <conditionalFormatting sqref="AV11">
    <cfRule type="expression" dxfId="287" priority="285">
      <formula>AV11="X"</formula>
    </cfRule>
    <cfRule type="expression" dxfId="286" priority="286">
      <formula>AV11="후보"</formula>
    </cfRule>
  </conditionalFormatting>
  <conditionalFormatting sqref="AC11">
    <cfRule type="cellIs" dxfId="285" priority="282" operator="greaterThan">
      <formula>0.9</formula>
    </cfRule>
    <cfRule type="cellIs" dxfId="284" priority="283" operator="greaterThan">
      <formula>0.85</formula>
    </cfRule>
  </conditionalFormatting>
  <conditionalFormatting sqref="N11">
    <cfRule type="cellIs" dxfId="283" priority="280" operator="greaterThan">
      <formula>0.9</formula>
    </cfRule>
    <cfRule type="cellIs" dxfId="282" priority="281" operator="greaterThan">
      <formula>0.85</formula>
    </cfRule>
  </conditionalFormatting>
  <conditionalFormatting sqref="E11">
    <cfRule type="expression" dxfId="281" priority="276">
      <formula>AND(IF(OR($Q11=1,$Q11=2),1,0),IF($X11&lt;=20,1,0))</formula>
    </cfRule>
    <cfRule type="expression" dxfId="280" priority="277">
      <formula>AND(IF($Q11=2,1,0),IF($X11&lt;30,1,0))</formula>
    </cfRule>
    <cfRule type="expression" dxfId="279" priority="278">
      <formula>AND(IF($Q11=3,1,0),IF($X11&lt;30,1,0))</formula>
    </cfRule>
    <cfRule type="expression" dxfId="278" priority="279">
      <formula>AND(IF($Q11=3,1,IF($Q11=4,1,0)),IF($F11&lt;=85,1,0))</formula>
    </cfRule>
  </conditionalFormatting>
  <conditionalFormatting sqref="X11">
    <cfRule type="expression" dxfId="277" priority="272">
      <formula>AND(IF(OR($Q11=1,$Q11=2),1,0),IF($X11&lt;=20,1,0))</formula>
    </cfRule>
    <cfRule type="expression" dxfId="276" priority="273">
      <formula>AND(IF($Q11=2,1,0),IF($X11&lt;30,1,0))</formula>
    </cfRule>
    <cfRule type="expression" dxfId="275" priority="274">
      <formula>AND(IF($Q11=3,1,0),IF($X11&lt;30,1,0))</formula>
    </cfRule>
    <cfRule type="expression" dxfId="274" priority="275">
      <formula>AND(IF($Q11=3,1,IF($Q11=4,1,0)),IF($F11&lt;=85,1,0))</formula>
    </cfRule>
  </conditionalFormatting>
  <conditionalFormatting sqref="AI11">
    <cfRule type="expression" dxfId="273" priority="268">
      <formula>AND(IF(OR($Q11=1,$Q11=2),1,0),IF($X11&lt;=20,1,0))</formula>
    </cfRule>
    <cfRule type="expression" dxfId="272" priority="269">
      <formula>AND(IF($Q11=2,1,0),IF($X11&lt;30,1,0))</formula>
    </cfRule>
    <cfRule type="expression" dxfId="271" priority="270">
      <formula>AND(IF($Q11=3,1,0),IF($X11&lt;30,1,0))</formula>
    </cfRule>
    <cfRule type="expression" dxfId="270" priority="271">
      <formula>AND(IF($Q11=3,1,IF($Q11=4,1,0)),IF($F11&lt;=85,1,0))</formula>
    </cfRule>
  </conditionalFormatting>
  <conditionalFormatting sqref="AV12">
    <cfRule type="expression" dxfId="269" priority="266">
      <formula>AV12="X"</formula>
    </cfRule>
    <cfRule type="expression" dxfId="268" priority="267">
      <formula>AV12="후보"</formula>
    </cfRule>
  </conditionalFormatting>
  <conditionalFormatting sqref="AC12 N12">
    <cfRule type="cellIs" dxfId="267" priority="263" operator="greaterThan">
      <formula>0.9</formula>
    </cfRule>
    <cfRule type="cellIs" dxfId="266" priority="264" operator="greaterThan">
      <formula>0.85</formula>
    </cfRule>
  </conditionalFormatting>
  <conditionalFormatting sqref="AV13">
    <cfRule type="expression" dxfId="265" priority="261">
      <formula>AV13="X"</formula>
    </cfRule>
    <cfRule type="expression" dxfId="264" priority="262">
      <formula>AV13="후보"</formula>
    </cfRule>
  </conditionalFormatting>
  <conditionalFormatting sqref="AC13">
    <cfRule type="cellIs" dxfId="263" priority="258" operator="greaterThan">
      <formula>0.9</formula>
    </cfRule>
    <cfRule type="cellIs" dxfId="262" priority="259" operator="greaterThan">
      <formula>0.85</formula>
    </cfRule>
  </conditionalFormatting>
  <conditionalFormatting sqref="N13">
    <cfRule type="cellIs" dxfId="261" priority="256" operator="greaterThan">
      <formula>0.9</formula>
    </cfRule>
    <cfRule type="cellIs" dxfId="260" priority="257" operator="greaterThan">
      <formula>0.85</formula>
    </cfRule>
  </conditionalFormatting>
  <conditionalFormatting sqref="E13">
    <cfRule type="expression" dxfId="259" priority="252">
      <formula>AND(IF(OR($Q13=1,$Q13=2),1,0),IF($X13&lt;=20,1,0))</formula>
    </cfRule>
    <cfRule type="expression" dxfId="258" priority="253">
      <formula>AND(IF($Q13=2,1,0),IF($X13&lt;30,1,0))</formula>
    </cfRule>
    <cfRule type="expression" dxfId="257" priority="254">
      <formula>AND(IF($Q13=3,1,0),IF($X13&lt;30,1,0))</formula>
    </cfRule>
    <cfRule type="expression" dxfId="256" priority="255">
      <formula>AND(IF($Q13=3,1,IF($Q13=4,1,0)),IF($F13&lt;=85,1,0))</formula>
    </cfRule>
  </conditionalFormatting>
  <conditionalFormatting sqref="X13">
    <cfRule type="expression" dxfId="255" priority="248">
      <formula>AND(IF(OR($Q13=1,$Q13=2),1,0),IF($X13&lt;=20,1,0))</formula>
    </cfRule>
    <cfRule type="expression" dxfId="254" priority="249">
      <formula>AND(IF($Q13=2,1,0),IF($X13&lt;30,1,0))</formula>
    </cfRule>
    <cfRule type="expression" dxfId="253" priority="250">
      <formula>AND(IF($Q13=3,1,0),IF($X13&lt;30,1,0))</formula>
    </cfRule>
    <cfRule type="expression" dxfId="252" priority="251">
      <formula>AND(IF($Q13=3,1,IF($Q13=4,1,0)),IF($F13&lt;=85,1,0))</formula>
    </cfRule>
  </conditionalFormatting>
  <conditionalFormatting sqref="AI13">
    <cfRule type="expression" dxfId="251" priority="244">
      <formula>AND(IF(OR($Q13=1,$Q13=2),1,0),IF($X13&lt;=20,1,0))</formula>
    </cfRule>
    <cfRule type="expression" dxfId="250" priority="245">
      <formula>AND(IF($Q13=2,1,0),IF($X13&lt;30,1,0))</formula>
    </cfRule>
    <cfRule type="expression" dxfId="249" priority="246">
      <formula>AND(IF($Q13=3,1,0),IF($X13&lt;30,1,0))</formula>
    </cfRule>
    <cfRule type="expression" dxfId="248" priority="247">
      <formula>AND(IF($Q13=3,1,IF($Q13=4,1,0)),IF($F13&lt;=85,1,0))</formula>
    </cfRule>
  </conditionalFormatting>
  <conditionalFormatting sqref="AV14">
    <cfRule type="expression" dxfId="247" priority="242">
      <formula>AV14="X"</formula>
    </cfRule>
    <cfRule type="expression" dxfId="246" priority="243">
      <formula>AV14="후보"</formula>
    </cfRule>
  </conditionalFormatting>
  <conditionalFormatting sqref="AC14">
    <cfRule type="cellIs" dxfId="245" priority="239" operator="greaterThan">
      <formula>0.9</formula>
    </cfRule>
    <cfRule type="cellIs" dxfId="244" priority="240" operator="greaterThan">
      <formula>0.85</formula>
    </cfRule>
  </conditionalFormatting>
  <conditionalFormatting sqref="N14">
    <cfRule type="cellIs" dxfId="243" priority="237" operator="greaterThan">
      <formula>0.9</formula>
    </cfRule>
    <cfRule type="cellIs" dxfId="242" priority="238" operator="greaterThan">
      <formula>0.85</formula>
    </cfRule>
  </conditionalFormatting>
  <conditionalFormatting sqref="E14">
    <cfRule type="expression" dxfId="241" priority="233">
      <formula>AND(IF(OR($Q14=1,$Q14=2),1,0),IF($X14&lt;=20,1,0))</formula>
    </cfRule>
    <cfRule type="expression" dxfId="240" priority="234">
      <formula>AND(IF($Q14=2,1,0),IF($X14&lt;30,1,0))</formula>
    </cfRule>
    <cfRule type="expression" dxfId="239" priority="235">
      <formula>AND(IF($Q14=3,1,0),IF($X14&lt;30,1,0))</formula>
    </cfRule>
    <cfRule type="expression" dxfId="238" priority="236">
      <formula>AND(IF($Q14=3,1,IF($Q14=4,1,0)),IF($F14&lt;=85,1,0))</formula>
    </cfRule>
  </conditionalFormatting>
  <conditionalFormatting sqref="X14">
    <cfRule type="expression" dxfId="237" priority="229">
      <formula>AND(IF(OR($Q14=1,$Q14=2),1,0),IF($X14&lt;=20,1,0))</formula>
    </cfRule>
    <cfRule type="expression" dxfId="236" priority="230">
      <formula>AND(IF($Q14=2,1,0),IF($X14&lt;30,1,0))</formula>
    </cfRule>
    <cfRule type="expression" dxfId="235" priority="231">
      <formula>AND(IF($Q14=3,1,0),IF($X14&lt;30,1,0))</formula>
    </cfRule>
    <cfRule type="expression" dxfId="234" priority="232">
      <formula>AND(IF($Q14=3,1,IF($Q14=4,1,0)),IF($F14&lt;=85,1,0))</formula>
    </cfRule>
  </conditionalFormatting>
  <conditionalFormatting sqref="AI14">
    <cfRule type="expression" dxfId="233" priority="225">
      <formula>AND(IF(OR($Q14=1,$Q14=2),1,0),IF($X14&lt;=20,1,0))</formula>
    </cfRule>
    <cfRule type="expression" dxfId="232" priority="226">
      <formula>AND(IF($Q14=2,1,0),IF($X14&lt;30,1,0))</formula>
    </cfRule>
    <cfRule type="expression" dxfId="231" priority="227">
      <formula>AND(IF($Q14=3,1,0),IF($X14&lt;30,1,0))</formula>
    </cfRule>
    <cfRule type="expression" dxfId="230" priority="228">
      <formula>AND(IF($Q14=3,1,IF($Q14=4,1,0)),IF($F14&lt;=85,1,0))</formula>
    </cfRule>
  </conditionalFormatting>
  <conditionalFormatting sqref="AV15">
    <cfRule type="expression" dxfId="229" priority="223">
      <formula>AV15="X"</formula>
    </cfRule>
    <cfRule type="expression" dxfId="228" priority="224">
      <formula>AV15="후보"</formula>
    </cfRule>
  </conditionalFormatting>
  <conditionalFormatting sqref="AC15">
    <cfRule type="cellIs" dxfId="227" priority="220" operator="greaterThan">
      <formula>0.9</formula>
    </cfRule>
    <cfRule type="cellIs" dxfId="226" priority="221" operator="greaterThan">
      <formula>0.85</formula>
    </cfRule>
  </conditionalFormatting>
  <conditionalFormatting sqref="N15">
    <cfRule type="cellIs" dxfId="225" priority="218" operator="greaterThan">
      <formula>0.9</formula>
    </cfRule>
    <cfRule type="cellIs" dxfId="224" priority="219" operator="greaterThan">
      <formula>0.85</formula>
    </cfRule>
  </conditionalFormatting>
  <conditionalFormatting sqref="E15">
    <cfRule type="expression" dxfId="223" priority="214">
      <formula>AND(IF(OR($Q15=1,$Q15=2),1,0),IF($X15&lt;=20,1,0))</formula>
    </cfRule>
    <cfRule type="expression" dxfId="222" priority="215">
      <formula>AND(IF($Q15=2,1,0),IF($X15&lt;30,1,0))</formula>
    </cfRule>
    <cfRule type="expression" dxfId="221" priority="216">
      <formula>AND(IF($Q15=3,1,0),IF($X15&lt;30,1,0))</formula>
    </cfRule>
    <cfRule type="expression" dxfId="220" priority="217">
      <formula>AND(IF($Q15=3,1,IF($Q15=4,1,0)),IF($F15&lt;=85,1,0))</formula>
    </cfRule>
  </conditionalFormatting>
  <conditionalFormatting sqref="X15">
    <cfRule type="expression" dxfId="219" priority="210">
      <formula>AND(IF(OR($Q15=1,$Q15=2),1,0),IF($X15&lt;=20,1,0))</formula>
    </cfRule>
    <cfRule type="expression" dxfId="218" priority="211">
      <formula>AND(IF($Q15=2,1,0),IF($X15&lt;30,1,0))</formula>
    </cfRule>
    <cfRule type="expression" dxfId="217" priority="212">
      <formula>AND(IF($Q15=3,1,0),IF($X15&lt;30,1,0))</formula>
    </cfRule>
    <cfRule type="expression" dxfId="216" priority="213">
      <formula>AND(IF($Q15=3,1,IF($Q15=4,1,0)),IF($F15&lt;=85,1,0))</formula>
    </cfRule>
  </conditionalFormatting>
  <conditionalFormatting sqref="AI15">
    <cfRule type="expression" dxfId="215" priority="206">
      <formula>AND(IF(OR($Q15=1,$Q15=2),1,0),IF($X15&lt;=20,1,0))</formula>
    </cfRule>
    <cfRule type="expression" dxfId="214" priority="207">
      <formula>AND(IF($Q15=2,1,0),IF($X15&lt;30,1,0))</formula>
    </cfRule>
    <cfRule type="expression" dxfId="213" priority="208">
      <formula>AND(IF($Q15=3,1,0),IF($X15&lt;30,1,0))</formula>
    </cfRule>
    <cfRule type="expression" dxfId="212" priority="209">
      <formula>AND(IF($Q15=3,1,IF($Q15=4,1,0)),IF($F15&lt;=85,1,0))</formula>
    </cfRule>
  </conditionalFormatting>
  <conditionalFormatting sqref="AV16">
    <cfRule type="expression" dxfId="211" priority="204">
      <formula>AV16="X"</formula>
    </cfRule>
    <cfRule type="expression" dxfId="210" priority="205">
      <formula>AV16="후보"</formula>
    </cfRule>
  </conditionalFormatting>
  <conditionalFormatting sqref="AC16 N16">
    <cfRule type="cellIs" dxfId="209" priority="201" operator="greaterThan">
      <formula>0.9</formula>
    </cfRule>
    <cfRule type="cellIs" dxfId="208" priority="202" operator="greaterThan">
      <formula>0.85</formula>
    </cfRule>
  </conditionalFormatting>
  <conditionalFormatting sqref="AV17">
    <cfRule type="expression" dxfId="207" priority="199">
      <formula>AV17="X"</formula>
    </cfRule>
    <cfRule type="expression" dxfId="206" priority="200">
      <formula>AV17="후보"</formula>
    </cfRule>
  </conditionalFormatting>
  <conditionalFormatting sqref="AC17">
    <cfRule type="cellIs" dxfId="205" priority="196" operator="greaterThan">
      <formula>0.9</formula>
    </cfRule>
    <cfRule type="cellIs" dxfId="204" priority="197" operator="greaterThan">
      <formula>0.85</formula>
    </cfRule>
  </conditionalFormatting>
  <conditionalFormatting sqref="N17">
    <cfRule type="cellIs" dxfId="203" priority="194" operator="greaterThan">
      <formula>0.9</formula>
    </cfRule>
    <cfRule type="cellIs" dxfId="202" priority="195" operator="greaterThan">
      <formula>0.85</formula>
    </cfRule>
  </conditionalFormatting>
  <conditionalFormatting sqref="E17">
    <cfRule type="expression" dxfId="201" priority="190">
      <formula>AND(IF(OR($Q17=1,$Q17=2),1,0),IF($X17&lt;=20,1,0))</formula>
    </cfRule>
    <cfRule type="expression" dxfId="200" priority="191">
      <formula>AND(IF($Q17=2,1,0),IF($X17&lt;30,1,0))</formula>
    </cfRule>
    <cfRule type="expression" dxfId="199" priority="192">
      <formula>AND(IF($Q17=3,1,0),IF($X17&lt;30,1,0))</formula>
    </cfRule>
    <cfRule type="expression" dxfId="198" priority="193">
      <formula>AND(IF($Q17=3,1,IF($Q17=4,1,0)),IF($F17&lt;=85,1,0))</formula>
    </cfRule>
  </conditionalFormatting>
  <conditionalFormatting sqref="X17">
    <cfRule type="expression" dxfId="197" priority="186">
      <formula>AND(IF(OR($Q17=1,$Q17=2),1,0),IF($X17&lt;=20,1,0))</formula>
    </cfRule>
    <cfRule type="expression" dxfId="196" priority="187">
      <formula>AND(IF($Q17=2,1,0),IF($X17&lt;30,1,0))</formula>
    </cfRule>
    <cfRule type="expression" dxfId="195" priority="188">
      <formula>AND(IF($Q17=3,1,0),IF($X17&lt;30,1,0))</formula>
    </cfRule>
    <cfRule type="expression" dxfId="194" priority="189">
      <formula>AND(IF($Q17=3,1,IF($Q17=4,1,0)),IF($F17&lt;=85,1,0))</formula>
    </cfRule>
  </conditionalFormatting>
  <conditionalFormatting sqref="AI17">
    <cfRule type="expression" dxfId="193" priority="182">
      <formula>AND(IF(OR($Q17=1,$Q17=2),1,0),IF($X17&lt;=20,1,0))</formula>
    </cfRule>
    <cfRule type="expression" dxfId="192" priority="183">
      <formula>AND(IF($Q17=2,1,0),IF($X17&lt;30,1,0))</formula>
    </cfRule>
    <cfRule type="expression" dxfId="191" priority="184">
      <formula>AND(IF($Q17=3,1,0),IF($X17&lt;30,1,0))</formula>
    </cfRule>
    <cfRule type="expression" dxfId="190" priority="185">
      <formula>AND(IF($Q17=3,1,IF($Q17=4,1,0)),IF($F17&lt;=85,1,0))</formula>
    </cfRule>
  </conditionalFormatting>
  <conditionalFormatting sqref="AV18">
    <cfRule type="expression" dxfId="189" priority="180">
      <formula>AV18="X"</formula>
    </cfRule>
    <cfRule type="expression" dxfId="188" priority="181">
      <formula>AV18="후보"</formula>
    </cfRule>
  </conditionalFormatting>
  <conditionalFormatting sqref="AC18">
    <cfRule type="cellIs" dxfId="187" priority="177" operator="greaterThan">
      <formula>0.9</formula>
    </cfRule>
    <cfRule type="cellIs" dxfId="186" priority="178" operator="greaterThan">
      <formula>0.85</formula>
    </cfRule>
  </conditionalFormatting>
  <conditionalFormatting sqref="N18">
    <cfRule type="cellIs" dxfId="185" priority="175" operator="greaterThan">
      <formula>0.9</formula>
    </cfRule>
    <cfRule type="cellIs" dxfId="184" priority="176" operator="greaterThan">
      <formula>0.85</formula>
    </cfRule>
  </conditionalFormatting>
  <conditionalFormatting sqref="E18">
    <cfRule type="expression" dxfId="183" priority="171">
      <formula>AND(IF(OR($Q18=1,$Q18=2),1,0),IF($X18&lt;=20,1,0))</formula>
    </cfRule>
    <cfRule type="expression" dxfId="182" priority="172">
      <formula>AND(IF($Q18=2,1,0),IF($X18&lt;30,1,0))</formula>
    </cfRule>
    <cfRule type="expression" dxfId="181" priority="173">
      <formula>AND(IF($Q18=3,1,0),IF($X18&lt;30,1,0))</formula>
    </cfRule>
    <cfRule type="expression" dxfId="180" priority="174">
      <formula>AND(IF($Q18=3,1,IF($Q18=4,1,0)),IF($F18&lt;=85,1,0))</formula>
    </cfRule>
  </conditionalFormatting>
  <conditionalFormatting sqref="X18">
    <cfRule type="expression" dxfId="179" priority="167">
      <formula>AND(IF(OR($Q18=1,$Q18=2),1,0),IF($X18&lt;=20,1,0))</formula>
    </cfRule>
    <cfRule type="expression" dxfId="178" priority="168">
      <formula>AND(IF($Q18=2,1,0),IF($X18&lt;30,1,0))</formula>
    </cfRule>
    <cfRule type="expression" dxfId="177" priority="169">
      <formula>AND(IF($Q18=3,1,0),IF($X18&lt;30,1,0))</formula>
    </cfRule>
    <cfRule type="expression" dxfId="176" priority="170">
      <formula>AND(IF($Q18=3,1,IF($Q18=4,1,0)),IF($F18&lt;=85,1,0))</formula>
    </cfRule>
  </conditionalFormatting>
  <conditionalFormatting sqref="AI18">
    <cfRule type="expression" dxfId="175" priority="163">
      <formula>AND(IF(OR($Q18=1,$Q18=2),1,0),IF($X18&lt;=20,1,0))</formula>
    </cfRule>
    <cfRule type="expression" dxfId="174" priority="164">
      <formula>AND(IF($Q18=2,1,0),IF($X18&lt;30,1,0))</formula>
    </cfRule>
    <cfRule type="expression" dxfId="173" priority="165">
      <formula>AND(IF($Q18=3,1,0),IF($X18&lt;30,1,0))</formula>
    </cfRule>
    <cfRule type="expression" dxfId="172" priority="166">
      <formula>AND(IF($Q18=3,1,IF($Q18=4,1,0)),IF($F18&lt;=85,1,0))</formula>
    </cfRule>
  </conditionalFormatting>
  <conditionalFormatting sqref="AV19">
    <cfRule type="expression" dxfId="171" priority="161">
      <formula>AV19="X"</formula>
    </cfRule>
    <cfRule type="expression" dxfId="170" priority="162">
      <formula>AV19="후보"</formula>
    </cfRule>
  </conditionalFormatting>
  <conditionalFormatting sqref="AC19">
    <cfRule type="cellIs" dxfId="169" priority="158" operator="greaterThan">
      <formula>0.9</formula>
    </cfRule>
    <cfRule type="cellIs" dxfId="168" priority="159" operator="greaterThan">
      <formula>0.85</formula>
    </cfRule>
  </conditionalFormatting>
  <conditionalFormatting sqref="N19">
    <cfRule type="cellIs" dxfId="167" priority="156" operator="greaterThan">
      <formula>0.9</formula>
    </cfRule>
    <cfRule type="cellIs" dxfId="166" priority="157" operator="greaterThan">
      <formula>0.85</formula>
    </cfRule>
  </conditionalFormatting>
  <conditionalFormatting sqref="E19">
    <cfRule type="expression" dxfId="165" priority="152">
      <formula>AND(IF(OR($Q19=1,$Q19=2),1,0),IF($X19&lt;=20,1,0))</formula>
    </cfRule>
    <cfRule type="expression" dxfId="164" priority="153">
      <formula>AND(IF($Q19=2,1,0),IF($X19&lt;30,1,0))</formula>
    </cfRule>
    <cfRule type="expression" dxfId="163" priority="154">
      <formula>AND(IF($Q19=3,1,0),IF($X19&lt;30,1,0))</formula>
    </cfRule>
    <cfRule type="expression" dxfId="162" priority="155">
      <formula>AND(IF($Q19=3,1,IF($Q19=4,1,0)),IF($F19&lt;=85,1,0))</formula>
    </cfRule>
  </conditionalFormatting>
  <conditionalFormatting sqref="X19">
    <cfRule type="expression" dxfId="161" priority="148">
      <formula>AND(IF(OR($Q19=1,$Q19=2),1,0),IF($X19&lt;=20,1,0))</formula>
    </cfRule>
    <cfRule type="expression" dxfId="160" priority="149">
      <formula>AND(IF($Q19=2,1,0),IF($X19&lt;30,1,0))</formula>
    </cfRule>
    <cfRule type="expression" dxfId="159" priority="150">
      <formula>AND(IF($Q19=3,1,0),IF($X19&lt;30,1,0))</formula>
    </cfRule>
    <cfRule type="expression" dxfId="158" priority="151">
      <formula>AND(IF($Q19=3,1,IF($Q19=4,1,0)),IF($F19&lt;=85,1,0))</formula>
    </cfRule>
  </conditionalFormatting>
  <conditionalFormatting sqref="AI19">
    <cfRule type="expression" dxfId="157" priority="144">
      <formula>AND(IF(OR($Q19=1,$Q19=2),1,0),IF($X19&lt;=20,1,0))</formula>
    </cfRule>
    <cfRule type="expression" dxfId="156" priority="145">
      <formula>AND(IF($Q19=2,1,0),IF($X19&lt;30,1,0))</formula>
    </cfRule>
    <cfRule type="expression" dxfId="155" priority="146">
      <formula>AND(IF($Q19=3,1,0),IF($X19&lt;30,1,0))</formula>
    </cfRule>
    <cfRule type="expression" dxfId="154" priority="147">
      <formula>AND(IF($Q19=3,1,IF($Q19=4,1,0)),IF($F19&lt;=85,1,0))</formula>
    </cfRule>
  </conditionalFormatting>
  <conditionalFormatting sqref="AV20">
    <cfRule type="expression" dxfId="153" priority="142">
      <formula>AV20="X"</formula>
    </cfRule>
    <cfRule type="expression" dxfId="152" priority="143">
      <formula>AV20="후보"</formula>
    </cfRule>
  </conditionalFormatting>
  <conditionalFormatting sqref="AC20 N20">
    <cfRule type="cellIs" dxfId="151" priority="139" operator="greaterThan">
      <formula>0.9</formula>
    </cfRule>
    <cfRule type="cellIs" dxfId="150" priority="140" operator="greaterThan">
      <formula>0.85</formula>
    </cfRule>
  </conditionalFormatting>
  <conditionalFormatting sqref="AV21">
    <cfRule type="expression" dxfId="149" priority="137">
      <formula>AV21="X"</formula>
    </cfRule>
    <cfRule type="expression" dxfId="148" priority="138">
      <formula>AV21="후보"</formula>
    </cfRule>
  </conditionalFormatting>
  <conditionalFormatting sqref="AC21">
    <cfRule type="cellIs" dxfId="147" priority="134" operator="greaterThan">
      <formula>0.9</formula>
    </cfRule>
    <cfRule type="cellIs" dxfId="146" priority="135" operator="greaterThan">
      <formula>0.85</formula>
    </cfRule>
  </conditionalFormatting>
  <conditionalFormatting sqref="N21">
    <cfRule type="cellIs" dxfId="145" priority="132" operator="greaterThan">
      <formula>0.9</formula>
    </cfRule>
    <cfRule type="cellIs" dxfId="144" priority="133" operator="greaterThan">
      <formula>0.85</formula>
    </cfRule>
  </conditionalFormatting>
  <conditionalFormatting sqref="E21">
    <cfRule type="expression" dxfId="143" priority="128">
      <formula>AND(IF(OR($Q21=1,$Q21=2),1,0),IF($X21&lt;=20,1,0))</formula>
    </cfRule>
    <cfRule type="expression" dxfId="142" priority="129">
      <formula>AND(IF($Q21=2,1,0),IF($X21&lt;30,1,0))</formula>
    </cfRule>
    <cfRule type="expression" dxfId="141" priority="130">
      <formula>AND(IF($Q21=3,1,0),IF($X21&lt;30,1,0))</formula>
    </cfRule>
    <cfRule type="expression" dxfId="140" priority="131">
      <formula>AND(IF($Q21=3,1,IF($Q21=4,1,0)),IF($F21&lt;=85,1,0))</formula>
    </cfRule>
  </conditionalFormatting>
  <conditionalFormatting sqref="X21">
    <cfRule type="expression" dxfId="139" priority="124">
      <formula>AND(IF(OR($Q21=1,$Q21=2),1,0),IF($X21&lt;=20,1,0))</formula>
    </cfRule>
    <cfRule type="expression" dxfId="138" priority="125">
      <formula>AND(IF($Q21=2,1,0),IF($X21&lt;30,1,0))</formula>
    </cfRule>
    <cfRule type="expression" dxfId="137" priority="126">
      <formula>AND(IF($Q21=3,1,0),IF($X21&lt;30,1,0))</formula>
    </cfRule>
    <cfRule type="expression" dxfId="136" priority="127">
      <formula>AND(IF($Q21=3,1,IF($Q21=4,1,0)),IF($F21&lt;=85,1,0))</formula>
    </cfRule>
  </conditionalFormatting>
  <conditionalFormatting sqref="AI21">
    <cfRule type="expression" dxfId="135" priority="120">
      <formula>AND(IF(OR($Q21=1,$Q21=2),1,0),IF($X21&lt;=20,1,0))</formula>
    </cfRule>
    <cfRule type="expression" dxfId="134" priority="121">
      <formula>AND(IF($Q21=2,1,0),IF($X21&lt;30,1,0))</formula>
    </cfRule>
    <cfRule type="expression" dxfId="133" priority="122">
      <formula>AND(IF($Q21=3,1,0),IF($X21&lt;30,1,0))</formula>
    </cfRule>
    <cfRule type="expression" dxfId="132" priority="123">
      <formula>AND(IF($Q21=3,1,IF($Q21=4,1,0)),IF($F21&lt;=85,1,0))</formula>
    </cfRule>
  </conditionalFormatting>
  <conditionalFormatting sqref="AV22">
    <cfRule type="expression" dxfId="131" priority="118">
      <formula>AV22="X"</formula>
    </cfRule>
    <cfRule type="expression" dxfId="130" priority="119">
      <formula>AV22="후보"</formula>
    </cfRule>
  </conditionalFormatting>
  <conditionalFormatting sqref="AC22">
    <cfRule type="cellIs" dxfId="129" priority="115" operator="greaterThan">
      <formula>0.9</formula>
    </cfRule>
    <cfRule type="cellIs" dxfId="128" priority="116" operator="greaterThan">
      <formula>0.85</formula>
    </cfRule>
  </conditionalFormatting>
  <conditionalFormatting sqref="N22">
    <cfRule type="cellIs" dxfId="127" priority="113" operator="greaterThan">
      <formula>0.9</formula>
    </cfRule>
    <cfRule type="cellIs" dxfId="126" priority="114" operator="greaterThan">
      <formula>0.85</formula>
    </cfRule>
  </conditionalFormatting>
  <conditionalFormatting sqref="E22">
    <cfRule type="expression" dxfId="125" priority="109">
      <formula>AND(IF(OR($Q22=1,$Q22=2),1,0),IF($X22&lt;=20,1,0))</formula>
    </cfRule>
    <cfRule type="expression" dxfId="124" priority="110">
      <formula>AND(IF($Q22=2,1,0),IF($X22&lt;30,1,0))</formula>
    </cfRule>
    <cfRule type="expression" dxfId="123" priority="111">
      <formula>AND(IF($Q22=3,1,0),IF($X22&lt;30,1,0))</formula>
    </cfRule>
    <cfRule type="expression" dxfId="122" priority="112">
      <formula>AND(IF($Q22=3,1,IF($Q22=4,1,0)),IF($F22&lt;=85,1,0))</formula>
    </cfRule>
  </conditionalFormatting>
  <conditionalFormatting sqref="X22">
    <cfRule type="expression" dxfId="121" priority="105">
      <formula>AND(IF(OR($Q22=1,$Q22=2),1,0),IF($X22&lt;=20,1,0))</formula>
    </cfRule>
    <cfRule type="expression" dxfId="120" priority="106">
      <formula>AND(IF($Q22=2,1,0),IF($X22&lt;30,1,0))</formula>
    </cfRule>
    <cfRule type="expression" dxfId="119" priority="107">
      <formula>AND(IF($Q22=3,1,0),IF($X22&lt;30,1,0))</formula>
    </cfRule>
    <cfRule type="expression" dxfId="118" priority="108">
      <formula>AND(IF($Q22=3,1,IF($Q22=4,1,0)),IF($F22&lt;=85,1,0))</formula>
    </cfRule>
  </conditionalFormatting>
  <conditionalFormatting sqref="AI22">
    <cfRule type="expression" dxfId="117" priority="101">
      <formula>AND(IF(OR($Q22=1,$Q22=2),1,0),IF($X22&lt;=20,1,0))</formula>
    </cfRule>
    <cfRule type="expression" dxfId="116" priority="102">
      <formula>AND(IF($Q22=2,1,0),IF($X22&lt;30,1,0))</formula>
    </cfRule>
    <cfRule type="expression" dxfId="115" priority="103">
      <formula>AND(IF($Q22=3,1,0),IF($X22&lt;30,1,0))</formula>
    </cfRule>
    <cfRule type="expression" dxfId="114" priority="104">
      <formula>AND(IF($Q22=3,1,IF($Q22=4,1,0)),IF($F22&lt;=85,1,0))</formula>
    </cfRule>
  </conditionalFormatting>
  <conditionalFormatting sqref="AV23">
    <cfRule type="expression" dxfId="113" priority="99">
      <formula>AV23="X"</formula>
    </cfRule>
    <cfRule type="expression" dxfId="112" priority="100">
      <formula>AV23="후보"</formula>
    </cfRule>
  </conditionalFormatting>
  <conditionalFormatting sqref="AC23">
    <cfRule type="cellIs" dxfId="111" priority="96" operator="greaterThan">
      <formula>0.9</formula>
    </cfRule>
    <cfRule type="cellIs" dxfId="110" priority="97" operator="greaterThan">
      <formula>0.85</formula>
    </cfRule>
  </conditionalFormatting>
  <conditionalFormatting sqref="N23">
    <cfRule type="cellIs" dxfId="109" priority="94" operator="greaterThan">
      <formula>0.9</formula>
    </cfRule>
    <cfRule type="cellIs" dxfId="108" priority="95" operator="greaterThan">
      <formula>0.85</formula>
    </cfRule>
  </conditionalFormatting>
  <conditionalFormatting sqref="E23">
    <cfRule type="expression" dxfId="107" priority="90">
      <formula>AND(IF(OR($Q23=1,$Q23=2),1,0),IF($X23&lt;=20,1,0))</formula>
    </cfRule>
    <cfRule type="expression" dxfId="106" priority="91">
      <formula>AND(IF($Q23=2,1,0),IF($X23&lt;30,1,0))</formula>
    </cfRule>
    <cfRule type="expression" dxfId="105" priority="92">
      <formula>AND(IF($Q23=3,1,0),IF($X23&lt;30,1,0))</formula>
    </cfRule>
    <cfRule type="expression" dxfId="104" priority="93">
      <formula>AND(IF($Q23=3,1,IF($Q23=4,1,0)),IF($F23&lt;=85,1,0))</formula>
    </cfRule>
  </conditionalFormatting>
  <conditionalFormatting sqref="X23">
    <cfRule type="expression" dxfId="103" priority="86">
      <formula>AND(IF(OR($Q23=1,$Q23=2),1,0),IF($X23&lt;=20,1,0))</formula>
    </cfRule>
    <cfRule type="expression" dxfId="102" priority="87">
      <formula>AND(IF($Q23=2,1,0),IF($X23&lt;30,1,0))</formula>
    </cfRule>
    <cfRule type="expression" dxfId="101" priority="88">
      <formula>AND(IF($Q23=3,1,0),IF($X23&lt;30,1,0))</formula>
    </cfRule>
    <cfRule type="expression" dxfId="100" priority="89">
      <formula>AND(IF($Q23=3,1,IF($Q23=4,1,0)),IF($F23&lt;=85,1,0))</formula>
    </cfRule>
  </conditionalFormatting>
  <conditionalFormatting sqref="AI23">
    <cfRule type="expression" dxfId="99" priority="82">
      <formula>AND(IF(OR($Q23=1,$Q23=2),1,0),IF($X23&lt;=20,1,0))</formula>
    </cfRule>
    <cfRule type="expression" dxfId="98" priority="83">
      <formula>AND(IF($Q23=2,1,0),IF($X23&lt;30,1,0))</formula>
    </cfRule>
    <cfRule type="expression" dxfId="97" priority="84">
      <formula>AND(IF($Q23=3,1,0),IF($X23&lt;30,1,0))</formula>
    </cfRule>
    <cfRule type="expression" dxfId="96" priority="85">
      <formula>AND(IF($Q23=3,1,IF($Q23=4,1,0)),IF($F23&lt;=85,1,0))</formula>
    </cfRule>
  </conditionalFormatting>
  <conditionalFormatting sqref="AV24">
    <cfRule type="expression" dxfId="95" priority="80">
      <formula>AV24="X"</formula>
    </cfRule>
    <cfRule type="expression" dxfId="94" priority="81">
      <formula>AV24="후보"</formula>
    </cfRule>
  </conditionalFormatting>
  <conditionalFormatting sqref="AC24">
    <cfRule type="cellIs" dxfId="93" priority="77" operator="greaterThan">
      <formula>0.9</formula>
    </cfRule>
    <cfRule type="cellIs" dxfId="92" priority="78" operator="greaterThan">
      <formula>0.85</formula>
    </cfRule>
  </conditionalFormatting>
  <conditionalFormatting sqref="N24">
    <cfRule type="cellIs" dxfId="91" priority="75" operator="greaterThan">
      <formula>0.9</formula>
    </cfRule>
    <cfRule type="cellIs" dxfId="90" priority="76" operator="greaterThan">
      <formula>0.85</formula>
    </cfRule>
  </conditionalFormatting>
  <conditionalFormatting sqref="E24">
    <cfRule type="expression" dxfId="89" priority="71">
      <formula>AND(IF(OR($Q24=1,$Q24=2),1,0),IF($X24&lt;=20,1,0))</formula>
    </cfRule>
    <cfRule type="expression" dxfId="88" priority="72">
      <formula>AND(IF($Q24=2,1,0),IF($X24&lt;30,1,0))</formula>
    </cfRule>
    <cfRule type="expression" dxfId="87" priority="73">
      <formula>AND(IF($Q24=3,1,0),IF($X24&lt;30,1,0))</formula>
    </cfRule>
    <cfRule type="expression" dxfId="86" priority="74">
      <formula>AND(IF($Q24=3,1,IF($Q24=4,1,0)),IF($F24&lt;=85,1,0))</formula>
    </cfRule>
  </conditionalFormatting>
  <conditionalFormatting sqref="X24">
    <cfRule type="expression" dxfId="85" priority="67">
      <formula>AND(IF(OR($Q24=1,$Q24=2),1,0),IF($X24&lt;=20,1,0))</formula>
    </cfRule>
    <cfRule type="expression" dxfId="84" priority="68">
      <formula>AND(IF($Q24=2,1,0),IF($X24&lt;30,1,0))</formula>
    </cfRule>
    <cfRule type="expression" dxfId="83" priority="69">
      <formula>AND(IF($Q24=3,1,0),IF($X24&lt;30,1,0))</formula>
    </cfRule>
    <cfRule type="expression" dxfId="82" priority="70">
      <formula>AND(IF($Q24=3,1,IF($Q24=4,1,0)),IF($F24&lt;=85,1,0))</formula>
    </cfRule>
  </conditionalFormatting>
  <conditionalFormatting sqref="AI24">
    <cfRule type="expression" dxfId="81" priority="63">
      <formula>AND(IF(OR($Q24=1,$Q24=2),1,0),IF($X24&lt;=20,1,0))</formula>
    </cfRule>
    <cfRule type="expression" dxfId="80" priority="64">
      <formula>AND(IF($Q24=2,1,0),IF($X24&lt;30,1,0))</formula>
    </cfRule>
    <cfRule type="expression" dxfId="79" priority="65">
      <formula>AND(IF($Q24=3,1,0),IF($X24&lt;30,1,0))</formula>
    </cfRule>
    <cfRule type="expression" dxfId="78" priority="66">
      <formula>AND(IF($Q24=3,1,IF($Q24=4,1,0)),IF($F24&lt;=85,1,0))</formula>
    </cfRule>
  </conditionalFormatting>
  <conditionalFormatting sqref="AV25">
    <cfRule type="expression" dxfId="77" priority="61">
      <formula>AV25="X"</formula>
    </cfRule>
    <cfRule type="expression" dxfId="76" priority="62">
      <formula>AV25="후보"</formula>
    </cfRule>
  </conditionalFormatting>
  <conditionalFormatting sqref="AC25 N25">
    <cfRule type="cellIs" dxfId="75" priority="58" operator="greaterThan">
      <formula>0.9</formula>
    </cfRule>
    <cfRule type="cellIs" dxfId="74" priority="59" operator="greaterThan">
      <formula>0.85</formula>
    </cfRule>
  </conditionalFormatting>
  <conditionalFormatting sqref="AV26">
    <cfRule type="expression" dxfId="73" priority="56">
      <formula>AV26="X"</formula>
    </cfRule>
    <cfRule type="expression" dxfId="72" priority="57">
      <formula>AV26="후보"</formula>
    </cfRule>
  </conditionalFormatting>
  <conditionalFormatting sqref="AC26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26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26">
    <cfRule type="expression" dxfId="67" priority="47">
      <formula>AND(IF(OR($Q26=1,$Q26=2),1,0),IF($X26&lt;=20,1,0))</formula>
    </cfRule>
    <cfRule type="expression" dxfId="66" priority="48">
      <formula>AND(IF($Q26=2,1,0),IF($X26&lt;30,1,0))</formula>
    </cfRule>
    <cfRule type="expression" dxfId="65" priority="49">
      <formula>AND(IF($Q26=3,1,0),IF($X26&lt;30,1,0))</formula>
    </cfRule>
    <cfRule type="expression" dxfId="64" priority="50">
      <formula>AND(IF($Q26=3,1,IF($Q26=4,1,0)),IF($F26&lt;=85,1,0))</formula>
    </cfRule>
  </conditionalFormatting>
  <conditionalFormatting sqref="X26">
    <cfRule type="expression" dxfId="63" priority="43">
      <formula>AND(IF(OR($Q26=1,$Q26=2),1,0),IF($X26&lt;=20,1,0))</formula>
    </cfRule>
    <cfRule type="expression" dxfId="62" priority="44">
      <formula>AND(IF($Q26=2,1,0),IF($X26&lt;30,1,0))</formula>
    </cfRule>
    <cfRule type="expression" dxfId="61" priority="45">
      <formula>AND(IF($Q26=3,1,0),IF($X26&lt;30,1,0))</formula>
    </cfRule>
    <cfRule type="expression" dxfId="60" priority="46">
      <formula>AND(IF($Q26=3,1,IF($Q26=4,1,0)),IF($F26&lt;=85,1,0))</formula>
    </cfRule>
  </conditionalFormatting>
  <conditionalFormatting sqref="AI26">
    <cfRule type="expression" dxfId="59" priority="39">
      <formula>AND(IF(OR($Q26=1,$Q26=2),1,0),IF($X26&lt;=20,1,0))</formula>
    </cfRule>
    <cfRule type="expression" dxfId="58" priority="40">
      <formula>AND(IF($Q26=2,1,0),IF($X26&lt;30,1,0))</formula>
    </cfRule>
    <cfRule type="expression" dxfId="57" priority="41">
      <formula>AND(IF($Q26=3,1,0),IF($X26&lt;30,1,0))</formula>
    </cfRule>
    <cfRule type="expression" dxfId="56" priority="42">
      <formula>AND(IF($Q26=3,1,IF($Q26=4,1,0)),IF($F26&lt;=85,1,0))</formula>
    </cfRule>
  </conditionalFormatting>
  <conditionalFormatting sqref="AV27">
    <cfRule type="expression" dxfId="55" priority="37">
      <formula>AV27="X"</formula>
    </cfRule>
    <cfRule type="expression" dxfId="54" priority="38">
      <formula>AV27="후보"</formula>
    </cfRule>
  </conditionalFormatting>
  <conditionalFormatting sqref="AC27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27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27">
    <cfRule type="expression" dxfId="49" priority="28">
      <formula>AND(IF(OR($Q27=1,$Q27=2),1,0),IF($X27&lt;=20,1,0))</formula>
    </cfRule>
    <cfRule type="expression" dxfId="48" priority="29">
      <formula>AND(IF($Q27=2,1,0),IF($X27&lt;30,1,0))</formula>
    </cfRule>
    <cfRule type="expression" dxfId="47" priority="30">
      <formula>AND(IF($Q27=3,1,0),IF($X27&lt;30,1,0))</formula>
    </cfRule>
    <cfRule type="expression" dxfId="46" priority="31">
      <formula>AND(IF($Q27=3,1,IF($Q27=4,1,0)),IF($F27&lt;=85,1,0))</formula>
    </cfRule>
  </conditionalFormatting>
  <conditionalFormatting sqref="X27">
    <cfRule type="expression" dxfId="45" priority="24">
      <formula>AND(IF(OR($Q27=1,$Q27=2),1,0),IF($X27&lt;=20,1,0))</formula>
    </cfRule>
    <cfRule type="expression" dxfId="44" priority="25">
      <formula>AND(IF($Q27=2,1,0),IF($X27&lt;30,1,0))</formula>
    </cfRule>
    <cfRule type="expression" dxfId="43" priority="26">
      <formula>AND(IF($Q27=3,1,0),IF($X27&lt;30,1,0))</formula>
    </cfRule>
    <cfRule type="expression" dxfId="42" priority="27">
      <formula>AND(IF($Q27=3,1,IF($Q27=4,1,0)),IF($F27&lt;=85,1,0))</formula>
    </cfRule>
  </conditionalFormatting>
  <conditionalFormatting sqref="AI27">
    <cfRule type="expression" dxfId="41" priority="20">
      <formula>AND(IF(OR($Q27=1,$Q27=2),1,0),IF($X27&lt;=20,1,0))</formula>
    </cfRule>
    <cfRule type="expression" dxfId="40" priority="21">
      <formula>AND(IF($Q27=2,1,0),IF($X27&lt;30,1,0))</formula>
    </cfRule>
    <cfRule type="expression" dxfId="39" priority="22">
      <formula>AND(IF($Q27=3,1,0),IF($X27&lt;30,1,0))</formula>
    </cfRule>
    <cfRule type="expression" dxfId="38" priority="23">
      <formula>AND(IF($Q27=3,1,IF($Q27=4,1,0)),IF($F27&lt;=85,1,0))</formula>
    </cfRule>
  </conditionalFormatting>
  <conditionalFormatting sqref="AV28">
    <cfRule type="expression" dxfId="37" priority="18">
      <formula>AV28="X"</formula>
    </cfRule>
    <cfRule type="expression" dxfId="36" priority="19">
      <formula>AV28="후보"</formula>
    </cfRule>
  </conditionalFormatting>
  <conditionalFormatting sqref="AC28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28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28">
    <cfRule type="expression" dxfId="31" priority="9">
      <formula>AND(IF(OR($Q28=1,$Q28=2),1,0),IF($X28&lt;=20,1,0))</formula>
    </cfRule>
    <cfRule type="expression" dxfId="30" priority="10">
      <formula>AND(IF($Q28=2,1,0),IF($X28&lt;30,1,0))</formula>
    </cfRule>
    <cfRule type="expression" dxfId="29" priority="11">
      <formula>AND(IF($Q28=3,1,0),IF($X28&lt;30,1,0))</formula>
    </cfRule>
    <cfRule type="expression" dxfId="28" priority="12">
      <formula>AND(IF($Q28=3,1,IF($Q28=4,1,0)),IF($F28&lt;=85,1,0))</formula>
    </cfRule>
  </conditionalFormatting>
  <conditionalFormatting sqref="X28">
    <cfRule type="expression" dxfId="27" priority="5">
      <formula>AND(IF(OR($Q28=1,$Q28=2),1,0),IF($X28&lt;=20,1,0))</formula>
    </cfRule>
    <cfRule type="expression" dxfId="26" priority="6">
      <formula>AND(IF($Q28=2,1,0),IF($X28&lt;30,1,0))</formula>
    </cfRule>
    <cfRule type="expression" dxfId="25" priority="7">
      <formula>AND(IF($Q28=3,1,0),IF($X28&lt;30,1,0))</formula>
    </cfRule>
    <cfRule type="expression" dxfId="24" priority="8">
      <formula>AND(IF($Q28=3,1,IF($Q28=4,1,0)),IF($F28&lt;=85,1,0))</formula>
    </cfRule>
  </conditionalFormatting>
  <conditionalFormatting sqref="AI28">
    <cfRule type="expression" dxfId="23" priority="1">
      <formula>AND(IF(OR($Q28=1,$Q28=2),1,0),IF($X28&lt;=20,1,0))</formula>
    </cfRule>
    <cfRule type="expression" dxfId="22" priority="2">
      <formula>AND(IF($Q28=2,1,0),IF($X28&lt;30,1,0))</formula>
    </cfRule>
    <cfRule type="expression" dxfId="21" priority="3">
      <formula>AND(IF($Q28=3,1,0),IF($X28&lt;30,1,0))</formula>
    </cfRule>
    <cfRule type="expression" dxfId="20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의창구</v>
      </c>
      <c r="I1" s="43" t="s">
        <v>940</v>
      </c>
      <c r="X1" s="38" t="s">
        <v>5</v>
      </c>
      <c r="Y1" s="38"/>
      <c r="AA1" s="40">
        <f>단지추출!AA1</f>
        <v>70000</v>
      </c>
      <c r="AH1" s="7" t="str">
        <f>A1</f>
        <v>창원시 의창구</v>
      </c>
      <c r="AJ1" s="121" t="str">
        <f>A1&amp;" 전체 등급"</f>
        <v>창원시 의창구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의창구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941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941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1002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동명 단지명('19.04,905^)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21</v>
      </c>
      <c r="B6" s="10" t="s">
        <v>1003</v>
      </c>
      <c r="C6" s="107">
        <v>905</v>
      </c>
      <c r="D6" s="104">
        <v>79.3</v>
      </c>
      <c r="E6" s="106">
        <v>24</v>
      </c>
      <c r="F6" s="104">
        <v>59.8</v>
      </c>
      <c r="G6" s="17">
        <v>18</v>
      </c>
      <c r="H6" s="107">
        <v>240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947</v>
      </c>
      <c r="T6" s="5">
        <v>79</v>
      </c>
      <c r="U6" s="9"/>
      <c r="W6" s="104">
        <f>D6</f>
        <v>79.3</v>
      </c>
      <c r="X6" s="106">
        <f>E6</f>
        <v>24</v>
      </c>
      <c r="Y6" s="102">
        <f>H6</f>
        <v>240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단지명</v>
      </c>
      <c r="AI6" s="106">
        <f>IF(E6="","",E6)</f>
        <v>24</v>
      </c>
      <c r="AJ6" s="75" t="str">
        <f>IF(AI6="","",$AJ$2)</f>
        <v>A-</v>
      </c>
      <c r="AK6" s="75" t="s">
        <v>14</v>
      </c>
      <c r="AL6" s="75" t="s">
        <v>944</v>
      </c>
      <c r="AM6" s="75" t="s">
        <v>945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30</vt:i4>
      </vt:variant>
    </vt:vector>
  </HeadingPairs>
  <TitlesOfParts>
    <vt:vector size="48" baseType="lpstr">
      <vt:lpstr>단지추출</vt:lpstr>
      <vt:lpstr>단지추출_가격표용</vt:lpstr>
      <vt:lpstr>동별가격표</vt:lpstr>
      <vt:lpstr>정보입력(KB)</vt:lpstr>
      <vt:lpstr>정보입력</vt:lpstr>
      <vt:lpstr>도계동</vt:lpstr>
      <vt:lpstr>동읍</vt:lpstr>
      <vt:lpstr>동정동</vt:lpstr>
      <vt:lpstr>명곡동</vt:lpstr>
      <vt:lpstr>명서동</vt:lpstr>
      <vt:lpstr>봉곡동</vt:lpstr>
      <vt:lpstr>봉림동</vt:lpstr>
      <vt:lpstr>북면</vt:lpstr>
      <vt:lpstr>서상동</vt:lpstr>
      <vt:lpstr>소계동</vt:lpstr>
      <vt:lpstr>중동</vt:lpstr>
      <vt:lpstr>팔용동</vt:lpstr>
      <vt:lpstr>양식</vt:lpstr>
      <vt:lpstr>단지추출!Print_Area</vt:lpstr>
      <vt:lpstr>단지추출_가격표용!Print_Area</vt:lpstr>
      <vt:lpstr>도계동!Print_Area</vt:lpstr>
      <vt:lpstr>동읍!Print_Area</vt:lpstr>
      <vt:lpstr>동정동!Print_Area</vt:lpstr>
      <vt:lpstr>명곡동!Print_Area</vt:lpstr>
      <vt:lpstr>명서동!Print_Area</vt:lpstr>
      <vt:lpstr>봉곡동!Print_Area</vt:lpstr>
      <vt:lpstr>봉림동!Print_Area</vt:lpstr>
      <vt:lpstr>북면!Print_Area</vt:lpstr>
      <vt:lpstr>서상동!Print_Area</vt:lpstr>
      <vt:lpstr>소계동!Print_Area</vt:lpstr>
      <vt:lpstr>양식!Print_Area</vt:lpstr>
      <vt:lpstr>중동!Print_Area</vt:lpstr>
      <vt:lpstr>팔용동!Print_Area</vt:lpstr>
      <vt:lpstr>단지추출!Print_Titles</vt:lpstr>
      <vt:lpstr>단지추출_가격표용!Print_Titles</vt:lpstr>
      <vt:lpstr>도계동!Print_Titles</vt:lpstr>
      <vt:lpstr>동읍!Print_Titles</vt:lpstr>
      <vt:lpstr>동정동!Print_Titles</vt:lpstr>
      <vt:lpstr>명곡동!Print_Titles</vt:lpstr>
      <vt:lpstr>명서동!Print_Titles</vt:lpstr>
      <vt:lpstr>봉곡동!Print_Titles</vt:lpstr>
      <vt:lpstr>봉림동!Print_Titles</vt:lpstr>
      <vt:lpstr>북면!Print_Titles</vt:lpstr>
      <vt:lpstr>서상동!Print_Titles</vt:lpstr>
      <vt:lpstr>소계동!Print_Titles</vt:lpstr>
      <vt:lpstr>양식!Print_Titles</vt:lpstr>
      <vt:lpstr>중동!Print_Titles</vt:lpstr>
      <vt:lpstr>팔용동!Print_Titles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2022-08-01T15:20:02Z</dcterms:modified>
</cp:coreProperties>
</file>